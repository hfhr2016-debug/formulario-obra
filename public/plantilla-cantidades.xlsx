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8"/>
    </font>
    <font>
      <name val="Calibri"/>
      <family val="2"/>
      <color rgb="FF17365D"/>
      <sz val="14"/>
    </font>
    <font>
      <name val="Calibri"/>
      <family val="2"/>
      <color rgb="FF17365D"/>
      <sz val="16"/>
      <u val="single"/>
    </font>
    <font>
      <name val="Calibri"/>
      <family val="2"/>
      <i val="1"/>
      <color rgb="FF17365D"/>
      <sz val="16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/>
      <top style="thick">
        <color rgb="FF17365D"/>
      </top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41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39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6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7" applyAlignment="1" pivotButton="0" quotePrefix="0" xfId="0">
      <alignment horizontal="center"/>
    </xf>
    <xf numFmtId="0" fontId="42" fillId="7" borderId="148" applyAlignment="1" pivotButton="0" quotePrefix="0" xfId="0">
      <alignment horizontal="left" indent="3"/>
    </xf>
    <xf numFmtId="0" fontId="42" fillId="7" borderId="148" applyAlignment="1" pivotButton="0" quotePrefix="0" xfId="0">
      <alignment horizontal="center"/>
    </xf>
    <xf numFmtId="0" fontId="16" fillId="6" borderId="150" applyAlignment="1" pivotButton="0" quotePrefix="0" xfId="0">
      <alignment horizontal="center"/>
    </xf>
    <xf numFmtId="0" fontId="16" fillId="7" borderId="150" applyAlignment="1" pivotButton="0" quotePrefix="0" xfId="0">
      <alignment horizontal="center"/>
    </xf>
    <xf numFmtId="0" fontId="14" fillId="2" borderId="150" applyAlignment="1" pivotButton="0" quotePrefix="0" xfId="0">
      <alignment horizontal="center"/>
    </xf>
    <xf numFmtId="0" fontId="16" fillId="0" borderId="150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42" fillId="7" borderId="152" applyAlignment="1" pivotButton="0" quotePrefix="0" xfId="0">
      <alignment horizontal="left" indent="3"/>
    </xf>
    <xf numFmtId="0" fontId="42" fillId="7" borderId="152" applyAlignment="1" pivotButton="0" quotePrefix="0" xfId="0">
      <alignment horizontal="center"/>
    </xf>
    <xf numFmtId="0" fontId="22" fillId="10" borderId="140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1" fillId="0" borderId="157" pivotButton="0" quotePrefix="0" xfId="0"/>
    <xf numFmtId="0" fontId="61" fillId="0" borderId="158" pivotButton="0" quotePrefix="0" xfId="0"/>
    <xf numFmtId="0" fontId="46" fillId="3" borderId="157" pivotButton="0" quotePrefix="0" xfId="0"/>
    <xf numFmtId="0" fontId="48" fillId="3" borderId="158" pivotButton="0" quotePrefix="0" xfId="0"/>
    <xf numFmtId="0" fontId="45" fillId="0" borderId="155" pivotButton="0" quotePrefix="0" xfId="0"/>
    <xf numFmtId="0" fontId="45" fillId="0" borderId="157" pivotButton="0" quotePrefix="0" xfId="0"/>
    <xf numFmtId="0" fontId="45" fillId="0" borderId="158" pivotButton="0" quotePrefix="0" xfId="0"/>
    <xf numFmtId="0" fontId="45" fillId="20" borderId="159" applyAlignment="1" pivotButton="0" quotePrefix="0" xfId="0">
      <alignment vertical="center"/>
    </xf>
    <xf numFmtId="0" fontId="54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2" applyAlignment="1" pivotButton="0" quotePrefix="0" xfId="4">
      <alignment vertical="center" wrapText="1"/>
    </xf>
    <xf numFmtId="0" fontId="121" fillId="54" borderId="178" applyAlignment="1" pivotButton="0" quotePrefix="0" xfId="4">
      <alignment vertical="center" wrapText="1"/>
    </xf>
    <xf numFmtId="0" fontId="126" fillId="55" borderId="181" applyAlignment="1" pivotButton="0" quotePrefix="0" xfId="4">
      <alignment vertical="center" wrapText="1"/>
    </xf>
    <xf numFmtId="0" fontId="126" fillId="55" borderId="182" applyAlignment="1" pivotButton="0" quotePrefix="0" xfId="4">
      <alignment vertical="center" wrapText="1"/>
    </xf>
    <xf numFmtId="0" fontId="126" fillId="55" borderId="184" applyAlignment="1" pivotButton="0" quotePrefix="0" xfId="4">
      <alignment vertical="center" wrapText="1"/>
    </xf>
    <xf numFmtId="0" fontId="126" fillId="55" borderId="185" applyAlignment="1" pivotButton="0" quotePrefix="0" xfId="4">
      <alignment vertical="center" wrapText="1"/>
    </xf>
    <xf numFmtId="0" fontId="29" fillId="0" borderId="183" applyAlignment="1" pivotButton="0" quotePrefix="0" xfId="4">
      <alignment vertical="center"/>
    </xf>
    <xf numFmtId="0" fontId="3" fillId="0" borderId="0" pivotButton="0" quotePrefix="0" xfId="4"/>
    <xf numFmtId="2" fontId="126" fillId="55" borderId="192" applyAlignment="1" pivotButton="0" quotePrefix="0" xfId="4">
      <alignment vertical="center" wrapText="1"/>
    </xf>
    <xf numFmtId="2" fontId="129" fillId="56" borderId="192" applyAlignment="1" pivotButton="0" quotePrefix="0" xfId="4">
      <alignment vertical="center" wrapText="1"/>
    </xf>
    <xf numFmtId="2" fontId="126" fillId="55" borderId="183" applyAlignment="1" pivotButton="0" quotePrefix="0" xfId="4">
      <alignment vertical="center" wrapText="1"/>
    </xf>
    <xf numFmtId="2" fontId="129" fillId="56" borderId="183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2" pivotButton="0" quotePrefix="0" xfId="0"/>
    <xf numFmtId="0" fontId="2" fillId="0" borderId="163" pivotButton="0" quotePrefix="0" xfId="0"/>
    <xf numFmtId="0" fontId="2" fillId="0" borderId="164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3" pivotButton="0" quotePrefix="0" xfId="0"/>
    <xf numFmtId="0" fontId="35" fillId="16" borderId="163" pivotButton="0" quotePrefix="0" xfId="0"/>
    <xf numFmtId="0" fontId="35" fillId="17" borderId="163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2" fillId="0" borderId="258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49" pivotButton="0" quotePrefix="0" xfId="0"/>
    <xf numFmtId="0" fontId="141" fillId="0" borderId="249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2" pivotButton="0" quotePrefix="0" xfId="0"/>
    <xf numFmtId="0" fontId="147" fillId="0" borderId="0" applyAlignment="1" pivotButton="0" quotePrefix="0" xfId="0">
      <alignment vertical="center"/>
    </xf>
    <xf numFmtId="0" fontId="2" fillId="0" borderId="269" pivotButton="0" quotePrefix="0" xfId="0"/>
    <xf numFmtId="0" fontId="149" fillId="0" borderId="243" applyAlignment="1" pivotButton="0" quotePrefix="0" xfId="0">
      <alignment horizontal="center" vertical="center"/>
    </xf>
    <xf numFmtId="0" fontId="53" fillId="26" borderId="270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48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1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73" applyAlignment="1" pivotButton="0" quotePrefix="0" xfId="0">
      <alignment horizontal="center"/>
    </xf>
    <xf numFmtId="0" fontId="154" fillId="0" borderId="273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83" applyAlignment="1" pivotButton="0" quotePrefix="0" xfId="4">
      <alignment vertical="center" wrapText="1"/>
    </xf>
    <xf numFmtId="0" fontId="127" fillId="54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8" fillId="41" borderId="191" applyAlignment="1" pivotButton="0" quotePrefix="0" xfId="4">
      <alignment horizontal="center" vertical="center" wrapText="1"/>
    </xf>
    <xf numFmtId="0" fontId="126" fillId="55" borderId="192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56" applyAlignment="1" pivotButton="0" quotePrefix="0" xfId="0">
      <alignment vertical="center" wrapText="1"/>
    </xf>
    <xf numFmtId="0" fontId="64" fillId="0" borderId="256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75" pivotButton="0" quotePrefix="0" xfId="0"/>
    <xf numFmtId="0" fontId="0" fillId="0" borderId="0" applyAlignment="1" pivotButton="0" quotePrefix="0" xfId="0">
      <alignment horizontal="center"/>
    </xf>
    <xf numFmtId="0" fontId="53" fillId="26" borderId="244" applyAlignment="1" pivotButton="0" quotePrefix="0" xfId="0">
      <alignment vertical="center"/>
    </xf>
    <xf numFmtId="0" fontId="149" fillId="0" borderId="281" applyAlignment="1" pivotButton="0" quotePrefix="0" xfId="0">
      <alignment horizontal="center" vertical="center"/>
    </xf>
    <xf numFmtId="0" fontId="34" fillId="0" borderId="265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7" pivotButton="0" quotePrefix="0" xfId="0"/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138" fillId="25" borderId="271" applyAlignment="1" pivotButton="0" quotePrefix="0" xfId="0">
      <alignment horizontal="center" vertical="center" wrapText="1"/>
    </xf>
    <xf numFmtId="0" fontId="143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vertical="center" wrapText="1"/>
    </xf>
    <xf numFmtId="0" fontId="142" fillId="16" borderId="286" applyAlignment="1" pivotButton="0" quotePrefix="0" xfId="0">
      <alignment vertical="center" wrapText="1"/>
    </xf>
    <xf numFmtId="0" fontId="139" fillId="0" borderId="286" applyAlignment="1" pivotButton="0" quotePrefix="0" xfId="0">
      <alignment horizontal="center" vertical="center" wrapText="1"/>
    </xf>
    <xf numFmtId="0" fontId="141" fillId="28" borderId="286" applyAlignment="1" pivotButton="0" quotePrefix="0" xfId="0">
      <alignment vertical="center" wrapText="1"/>
    </xf>
    <xf numFmtId="0" fontId="139" fillId="0" borderId="286" applyAlignment="1" pivotButton="0" quotePrefix="0" xfId="0">
      <alignment vertical="center" wrapText="1"/>
    </xf>
    <xf numFmtId="0" fontId="80" fillId="75" borderId="286" applyAlignment="1" pivotButton="0" quotePrefix="0" xfId="0">
      <alignment horizontal="center" vertical="center" wrapText="1"/>
    </xf>
    <xf numFmtId="0" fontId="144" fillId="17" borderId="286" applyAlignment="1" pivotButton="0" quotePrefix="0" xfId="0">
      <alignment horizontal="center" vertical="center" wrapText="1"/>
    </xf>
    <xf numFmtId="0" fontId="144" fillId="16" borderId="286" applyAlignment="1" pivotButton="0" quotePrefix="0" xfId="0">
      <alignment horizontal="center" vertical="center" wrapText="1"/>
    </xf>
    <xf numFmtId="0" fontId="140" fillId="0" borderId="286" applyAlignment="1" pivotButton="0" quotePrefix="0" xfId="0">
      <alignment vertical="center" wrapText="1"/>
    </xf>
    <xf numFmtId="0" fontId="140" fillId="0" borderId="286" applyAlignment="1" pivotButton="0" quotePrefix="0" xfId="0">
      <alignment horizontal="center" vertical="center" wrapText="1"/>
    </xf>
    <xf numFmtId="0" fontId="80" fillId="75" borderId="287" applyAlignment="1" pivotButton="0" quotePrefix="0" xfId="0">
      <alignment horizontal="center" vertical="center" wrapText="1"/>
    </xf>
    <xf numFmtId="0" fontId="144" fillId="17" borderId="287" applyAlignment="1" pivotButton="0" quotePrefix="0" xfId="0">
      <alignment horizontal="center" vertical="center" wrapText="1"/>
    </xf>
    <xf numFmtId="0" fontId="144" fillId="16" borderId="287" applyAlignment="1" pivotButton="0" quotePrefix="0" xfId="0">
      <alignment horizontal="center" vertical="center" wrapText="1"/>
    </xf>
    <xf numFmtId="0" fontId="140" fillId="0" borderId="287" applyAlignment="1" pivotButton="0" quotePrefix="0" xfId="0">
      <alignment vertical="center" wrapText="1"/>
    </xf>
    <xf numFmtId="0" fontId="140" fillId="0" borderId="287" applyAlignment="1" pivotButton="0" quotePrefix="0" xfId="0">
      <alignment horizontal="center" vertical="center" wrapText="1"/>
    </xf>
    <xf numFmtId="0" fontId="146" fillId="25" borderId="282" applyAlignment="1" pivotButton="0" quotePrefix="0" xfId="0">
      <alignment horizontal="center" vertical="center" wrapText="1"/>
    </xf>
    <xf numFmtId="0" fontId="146" fillId="25" borderId="288" applyAlignment="1" pivotButton="0" quotePrefix="0" xfId="0">
      <alignment horizontal="center" vertical="center" wrapText="1"/>
    </xf>
    <xf numFmtId="0" fontId="146" fillId="25" borderId="289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86" applyAlignment="1" pivotButton="0" quotePrefix="0" xfId="0">
      <alignment vertical="center" wrapText="1"/>
    </xf>
    <xf numFmtId="165" fontId="139" fillId="0" borderId="286" applyAlignment="1" pivotButton="0" quotePrefix="0" xfId="0">
      <alignment vertical="center" wrapText="1"/>
    </xf>
    <xf numFmtId="166" fontId="139" fillId="0" borderId="286" applyAlignment="1" pivotButton="0" quotePrefix="0" xfId="0">
      <alignment vertical="center" wrapText="1"/>
    </xf>
    <xf numFmtId="164" fontId="140" fillId="0" borderId="287" applyAlignment="1" pivotButton="0" quotePrefix="0" xfId="0">
      <alignment vertical="center" wrapText="1"/>
    </xf>
    <xf numFmtId="165" fontId="140" fillId="0" borderId="287" applyAlignment="1" pivotButton="0" quotePrefix="0" xfId="0">
      <alignment vertical="center" wrapText="1"/>
    </xf>
    <xf numFmtId="164" fontId="140" fillId="0" borderId="286" applyAlignment="1" pivotButton="0" quotePrefix="0" xfId="0">
      <alignment vertical="center" wrapText="1"/>
    </xf>
    <xf numFmtId="165" fontId="140" fillId="0" borderId="286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54" fillId="20" borderId="160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84" applyAlignment="1" pivotButton="0" quotePrefix="0" xfId="4">
      <alignment vertical="center" wrapText="1"/>
    </xf>
    <xf numFmtId="166" fontId="126" fillId="55" borderId="185" applyAlignment="1" pivotButton="0" quotePrefix="0" xfId="4">
      <alignment vertical="center" wrapText="1"/>
    </xf>
    <xf numFmtId="166" fontId="126" fillId="55" borderId="183" applyAlignment="1" pivotButton="0" quotePrefix="0" xfId="4">
      <alignment vertical="center" wrapText="1"/>
    </xf>
    <xf numFmtId="165" fontId="129" fillId="56" borderId="192" applyAlignment="1" pivotButton="0" quotePrefix="0" xfId="4">
      <alignment vertical="center" wrapText="1"/>
    </xf>
    <xf numFmtId="165" fontId="129" fillId="56" borderId="183" applyAlignment="1" pivotButton="0" quotePrefix="0" xfId="4">
      <alignment vertical="center" wrapText="1"/>
    </xf>
    <xf numFmtId="166" fontId="126" fillId="55" borderId="182" applyAlignment="1" pivotButton="0" quotePrefix="0" xfId="4">
      <alignment vertical="center" wrapText="1"/>
    </xf>
    <xf numFmtId="168" fontId="126" fillId="55" borderId="185" applyAlignment="1" pivotButton="0" quotePrefix="0" xfId="4">
      <alignment vertical="center" wrapText="1"/>
    </xf>
    <xf numFmtId="168" fontId="126" fillId="55" borderId="183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7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75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69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1" applyAlignment="1" pivotButton="0" quotePrefix="0" xfId="3">
      <alignment horizontal="center" vertical="center"/>
    </xf>
    <xf numFmtId="0" fontId="45" fillId="4" borderId="313" applyAlignment="1" pivotButton="0" quotePrefix="0" xfId="3">
      <alignment horizontal="center" vertical="center"/>
    </xf>
    <xf numFmtId="0" fontId="113" fillId="42" borderId="313" applyAlignment="1" pivotButton="0" quotePrefix="0" xfId="3">
      <alignment horizontal="center" vertical="center"/>
    </xf>
    <xf numFmtId="0" fontId="45" fillId="4" borderId="315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8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16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0" applyAlignment="1" pivotButton="0" quotePrefix="0" xfId="3">
      <alignment horizontal="left" vertical="center"/>
    </xf>
    <xf numFmtId="0" fontId="22" fillId="10" borderId="312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82" fillId="10" borderId="312" applyAlignment="1" pivotButton="0" quotePrefix="0" xfId="3">
      <alignment horizontal="left" vertical="center"/>
    </xf>
    <xf numFmtId="0" fontId="149" fillId="42" borderId="313" applyAlignment="1" pivotButton="0" quotePrefix="0" xfId="3">
      <alignment horizontal="center" vertical="center"/>
    </xf>
    <xf numFmtId="0" fontId="82" fillId="10" borderId="314" applyAlignment="1" pivotButton="0" quotePrefix="0" xfId="3">
      <alignment horizontal="left" vertical="center"/>
    </xf>
    <xf numFmtId="0" fontId="0" fillId="0" borderId="318" pivotButton="0" quotePrefix="0" xfId="0"/>
    <xf numFmtId="0" fontId="22" fillId="10" borderId="319" applyAlignment="1" pivotButton="0" quotePrefix="0" xfId="3">
      <alignment horizontal="left" vertical="center"/>
    </xf>
    <xf numFmtId="0" fontId="45" fillId="4" borderId="320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1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83" applyAlignment="1" pivotButton="0" quotePrefix="0" xfId="0">
      <alignment horizontal="center" vertical="center"/>
    </xf>
    <xf numFmtId="0" fontId="20" fillId="0" borderId="258" applyAlignment="1" pivotButton="0" quotePrefix="0" xfId="0">
      <alignment horizontal="center" vertical="center"/>
    </xf>
    <xf numFmtId="0" fontId="40" fillId="25" borderId="322" applyAlignment="1" pivotButton="0" quotePrefix="0" xfId="0">
      <alignment horizontal="center" vertical="center"/>
    </xf>
    <xf numFmtId="0" fontId="40" fillId="25" borderId="293" applyAlignment="1" pivotButton="0" quotePrefix="0" xfId="0">
      <alignment horizontal="center" vertical="center"/>
    </xf>
    <xf numFmtId="0" fontId="40" fillId="25" borderId="323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0" fillId="0" borderId="0" pivotButton="0" quotePrefix="0" xfId="0"/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85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165" fontId="35" fillId="17" borderId="0" applyAlignment="1" pivotButton="0" quotePrefix="0" xfId="2">
      <alignment horizontal="center" vertical="center"/>
    </xf>
    <xf numFmtId="0" fontId="53" fillId="23" borderId="37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1" applyAlignment="1" pivotButton="0" quotePrefix="0" xfId="3">
      <alignment vertical="center"/>
    </xf>
    <xf numFmtId="0" fontId="160" fillId="0" borderId="28" pivotButton="0" quotePrefix="0" xfId="0"/>
    <xf numFmtId="0" fontId="0" fillId="0" borderId="0" pivotButton="0" quotePrefix="0" xfId="0"/>
    <xf numFmtId="0" fontId="0" fillId="0" borderId="29" pivotButton="0" quotePrefix="0" xfId="0"/>
    <xf numFmtId="0" fontId="0" fillId="0" borderId="1" pivotButton="0" quotePrefix="0" xfId="0"/>
    <xf numFmtId="0" fontId="0" fillId="0" borderId="152" pivotButton="0" quotePrefix="0" xfId="0"/>
    <xf numFmtId="0" fontId="158" fillId="0" borderId="29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4" fillId="16" borderId="163" applyAlignment="1" pivotButton="0" quotePrefix="0" xfId="0">
      <alignment vertical="center"/>
    </xf>
    <xf numFmtId="0" fontId="30" fillId="20" borderId="362" applyAlignment="1" pivotButton="0" quotePrefix="0" xfId="0">
      <alignment vertical="center"/>
    </xf>
    <xf numFmtId="0" fontId="28" fillId="39" borderId="32" applyAlignment="1" pivotButton="0" quotePrefix="0" xfId="0">
      <alignment horizontal="center" vertical="center"/>
    </xf>
    <xf numFmtId="0" fontId="28" fillId="39" borderId="0" applyAlignment="1" pivotButton="0" quotePrefix="0" xfId="0">
      <alignment horizontal="center" vertical="center"/>
    </xf>
    <xf numFmtId="0" fontId="28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63" applyAlignment="1" pivotButton="0" quotePrefix="0" xfId="0">
      <alignment horizontal="center" vertical="center"/>
    </xf>
    <xf numFmtId="0" fontId="28" fillId="20" borderId="364" applyAlignment="1" pivotButton="0" quotePrefix="0" xfId="0">
      <alignment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66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8" fillId="3" borderId="29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29" fillId="16" borderId="163" applyAlignment="1" pivotButton="0" quotePrefix="0" xfId="0">
      <alignment horizontal="center" vertical="center"/>
    </xf>
    <xf numFmtId="0" fontId="0" fillId="0" borderId="164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73" fillId="41" borderId="163" applyAlignment="1" pivotButton="0" quotePrefix="0" xfId="0">
      <alignment horizontal="center" vertical="center"/>
    </xf>
    <xf numFmtId="0" fontId="82" fillId="0" borderId="163" applyAlignment="1" pivotButton="0" quotePrefix="0" xfId="0">
      <alignment horizontal="center"/>
    </xf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365" applyAlignment="1" pivotButton="0" quotePrefix="0" xfId="0">
      <alignment horizontal="center"/>
    </xf>
    <xf numFmtId="0" fontId="0" fillId="0" borderId="366" pivotButton="0" quotePrefix="0" xfId="0"/>
    <xf numFmtId="0" fontId="0" fillId="0" borderId="367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8" fillId="3" borderId="152" applyAlignment="1" pivotButton="0" quotePrefix="0" xfId="0">
      <alignment horizontal="center" vertical="center"/>
    </xf>
    <xf numFmtId="0" fontId="66" fillId="25" borderId="308" applyAlignment="1" pivotButton="0" quotePrefix="0" xfId="2">
      <alignment horizontal="center"/>
    </xf>
    <xf numFmtId="0" fontId="66" fillId="25" borderId="309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1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45" fillId="0" borderId="0" applyAlignment="1" pivotButton="0" quotePrefix="0" xfId="0">
      <alignment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0" fillId="0" borderId="24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45" pivotButton="0" quotePrefix="0" xfId="0"/>
    <xf numFmtId="0" fontId="45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5" fillId="4" borderId="156" applyAlignment="1" pivotButton="0" quotePrefix="0" xfId="3">
      <alignment horizontal="center" vertical="center"/>
    </xf>
    <xf numFmtId="0" fontId="0" fillId="0" borderId="156" pivotButton="0" quotePrefix="0" xfId="0"/>
    <xf numFmtId="0" fontId="154" fillId="0" borderId="258" applyAlignment="1" pivotButton="0" quotePrefix="0" xfId="0">
      <alignment horizontal="center"/>
    </xf>
    <xf numFmtId="0" fontId="0" fillId="0" borderId="273" pivotButton="0" quotePrefix="0" xfId="0"/>
    <xf numFmtId="0" fontId="0" fillId="0" borderId="274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2" pivotButton="0" quotePrefix="0" xfId="0"/>
    <xf numFmtId="0" fontId="153" fillId="0" borderId="258" applyAlignment="1" pivotButton="0" quotePrefix="0" xfId="0">
      <alignment horizontal="center"/>
    </xf>
    <xf numFmtId="0" fontId="45" fillId="4" borderId="272" applyAlignment="1" pivotButton="0" quotePrefix="0" xfId="3">
      <alignment horizontal="center" vertical="center"/>
    </xf>
    <xf numFmtId="0" fontId="0" fillId="0" borderId="272" pivotButton="0" quotePrefix="0" xfId="0"/>
    <xf numFmtId="0" fontId="0" fillId="0" borderId="241" applyAlignment="1" pivotButton="0" quotePrefix="0" xfId="0">
      <alignment horizontal="center"/>
    </xf>
    <xf numFmtId="0" fontId="0" fillId="0" borderId="241" pivotButton="0" quotePrefix="0" xfId="0"/>
    <xf numFmtId="0" fontId="113" fillId="42" borderId="156" applyAlignment="1" pivotButton="0" quotePrefix="0" xfId="3">
      <alignment horizontal="center" vertical="center"/>
    </xf>
    <xf numFmtId="0" fontId="134" fillId="61" borderId="259" applyAlignment="1" pivotButton="0" quotePrefix="0" xfId="0">
      <alignment horizontal="center" vertical="center"/>
    </xf>
    <xf numFmtId="0" fontId="0" fillId="0" borderId="285" pivotButton="0" quotePrefix="0" xfId="0"/>
    <xf numFmtId="0" fontId="0" fillId="0" borderId="290" pivotButton="0" quotePrefix="0" xfId="0"/>
    <xf numFmtId="0" fontId="41" fillId="62" borderId="246" applyAlignment="1" pivotButton="0" quotePrefix="0" xfId="0">
      <alignment horizontal="center" vertical="center"/>
    </xf>
    <xf numFmtId="0" fontId="0" fillId="0" borderId="246" pivotButton="0" quotePrefix="0" xfId="0"/>
    <xf numFmtId="0" fontId="137" fillId="0" borderId="262" pivotButton="0" quotePrefix="0" xfId="0"/>
    <xf numFmtId="0" fontId="0" fillId="0" borderId="247" pivotButton="0" quotePrefix="0" xfId="0"/>
    <xf numFmtId="0" fontId="0" fillId="0" borderId="248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0" pivotButton="0" quotePrefix="0" xfId="0"/>
    <xf numFmtId="0" fontId="0" fillId="0" borderId="261" pivotButton="0" quotePrefix="0" xfId="0"/>
    <xf numFmtId="0" fontId="0" fillId="0" borderId="292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136" fillId="72" borderId="161" applyAlignment="1" pivotButton="0" quotePrefix="0" xfId="0">
      <alignment vertical="center" wrapText="1"/>
    </xf>
    <xf numFmtId="0" fontId="0" fillId="0" borderId="165" pivotButton="0" quotePrefix="0" xfId="0"/>
    <xf numFmtId="0" fontId="0" fillId="0" borderId="198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67" pivotButton="0" quotePrefix="0" xfId="0"/>
    <xf numFmtId="0" fontId="0" fillId="0" borderId="250" pivotButton="0" quotePrefix="0" xfId="0"/>
    <xf numFmtId="0" fontId="0" fillId="0" borderId="268" pivotButton="0" quotePrefix="0" xfId="0"/>
    <xf numFmtId="0" fontId="2" fillId="43" borderId="241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0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63" pivotButton="0" quotePrefix="0" xfId="0"/>
    <xf numFmtId="0" fontId="0" fillId="0" borderId="264" pivotButton="0" quotePrefix="0" xfId="0"/>
    <xf numFmtId="0" fontId="0" fillId="0" borderId="291" pivotButton="0" quotePrefix="0" xfId="0"/>
    <xf numFmtId="0" fontId="2" fillId="0" borderId="258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46" applyAlignment="1" pivotButton="0" quotePrefix="0" xfId="0">
      <alignment horizontal="center" vertical="center"/>
    </xf>
    <xf numFmtId="0" fontId="66" fillId="25" borderId="280" applyAlignment="1" pivotButton="0" quotePrefix="0" xfId="2">
      <alignment horizontal="center"/>
    </xf>
    <xf numFmtId="0" fontId="0" fillId="0" borderId="26" pivotButton="0" quotePrefix="0" xfId="0"/>
    <xf numFmtId="0" fontId="0" fillId="0" borderId="294" pivotButton="0" quotePrefix="0" xfId="0"/>
    <xf numFmtId="0" fontId="153" fillId="0" borderId="258" applyAlignment="1" pivotButton="0" quotePrefix="0" xfId="0">
      <alignment horizontal="center" vertical="center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82" applyAlignment="1" pivotButton="0" quotePrefix="0" xfId="0">
      <alignment horizontal="center"/>
    </xf>
    <xf numFmtId="0" fontId="0" fillId="0" borderId="295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45" applyAlignment="1" pivotButton="0" quotePrefix="0" xfId="0">
      <alignment horizontal="center"/>
    </xf>
    <xf numFmtId="0" fontId="27" fillId="0" borderId="245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27" fillId="63" borderId="0" applyAlignment="1" pivotButton="0" quotePrefix="0" xfId="0">
      <alignment vertical="center" wrapText="1"/>
    </xf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 vertical="center"/>
    </xf>
    <xf numFmtId="0" fontId="110" fillId="61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155" fillId="3" borderId="199" applyAlignment="1" pivotButton="0" quotePrefix="0" xfId="0">
      <alignment horizontal="center" vertical="center" wrapText="1"/>
    </xf>
    <xf numFmtId="0" fontId="0" fillId="0" borderId="99" pivotButton="0" quotePrefix="0" xfId="0"/>
    <xf numFmtId="0" fontId="54" fillId="35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66" fillId="25" borderId="199" applyAlignment="1" pivotButton="0" quotePrefix="0" xfId="2">
      <alignment horizontal="center"/>
    </xf>
    <xf numFmtId="0" fontId="64" fillId="20" borderId="296" applyAlignment="1" pivotButton="0" quotePrefix="0" xfId="0">
      <alignment vertical="center"/>
    </xf>
    <xf numFmtId="167" fontId="61" fillId="0" borderId="201" pivotButton="0" quotePrefix="0" xfId="0"/>
    <xf numFmtId="167" fontId="48" fillId="3" borderId="201" pivotButton="0" quotePrefix="0" xfId="0"/>
    <xf numFmtId="0" fontId="45" fillId="4" borderId="139" applyAlignment="1" pivotButton="0" quotePrefix="0" xfId="3">
      <alignment horizontal="center" vertical="center"/>
    </xf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10" fillId="20" borderId="200" applyAlignment="1" pivotButton="0" quotePrefix="0" xfId="0">
      <alignment horizontal="center" vertical="center"/>
    </xf>
    <xf numFmtId="0" fontId="0" fillId="0" borderId="136" pivotButton="0" quotePrefix="0" xfId="0"/>
    <xf numFmtId="0" fontId="92" fillId="20" borderId="201" applyAlignment="1" pivotButton="0" quotePrefix="0" xfId="0">
      <alignment horizontal="center" vertical="center" wrapText="1"/>
    </xf>
    <xf numFmtId="0" fontId="45" fillId="0" borderId="201" pivotButton="0" quotePrefix="0" xfId="0"/>
    <xf numFmtId="0" fontId="113" fillId="42" borderId="139" applyAlignment="1" pivotButton="0" quotePrefix="0" xfId="3">
      <alignment horizontal="center" vertical="center"/>
    </xf>
    <xf numFmtId="0" fontId="45" fillId="0" borderId="156" pivotButton="0" quotePrefix="0" xfId="0"/>
    <xf numFmtId="0" fontId="45" fillId="4" borderId="154" applyAlignment="1" pivotButton="0" quotePrefix="0" xfId="3">
      <alignment horizontal="center" vertical="center"/>
    </xf>
    <xf numFmtId="167" fontId="45" fillId="0" borderId="156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84" pivotButton="0" quotePrefix="0" xfId="0"/>
    <xf numFmtId="0" fontId="42" fillId="7" borderId="153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49" applyAlignment="1" pivotButton="0" quotePrefix="0" xfId="0">
      <alignment horizontal="center"/>
    </xf>
    <xf numFmtId="0" fontId="0" fillId="0" borderId="138" pivotButton="0" quotePrefix="0" xfId="0"/>
    <xf numFmtId="0" fontId="42" fillId="7" borderId="145" applyAlignment="1" pivotButton="0" quotePrefix="0" xfId="0">
      <alignment horizontal="center"/>
    </xf>
    <xf numFmtId="0" fontId="0" fillId="0" borderId="145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0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66" fillId="25" borderId="139" applyAlignment="1" pivotButton="0" quotePrefix="0" xfId="0">
      <alignment horizontal="center"/>
    </xf>
    <xf numFmtId="0" fontId="109" fillId="28" borderId="145" applyAlignment="1" pivotButton="0" quotePrefix="0" xfId="1">
      <alignment horizontal="center"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0" borderId="145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5" applyAlignment="1" pivotButton="0" quotePrefix="0" xfId="0">
      <alignment horizontal="center"/>
    </xf>
    <xf numFmtId="0" fontId="81" fillId="20" borderId="145" applyAlignment="1" pivotButton="0" quotePrefix="0" xfId="0">
      <alignment horizontal="center"/>
    </xf>
    <xf numFmtId="0" fontId="42" fillId="6" borderId="145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11" fillId="9" borderId="199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22" fillId="4" borderId="25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18" fillId="9" borderId="208" applyAlignment="1" pivotButton="0" quotePrefix="0" xfId="3">
      <alignment vertical="center"/>
    </xf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02" pivotButton="0" quotePrefix="0" xfId="0"/>
    <xf numFmtId="0" fontId="0" fillId="0" borderId="203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0" borderId="207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9" pivotButton="0" quotePrefix="0" xfId="0"/>
    <xf numFmtId="0" fontId="23" fillId="11" borderId="12" applyAlignment="1" pivotButton="0" quotePrefix="0" xfId="3">
      <alignment vertical="center"/>
    </xf>
    <xf numFmtId="0" fontId="24" fillId="14" borderId="22" applyAlignment="1" pivotButton="0" quotePrefix="0" xfId="3">
      <alignment horizontal="center" vertical="center"/>
    </xf>
    <xf numFmtId="0" fontId="0" fillId="0" borderId="120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13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16" applyAlignment="1" pivotButton="0" quotePrefix="0" xfId="3">
      <alignment horizontal="center"/>
    </xf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15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12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14" pivotButton="0" quotePrefix="0" xfId="0"/>
    <xf numFmtId="0" fontId="0" fillId="0" borderId="131" pivotButton="0" quotePrefix="0" xfId="0"/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83" applyAlignment="1" pivotButton="0" quotePrefix="0" xfId="4">
      <alignment horizontal="center" vertical="center" wrapText="1"/>
    </xf>
    <xf numFmtId="0" fontId="0" fillId="0" borderId="185" pivotButton="0" quotePrefix="0" xfId="0"/>
    <xf numFmtId="0" fontId="126" fillId="55" borderId="183" applyAlignment="1" pivotButton="0" quotePrefix="0" xfId="4">
      <alignment vertical="center" wrapText="1"/>
    </xf>
    <xf numFmtId="0" fontId="0" fillId="0" borderId="184" pivotButton="0" quotePrefix="0" xfId="0"/>
    <xf numFmtId="0" fontId="127" fillId="54" borderId="175" applyAlignment="1" pivotButton="0" quotePrefix="0" xfId="4">
      <alignment horizontal="left" vertical="center" wrapText="1"/>
    </xf>
    <xf numFmtId="0" fontId="40" fillId="25" borderId="180" applyAlignment="1" pivotButton="0" quotePrefix="0" xfId="4">
      <alignment horizontal="left" vertical="center"/>
    </xf>
    <xf numFmtId="0" fontId="0" fillId="0" borderId="180" pivotButton="0" quotePrefix="0" xfId="0"/>
    <xf numFmtId="0" fontId="127" fillId="54" borderId="217" applyAlignment="1" pivotButton="0" quotePrefix="0" xfId="4">
      <alignment vertical="center" wrapText="1"/>
    </xf>
    <xf numFmtId="0" fontId="0" fillId="0" borderId="182" pivotButton="0" quotePrefix="0" xfId="0"/>
    <xf numFmtId="0" fontId="126" fillId="54" borderId="183" applyAlignment="1" pivotButton="0" quotePrefix="0" xfId="4">
      <alignment vertical="center" wrapText="1"/>
    </xf>
    <xf numFmtId="0" fontId="0" fillId="0" borderId="186" pivotButton="0" quotePrefix="0" xfId="0"/>
    <xf numFmtId="0" fontId="0" fillId="0" borderId="187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127" fillId="54" borderId="173" applyAlignment="1" pivotButton="0" quotePrefix="0" xfId="4">
      <alignment horizontal="left" vertical="center" wrapText="1"/>
    </xf>
    <xf numFmtId="0" fontId="0" fillId="0" borderId="181" pivotButton="0" quotePrefix="0" xfId="0"/>
    <xf numFmtId="0" fontId="126" fillId="55" borderId="183" applyAlignment="1" pivotButton="0" quotePrefix="0" xfId="4">
      <alignment horizontal="center" vertical="center" wrapText="1"/>
    </xf>
    <xf numFmtId="0" fontId="127" fillId="54" borderId="217" applyAlignment="1" pivotButton="0" quotePrefix="0" xfId="4">
      <alignment horizontal="left" vertical="center" wrapText="1"/>
    </xf>
    <xf numFmtId="0" fontId="126" fillId="55" borderId="183" applyAlignment="1" pivotButton="0" quotePrefix="0" xfId="4">
      <alignment horizontal="left" vertical="center" wrapText="1"/>
    </xf>
    <xf numFmtId="0" fontId="123" fillId="28" borderId="217" applyAlignment="1" pivotButton="0" quotePrefix="0" xfId="4">
      <alignment horizontal="center" vertical="center"/>
    </xf>
    <xf numFmtId="0" fontId="0" fillId="0" borderId="193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75" applyAlignment="1" pivotButton="0" quotePrefix="0" xfId="4">
      <alignment vertical="center" wrapText="1"/>
    </xf>
    <xf numFmtId="0" fontId="127" fillId="54" borderId="183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1" applyAlignment="1" pivotButton="0" quotePrefix="0" xfId="4">
      <alignment horizontal="center" vertical="center"/>
    </xf>
    <xf numFmtId="0" fontId="0" fillId="0" borderId="179" pivotButton="0" quotePrefix="0" xfId="0"/>
    <xf numFmtId="0" fontId="127" fillId="55" borderId="183" applyAlignment="1" pivotButton="0" quotePrefix="0" xfId="4">
      <alignment horizontal="center" wrapText="1"/>
    </xf>
    <xf numFmtId="0" fontId="73" fillId="41" borderId="183" applyAlignment="1" pivotButton="0" quotePrefix="0" xfId="4">
      <alignment horizontal="center" vertical="center" wrapText="1"/>
    </xf>
    <xf numFmtId="0" fontId="122" fillId="28" borderId="217" applyAlignment="1" pivotButton="0" quotePrefix="0" xfId="4">
      <alignment horizontal="center" vertical="center" wrapText="1"/>
    </xf>
    <xf numFmtId="0" fontId="126" fillId="55" borderId="219" applyAlignment="1" pivotButton="0" quotePrefix="0" xfId="4">
      <alignment horizontal="center" vertical="center"/>
    </xf>
    <xf numFmtId="0" fontId="0" fillId="0" borderId="174" pivotButton="0" quotePrefix="0" xfId="0"/>
    <xf numFmtId="0" fontId="118" fillId="28" borderId="177" applyAlignment="1" pivotButton="0" quotePrefix="0" xfId="4">
      <alignment horizontal="center" vertical="center"/>
    </xf>
    <xf numFmtId="0" fontId="0" fillId="0" borderId="177" pivotButton="0" quotePrefix="0" xfId="0"/>
    <xf numFmtId="0" fontId="3" fillId="0" borderId="183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18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6" fillId="55" borderId="192" applyAlignment="1" pivotButton="0" quotePrefix="0" xfId="4">
      <alignment vertical="center" wrapText="1"/>
    </xf>
    <xf numFmtId="0" fontId="0" fillId="0" borderId="222" pivotButton="0" quotePrefix="0" xfId="0"/>
    <xf numFmtId="0" fontId="0" fillId="0" borderId="223" pivotButton="0" quotePrefix="0" xfId="0"/>
    <xf numFmtId="0" fontId="3" fillId="0" borderId="194" pivotButton="0" quotePrefix="0" xfId="4"/>
    <xf numFmtId="0" fontId="0" fillId="0" borderId="194" pivotButton="0" quotePrefix="0" xfId="0"/>
    <xf numFmtId="0" fontId="126" fillId="55" borderId="217" applyAlignment="1" pivotButton="0" quotePrefix="0" xfId="4">
      <alignment vertical="center" wrapText="1"/>
    </xf>
    <xf numFmtId="0" fontId="127" fillId="54" borderId="183" applyAlignment="1" pivotButton="0" quotePrefix="0" xfId="4">
      <alignment horizontal="left" vertical="center" wrapText="1"/>
    </xf>
    <xf numFmtId="0" fontId="128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126" fillId="55" borderId="220" applyAlignment="1" pivotButton="0" quotePrefix="0" xfId="4">
      <alignment horizontal="center" vertical="center"/>
    </xf>
    <xf numFmtId="0" fontId="0" fillId="0" borderId="176" pivotButton="0" quotePrefix="0" xfId="0"/>
    <xf numFmtId="166" fontId="126" fillId="55" borderId="183" applyAlignment="1" pivotButton="0" quotePrefix="0" xfId="4">
      <alignment vertical="center" wrapText="1"/>
    </xf>
    <xf numFmtId="0" fontId="126" fillId="55" borderId="217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04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33" pivotButton="0" quotePrefix="0" xfId="0"/>
    <xf numFmtId="0" fontId="0" fillId="0" borderId="234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35" pivotButton="0" quotePrefix="0" xfId="0"/>
    <xf numFmtId="0" fontId="0" fillId="0" borderId="236" pivotButton="0" quotePrefix="0" xfId="0"/>
    <xf numFmtId="0" fontId="59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37" fillId="0" borderId="65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57" fillId="3" borderId="5" applyAlignment="1" pivotButton="0" quotePrefix="0" xfId="1">
      <alignment horizontal="center" vertical="center"/>
    </xf>
    <xf numFmtId="0" fontId="0" fillId="0" borderId="8" pivotButton="0" quotePrefix="0" xfId="0"/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25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2" fillId="23" borderId="29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0" pivotButton="0" quotePrefix="0" xfId="0"/>
    <xf numFmtId="0" fontId="0" fillId="0" borderId="232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59" fillId="3" borderId="6" applyAlignment="1" pivotButton="0" quotePrefix="0" xfId="1">
      <alignment horizontal="center" vertical="center"/>
    </xf>
    <xf numFmtId="0" fontId="77" fillId="11" borderId="100" applyAlignment="1" pivotButton="0" quotePrefix="0" xfId="3">
      <alignment horizontal="left" vertical="center"/>
    </xf>
    <xf numFmtId="0" fontId="57" fillId="3" borderId="226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26" applyAlignment="1" pivotButton="0" quotePrefix="0" xfId="1">
      <alignment horizontal="center" vertical="center" wrapText="1"/>
    </xf>
    <xf numFmtId="0" fontId="41" fillId="21" borderId="2" applyAlignment="1" pivotButton="0" quotePrefix="0" xfId="1">
      <alignment horizontal="center" vertical="center"/>
    </xf>
    <xf numFmtId="0" fontId="0" fillId="0" borderId="231" pivotButton="0" quotePrefix="0" xfId="0"/>
    <xf numFmtId="0" fontId="103" fillId="3" borderId="22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8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24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9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57" fillId="3" borderId="227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297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39" pivotButton="0" quotePrefix="0" xfId="0"/>
    <xf numFmtId="0" fontId="0" fillId="0" borderId="240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29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37" pivotButton="0" quotePrefix="0" xfId="0"/>
    <xf numFmtId="0" fontId="0" fillId="0" borderId="238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54" fillId="21" borderId="304" applyAlignment="1" pivotButton="0" quotePrefix="0" xfId="0">
      <alignment horizontal="center" vertical="center" wrapText="1"/>
    </xf>
    <xf numFmtId="0" fontId="0" fillId="0" borderId="13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0" fontId="47" fillId="0" borderId="30" applyAlignment="1" pivotButton="0" quotePrefix="0" xfId="0">
      <alignment horizontal="left" vertical="center" wrapText="1"/>
    </xf>
    <xf numFmtId="165" fontId="46" fillId="16" borderId="255" applyAlignment="1" pivotButton="0" quotePrefix="0" xfId="0">
      <alignment horizontal="center" vertical="center" wrapText="1"/>
    </xf>
    <xf numFmtId="0" fontId="0" fillId="0" borderId="350" pivotButton="0" quotePrefix="0" xfId="0"/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4" fillId="21" borderId="345" applyAlignment="1" pivotButton="0" quotePrefix="0" xfId="0">
      <alignment horizontal="center" vertical="center" wrapText="1"/>
    </xf>
    <xf numFmtId="0" fontId="0" fillId="0" borderId="346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40" applyAlignment="1" pivotButton="0" quotePrefix="0" xfId="0">
      <alignment horizontal="center" vertical="center" wrapText="1"/>
    </xf>
    <xf numFmtId="0" fontId="54" fillId="21" borderId="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3" fillId="22" borderId="256" applyAlignment="1" pivotButton="0" quotePrefix="0" xfId="0">
      <alignment horizontal="center" vertical="center" wrapText="1"/>
    </xf>
    <xf numFmtId="0" fontId="0" fillId="0" borderId="256" pivotButton="0" quotePrefix="0" xfId="0"/>
    <xf numFmtId="167" fontId="47" fillId="0" borderId="36" applyAlignment="1" pivotButton="0" quotePrefix="0" xfId="0">
      <alignment vertical="center" wrapText="1"/>
    </xf>
    <xf numFmtId="0" fontId="0" fillId="0" borderId="37" pivotButton="0" quotePrefix="0" xfId="0"/>
    <xf numFmtId="0" fontId="45" fillId="0" borderId="38" applyAlignment="1" pivotButton="0" quotePrefix="0" xfId="0">
      <alignment vertical="center" wrapText="1"/>
    </xf>
    <xf numFmtId="0" fontId="53" fillId="29" borderId="38" applyAlignment="1" pivotButton="0" quotePrefix="0" xfId="0">
      <alignment horizontal="left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2" applyAlignment="1" pivotButton="0" quotePrefix="0" xfId="0">
      <alignment horizontal="center" vertical="center" wrapText="1"/>
    </xf>
    <xf numFmtId="0" fontId="47" fillId="0" borderId="30" applyAlignment="1" pivotButton="0" quotePrefix="0" xfId="0">
      <alignment vertical="center" wrapText="1"/>
    </xf>
    <xf numFmtId="0" fontId="45" fillId="0" borderId="298" applyAlignment="1" pivotButton="0" quotePrefix="0" xfId="0">
      <alignment horizontal="center" vertical="center" wrapText="1"/>
    </xf>
    <xf numFmtId="0" fontId="0" fillId="0" borderId="279" pivotButton="0" quotePrefix="0" xfId="0"/>
    <xf numFmtId="167" fontId="45" fillId="0" borderId="298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horizontal="center" vertical="center" wrapText="1"/>
    </xf>
    <xf numFmtId="0" fontId="45" fillId="0" borderId="30" applyAlignment="1" pivotButton="0" quotePrefix="0" xfId="0">
      <alignment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165" fontId="37" fillId="16" borderId="352" applyAlignment="1" pivotButton="0" quotePrefix="0" xfId="2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0" fillId="0" borderId="0" pivotButton="0" quotePrefix="0" xfId="0"/>
    <xf numFmtId="0" fontId="45" fillId="0" borderId="91" applyAlignment="1" pivotButton="0" quotePrefix="0" xfId="0">
      <alignment horizontal="center" vertical="center" wrapText="1"/>
    </xf>
    <xf numFmtId="0" fontId="0" fillId="0" borderId="43" pivotButton="0" quotePrefix="0" xfId="0"/>
    <xf numFmtId="0" fontId="48" fillId="3" borderId="353" applyAlignment="1" pivotButton="0" quotePrefix="0" xfId="0">
      <alignment horizontal="center" vertical="center" wrapText="1"/>
    </xf>
    <xf numFmtId="0" fontId="0" fillId="0" borderId="334" pivotButton="0" quotePrefix="0" xfId="0"/>
    <xf numFmtId="0" fontId="0" fillId="16" borderId="32" pivotButton="0" quotePrefix="0" xfId="0"/>
    <xf numFmtId="0" fontId="88" fillId="24" borderId="357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40" pivotButton="0" quotePrefix="0" xfId="0"/>
    <xf numFmtId="0" fontId="0" fillId="0" borderId="118" pivotButton="0" quotePrefix="0" xfId="0"/>
    <xf numFmtId="0" fontId="52" fillId="3" borderId="39" applyAlignment="1" pivotButton="0" quotePrefix="0" xfId="2">
      <alignment horizontal="center" vertical="center" wrapText="1"/>
    </xf>
    <xf numFmtId="0" fontId="52" fillId="27" borderId="29" applyAlignment="1" pivotButton="0" quotePrefix="0" xfId="2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52" fillId="3" borderId="39" applyAlignment="1" pivotButton="0" quotePrefix="0" xfId="2">
      <alignment vertical="center" wrapText="1"/>
    </xf>
    <xf numFmtId="0" fontId="63" fillId="30" borderId="254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52" applyAlignment="1" pivotButton="0" quotePrefix="0" xfId="0">
      <alignment horizontal="center" vertical="center" wrapText="1"/>
    </xf>
    <xf numFmtId="0" fontId="0" fillId="0" borderId="252" pivotButton="0" quotePrefix="0" xfId="0"/>
    <xf numFmtId="0" fontId="60" fillId="3" borderId="347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0" fontId="60" fillId="3" borderId="253" applyAlignment="1" pivotButton="0" quotePrefix="0" xfId="0">
      <alignment horizontal="center" vertical="center" wrapText="1"/>
    </xf>
    <xf numFmtId="0" fontId="0" fillId="0" borderId="348" pivotButton="0" quotePrefix="0" xfId="0"/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0" applyAlignment="1" pivotButton="0" quotePrefix="0" xfId="0">
      <alignment horizontal="center" vertical="center" wrapText="1"/>
    </xf>
    <xf numFmtId="0" fontId="67" fillId="0" borderId="30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167" fontId="47" fillId="0" borderId="40" applyAlignment="1" pivotButton="0" quotePrefix="0" xfId="0">
      <alignment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0" fontId="45" fillId="4" borderId="100" applyAlignment="1" pivotButton="0" quotePrefix="0" xfId="3">
      <alignment horizontal="center" vertical="center"/>
    </xf>
    <xf numFmtId="0" fontId="45" fillId="0" borderId="343" applyAlignment="1" pivotButton="0" quotePrefix="0" xfId="0">
      <alignment horizontal="center" vertical="center" wrapText="1"/>
    </xf>
    <xf numFmtId="0" fontId="0" fillId="0" borderId="344" pivotButton="0" quotePrefix="0" xfId="0"/>
    <xf numFmtId="0" fontId="45" fillId="0" borderId="38" applyAlignment="1" pivotButton="0" quotePrefix="0" xfId="0">
      <alignment horizontal="center" vertical="center" wrapText="1"/>
    </xf>
    <xf numFmtId="0" fontId="60" fillId="58" borderId="91" applyAlignment="1" pivotButton="0" quotePrefix="0" xfId="0">
      <alignment horizontal="center" vertical="center" wrapText="1"/>
    </xf>
    <xf numFmtId="167" fontId="45" fillId="0" borderId="298" applyAlignment="1" pivotButton="0" quotePrefix="0" xfId="0">
      <alignment vertical="center" wrapText="1"/>
    </xf>
    <xf numFmtId="0" fontId="54" fillId="21" borderId="300" applyAlignment="1" pivotButton="0" quotePrefix="0" xfId="0">
      <alignment horizontal="center" vertical="center" wrapText="1"/>
    </xf>
    <xf numFmtId="0" fontId="0" fillId="17" borderId="32" pivotButton="0" quotePrefix="0" xfId="0"/>
    <xf numFmtId="167" fontId="45" fillId="0" borderId="299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0" fontId="48" fillId="15" borderId="307" applyAlignment="1" pivotButton="0" quotePrefix="0" xfId="0">
      <alignment horizontal="center" vertical="center" wrapText="1"/>
    </xf>
    <xf numFmtId="0" fontId="0" fillId="0" borderId="306" pivotButton="0" quotePrefix="0" xfId="0"/>
    <xf numFmtId="0" fontId="51" fillId="0" borderId="91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45" fillId="0" borderId="355" applyAlignment="1" pivotButton="0" quotePrefix="0" xfId="0">
      <alignment horizontal="center" vertical="center" wrapText="1"/>
    </xf>
    <xf numFmtId="0" fontId="0" fillId="0" borderId="356" pivotButton="0" quotePrefix="0" xfId="0"/>
    <xf numFmtId="0" fontId="45" fillId="0" borderId="298" applyAlignment="1" pivotButton="0" quotePrefix="0" xfId="0">
      <alignment vertical="center" wrapText="1"/>
    </xf>
    <xf numFmtId="0" fontId="0" fillId="0" borderId="277" pivotButton="0" quotePrefix="0" xfId="0"/>
    <xf numFmtId="167" fontId="50" fillId="16" borderId="108" applyAlignment="1" pivotButton="0" quotePrefix="0" xfId="0">
      <alignment horizontal="center" vertical="center" wrapText="1"/>
    </xf>
    <xf numFmtId="167" fontId="48" fillId="3" borderId="299" applyAlignment="1" pivotButton="0" quotePrefix="0" xfId="0">
      <alignment vertical="center" wrapText="1"/>
    </xf>
    <xf numFmtId="0" fontId="63" fillId="30" borderId="351" applyAlignment="1" pivotButton="0" quotePrefix="0" xfId="0">
      <alignment horizontal="center" vertical="center" wrapText="1"/>
    </xf>
    <xf numFmtId="0" fontId="0" fillId="0" borderId="328" pivotButton="0" quotePrefix="0" xfId="0"/>
    <xf numFmtId="167" fontId="47" fillId="0" borderId="40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66" fillId="20" borderId="302" applyAlignment="1" pivotButton="0" quotePrefix="0" xfId="0">
      <alignment horizontal="center" vertical="center" wrapText="1"/>
    </xf>
    <xf numFmtId="0" fontId="67" fillId="0" borderId="304" applyAlignment="1" pivotButton="0" quotePrefix="0" xfId="0">
      <alignment horizontal="center" vertical="center" wrapText="1"/>
    </xf>
    <xf numFmtId="0" fontId="56" fillId="25" borderId="324" applyAlignment="1" pivotButton="0" quotePrefix="0" xfId="1">
      <alignment horizontal="center" vertical="center"/>
    </xf>
    <xf numFmtId="0" fontId="53" fillId="29" borderId="342" applyAlignment="1" pivotButton="0" quotePrefix="0" xfId="0">
      <alignment horizontal="left" vertical="center" wrapText="1"/>
    </xf>
    <xf numFmtId="0" fontId="63" fillId="22" borderId="251" applyAlignment="1" pivotButton="0" quotePrefix="0" xfId="0">
      <alignment horizontal="center" vertical="center" wrapText="1"/>
    </xf>
    <xf numFmtId="0" fontId="0" fillId="0" borderId="329" pivotButton="0" quotePrefix="0" xfId="0"/>
    <xf numFmtId="0" fontId="53" fillId="30" borderId="108" applyAlignment="1" pivotButton="0" quotePrefix="0" xfId="0">
      <alignment horizontal="center" vertical="center" wrapText="1"/>
    </xf>
    <xf numFmtId="0" fontId="48" fillId="3" borderId="30" applyAlignment="1" pivotButton="0" quotePrefix="0" xfId="0">
      <alignment horizontal="center" vertical="center" wrapText="1"/>
    </xf>
    <xf numFmtId="165" fontId="46" fillId="16" borderId="349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45" fillId="0" borderId="117" applyAlignment="1" pivotButton="0" quotePrefix="0" xfId="0">
      <alignment vertical="center" wrapText="1"/>
    </xf>
    <xf numFmtId="0" fontId="63" fillId="22" borderId="333" applyAlignment="1" pivotButton="0" quotePrefix="0" xfId="0">
      <alignment horizontal="center" vertical="center" wrapText="1"/>
    </xf>
    <xf numFmtId="0" fontId="48" fillId="34" borderId="341" applyAlignment="1" pivotButton="0" quotePrefix="0" xfId="0">
      <alignment horizontal="center" vertical="center" wrapText="1"/>
    </xf>
    <xf numFmtId="0" fontId="88" fillId="24" borderId="301" applyAlignment="1" pivotButton="0" quotePrefix="0" xfId="0">
      <alignment horizontal="center" vertical="center" wrapText="1"/>
    </xf>
    <xf numFmtId="0" fontId="48" fillId="15" borderId="303" applyAlignment="1" pivotButton="0" quotePrefix="0" xfId="0">
      <alignment horizontal="center" vertical="center" wrapText="1"/>
    </xf>
    <xf numFmtId="0" fontId="45" fillId="0" borderId="299" applyAlignment="1" pivotButton="0" quotePrefix="0" xfId="0">
      <alignment horizontal="center" vertical="center" wrapText="1"/>
    </xf>
    <xf numFmtId="0" fontId="66" fillId="20" borderId="354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48" fillId="15" borderId="360" applyAlignment="1" pivotButton="0" quotePrefix="0" xfId="0">
      <alignment horizontal="center" vertical="center" wrapText="1"/>
    </xf>
    <xf numFmtId="0" fontId="45" fillId="0" borderId="300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89" fillId="14" borderId="302" applyAlignment="1" pivotButton="0" quotePrefix="0" xfId="3">
      <alignment horizontal="center" vertical="center"/>
    </xf>
    <xf numFmtId="0" fontId="54" fillId="21" borderId="358" applyAlignment="1" pivotButton="0" quotePrefix="0" xfId="0">
      <alignment horizontal="center" vertical="center" wrapText="1"/>
    </xf>
    <xf numFmtId="0" fontId="0" fillId="0" borderId="359" pivotButton="0" quotePrefix="0" xfId="0"/>
    <xf numFmtId="0" fontId="48" fillId="15" borderId="91" applyAlignment="1" pivotButton="0" quotePrefix="0" xfId="0">
      <alignment horizontal="center" vertical="center" wrapText="1"/>
    </xf>
    <xf numFmtId="0" fontId="0" fillId="0" borderId="0" pivotButton="0" quotePrefix="0" xfId="2"/>
    <xf numFmtId="0" fontId="35" fillId="0" borderId="36" applyAlignment="1" pivotButton="0" quotePrefix="0" xfId="2">
      <alignment horizontal="left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327" pivotButton="0" quotePrefix="0" xfId="0"/>
    <xf numFmtId="165" fontId="55" fillId="16" borderId="91" applyAlignment="1" pivotButton="0" quotePrefix="0" xfId="2">
      <alignment horizontal="center" vertical="center" wrapText="1"/>
    </xf>
    <xf numFmtId="0" fontId="35" fillId="0" borderId="38" applyAlignment="1" pivotButton="0" quotePrefix="0" xfId="2">
      <alignment horizontal="left" vertical="center" wrapText="1"/>
    </xf>
    <xf numFmtId="0" fontId="52" fillId="0" borderId="29" applyAlignment="1" pivotButton="0" quotePrefix="0" xfId="2">
      <alignment horizontal="left" vertical="center"/>
    </xf>
    <xf numFmtId="0" fontId="40" fillId="21" borderId="324" applyAlignment="1" pivotButton="0" quotePrefix="0" xfId="2">
      <alignment horizontal="center" vertical="center" wrapText="1"/>
    </xf>
    <xf numFmtId="0" fontId="0" fillId="0" borderId="33" pivotButton="0" quotePrefix="0" xfId="2"/>
    <xf numFmtId="0" fontId="5" fillId="0" borderId="29" applyAlignment="1" pivotButton="0" quotePrefix="0" xfId="2">
      <alignment horizontal="center" vertical="center" wrapText="1"/>
    </xf>
    <xf numFmtId="0" fontId="5" fillId="0" borderId="38" applyAlignment="1" pivotButton="0" quotePrefix="0" xfId="2">
      <alignment vertical="center" wrapText="1"/>
    </xf>
    <xf numFmtId="0" fontId="59" fillId="15" borderId="4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35" fillId="0" borderId="331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300" applyAlignment="1" pivotButton="0" quotePrefix="0" xfId="2">
      <alignment horizontal="center" vertical="center" wrapText="1"/>
    </xf>
    <xf numFmtId="0" fontId="0" fillId="0" borderId="333" pivotButton="0" quotePrefix="0" xfId="0"/>
    <xf numFmtId="0" fontId="5" fillId="0" borderId="29" applyAlignment="1" pivotButton="0" quotePrefix="0" xfId="2">
      <alignment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22" borderId="32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40" fillId="21" borderId="300" applyAlignment="1" pivotButton="0" quotePrefix="0" xfId="2">
      <alignment horizontal="center" vertical="center" wrapText="1"/>
    </xf>
    <xf numFmtId="0" fontId="38" fillId="3" borderId="332" applyAlignment="1" pivotButton="0" quotePrefix="0" xfId="2">
      <alignment horizontal="center" vertical="center" wrapText="1"/>
    </xf>
    <xf numFmtId="0" fontId="0" fillId="0" borderId="275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29" applyAlignment="1" pivotButton="0" quotePrefix="0" xfId="2">
      <alignment horizontal="center" vertical="center" wrapText="1"/>
    </xf>
    <xf numFmtId="0" fontId="28" fillId="20" borderId="300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57" fillId="3" borderId="325" applyAlignment="1" pivotButton="0" quotePrefix="0" xfId="2">
      <alignment horizontal="center" vertical="center" wrapText="1"/>
    </xf>
    <xf numFmtId="0" fontId="28" fillId="20" borderId="208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05" pivotButton="0" quotePrefix="0" xfId="0"/>
    <xf numFmtId="0" fontId="91" fillId="14" borderId="336" applyAlignment="1" pivotButton="0" quotePrefix="0" xfId="3">
      <alignment horizontal="center" vertical="center"/>
    </xf>
    <xf numFmtId="0" fontId="0" fillId="0" borderId="338" pivotButton="0" quotePrefix="0" xfId="0"/>
    <xf numFmtId="165" fontId="55" fillId="16" borderId="0" applyAlignment="1" pivotButton="0" quotePrefix="0" xfId="2">
      <alignment horizontal="center" vertical="center" wrapText="1"/>
    </xf>
    <xf numFmtId="0" fontId="52" fillId="30" borderId="328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56" fillId="25" borderId="199" applyAlignment="1" pivotButton="0" quotePrefix="0" xfId="1">
      <alignment horizontal="center" vertical="center"/>
    </xf>
    <xf numFmtId="0" fontId="52" fillId="30" borderId="25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vertical="center" wrapText="1"/>
    </xf>
    <xf numFmtId="0" fontId="32" fillId="5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78" applyAlignment="1" pivotButton="0" quotePrefix="0" xfId="2">
      <alignment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76" pivotButton="0" quotePrefix="0" xfId="2"/>
    <xf numFmtId="167" fontId="38" fillId="3" borderId="117" applyAlignment="1" pivotButton="0" quotePrefix="0" xfId="2">
      <alignment horizontal="center" vertical="center" wrapText="1"/>
    </xf>
    <xf numFmtId="0" fontId="0" fillId="0" borderId="340" pivotButton="0" quotePrefix="0" xfId="0"/>
    <xf numFmtId="167" fontId="57" fillId="3" borderId="91" applyAlignment="1" pivotButton="0" quotePrefix="0" xfId="2">
      <alignment horizontal="center" vertical="center" wrapText="1"/>
    </xf>
    <xf numFmtId="0" fontId="28" fillId="20" borderId="41" applyAlignment="1" pivotButton="0" quotePrefix="0" xfId="2">
      <alignment horizontal="left" vertical="center" wrapText="1"/>
    </xf>
    <xf numFmtId="0" fontId="5" fillId="0" borderId="208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2" fillId="0" borderId="341" applyAlignment="1" pivotButton="0" quotePrefix="0" xfId="2">
      <alignment horizontal="left" vertical="center"/>
    </xf>
    <xf numFmtId="0" fontId="5" fillId="0" borderId="277" applyAlignment="1" pivotButton="0" quotePrefix="0" xfId="2">
      <alignment vertical="center" wrapText="1"/>
    </xf>
    <xf numFmtId="0" fontId="59" fillId="22" borderId="38" applyAlignment="1" pivotButton="0" quotePrefix="0" xfId="2">
      <alignment horizontal="center" vertical="center" wrapText="1"/>
    </xf>
    <xf numFmtId="0" fontId="5" fillId="0" borderId="302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0" fontId="45" fillId="4" borderId="101" applyAlignment="1" pivotButton="0" quotePrefix="0" xfId="3">
      <alignment horizontal="center" vertical="center"/>
    </xf>
    <xf numFmtId="0" fontId="52" fillId="15" borderId="38" applyAlignment="1" pivotButton="0" quotePrefix="0" xfId="2">
      <alignment horizontal="center" vertical="center" wrapText="1"/>
    </xf>
    <xf numFmtId="0" fontId="38" fillId="3" borderId="275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0" fillId="0" borderId="337" pivotButton="0" quotePrefix="0" xfId="0"/>
    <xf numFmtId="0" fontId="0" fillId="0" borderId="339" pivotButton="0" quotePrefix="0" xfId="0"/>
    <xf numFmtId="165" fontId="55" fillId="16" borderId="40" applyAlignment="1" pivotButton="0" quotePrefix="0" xfId="2">
      <alignment horizontal="center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5" applyAlignment="1" pivotButton="0" quotePrefix="0" xfId="2">
      <alignment horizontal="center" vertical="center" wrapText="1"/>
    </xf>
    <xf numFmtId="0" fontId="0" fillId="0" borderId="330" pivotButton="0" quotePrefix="0" xfId="0"/>
    <xf numFmtId="0" fontId="28" fillId="20" borderId="326" applyAlignment="1" pivotButton="0" quotePrefix="0" xfId="2">
      <alignment horizontal="left" vertical="center" wrapText="1"/>
    </xf>
    <xf numFmtId="0" fontId="5" fillId="0" borderId="335" applyAlignment="1" pivotButton="0" quotePrefix="0" xfId="2">
      <alignment vertical="center" wrapText="1"/>
    </xf>
    <xf numFmtId="0" fontId="39" fillId="3" borderId="302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73" fillId="28" borderId="165" applyAlignment="1" pivotButton="0" quotePrefix="0" xfId="0">
      <alignment horizontal="center" vertical="center"/>
    </xf>
    <xf numFmtId="0" fontId="163" fillId="28" borderId="136" applyAlignment="1" pivotButton="0" quotePrefix="0" xfId="0">
      <alignment horizontal="center" vertical="center"/>
    </xf>
    <xf numFmtId="0" fontId="87" fillId="5" borderId="366" applyAlignment="1" pivotButton="0" quotePrefix="0" xfId="0">
      <alignment horizontal="center" vertical="center"/>
    </xf>
    <xf numFmtId="0" fontId="30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5" fillId="16" borderId="152" applyAlignment="1" pivotButton="0" quotePrefix="0" xfId="0">
      <alignment horizontal="center" vertical="center"/>
    </xf>
    <xf numFmtId="0" fontId="86" fillId="5" borderId="32" applyAlignment="1" pivotButton="0" quotePrefix="0" xfId="0">
      <alignment horizontal="center" vertical="center"/>
    </xf>
    <xf numFmtId="0" fontId="30" fillId="20" borderId="29" applyAlignment="1" pivotButton="0" quotePrefix="0" xfId="0">
      <alignment vertical="center"/>
    </xf>
    <xf numFmtId="0" fontId="5" fillId="16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157" fillId="26" borderId="29" applyAlignment="1" pivotButton="0" quotePrefix="0" xfId="0">
      <alignment horizontal="left" vertical="center"/>
    </xf>
    <xf numFmtId="0" fontId="87" fillId="49" borderId="28" applyAlignment="1" pivotButton="0" quotePrefix="0" xfId="0">
      <alignment horizontal="center" vertical="center"/>
    </xf>
    <xf numFmtId="0" fontId="5" fillId="0" borderId="0" pivotButton="0" quotePrefix="0" xfId="0"/>
    <xf numFmtId="0" fontId="52" fillId="27" borderId="1" applyAlignment="1" pivotButton="0" quotePrefix="0" xfId="1">
      <alignment horizontal="center" vertical="center"/>
    </xf>
    <xf numFmtId="0" fontId="52" fillId="0" borderId="58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98" fillId="28" borderId="370" applyAlignment="1" pivotButton="0" quotePrefix="0" xfId="0">
      <alignment horizontal="center" vertical="center"/>
    </xf>
    <xf numFmtId="0" fontId="98" fillId="28" borderId="0" applyAlignment="1" pivotButton="0" quotePrefix="0" xfId="0">
      <alignment horizontal="center" vertical="center"/>
    </xf>
    <xf numFmtId="0" fontId="28" fillId="20" borderId="371" applyAlignment="1" pivotButton="0" quotePrefix="0" xfId="0">
      <alignment vertical="center"/>
    </xf>
    <xf numFmtId="0" fontId="0" fillId="0" borderId="309" pivotButton="0" quotePrefix="0" xfId="0"/>
    <xf numFmtId="0" fontId="66" fillId="25" borderId="376" applyAlignment="1" pivotButton="0" quotePrefix="0" xfId="2">
      <alignment horizont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70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4" fillId="25" borderId="368" applyAlignment="1" pivotButton="0" quotePrefix="0" xfId="0">
      <alignment horizontal="center" vertical="center"/>
    </xf>
    <xf numFmtId="0" fontId="164" fillId="25" borderId="372" applyAlignment="1" pivotButton="0" quotePrefix="0" xfId="0">
      <alignment horizontal="center" vertical="center"/>
    </xf>
    <xf numFmtId="0" fontId="164" fillId="25" borderId="373" applyAlignment="1" pivotButton="0" quotePrefix="0" xfId="0">
      <alignment horizontal="center" vertical="center"/>
    </xf>
    <xf numFmtId="0" fontId="165" fillId="28" borderId="369" applyAlignment="1" pivotButton="0" quotePrefix="0" xfId="0">
      <alignment horizontal="center" vertical="center"/>
    </xf>
    <xf numFmtId="0" fontId="166" fillId="28" borderId="369" applyAlignment="1" pivotButton="0" quotePrefix="0" xfId="0">
      <alignment horizontal="center" vertical="center"/>
    </xf>
    <xf numFmtId="0" fontId="165" fillId="28" borderId="374" applyAlignment="1" pivotButton="0" quotePrefix="0" xfId="0">
      <alignment horizontal="center" vertical="center"/>
    </xf>
    <xf numFmtId="0" fontId="165" fillId="28" borderId="375" applyAlignment="1" pivotButton="0" quotePrefix="0" xfId="0">
      <alignment horizontal="center" vertical="center"/>
    </xf>
    <xf numFmtId="0" fontId="149" fillId="0" borderId="0" applyAlignment="1" pivotButton="0" quotePrefix="0" xfId="0">
      <alignment vertical="center"/>
    </xf>
    <xf numFmtId="0" fontId="164" fillId="28" borderId="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7" fillId="28" borderId="370" applyAlignment="1" pivotButton="0" quotePrefix="0" xfId="0">
      <alignment horizontal="center" vertical="center"/>
    </xf>
    <xf numFmtId="0" fontId="167" fillId="28" borderId="378" applyAlignment="1" pivotButton="0" quotePrefix="0" xfId="0">
      <alignment horizontal="center" vertical="center"/>
    </xf>
    <xf numFmtId="0" fontId="167" fillId="28" borderId="377" applyAlignment="1" pivotButton="0" quotePrefix="0" xfId="0">
      <alignment horizontal="center" vertical="center"/>
    </xf>
    <xf numFmtId="0" fontId="168" fillId="28" borderId="370" applyAlignment="1" pivotButton="0" quotePrefix="0" xfId="0">
      <alignment vertical="center"/>
    </xf>
    <xf numFmtId="0" fontId="29" fillId="16" borderId="164" applyAlignment="1" pivotButton="0" quotePrefix="0" xfId="0">
      <alignment horizontal="center" vertical="center"/>
    </xf>
    <xf numFmtId="0" fontId="0" fillId="0" borderId="373" pivotButton="0" quotePrefix="0" xfId="0"/>
    <xf numFmtId="0" fontId="0" fillId="0" borderId="370" pivotButton="0" quotePrefix="0" xfId="0"/>
    <xf numFmtId="0" fontId="0" fillId="0" borderId="377" pivotButton="0" quotePrefix="0" xfId="0"/>
    <xf numFmtId="0" fontId="0" fillId="0" borderId="375" pivotButton="0" quotePrefix="0" xfId="0"/>
    <xf numFmtId="0" fontId="0" fillId="0" borderId="379" pivotButton="0" quotePrefix="0" xfId="0"/>
    <xf numFmtId="169" fontId="97" fillId="26" borderId="29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69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86" applyAlignment="1" pivotButton="0" quotePrefix="0" xfId="0">
      <alignment vertical="center" wrapText="1"/>
    </xf>
    <xf numFmtId="165" fontId="139" fillId="0" borderId="286" applyAlignment="1" pivotButton="0" quotePrefix="0" xfId="0">
      <alignment vertical="center" wrapText="1"/>
    </xf>
    <xf numFmtId="166" fontId="139" fillId="0" borderId="286" applyAlignment="1" pivotButton="0" quotePrefix="0" xfId="0">
      <alignment vertical="center" wrapText="1"/>
    </xf>
    <xf numFmtId="164" fontId="140" fillId="0" borderId="287" applyAlignment="1" pivotButton="0" quotePrefix="0" xfId="0">
      <alignment vertical="center" wrapText="1"/>
    </xf>
    <xf numFmtId="165" fontId="140" fillId="0" borderId="287" applyAlignment="1" pivotButton="0" quotePrefix="0" xfId="0">
      <alignment vertical="center" wrapText="1"/>
    </xf>
    <xf numFmtId="164" fontId="140" fillId="0" borderId="286" applyAlignment="1" pivotButton="0" quotePrefix="0" xfId="0">
      <alignment vertical="center" wrapText="1"/>
    </xf>
    <xf numFmtId="165" fontId="140" fillId="0" borderId="286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61" fillId="0" borderId="201" pivotButton="0" quotePrefix="0" xfId="0"/>
    <xf numFmtId="167" fontId="61" fillId="0" borderId="284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48" fillId="3" borderId="201" pivotButton="0" quotePrefix="0" xfId="0"/>
    <xf numFmtId="167" fontId="45" fillId="0" borderId="156" pivotButton="0" quotePrefix="0" xfId="0"/>
    <xf numFmtId="167" fontId="54" fillId="20" borderId="160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84" applyAlignment="1" pivotButton="0" quotePrefix="0" xfId="4">
      <alignment vertical="center" wrapText="1"/>
    </xf>
    <xf numFmtId="166" fontId="126" fillId="55" borderId="185" applyAlignment="1" pivotButton="0" quotePrefix="0" xfId="4">
      <alignment vertical="center" wrapText="1"/>
    </xf>
    <xf numFmtId="166" fontId="126" fillId="55" borderId="183" applyAlignment="1" pivotButton="0" quotePrefix="0" xfId="4">
      <alignment vertical="center" wrapText="1"/>
    </xf>
    <xf numFmtId="165" fontId="129" fillId="56" borderId="192" applyAlignment="1" pivotButton="0" quotePrefix="0" xfId="4">
      <alignment vertical="center" wrapText="1"/>
    </xf>
    <xf numFmtId="165" fontId="129" fillId="56" borderId="183" applyAlignment="1" pivotButton="0" quotePrefix="0" xfId="4">
      <alignment vertical="center" wrapText="1"/>
    </xf>
    <xf numFmtId="166" fontId="126" fillId="55" borderId="182" applyAlignment="1" pivotButton="0" quotePrefix="0" xfId="4">
      <alignment vertical="center" wrapText="1"/>
    </xf>
    <xf numFmtId="168" fontId="126" fillId="55" borderId="185" applyAlignment="1" pivotButton="0" quotePrefix="0" xfId="4">
      <alignment vertical="center" wrapText="1"/>
    </xf>
    <xf numFmtId="168" fontId="126" fillId="55" borderId="183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408" applyAlignment="1" pivotButton="0" quotePrefix="0" xfId="0">
      <alignment horizontal="center" vertical="center" wrapText="1"/>
    </xf>
    <xf numFmtId="0" fontId="0" fillId="0" borderId="253" pivotButton="0" quotePrefix="0" xfId="0"/>
    <xf numFmtId="165" fontId="46" fillId="16" borderId="349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165" fontId="46" fillId="16" borderId="255" applyAlignment="1" pivotButton="0" quotePrefix="0" xfId="0">
      <alignment horizontal="center" vertical="center" wrapText="1"/>
    </xf>
    <xf numFmtId="0" fontId="0" fillId="0" borderId="255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406" applyAlignment="1" pivotButton="0" quotePrefix="0" xfId="0">
      <alignment horizontal="center" vertical="center" wrapText="1"/>
    </xf>
    <xf numFmtId="167" fontId="47" fillId="0" borderId="406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299" applyAlignment="1" pivotButton="0" quotePrefix="0" xfId="0">
      <alignment vertical="center" wrapText="1"/>
    </xf>
    <xf numFmtId="0" fontId="54" fillId="21" borderId="406" applyAlignment="1" pivotButton="0" quotePrefix="0" xfId="0">
      <alignment horizontal="center" vertical="center" wrapText="1"/>
    </xf>
    <xf numFmtId="0" fontId="0" fillId="0" borderId="251" pivotButton="0" quotePrefix="0" xfId="0"/>
    <xf numFmtId="167" fontId="45" fillId="0" borderId="298" applyAlignment="1" pivotButton="0" quotePrefix="0" xfId="0">
      <alignment vertical="center" wrapText="1"/>
    </xf>
    <xf numFmtId="167" fontId="45" fillId="0" borderId="298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299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52" applyAlignment="1" pivotButton="0" quotePrefix="0" xfId="2">
      <alignment horizontal="center" vertical="center" wrapText="1"/>
    </xf>
    <xf numFmtId="0" fontId="0" fillId="0" borderId="352" pivotButton="0" quotePrefix="0" xfId="0"/>
    <xf numFmtId="0" fontId="0" fillId="0" borderId="276" pivotButton="0" quotePrefix="0" xfId="0"/>
    <xf numFmtId="0" fontId="0" fillId="0" borderId="63" pivotButton="0" quotePrefix="0" xfId="0"/>
    <xf numFmtId="0" fontId="0" fillId="0" borderId="405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7" applyAlignment="1" pivotButton="0" quotePrefix="0" xfId="2">
      <alignment horizontal="center" vertical="center"/>
    </xf>
    <xf numFmtId="167" fontId="35" fillId="0" borderId="330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78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406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1062300</xdr:colOff>
      <xdr:row>7</xdr:row>
      <xdr:rowOff>50231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996000" cy="1564706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4</xdr:row>
      <xdr:rowOff>175215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18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1428300</xdr:colOff>
      <xdr:row>6</xdr:row>
      <xdr:rowOff>16575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00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1761960</xdr:colOff>
      <xdr:row>5</xdr:row>
      <xdr:rowOff>124620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44000" cy="126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1039920</xdr:colOff>
      <xdr:row>7</xdr:row>
      <xdr:rowOff>7756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04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15240</xdr:colOff>
      <xdr:row>0</xdr:row>
      <xdr:rowOff>0</xdr:rowOff>
    </xdr:from>
    <xdr:to>
      <xdr:col>4</xdr:col>
      <xdr:colOff>12000</xdr:colOff>
      <xdr:row>6</xdr:row>
      <xdr:rowOff>90256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15240" y="0"/>
          <a:ext cx="3060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outlinePr summaryBelow="1" summaryRight="1"/>
    <pageSetUpPr/>
  </sheetPr>
  <dimension ref="A1:Y146"/>
  <sheetViews>
    <sheetView zoomScale="80" zoomScaleNormal="80" workbookViewId="0">
      <pane xSplit="3" ySplit="8" topLeftCell="Q138" activePane="bottomRight" state="frozen"/>
      <selection pane="topRight" activeCell="D1" sqref="D1"/>
      <selection pane="bottomLeft" activeCell="A2" sqref="A2"/>
      <selection pane="bottomRight" activeCell="A146" sqref="A146"/>
    </sheetView>
  </sheetViews>
  <sheetFormatPr baseColWidth="10" defaultColWidth="8.88671875" defaultRowHeight="14.4"/>
  <cols>
    <col width="12" customWidth="1" style="600" min="1" max="1"/>
    <col width="30.77734375" customWidth="1" style="1062" min="2" max="2"/>
    <col width="20.77734375" customWidth="1" style="1062" min="3" max="3"/>
    <col width="12.77734375" customWidth="1" style="600" min="4" max="4"/>
    <col width="44" customWidth="1" style="1062" min="5" max="5"/>
    <col width="24" customWidth="1" style="1062" min="6" max="6"/>
    <col width="18" customWidth="1" style="1062" min="7" max="7"/>
    <col width="15.77734375" customWidth="1" style="1062" min="8" max="8"/>
    <col width="15.77734375" customWidth="1" style="600" min="9" max="9"/>
    <col width="15.77734375" customWidth="1" style="1062" min="10" max="10"/>
    <col width="12" customWidth="1" style="1062" min="12" max="12"/>
    <col width="11" customWidth="1" style="1062" min="13" max="13"/>
    <col width="12.77734375" customWidth="1" style="1062" min="14" max="14"/>
    <col width="10.77734375" customWidth="1" style="1062" min="15" max="15"/>
    <col width="10" customWidth="1" style="1062" min="16" max="16"/>
    <col width="13" customWidth="1" style="1062" min="17" max="17"/>
    <col width="14" customWidth="1" style="1062" min="18" max="18"/>
    <col width="15" customWidth="1" style="1062" min="19" max="19"/>
    <col width="12.77734375" customWidth="1" style="1062" min="20" max="20"/>
    <col width="52" customWidth="1" style="600" min="21" max="21"/>
    <col width="42" customWidth="1" style="1062" min="22" max="22"/>
    <col width="18" customWidth="1" style="1062" min="23" max="23"/>
    <col width="12" customWidth="1" style="1062" min="24" max="24"/>
    <col width="15" customWidth="1" style="1062" min="25" max="25"/>
  </cols>
  <sheetData>
    <row r="1" ht="40.05" customHeight="1" s="1062">
      <c r="A1" s="599" t="n"/>
      <c r="D1" s="585" t="inlineStr">
        <is>
          <t>CANTIDADES DE OBRA</t>
        </is>
      </c>
      <c r="K1" s="599" t="n"/>
    </row>
    <row r="2" ht="4.95" customHeight="1" s="1062">
      <c r="D2" s="290" t="n"/>
      <c r="E2" s="290" t="n"/>
      <c r="F2" s="290" t="n"/>
      <c r="G2" s="290" t="n"/>
      <c r="H2" s="290" t="n"/>
      <c r="I2" s="290" t="n"/>
      <c r="J2" s="290" t="n"/>
    </row>
    <row r="3" ht="15" customHeight="1" s="1062">
      <c r="D3" s="615" t="n"/>
      <c r="G3" s="616" t="n"/>
      <c r="H3" s="609" t="inlineStr">
        <is>
          <t>CONTROL DOCUMENTAL</t>
        </is>
      </c>
      <c r="I3" s="610" t="n"/>
      <c r="J3" s="611" t="n"/>
    </row>
    <row r="4" ht="15" customHeight="1" s="1062">
      <c r="D4" s="612" t="inlineStr">
        <is>
          <t>REFORMAS Y REMODELACIONES</t>
        </is>
      </c>
      <c r="E4" s="607" t="n"/>
      <c r="F4" s="607" t="n"/>
      <c r="G4" s="608" t="n"/>
      <c r="H4" s="262" t="inlineStr">
        <is>
          <t>Código</t>
        </is>
      </c>
      <c r="I4" s="613" t="inlineStr">
        <is>
          <t>RYR-CO-005</t>
        </is>
      </c>
      <c r="J4" s="614" t="n"/>
    </row>
    <row r="5" ht="15" customHeight="1" s="1062">
      <c r="D5" s="606" t="inlineStr">
        <is>
          <t>DISEÑAMOS, RENOVAMOS Y CONSTRUIMOS ESPACIOS QUE INSPIRAN</t>
        </is>
      </c>
      <c r="E5" s="607" t="n"/>
      <c r="F5" s="607" t="n"/>
      <c r="G5" s="608" t="n"/>
      <c r="H5" s="260" t="inlineStr">
        <is>
          <t>Versión</t>
        </is>
      </c>
      <c r="I5" s="604" t="n">
        <v>1</v>
      </c>
      <c r="J5" s="605" t="n"/>
    </row>
    <row r="6" ht="15" customHeight="1" s="1062">
      <c r="D6" s="599" t="n"/>
      <c r="H6" s="260" t="inlineStr">
        <is>
          <t>Fecha de Emisión</t>
        </is>
      </c>
      <c r="I6" s="617" t="inlineStr">
        <is>
          <t>10/09/2026</t>
        </is>
      </c>
      <c r="J6" s="605" t="n"/>
    </row>
    <row r="7" ht="15" customHeight="1" s="1062">
      <c r="A7" s="601" t="n"/>
      <c r="B7" s="601" t="n"/>
      <c r="C7" s="601" t="n"/>
      <c r="D7" s="601" t="n"/>
      <c r="E7" s="601" t="n"/>
      <c r="F7" s="601" t="n"/>
      <c r="G7" s="601" t="n"/>
      <c r="H7" s="261" t="inlineStr">
        <is>
          <t>Página</t>
        </is>
      </c>
      <c r="I7" s="602" t="inlineStr">
        <is>
          <t>1 de 1</t>
        </is>
      </c>
      <c r="J7" s="603" t="n"/>
      <c r="K7" s="601" t="n"/>
      <c r="L7" s="601" t="n"/>
      <c r="M7" s="601" t="n"/>
      <c r="N7" s="601" t="n"/>
      <c r="O7" s="601" t="n"/>
      <c r="P7" s="601" t="n"/>
      <c r="Q7" s="601" t="n"/>
      <c r="R7" s="601" t="n"/>
      <c r="S7" s="601" t="n"/>
      <c r="T7" s="601" t="n"/>
      <c r="U7" s="601" t="n"/>
      <c r="V7" s="601" t="n"/>
      <c r="W7" s="601" t="n"/>
      <c r="X7" s="601" t="n"/>
      <c r="Y7" s="601" t="n"/>
    </row>
    <row r="8" ht="19.95" customFormat="1" customHeight="1" s="666">
      <c r="A8" s="357" t="inlineStr">
        <is>
          <t>ID</t>
        </is>
      </c>
      <c r="B8" s="357" t="inlineStr">
        <is>
          <t>Capítulo</t>
        </is>
      </c>
      <c r="C8" s="357" t="inlineStr">
        <is>
          <t>Subcapítulo</t>
        </is>
      </c>
      <c r="D8" s="357" t="inlineStr">
        <is>
          <t>Código actividad</t>
        </is>
      </c>
      <c r="E8" s="357" t="inlineStr">
        <is>
          <t>Actividad específica</t>
        </is>
      </c>
      <c r="F8" s="357" t="inlineStr">
        <is>
          <t>Ubicación / Frente</t>
        </is>
      </c>
      <c r="G8" s="357" t="inlineStr">
        <is>
          <t>Plano / Detalle</t>
        </is>
      </c>
      <c r="H8" s="357" t="inlineStr">
        <is>
          <t>Rev.</t>
        </is>
      </c>
      <c r="I8" s="357" t="inlineStr">
        <is>
          <t>Unidad</t>
        </is>
      </c>
      <c r="J8" s="357" t="inlineStr">
        <is>
          <t>Largo</t>
        </is>
      </c>
      <c r="K8" s="357" t="inlineStr">
        <is>
          <t>Ancho</t>
        </is>
      </c>
      <c r="L8" s="357" t="inlineStr">
        <is>
          <t>Alto / Prof.</t>
        </is>
      </c>
      <c r="M8" s="357" t="inlineStr">
        <is>
          <t>Espesor</t>
        </is>
      </c>
      <c r="N8" s="357" t="inlineStr">
        <is>
          <t>N° elementos</t>
        </is>
      </c>
      <c r="O8" s="357" t="inlineStr">
        <is>
          <t>Repeticiones</t>
        </is>
      </c>
      <c r="P8" s="357" t="inlineStr">
        <is>
          <t>Factor</t>
        </is>
      </c>
      <c r="Q8" s="357" t="inlineStr">
        <is>
          <t>Deducción</t>
        </is>
      </c>
      <c r="R8" s="357" t="inlineStr">
        <is>
          <t>Desperdicio %</t>
        </is>
      </c>
      <c r="S8" s="357" t="inlineStr">
        <is>
          <t>Cantidad neta</t>
        </is>
      </c>
      <c r="T8" s="357" t="inlineStr">
        <is>
          <t>Cantidad final</t>
        </is>
      </c>
      <c r="U8" s="357" t="inlineStr">
        <is>
          <t>Fórmula / criterio</t>
        </is>
      </c>
      <c r="V8" s="357" t="inlineStr">
        <is>
          <t>Observación técnica</t>
        </is>
      </c>
      <c r="W8" s="357" t="inlineStr">
        <is>
          <t>Responsable</t>
        </is>
      </c>
      <c r="X8" s="357" t="inlineStr">
        <is>
          <t>Fecha</t>
        </is>
      </c>
      <c r="Y8" s="357" t="inlineStr">
        <is>
          <t>Estado</t>
        </is>
      </c>
    </row>
    <row r="9" ht="15" customFormat="1" customHeight="1" s="666">
      <c r="A9" s="358" t="inlineStr">
        <is>
          <t>MQ-001</t>
        </is>
      </c>
      <c r="B9" s="359" t="inlineStr">
        <is>
          <t>PRELIMINARES</t>
        </is>
      </c>
      <c r="C9" s="360" t="inlineStr">
        <is>
          <t>Preliminares generales</t>
        </is>
      </c>
      <c r="D9" s="361" t="inlineStr">
        <is>
          <t>01.01.01</t>
        </is>
      </c>
      <c r="E9" s="362" t="inlineStr">
        <is>
          <t>Localización y Replanteo</t>
        </is>
      </c>
      <c r="F9" s="363" t="n"/>
      <c r="G9" s="363" t="n"/>
      <c r="H9" s="363" t="n"/>
      <c r="I9" s="361" t="inlineStr">
        <is>
          <t>ml</t>
        </is>
      </c>
      <c r="J9" s="1302" t="n">
        <v>0</v>
      </c>
      <c r="K9" s="1302" t="n">
        <v>0</v>
      </c>
      <c r="L9" s="1302" t="n">
        <v>0</v>
      </c>
      <c r="M9" s="1302" t="n">
        <v>0</v>
      </c>
      <c r="N9" s="1302" t="n">
        <v>1</v>
      </c>
      <c r="O9" s="1302" t="n">
        <v>1</v>
      </c>
      <c r="P9" s="1302" t="n">
        <v>1</v>
      </c>
      <c r="Q9" s="1302" t="n">
        <v>0</v>
      </c>
      <c r="R9" s="1303" t="n">
        <v>0</v>
      </c>
      <c r="S9" s="1302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9,0))))),3))</f>
        <v/>
      </c>
      <c r="T9" s="1302">
        <f>IF(S9="","",ROUND(S9*(1+R9),3))</f>
        <v/>
      </c>
      <c r="U9" s="361" t="inlineStr">
        <is>
          <t>ml</t>
        </is>
      </c>
      <c r="V9" s="363" t="n"/>
      <c r="W9" s="363" t="n"/>
      <c r="X9" s="1304" t="n"/>
      <c r="Y9" s="363" t="inlineStr">
        <is>
          <t>Pendiente</t>
        </is>
      </c>
    </row>
    <row r="10" ht="15" customFormat="1" customHeight="1" s="666">
      <c r="A10" s="358" t="inlineStr">
        <is>
          <t>MQ-002</t>
        </is>
      </c>
      <c r="B10" s="359" t="inlineStr">
        <is>
          <t>PRELIMINARES</t>
        </is>
      </c>
      <c r="C10" s="360" t="inlineStr">
        <is>
          <t>Preliminares generales</t>
        </is>
      </c>
      <c r="D10" s="361" t="inlineStr">
        <is>
          <t>01.01.02</t>
        </is>
      </c>
      <c r="E10" s="362" t="inlineStr">
        <is>
          <t>Cerramiento provisional de obra</t>
        </is>
      </c>
      <c r="F10" s="363" t="n"/>
      <c r="G10" s="363" t="n"/>
      <c r="H10" s="363" t="n"/>
      <c r="I10" s="361" t="inlineStr">
        <is>
          <t>ml</t>
        </is>
      </c>
      <c r="J10" s="1302" t="n">
        <v>0</v>
      </c>
      <c r="K10" s="1302" t="n">
        <v>0</v>
      </c>
      <c r="L10" s="1302" t="n">
        <v>0</v>
      </c>
      <c r="M10" s="1302" t="n">
        <v>0</v>
      </c>
      <c r="N10" s="1302" t="n">
        <v>1</v>
      </c>
      <c r="O10" s="1302" t="n">
        <v>1</v>
      </c>
      <c r="P10" s="1302" t="n">
        <v>1</v>
      </c>
      <c r="Q10" s="1302" t="n">
        <v>0</v>
      </c>
      <c r="R10" s="1303" t="n">
        <v>0</v>
      </c>
      <c r="S10" s="1302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10,0))))),3))</f>
        <v/>
      </c>
      <c r="T10" s="1302">
        <f>IF(S10="","",ROUND(S10*(1+R10),3))</f>
        <v/>
      </c>
      <c r="U10" s="361" t="inlineStr">
        <is>
          <t>ml</t>
        </is>
      </c>
      <c r="V10" s="363" t="n"/>
      <c r="W10" s="363" t="n"/>
      <c r="X10" s="1304" t="n"/>
      <c r="Y10" s="363" t="inlineStr">
        <is>
          <t>Pendiente</t>
        </is>
      </c>
    </row>
    <row r="11" ht="15" customFormat="1" customHeight="1" s="666">
      <c r="A11" s="358" t="inlineStr">
        <is>
          <t>MQ-003</t>
        </is>
      </c>
      <c r="B11" s="359" t="inlineStr">
        <is>
          <t>PRELIMINARES</t>
        </is>
      </c>
      <c r="C11" s="360" t="inlineStr">
        <is>
          <t>Preliminares generales</t>
        </is>
      </c>
      <c r="D11" s="361" t="inlineStr">
        <is>
          <t>01.01.03</t>
        </is>
      </c>
      <c r="E11" s="362" t="inlineStr">
        <is>
          <t>Instalación de campamento y oficinas provisionales</t>
        </is>
      </c>
      <c r="F11" s="363" t="n"/>
      <c r="G11" s="363" t="n"/>
      <c r="H11" s="363" t="n"/>
      <c r="I11" s="361" t="inlineStr">
        <is>
          <t>m²</t>
        </is>
      </c>
      <c r="J11" s="1302" t="n">
        <v>0</v>
      </c>
      <c r="K11" s="1302" t="n">
        <v>0</v>
      </c>
      <c r="L11" s="1302" t="n">
        <v>0</v>
      </c>
      <c r="M11" s="1302" t="n">
        <v>0</v>
      </c>
      <c r="N11" s="1302" t="n">
        <v>1</v>
      </c>
      <c r="O11" s="1302" t="n">
        <v>1</v>
      </c>
      <c r="P11" s="1302" t="n">
        <v>1</v>
      </c>
      <c r="Q11" s="1302" t="n">
        <v>0</v>
      </c>
      <c r="R11" s="1303" t="n">
        <v>0</v>
      </c>
      <c r="S11" s="1302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11,0))))),3))</f>
        <v/>
      </c>
      <c r="T11" s="1302">
        <f>IF(S11="","",ROUND(S11*(1+R11),3))</f>
        <v/>
      </c>
      <c r="U11" s="361" t="inlineStr">
        <is>
          <t>m²</t>
        </is>
      </c>
      <c r="V11" s="363" t="n"/>
      <c r="W11" s="363" t="n"/>
      <c r="X11" s="1304" t="n"/>
      <c r="Y11" s="363" t="inlineStr">
        <is>
          <t>Pendiente</t>
        </is>
      </c>
    </row>
    <row r="12" ht="15" customFormat="1" customHeight="1" s="666">
      <c r="A12" s="358" t="inlineStr">
        <is>
          <t>MQ-004</t>
        </is>
      </c>
      <c r="B12" s="359" t="inlineStr">
        <is>
          <t>PRELIMINARES</t>
        </is>
      </c>
      <c r="C12" s="360" t="inlineStr">
        <is>
          <t>Preliminares generales</t>
        </is>
      </c>
      <c r="D12" s="361" t="inlineStr">
        <is>
          <t>01.01.04</t>
        </is>
      </c>
      <c r="E12" s="362" t="inlineStr">
        <is>
          <t>Adecuación de área de almacenamiento</t>
        </is>
      </c>
      <c r="F12" s="363" t="n"/>
      <c r="G12" s="363" t="n"/>
      <c r="H12" s="363" t="n"/>
      <c r="I12" s="361" t="inlineStr">
        <is>
          <t>m²</t>
        </is>
      </c>
      <c r="J12" s="1302" t="n">
        <v>0</v>
      </c>
      <c r="K12" s="1302" t="n">
        <v>0</v>
      </c>
      <c r="L12" s="1302" t="n">
        <v>0</v>
      </c>
      <c r="M12" s="1302" t="n">
        <v>0</v>
      </c>
      <c r="N12" s="1302" t="n">
        <v>1</v>
      </c>
      <c r="O12" s="1302" t="n">
        <v>1</v>
      </c>
      <c r="P12" s="1302" t="n">
        <v>1</v>
      </c>
      <c r="Q12" s="1302" t="n">
        <v>0</v>
      </c>
      <c r="R12" s="1303" t="n">
        <v>0</v>
      </c>
      <c r="S12" s="1302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12,0))))),3))</f>
        <v/>
      </c>
      <c r="T12" s="1302">
        <f>IF(S12="","",ROUND(S12*(1+R12),3))</f>
        <v/>
      </c>
      <c r="U12" s="361" t="inlineStr">
        <is>
          <t>m²</t>
        </is>
      </c>
      <c r="V12" s="363" t="n"/>
      <c r="W12" s="363" t="n"/>
      <c r="X12" s="1304" t="n"/>
      <c r="Y12" s="363" t="inlineStr">
        <is>
          <t>Pendiente</t>
        </is>
      </c>
    </row>
    <row r="13" ht="15" customFormat="1" customHeight="1" s="666">
      <c r="A13" s="358" t="inlineStr">
        <is>
          <t>MQ-005</t>
        </is>
      </c>
      <c r="B13" s="359" t="inlineStr">
        <is>
          <t>PRELIMINARES</t>
        </is>
      </c>
      <c r="C13" s="360" t="inlineStr">
        <is>
          <t>Preliminares generales</t>
        </is>
      </c>
      <c r="D13" s="361" t="inlineStr">
        <is>
          <t>01.01.05</t>
        </is>
      </c>
      <c r="E13" s="362" t="inlineStr">
        <is>
          <t>Señalización preventiva e informativa de obra</t>
        </is>
      </c>
      <c r="F13" s="363" t="n"/>
      <c r="G13" s="363" t="n"/>
      <c r="H13" s="363" t="n"/>
      <c r="I13" s="361" t="inlineStr">
        <is>
          <t>und</t>
        </is>
      </c>
      <c r="J13" s="1302" t="n">
        <v>0</v>
      </c>
      <c r="K13" s="1302" t="n">
        <v>0</v>
      </c>
      <c r="L13" s="1302" t="n">
        <v>0</v>
      </c>
      <c r="M13" s="1302" t="n">
        <v>0</v>
      </c>
      <c r="N13" s="1302" t="n">
        <v>1</v>
      </c>
      <c r="O13" s="1302" t="n">
        <v>1</v>
      </c>
      <c r="P13" s="1302" t="n">
        <v>1</v>
      </c>
      <c r="Q13" s="1302" t="n">
        <v>0</v>
      </c>
      <c r="R13" s="1303" t="n">
        <v>0</v>
      </c>
      <c r="S13" s="1302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13,0))))),3))</f>
        <v/>
      </c>
      <c r="T13" s="1302">
        <f>IF(S13="","",ROUND(S13*(1+R13),3))</f>
        <v/>
      </c>
      <c r="U13" s="361" t="inlineStr">
        <is>
          <t>und</t>
        </is>
      </c>
      <c r="V13" s="363" t="n"/>
      <c r="W13" s="363" t="n"/>
      <c r="X13" s="1304" t="n"/>
      <c r="Y13" s="363" t="inlineStr">
        <is>
          <t>Pendiente</t>
        </is>
      </c>
    </row>
    <row r="14" ht="15" customFormat="1" customHeight="1" s="666">
      <c r="A14" s="358" t="inlineStr">
        <is>
          <t>MQ-006</t>
        </is>
      </c>
      <c r="B14" s="359" t="inlineStr">
        <is>
          <t>PRELIMINARES</t>
        </is>
      </c>
      <c r="C14" s="360" t="inlineStr">
        <is>
          <t>Preliminares generales</t>
        </is>
      </c>
      <c r="D14" s="361" t="inlineStr">
        <is>
          <t>01.01.06</t>
        </is>
      </c>
      <c r="E14" s="362" t="inlineStr">
        <is>
          <t>Instalaciones provisionales de agua y energía</t>
        </is>
      </c>
      <c r="F14" s="363" t="n"/>
      <c r="G14" s="363" t="n"/>
      <c r="H14" s="363" t="n"/>
      <c r="I14" s="361" t="inlineStr">
        <is>
          <t>gl</t>
        </is>
      </c>
      <c r="J14" s="1302" t="n">
        <v>0</v>
      </c>
      <c r="K14" s="1302" t="n">
        <v>0</v>
      </c>
      <c r="L14" s="1302" t="n">
        <v>0</v>
      </c>
      <c r="M14" s="1302" t="n">
        <v>0</v>
      </c>
      <c r="N14" s="1302" t="n">
        <v>1</v>
      </c>
      <c r="O14" s="1302" t="n">
        <v>1</v>
      </c>
      <c r="P14" s="1302" t="n">
        <v>1</v>
      </c>
      <c r="Q14" s="1302" t="n">
        <v>0</v>
      </c>
      <c r="R14" s="1303" t="n">
        <v>0</v>
      </c>
      <c r="S14" s="1302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14,0))))),3))</f>
        <v/>
      </c>
      <c r="T14" s="1302">
        <f>IF(S14="","",ROUND(S14*(1+R14),3))</f>
        <v/>
      </c>
      <c r="U14" s="361" t="inlineStr">
        <is>
          <t>gl</t>
        </is>
      </c>
      <c r="V14" s="363" t="n"/>
      <c r="W14" s="363" t="n"/>
      <c r="X14" s="1304" t="n"/>
      <c r="Y14" s="363" t="inlineStr">
        <is>
          <t>Pendiente</t>
        </is>
      </c>
    </row>
    <row r="15" ht="15" customFormat="1" customHeight="1" s="666">
      <c r="A15" s="358" t="inlineStr">
        <is>
          <t>MQ-007</t>
        </is>
      </c>
      <c r="B15" s="359" t="inlineStr">
        <is>
          <t>PRELIMINARES</t>
        </is>
      </c>
      <c r="C15" s="360" t="inlineStr">
        <is>
          <t>Preliminares generales</t>
        </is>
      </c>
      <c r="D15" s="361" t="inlineStr">
        <is>
          <t>01.01.07</t>
        </is>
      </c>
      <c r="E15" s="362" t="inlineStr">
        <is>
          <t>Protección de elementos existentes</t>
        </is>
      </c>
      <c r="F15" s="363" t="n"/>
      <c r="G15" s="363" t="n"/>
      <c r="H15" s="363" t="n"/>
      <c r="I15" s="361" t="inlineStr">
        <is>
          <t>m²</t>
        </is>
      </c>
      <c r="J15" s="1302" t="n">
        <v>0</v>
      </c>
      <c r="K15" s="1302" t="n">
        <v>0</v>
      </c>
      <c r="L15" s="1302" t="n">
        <v>0</v>
      </c>
      <c r="M15" s="1302" t="n">
        <v>0</v>
      </c>
      <c r="N15" s="1302" t="n">
        <v>1</v>
      </c>
      <c r="O15" s="1302" t="n">
        <v>1</v>
      </c>
      <c r="P15" s="1302" t="n">
        <v>1</v>
      </c>
      <c r="Q15" s="1302" t="n">
        <v>0</v>
      </c>
      <c r="R15" s="1303" t="n">
        <v>0</v>
      </c>
      <c r="S15" s="1302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15,0))))),3))</f>
        <v/>
      </c>
      <c r="T15" s="1302">
        <f>IF(S15="","",ROUND(S15*(1+R15),3))</f>
        <v/>
      </c>
      <c r="U15" s="361" t="inlineStr">
        <is>
          <t>m²</t>
        </is>
      </c>
      <c r="V15" s="363" t="n"/>
      <c r="W15" s="363" t="n"/>
      <c r="X15" s="1304" t="n"/>
      <c r="Y15" s="363" t="inlineStr">
        <is>
          <t>Pendiente</t>
        </is>
      </c>
    </row>
    <row r="16" ht="15" customFormat="1" customHeight="1" s="666">
      <c r="A16" s="358" t="inlineStr">
        <is>
          <t>MQ-008</t>
        </is>
      </c>
      <c r="B16" s="359" t="inlineStr">
        <is>
          <t>PRELIMINARES</t>
        </is>
      </c>
      <c r="C16" s="360" t="inlineStr">
        <is>
          <t>Preliminares generales</t>
        </is>
      </c>
      <c r="D16" s="361" t="inlineStr">
        <is>
          <t>01.01.08</t>
        </is>
      </c>
      <c r="E16" s="362" t="inlineStr">
        <is>
          <t>Desmonte y limpieza inicial</t>
        </is>
      </c>
      <c r="F16" s="363" t="n"/>
      <c r="G16" s="363" t="n"/>
      <c r="H16" s="363" t="n"/>
      <c r="I16" s="361" t="inlineStr">
        <is>
          <t>m²</t>
        </is>
      </c>
      <c r="J16" s="1302" t="n">
        <v>0</v>
      </c>
      <c r="K16" s="1302" t="n">
        <v>0</v>
      </c>
      <c r="L16" s="1302" t="n">
        <v>0</v>
      </c>
      <c r="M16" s="1302" t="n">
        <v>0</v>
      </c>
      <c r="N16" s="1302" t="n">
        <v>1</v>
      </c>
      <c r="O16" s="1302" t="n">
        <v>1</v>
      </c>
      <c r="P16" s="1302" t="n">
        <v>1</v>
      </c>
      <c r="Q16" s="1302" t="n">
        <v>0</v>
      </c>
      <c r="R16" s="1303" t="n">
        <v>0</v>
      </c>
      <c r="S16" s="1302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16,0))))),3))</f>
        <v/>
      </c>
      <c r="T16" s="1302">
        <f>IF(S16="","",ROUND(S16*(1+R16),3))</f>
        <v/>
      </c>
      <c r="U16" s="361" t="inlineStr">
        <is>
          <t>m²</t>
        </is>
      </c>
      <c r="V16" s="363" t="n"/>
      <c r="W16" s="363" t="n"/>
      <c r="X16" s="1304" t="n"/>
      <c r="Y16" s="363" t="inlineStr">
        <is>
          <t>Pendiente</t>
        </is>
      </c>
    </row>
    <row r="17" ht="15" customFormat="1" customHeight="1" s="666">
      <c r="A17" s="358" t="inlineStr">
        <is>
          <t>MQ-009</t>
        </is>
      </c>
      <c r="B17" s="359" t="inlineStr">
        <is>
          <t>PRELIMINARES</t>
        </is>
      </c>
      <c r="C17" s="360" t="inlineStr">
        <is>
          <t>Preliminares generales</t>
        </is>
      </c>
      <c r="D17" s="361" t="inlineStr">
        <is>
          <t>01.01.09</t>
        </is>
      </c>
      <c r="E17" s="362" t="inlineStr">
        <is>
          <t>Demoliciones preliminares</t>
        </is>
      </c>
      <c r="F17" s="363" t="n"/>
      <c r="G17" s="363" t="n"/>
      <c r="H17" s="363" t="n"/>
      <c r="I17" s="361" t="inlineStr">
        <is>
          <t>m³</t>
        </is>
      </c>
      <c r="J17" s="1302" t="n">
        <v>0</v>
      </c>
      <c r="K17" s="1302" t="n">
        <v>0</v>
      </c>
      <c r="L17" s="1302" t="n">
        <v>0</v>
      </c>
      <c r="M17" s="1302" t="n">
        <v>0</v>
      </c>
      <c r="N17" s="1302" t="n">
        <v>1</v>
      </c>
      <c r="O17" s="1302" t="n">
        <v>1</v>
      </c>
      <c r="P17" s="1302" t="n">
        <v>1</v>
      </c>
      <c r="Q17" s="1302" t="n">
        <v>0</v>
      </c>
      <c r="R17" s="1303" t="n">
        <v>0</v>
      </c>
      <c r="S17" s="1302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17,0))))),3))</f>
        <v/>
      </c>
      <c r="T17" s="1302">
        <f>IF(S17="","",ROUND(S17*(1+R17),3))</f>
        <v/>
      </c>
      <c r="U17" s="361" t="inlineStr">
        <is>
          <t>m³</t>
        </is>
      </c>
      <c r="V17" s="363" t="n"/>
      <c r="W17" s="363" t="n"/>
      <c r="X17" s="1304" t="n"/>
      <c r="Y17" s="363" t="inlineStr">
        <is>
          <t>Pendiente</t>
        </is>
      </c>
    </row>
    <row r="18" ht="15" customFormat="1" customHeight="1" s="666">
      <c r="A18" s="358" t="inlineStr">
        <is>
          <t>MQ-010</t>
        </is>
      </c>
      <c r="B18" s="359" t="inlineStr">
        <is>
          <t>MOVIMIENTO DE TIERRAS</t>
        </is>
      </c>
      <c r="C18" s="360" t="inlineStr">
        <is>
          <t>Excavaciones</t>
        </is>
      </c>
      <c r="D18" s="361" t="inlineStr">
        <is>
          <t>02.01.01</t>
        </is>
      </c>
      <c r="E18" s="362" t="inlineStr">
        <is>
          <t>Excavación manual en material común</t>
        </is>
      </c>
      <c r="F18" s="363" t="n"/>
      <c r="G18" s="363" t="n"/>
      <c r="H18" s="363" t="n"/>
      <c r="I18" s="361" t="inlineStr">
        <is>
          <t>m³</t>
        </is>
      </c>
      <c r="J18" s="1302" t="n">
        <v>0</v>
      </c>
      <c r="K18" s="1302" t="n">
        <v>0</v>
      </c>
      <c r="L18" s="1302" t="n">
        <v>0</v>
      </c>
      <c r="M18" s="1302" t="n">
        <v>0</v>
      </c>
      <c r="N18" s="1302" t="n">
        <v>1</v>
      </c>
      <c r="O18" s="1302" t="n">
        <v>1</v>
      </c>
      <c r="P18" s="1302" t="n">
        <v>1</v>
      </c>
      <c r="Q18" s="1302" t="n">
        <v>0</v>
      </c>
      <c r="R18" s="1303" t="n">
        <v>0</v>
      </c>
      <c r="S18" s="1302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18,0))))),3))</f>
        <v/>
      </c>
      <c r="T18" s="1302">
        <f>IF(S18="","",ROUND(S18*(1+R18),3))</f>
        <v/>
      </c>
      <c r="U18" s="361" t="inlineStr">
        <is>
          <t>m³</t>
        </is>
      </c>
      <c r="V18" s="363" t="n"/>
      <c r="W18" s="363" t="n"/>
      <c r="X18" s="1304" t="n"/>
      <c r="Y18" s="363" t="inlineStr">
        <is>
          <t>Pendiente</t>
        </is>
      </c>
    </row>
    <row r="19" ht="15" customFormat="1" customHeight="1" s="666">
      <c r="A19" s="358" t="inlineStr">
        <is>
          <t>MQ-011</t>
        </is>
      </c>
      <c r="B19" s="359" t="inlineStr">
        <is>
          <t>MOVIMIENTO DE TIERRAS</t>
        </is>
      </c>
      <c r="C19" s="360" t="inlineStr">
        <is>
          <t>Excavaciones</t>
        </is>
      </c>
      <c r="D19" s="361" t="inlineStr">
        <is>
          <t>02.01.02</t>
        </is>
      </c>
      <c r="E19" s="362" t="inlineStr">
        <is>
          <t>Excavación mecánica</t>
        </is>
      </c>
      <c r="F19" s="363" t="n"/>
      <c r="G19" s="363" t="n"/>
      <c r="H19" s="363" t="n"/>
      <c r="I19" s="361" t="inlineStr">
        <is>
          <t>m³</t>
        </is>
      </c>
      <c r="J19" s="1302" t="n">
        <v>0</v>
      </c>
      <c r="K19" s="1302" t="n">
        <v>0</v>
      </c>
      <c r="L19" s="1302" t="n">
        <v>0</v>
      </c>
      <c r="M19" s="1302" t="n">
        <v>0</v>
      </c>
      <c r="N19" s="1302" t="n">
        <v>1</v>
      </c>
      <c r="O19" s="1302" t="n">
        <v>1</v>
      </c>
      <c r="P19" s="1302" t="n">
        <v>1</v>
      </c>
      <c r="Q19" s="1302" t="n">
        <v>0</v>
      </c>
      <c r="R19" s="1303" t="n">
        <v>0</v>
      </c>
      <c r="S19" s="1302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19,0))))),3))</f>
        <v/>
      </c>
      <c r="T19" s="1302">
        <f>IF(S19="","",ROUND(S19*(1+R19),3))</f>
        <v/>
      </c>
      <c r="U19" s="361" t="inlineStr">
        <is>
          <t>m³</t>
        </is>
      </c>
      <c r="V19" s="363" t="n"/>
      <c r="W19" s="363" t="n"/>
      <c r="X19" s="1304" t="n"/>
      <c r="Y19" s="363" t="inlineStr">
        <is>
          <t>Pendiente</t>
        </is>
      </c>
    </row>
    <row r="20" ht="15" customFormat="1" customHeight="1" s="666">
      <c r="A20" s="358" t="inlineStr">
        <is>
          <t>MQ-012</t>
        </is>
      </c>
      <c r="B20" s="359" t="inlineStr">
        <is>
          <t>MOVIMIENTO DE TIERRAS</t>
        </is>
      </c>
      <c r="C20" s="360" t="inlineStr">
        <is>
          <t>Excavaciones</t>
        </is>
      </c>
      <c r="D20" s="361" t="inlineStr">
        <is>
          <t>02.01.03</t>
        </is>
      </c>
      <c r="E20" s="362" t="inlineStr">
        <is>
          <t>Excavación en roca</t>
        </is>
      </c>
      <c r="F20" s="363" t="n"/>
      <c r="G20" s="363" t="n"/>
      <c r="H20" s="363" t="n"/>
      <c r="I20" s="361" t="inlineStr">
        <is>
          <t>m³</t>
        </is>
      </c>
      <c r="J20" s="1302" t="n">
        <v>0</v>
      </c>
      <c r="K20" s="1302" t="n">
        <v>0</v>
      </c>
      <c r="L20" s="1302" t="n">
        <v>0</v>
      </c>
      <c r="M20" s="1302" t="n">
        <v>0</v>
      </c>
      <c r="N20" s="1302" t="n">
        <v>1</v>
      </c>
      <c r="O20" s="1302" t="n">
        <v>1</v>
      </c>
      <c r="P20" s="1302" t="n">
        <v>1</v>
      </c>
      <c r="Q20" s="1302" t="n">
        <v>0</v>
      </c>
      <c r="R20" s="1303" t="n">
        <v>0</v>
      </c>
      <c r="S20" s="1302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20,0))))),3))</f>
        <v/>
      </c>
      <c r="T20" s="1302">
        <f>IF(S20="","",ROUND(S20*(1+R20),3))</f>
        <v/>
      </c>
      <c r="U20" s="361" t="inlineStr">
        <is>
          <t>m³</t>
        </is>
      </c>
      <c r="V20" s="363" t="n"/>
      <c r="W20" s="363" t="n"/>
      <c r="X20" s="1304" t="n"/>
      <c r="Y20" s="363" t="inlineStr">
        <is>
          <t>Pendiente</t>
        </is>
      </c>
    </row>
    <row r="21" ht="15" customFormat="1" customHeight="1" s="666">
      <c r="A21" s="358" t="inlineStr">
        <is>
          <t>MQ-013</t>
        </is>
      </c>
      <c r="B21" s="359" t="inlineStr">
        <is>
          <t>MOVIMIENTO DE TIERRAS</t>
        </is>
      </c>
      <c r="C21" s="360" t="inlineStr">
        <is>
          <t>Excavaciones</t>
        </is>
      </c>
      <c r="D21" s="361" t="inlineStr">
        <is>
          <t>02.01.04</t>
        </is>
      </c>
      <c r="E21" s="362" t="inlineStr">
        <is>
          <t>Perfilado y conformación de excavaciones</t>
        </is>
      </c>
      <c r="F21" s="363" t="n"/>
      <c r="G21" s="363" t="n"/>
      <c r="H21" s="363" t="n"/>
      <c r="I21" s="361" t="inlineStr">
        <is>
          <t>m²</t>
        </is>
      </c>
      <c r="J21" s="1302" t="n">
        <v>0</v>
      </c>
      <c r="K21" s="1302" t="n">
        <v>0</v>
      </c>
      <c r="L21" s="1302" t="n">
        <v>0</v>
      </c>
      <c r="M21" s="1302" t="n">
        <v>0</v>
      </c>
      <c r="N21" s="1302" t="n">
        <v>1</v>
      </c>
      <c r="O21" s="1302" t="n">
        <v>1</v>
      </c>
      <c r="P21" s="1302" t="n">
        <v>1</v>
      </c>
      <c r="Q21" s="1302" t="n">
        <v>0</v>
      </c>
      <c r="R21" s="1303" t="n">
        <v>0</v>
      </c>
      <c r="S21" s="1302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21,0))))),3))</f>
        <v/>
      </c>
      <c r="T21" s="1302">
        <f>IF(S21="","",ROUND(S21*(1+R21),3))</f>
        <v/>
      </c>
      <c r="U21" s="361" t="inlineStr">
        <is>
          <t>m²</t>
        </is>
      </c>
      <c r="V21" s="363" t="n"/>
      <c r="W21" s="363" t="n"/>
      <c r="X21" s="1304" t="n"/>
      <c r="Y21" s="363" t="inlineStr">
        <is>
          <t>Pendiente</t>
        </is>
      </c>
    </row>
    <row r="22" ht="15" customFormat="1" customHeight="1" s="666">
      <c r="A22" s="358" t="inlineStr">
        <is>
          <t>MQ-014</t>
        </is>
      </c>
      <c r="B22" s="359" t="inlineStr">
        <is>
          <t>MOVIMIENTO DE TIERRAS</t>
        </is>
      </c>
      <c r="C22" s="360" t="inlineStr">
        <is>
          <t>Rellenos</t>
        </is>
      </c>
      <c r="D22" s="361" t="inlineStr">
        <is>
          <t>02.02.01</t>
        </is>
      </c>
      <c r="E22" s="362" t="inlineStr">
        <is>
          <t>Relleno con material seleccionado compactado</t>
        </is>
      </c>
      <c r="F22" s="363" t="n"/>
      <c r="G22" s="363" t="n"/>
      <c r="H22" s="363" t="n"/>
      <c r="I22" s="361" t="inlineStr">
        <is>
          <t>m³</t>
        </is>
      </c>
      <c r="J22" s="1302" t="n">
        <v>0</v>
      </c>
      <c r="K22" s="1302" t="n">
        <v>0</v>
      </c>
      <c r="L22" s="1302" t="n">
        <v>0</v>
      </c>
      <c r="M22" s="1302" t="n">
        <v>0</v>
      </c>
      <c r="N22" s="1302" t="n">
        <v>1</v>
      </c>
      <c r="O22" s="1302" t="n">
        <v>1</v>
      </c>
      <c r="P22" s="1302" t="n">
        <v>1</v>
      </c>
      <c r="Q22" s="1302" t="n">
        <v>0</v>
      </c>
      <c r="R22" s="1303" t="n">
        <v>0</v>
      </c>
      <c r="S22" s="1302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22,0))))),3))</f>
        <v/>
      </c>
      <c r="T22" s="1302">
        <f>IF(S22="","",ROUND(S22*(1+R22),3))</f>
        <v/>
      </c>
      <c r="U22" s="361" t="inlineStr">
        <is>
          <t>m³</t>
        </is>
      </c>
      <c r="V22" s="363" t="n"/>
      <c r="W22" s="363" t="n"/>
      <c r="X22" s="1304" t="n"/>
      <c r="Y22" s="363" t="inlineStr">
        <is>
          <t>Pendiente</t>
        </is>
      </c>
    </row>
    <row r="23" ht="15" customFormat="1" customHeight="1" s="666">
      <c r="A23" s="358" t="inlineStr">
        <is>
          <t>MQ-015</t>
        </is>
      </c>
      <c r="B23" s="359" t="inlineStr">
        <is>
          <t>MOVIMIENTO DE TIERRAS</t>
        </is>
      </c>
      <c r="C23" s="360" t="inlineStr">
        <is>
          <t>Rellenos</t>
        </is>
      </c>
      <c r="D23" s="361" t="inlineStr">
        <is>
          <t>02.02.02</t>
        </is>
      </c>
      <c r="E23" s="362" t="inlineStr">
        <is>
          <t>Relleno con material proveniente de excavación</t>
        </is>
      </c>
      <c r="F23" s="363" t="n"/>
      <c r="G23" s="363" t="n"/>
      <c r="H23" s="363" t="n"/>
      <c r="I23" s="361" t="inlineStr">
        <is>
          <t>m³</t>
        </is>
      </c>
      <c r="J23" s="1302" t="n">
        <v>0</v>
      </c>
      <c r="K23" s="1302" t="n">
        <v>0</v>
      </c>
      <c r="L23" s="1302" t="n">
        <v>0</v>
      </c>
      <c r="M23" s="1302" t="n">
        <v>0</v>
      </c>
      <c r="N23" s="1302" t="n">
        <v>1</v>
      </c>
      <c r="O23" s="1302" t="n">
        <v>1</v>
      </c>
      <c r="P23" s="1302" t="n">
        <v>1</v>
      </c>
      <c r="Q23" s="1302" t="n">
        <v>0</v>
      </c>
      <c r="R23" s="1303" t="n">
        <v>0</v>
      </c>
      <c r="S23" s="1302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23,0))))),3))</f>
        <v/>
      </c>
      <c r="T23" s="1302">
        <f>IF(S23="","",ROUND(S23*(1+R23),3))</f>
        <v/>
      </c>
      <c r="U23" s="361" t="inlineStr">
        <is>
          <t>m³</t>
        </is>
      </c>
      <c r="V23" s="363" t="n"/>
      <c r="W23" s="363" t="n"/>
      <c r="X23" s="1304" t="n"/>
      <c r="Y23" s="363" t="inlineStr">
        <is>
          <t>Pendiente</t>
        </is>
      </c>
    </row>
    <row r="24" ht="15" customFormat="1" customHeight="1" s="666">
      <c r="A24" s="358" t="inlineStr">
        <is>
          <t>MQ-016</t>
        </is>
      </c>
      <c r="B24" s="359" t="inlineStr">
        <is>
          <t>MOVIMIENTO DE TIERRAS</t>
        </is>
      </c>
      <c r="C24" s="360" t="inlineStr">
        <is>
          <t>Rellenos</t>
        </is>
      </c>
      <c r="D24" s="361" t="inlineStr">
        <is>
          <t>02.02.03</t>
        </is>
      </c>
      <c r="E24" s="362" t="inlineStr">
        <is>
          <t>Suministro, extendido y compactación de subbase</t>
        </is>
      </c>
      <c r="F24" s="363" t="n"/>
      <c r="G24" s="363" t="n"/>
      <c r="H24" s="363" t="n"/>
      <c r="I24" s="361" t="inlineStr">
        <is>
          <t>m³</t>
        </is>
      </c>
      <c r="J24" s="1302" t="n">
        <v>0</v>
      </c>
      <c r="K24" s="1302" t="n">
        <v>0</v>
      </c>
      <c r="L24" s="1302" t="n">
        <v>0</v>
      </c>
      <c r="M24" s="1302" t="n">
        <v>0</v>
      </c>
      <c r="N24" s="1302" t="n">
        <v>1</v>
      </c>
      <c r="O24" s="1302" t="n">
        <v>1</v>
      </c>
      <c r="P24" s="1302" t="n">
        <v>1</v>
      </c>
      <c r="Q24" s="1302" t="n">
        <v>0</v>
      </c>
      <c r="R24" s="1303" t="n">
        <v>0</v>
      </c>
      <c r="S24" s="1302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24,0))))),3))</f>
        <v/>
      </c>
      <c r="T24" s="1302">
        <f>IF(S24="","",ROUND(S24*(1+R24),3))</f>
        <v/>
      </c>
      <c r="U24" s="361" t="inlineStr">
        <is>
          <t>m³</t>
        </is>
      </c>
      <c r="V24" s="363" t="n"/>
      <c r="W24" s="363" t="n"/>
      <c r="X24" s="1304" t="n"/>
      <c r="Y24" s="363" t="inlineStr">
        <is>
          <t>Pendiente</t>
        </is>
      </c>
    </row>
    <row r="25" ht="15" customFormat="1" customHeight="1" s="666">
      <c r="A25" s="358" t="inlineStr">
        <is>
          <t>MQ-017</t>
        </is>
      </c>
      <c r="B25" s="359" t="inlineStr">
        <is>
          <t>MOVIMIENTO DE TIERRAS</t>
        </is>
      </c>
      <c r="C25" s="360" t="inlineStr">
        <is>
          <t>Rellenos</t>
        </is>
      </c>
      <c r="D25" s="361" t="inlineStr">
        <is>
          <t>02.02.04</t>
        </is>
      </c>
      <c r="E25" s="362" t="inlineStr">
        <is>
          <t>Suministro, extendido y compactación de base granular</t>
        </is>
      </c>
      <c r="F25" s="363" t="n"/>
      <c r="G25" s="363" t="n"/>
      <c r="H25" s="363" t="n"/>
      <c r="I25" s="361" t="inlineStr">
        <is>
          <t>m³</t>
        </is>
      </c>
      <c r="J25" s="1302" t="n">
        <v>0</v>
      </c>
      <c r="K25" s="1302" t="n">
        <v>0</v>
      </c>
      <c r="L25" s="1302" t="n">
        <v>0</v>
      </c>
      <c r="M25" s="1302" t="n">
        <v>0</v>
      </c>
      <c r="N25" s="1302" t="n">
        <v>1</v>
      </c>
      <c r="O25" s="1302" t="n">
        <v>1</v>
      </c>
      <c r="P25" s="1302" t="n">
        <v>1</v>
      </c>
      <c r="Q25" s="1302" t="n">
        <v>0</v>
      </c>
      <c r="R25" s="1303" t="n">
        <v>0</v>
      </c>
      <c r="S25" s="1302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25,0))))),3))</f>
        <v/>
      </c>
      <c r="T25" s="1302">
        <f>IF(S25="","",ROUND(S25*(1+R25),3))</f>
        <v/>
      </c>
      <c r="U25" s="361" t="inlineStr">
        <is>
          <t>m³</t>
        </is>
      </c>
      <c r="V25" s="363" t="n"/>
      <c r="W25" s="363" t="n"/>
      <c r="X25" s="1304" t="n"/>
      <c r="Y25" s="363" t="inlineStr">
        <is>
          <t>Pendiente</t>
        </is>
      </c>
    </row>
    <row r="26" ht="15" customFormat="1" customHeight="1" s="666">
      <c r="A26" s="358" t="inlineStr">
        <is>
          <t>MQ-018</t>
        </is>
      </c>
      <c r="B26" s="359" t="inlineStr">
        <is>
          <t>MOVIMIENTO DE TIERRAS</t>
        </is>
      </c>
      <c r="C26" s="360" t="inlineStr">
        <is>
          <t>Retiro</t>
        </is>
      </c>
      <c r="D26" s="361" t="inlineStr">
        <is>
          <t>02.03.01</t>
        </is>
      </c>
      <c r="E26" s="362" t="inlineStr">
        <is>
          <t>Cargue de material sobrante</t>
        </is>
      </c>
      <c r="F26" s="363" t="n"/>
      <c r="G26" s="363" t="n"/>
      <c r="H26" s="363" t="n"/>
      <c r="I26" s="361" t="inlineStr">
        <is>
          <t>m³</t>
        </is>
      </c>
      <c r="J26" s="1302" t="n">
        <v>0</v>
      </c>
      <c r="K26" s="1302" t="n">
        <v>0</v>
      </c>
      <c r="L26" s="1302" t="n">
        <v>0</v>
      </c>
      <c r="M26" s="1302" t="n">
        <v>0</v>
      </c>
      <c r="N26" s="1302" t="n">
        <v>1</v>
      </c>
      <c r="O26" s="1302" t="n">
        <v>1</v>
      </c>
      <c r="P26" s="1302" t="n">
        <v>1</v>
      </c>
      <c r="Q26" s="1302" t="n">
        <v>0</v>
      </c>
      <c r="R26" s="1303" t="n">
        <v>0</v>
      </c>
      <c r="S26" s="1302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26,0))))),3))</f>
        <v/>
      </c>
      <c r="T26" s="1302">
        <f>IF(S26="","",ROUND(S26*(1+R26),3))</f>
        <v/>
      </c>
      <c r="U26" s="361" t="inlineStr">
        <is>
          <t>m³</t>
        </is>
      </c>
      <c r="V26" s="363" t="n"/>
      <c r="W26" s="363" t="n"/>
      <c r="X26" s="1304" t="n"/>
      <c r="Y26" s="363" t="inlineStr">
        <is>
          <t>Pendiente</t>
        </is>
      </c>
    </row>
    <row r="27" ht="15" customFormat="1" customHeight="1" s="666">
      <c r="A27" s="358" t="inlineStr">
        <is>
          <t>MQ-019</t>
        </is>
      </c>
      <c r="B27" s="359" t="inlineStr">
        <is>
          <t>MOVIMIENTO DE TIERRAS</t>
        </is>
      </c>
      <c r="C27" s="360" t="inlineStr">
        <is>
          <t>Retiro</t>
        </is>
      </c>
      <c r="D27" s="361" t="inlineStr">
        <is>
          <t>02.03.02</t>
        </is>
      </c>
      <c r="E27" s="362" t="inlineStr">
        <is>
          <t>Transporte de material sobrante</t>
        </is>
      </c>
      <c r="F27" s="363" t="n"/>
      <c r="G27" s="363" t="n"/>
      <c r="H27" s="363" t="n"/>
      <c r="I27" s="361" t="inlineStr">
        <is>
          <t>m³</t>
        </is>
      </c>
      <c r="J27" s="1302" t="n">
        <v>0</v>
      </c>
      <c r="K27" s="1302" t="n">
        <v>0</v>
      </c>
      <c r="L27" s="1302" t="n">
        <v>0</v>
      </c>
      <c r="M27" s="1302" t="n">
        <v>0</v>
      </c>
      <c r="N27" s="1302" t="n">
        <v>1</v>
      </c>
      <c r="O27" s="1302" t="n">
        <v>1</v>
      </c>
      <c r="P27" s="1302" t="n">
        <v>1</v>
      </c>
      <c r="Q27" s="1302" t="n">
        <v>0</v>
      </c>
      <c r="R27" s="1303" t="n">
        <v>0</v>
      </c>
      <c r="S27" s="1302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27,0))))),3))</f>
        <v/>
      </c>
      <c r="T27" s="1302">
        <f>IF(S27="","",ROUND(S27*(1+R27),3))</f>
        <v/>
      </c>
      <c r="U27" s="361" t="inlineStr">
        <is>
          <t>m³</t>
        </is>
      </c>
      <c r="V27" s="363" t="n"/>
      <c r="W27" s="363" t="n"/>
      <c r="X27" s="1304" t="n"/>
      <c r="Y27" s="363" t="inlineStr">
        <is>
          <t>Pendiente</t>
        </is>
      </c>
    </row>
    <row r="28" ht="15" customFormat="1" customHeight="1" s="666">
      <c r="A28" s="358" t="inlineStr">
        <is>
          <t>MQ-020</t>
        </is>
      </c>
      <c r="B28" s="359" t="inlineStr">
        <is>
          <t>MOVIMIENTO DE TIERRAS</t>
        </is>
      </c>
      <c r="C28" s="360" t="inlineStr">
        <is>
          <t>Retiro</t>
        </is>
      </c>
      <c r="D28" s="361" t="inlineStr">
        <is>
          <t>02.03.03</t>
        </is>
      </c>
      <c r="E28" s="362" t="inlineStr">
        <is>
          <t>Disposición final de sobrantes</t>
        </is>
      </c>
      <c r="F28" s="363" t="n"/>
      <c r="G28" s="363" t="n"/>
      <c r="H28" s="363" t="n"/>
      <c r="I28" s="361" t="inlineStr">
        <is>
          <t>m³</t>
        </is>
      </c>
      <c r="J28" s="1302" t="n">
        <v>0</v>
      </c>
      <c r="K28" s="1302" t="n">
        <v>0</v>
      </c>
      <c r="L28" s="1302" t="n">
        <v>0</v>
      </c>
      <c r="M28" s="1302" t="n">
        <v>0</v>
      </c>
      <c r="N28" s="1302" t="n">
        <v>1</v>
      </c>
      <c r="O28" s="1302" t="n">
        <v>1</v>
      </c>
      <c r="P28" s="1302" t="n">
        <v>1</v>
      </c>
      <c r="Q28" s="1302" t="n">
        <v>0</v>
      </c>
      <c r="R28" s="1303" t="n">
        <v>0</v>
      </c>
      <c r="S28" s="1302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28,0))))),3))</f>
        <v/>
      </c>
      <c r="T28" s="1302">
        <f>IF(S28="","",ROUND(S28*(1+R28),3))</f>
        <v/>
      </c>
      <c r="U28" s="361" t="inlineStr">
        <is>
          <t>m³</t>
        </is>
      </c>
      <c r="V28" s="363" t="n"/>
      <c r="W28" s="363" t="n"/>
      <c r="X28" s="1304" t="n"/>
      <c r="Y28" s="363" t="inlineStr">
        <is>
          <t>Pendiente</t>
        </is>
      </c>
    </row>
    <row r="29" ht="15" customFormat="1" customHeight="1" s="666">
      <c r="A29" s="358" t="inlineStr">
        <is>
          <t>MQ-021</t>
        </is>
      </c>
      <c r="B29" s="359" t="inlineStr">
        <is>
          <t>CIMENTACIONES</t>
        </is>
      </c>
      <c r="C29" s="360" t="inlineStr">
        <is>
          <t>Concreto</t>
        </is>
      </c>
      <c r="D29" s="361" t="inlineStr">
        <is>
          <t>03.01.01</t>
        </is>
      </c>
      <c r="E29" s="362" t="inlineStr">
        <is>
          <t>Concreto de limpieza / solado</t>
        </is>
      </c>
      <c r="F29" s="363" t="n"/>
      <c r="G29" s="363" t="n"/>
      <c r="H29" s="363" t="n"/>
      <c r="I29" s="361" t="inlineStr">
        <is>
          <t>m³</t>
        </is>
      </c>
      <c r="J29" s="1302" t="n">
        <v>0</v>
      </c>
      <c r="K29" s="1302" t="n">
        <v>0</v>
      </c>
      <c r="L29" s="1302" t="n">
        <v>0</v>
      </c>
      <c r="M29" s="1302" t="n">
        <v>0</v>
      </c>
      <c r="N29" s="1302" t="n">
        <v>1</v>
      </c>
      <c r="O29" s="1302" t="n">
        <v>1</v>
      </c>
      <c r="P29" s="1302" t="n">
        <v>1</v>
      </c>
      <c r="Q29" s="1302" t="n">
        <v>0</v>
      </c>
      <c r="R29" s="1303" t="n">
        <v>0</v>
      </c>
      <c r="S29" s="1302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29,0))))),3))</f>
        <v/>
      </c>
      <c r="T29" s="1302">
        <f>IF(S29="","",ROUND(S29*(1+R29),3))</f>
        <v/>
      </c>
      <c r="U29" s="361" t="inlineStr">
        <is>
          <t>m³</t>
        </is>
      </c>
      <c r="V29" s="363" t="n"/>
      <c r="W29" s="363" t="n"/>
      <c r="X29" s="1304" t="n"/>
      <c r="Y29" s="363" t="inlineStr">
        <is>
          <t>Pendiente</t>
        </is>
      </c>
    </row>
    <row r="30" ht="15" customFormat="1" customHeight="1" s="666">
      <c r="A30" s="358" t="inlineStr">
        <is>
          <t>MQ-022</t>
        </is>
      </c>
      <c r="B30" s="359" t="inlineStr">
        <is>
          <t>CIMENTACIONES</t>
        </is>
      </c>
      <c r="C30" s="360" t="inlineStr">
        <is>
          <t>Concreto</t>
        </is>
      </c>
      <c r="D30" s="361" t="inlineStr">
        <is>
          <t>03.01.02</t>
        </is>
      </c>
      <c r="E30" s="362" t="inlineStr">
        <is>
          <t>Concreto para zapatas</t>
        </is>
      </c>
      <c r="F30" s="363" t="n"/>
      <c r="G30" s="363" t="n"/>
      <c r="H30" s="363" t="n"/>
      <c r="I30" s="361" t="inlineStr">
        <is>
          <t>m³</t>
        </is>
      </c>
      <c r="J30" s="1302" t="n">
        <v>0</v>
      </c>
      <c r="K30" s="1302" t="n">
        <v>0</v>
      </c>
      <c r="L30" s="1302" t="n">
        <v>0</v>
      </c>
      <c r="M30" s="1302" t="n">
        <v>0</v>
      </c>
      <c r="N30" s="1302" t="n">
        <v>1</v>
      </c>
      <c r="O30" s="1302" t="n">
        <v>1</v>
      </c>
      <c r="P30" s="1302" t="n">
        <v>1</v>
      </c>
      <c r="Q30" s="1302" t="n">
        <v>0</v>
      </c>
      <c r="R30" s="1303" t="n">
        <v>0</v>
      </c>
      <c r="S30" s="1302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30,0))))),3))</f>
        <v/>
      </c>
      <c r="T30" s="1302">
        <f>IF(S30="","",ROUND(S30*(1+R30),3))</f>
        <v/>
      </c>
      <c r="U30" s="361" t="inlineStr">
        <is>
          <t>m³</t>
        </is>
      </c>
      <c r="V30" s="363" t="n"/>
      <c r="W30" s="363" t="n"/>
      <c r="X30" s="1304" t="n"/>
      <c r="Y30" s="363" t="inlineStr">
        <is>
          <t>Pendiente</t>
        </is>
      </c>
    </row>
    <row r="31" ht="15" customFormat="1" customHeight="1" s="666">
      <c r="A31" s="358" t="inlineStr">
        <is>
          <t>MQ-023</t>
        </is>
      </c>
      <c r="B31" s="359" t="inlineStr">
        <is>
          <t>CIMENTACIONES</t>
        </is>
      </c>
      <c r="C31" s="360" t="inlineStr">
        <is>
          <t>Concreto</t>
        </is>
      </c>
      <c r="D31" s="361" t="inlineStr">
        <is>
          <t>03.01.03</t>
        </is>
      </c>
      <c r="E31" s="362" t="inlineStr">
        <is>
          <t>Concreto para vigas de cimentación</t>
        </is>
      </c>
      <c r="F31" s="363" t="n"/>
      <c r="G31" s="363" t="n"/>
      <c r="H31" s="363" t="n"/>
      <c r="I31" s="361" t="inlineStr">
        <is>
          <t>m³</t>
        </is>
      </c>
      <c r="J31" s="1302" t="n">
        <v>0</v>
      </c>
      <c r="K31" s="1302" t="n">
        <v>0</v>
      </c>
      <c r="L31" s="1302" t="n">
        <v>0</v>
      </c>
      <c r="M31" s="1302" t="n">
        <v>0</v>
      </c>
      <c r="N31" s="1302" t="n">
        <v>1</v>
      </c>
      <c r="O31" s="1302" t="n">
        <v>1</v>
      </c>
      <c r="P31" s="1302" t="n">
        <v>1</v>
      </c>
      <c r="Q31" s="1302" t="n">
        <v>0</v>
      </c>
      <c r="R31" s="1303" t="n">
        <v>0</v>
      </c>
      <c r="S31" s="1302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31,0))))),3))</f>
        <v/>
      </c>
      <c r="T31" s="1302">
        <f>IF(S31="","",ROUND(S31*(1+R31),3))</f>
        <v/>
      </c>
      <c r="U31" s="361" t="inlineStr">
        <is>
          <t>m³</t>
        </is>
      </c>
      <c r="V31" s="363" t="n"/>
      <c r="W31" s="363" t="n"/>
      <c r="X31" s="1304" t="n"/>
      <c r="Y31" s="363" t="inlineStr">
        <is>
          <t>Pendiente</t>
        </is>
      </c>
    </row>
    <row r="32" ht="15" customFormat="1" customHeight="1" s="666">
      <c r="A32" s="358" t="inlineStr">
        <is>
          <t>MQ-024</t>
        </is>
      </c>
      <c r="B32" s="359" t="inlineStr">
        <is>
          <t>CIMENTACIONES</t>
        </is>
      </c>
      <c r="C32" s="360" t="inlineStr">
        <is>
          <t>Concreto</t>
        </is>
      </c>
      <c r="D32" s="361" t="inlineStr">
        <is>
          <t>03.01.04</t>
        </is>
      </c>
      <c r="E32" s="362" t="inlineStr">
        <is>
          <t>Concreto para losas de cimentación</t>
        </is>
      </c>
      <c r="F32" s="363" t="n"/>
      <c r="G32" s="363" t="n"/>
      <c r="H32" s="363" t="n"/>
      <c r="I32" s="361" t="inlineStr">
        <is>
          <t>m³</t>
        </is>
      </c>
      <c r="J32" s="1302" t="n">
        <v>0</v>
      </c>
      <c r="K32" s="1302" t="n">
        <v>0</v>
      </c>
      <c r="L32" s="1302" t="n">
        <v>0</v>
      </c>
      <c r="M32" s="1302" t="n">
        <v>0</v>
      </c>
      <c r="N32" s="1302" t="n">
        <v>1</v>
      </c>
      <c r="O32" s="1302" t="n">
        <v>1</v>
      </c>
      <c r="P32" s="1302" t="n">
        <v>1</v>
      </c>
      <c r="Q32" s="1302" t="n">
        <v>0</v>
      </c>
      <c r="R32" s="1303" t="n">
        <v>0</v>
      </c>
      <c r="S32" s="1302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32,0))))),3))</f>
        <v/>
      </c>
      <c r="T32" s="1302">
        <f>IF(S32="","",ROUND(S32*(1+R32),3))</f>
        <v/>
      </c>
      <c r="U32" s="361" t="inlineStr">
        <is>
          <t>m³</t>
        </is>
      </c>
      <c r="V32" s="363" t="n"/>
      <c r="W32" s="363" t="n"/>
      <c r="X32" s="1304" t="n"/>
      <c r="Y32" s="363" t="inlineStr">
        <is>
          <t>Pendiente</t>
        </is>
      </c>
    </row>
    <row r="33" ht="15" customFormat="1" customHeight="1" s="666">
      <c r="A33" s="358" t="inlineStr">
        <is>
          <t>MQ-025</t>
        </is>
      </c>
      <c r="B33" s="359" t="inlineStr">
        <is>
          <t>CIMENTACIONES</t>
        </is>
      </c>
      <c r="C33" s="360" t="inlineStr">
        <is>
          <t>Concreto</t>
        </is>
      </c>
      <c r="D33" s="361" t="inlineStr">
        <is>
          <t>03.01.05</t>
        </is>
      </c>
      <c r="E33" s="362" t="inlineStr">
        <is>
          <t>Concreto para pedestales</t>
        </is>
      </c>
      <c r="F33" s="363" t="n"/>
      <c r="G33" s="363" t="n"/>
      <c r="H33" s="363" t="n"/>
      <c r="I33" s="361" t="inlineStr">
        <is>
          <t>m³</t>
        </is>
      </c>
      <c r="J33" s="1302" t="n">
        <v>0</v>
      </c>
      <c r="K33" s="1302" t="n">
        <v>0</v>
      </c>
      <c r="L33" s="1302" t="n">
        <v>0</v>
      </c>
      <c r="M33" s="1302" t="n">
        <v>0</v>
      </c>
      <c r="N33" s="1302" t="n">
        <v>1</v>
      </c>
      <c r="O33" s="1302" t="n">
        <v>1</v>
      </c>
      <c r="P33" s="1302" t="n">
        <v>1</v>
      </c>
      <c r="Q33" s="1302" t="n">
        <v>0</v>
      </c>
      <c r="R33" s="1303" t="n">
        <v>0</v>
      </c>
      <c r="S33" s="1302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33,0))))),3))</f>
        <v/>
      </c>
      <c r="T33" s="1302">
        <f>IF(S33="","",ROUND(S33*(1+R33),3))</f>
        <v/>
      </c>
      <c r="U33" s="361" t="inlineStr">
        <is>
          <t>m³</t>
        </is>
      </c>
      <c r="V33" s="363" t="n"/>
      <c r="W33" s="363" t="n"/>
      <c r="X33" s="1304" t="n"/>
      <c r="Y33" s="363" t="inlineStr">
        <is>
          <t>Pendiente</t>
        </is>
      </c>
    </row>
    <row r="34" ht="15" customFormat="1" customHeight="1" s="666">
      <c r="A34" s="358" t="inlineStr">
        <is>
          <t>MQ-026</t>
        </is>
      </c>
      <c r="B34" s="359" t="inlineStr">
        <is>
          <t>CIMENTACIONES</t>
        </is>
      </c>
      <c r="C34" s="360" t="inlineStr">
        <is>
          <t>Acero</t>
        </is>
      </c>
      <c r="D34" s="361" t="inlineStr">
        <is>
          <t>03.02.01</t>
        </is>
      </c>
      <c r="E34" s="362" t="inlineStr">
        <is>
          <t>Acero de refuerzo en cimentación</t>
        </is>
      </c>
      <c r="F34" s="363" t="n"/>
      <c r="G34" s="363" t="n"/>
      <c r="H34" s="363" t="n"/>
      <c r="I34" s="361" t="inlineStr">
        <is>
          <t>kg</t>
        </is>
      </c>
      <c r="J34" s="1302" t="n">
        <v>0</v>
      </c>
      <c r="K34" s="1302" t="n">
        <v>0</v>
      </c>
      <c r="L34" s="1302" t="n">
        <v>0</v>
      </c>
      <c r="M34" s="1302" t="n">
        <v>0</v>
      </c>
      <c r="N34" s="1302" t="n">
        <v>1</v>
      </c>
      <c r="O34" s="1302" t="n">
        <v>1</v>
      </c>
      <c r="P34" s="1302" t="n">
        <v>1</v>
      </c>
      <c r="Q34" s="1302" t="n">
        <v>0</v>
      </c>
      <c r="R34" s="1303" t="n">
        <v>0</v>
      </c>
      <c r="S34" s="1302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34,0))))),3))</f>
        <v/>
      </c>
      <c r="T34" s="1302">
        <f>IF(S34="","",ROUND(S34*(1+R34),3))</f>
        <v/>
      </c>
      <c r="U34" s="361" t="inlineStr">
        <is>
          <t>kg</t>
        </is>
      </c>
      <c r="V34" s="363" t="n"/>
      <c r="W34" s="363" t="n"/>
      <c r="X34" s="1304" t="n"/>
      <c r="Y34" s="363" t="inlineStr">
        <is>
          <t>Pendiente</t>
        </is>
      </c>
    </row>
    <row r="35" ht="15" customFormat="1" customHeight="1" s="666">
      <c r="A35" s="358" t="inlineStr">
        <is>
          <t>MQ-027</t>
        </is>
      </c>
      <c r="B35" s="359" t="inlineStr">
        <is>
          <t>CIMENTACIONES</t>
        </is>
      </c>
      <c r="C35" s="360" t="inlineStr">
        <is>
          <t>Formaleta</t>
        </is>
      </c>
      <c r="D35" s="361" t="inlineStr">
        <is>
          <t>03.03.01</t>
        </is>
      </c>
      <c r="E35" s="362" t="inlineStr">
        <is>
          <t>Formaleta para elementos de cimentación</t>
        </is>
      </c>
      <c r="F35" s="363" t="n"/>
      <c r="G35" s="363" t="n"/>
      <c r="H35" s="363" t="n"/>
      <c r="I35" s="361" t="inlineStr">
        <is>
          <t>m²</t>
        </is>
      </c>
      <c r="J35" s="1302" t="n">
        <v>0</v>
      </c>
      <c r="K35" s="1302" t="n">
        <v>0</v>
      </c>
      <c r="L35" s="1302" t="n">
        <v>0</v>
      </c>
      <c r="M35" s="1302" t="n">
        <v>0</v>
      </c>
      <c r="N35" s="1302" t="n">
        <v>1</v>
      </c>
      <c r="O35" s="1302" t="n">
        <v>1</v>
      </c>
      <c r="P35" s="1302" t="n">
        <v>1</v>
      </c>
      <c r="Q35" s="1302" t="n">
        <v>0</v>
      </c>
      <c r="R35" s="1303" t="n">
        <v>0</v>
      </c>
      <c r="S35" s="1302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35,0))))),3))</f>
        <v/>
      </c>
      <c r="T35" s="1302">
        <f>IF(S35="","",ROUND(S35*(1+R35),3))</f>
        <v/>
      </c>
      <c r="U35" s="361" t="inlineStr">
        <is>
          <t>m²</t>
        </is>
      </c>
      <c r="V35" s="363" t="n"/>
      <c r="W35" s="363" t="n"/>
      <c r="X35" s="1304" t="n"/>
      <c r="Y35" s="363" t="inlineStr">
        <is>
          <t>Pendiente</t>
        </is>
      </c>
    </row>
    <row r="36" ht="15" customFormat="1" customHeight="1" s="666">
      <c r="A36" s="358" t="inlineStr">
        <is>
          <t>MQ-028</t>
        </is>
      </c>
      <c r="B36" s="359" t="inlineStr">
        <is>
          <t>ESTRUCTURA</t>
        </is>
      </c>
      <c r="C36" s="360" t="inlineStr">
        <is>
          <t>Concreto</t>
        </is>
      </c>
      <c r="D36" s="361" t="inlineStr">
        <is>
          <t>04.01.01</t>
        </is>
      </c>
      <c r="E36" s="362" t="inlineStr">
        <is>
          <t>Concreto para columnas</t>
        </is>
      </c>
      <c r="F36" s="363" t="n"/>
      <c r="G36" s="363" t="n"/>
      <c r="H36" s="363" t="n"/>
      <c r="I36" s="361" t="inlineStr">
        <is>
          <t>m³</t>
        </is>
      </c>
      <c r="J36" s="1302" t="n">
        <v>0</v>
      </c>
      <c r="K36" s="1302" t="n">
        <v>0</v>
      </c>
      <c r="L36" s="1302" t="n">
        <v>0</v>
      </c>
      <c r="M36" s="1302" t="n">
        <v>0</v>
      </c>
      <c r="N36" s="1302" t="n">
        <v>1</v>
      </c>
      <c r="O36" s="1302" t="n">
        <v>1</v>
      </c>
      <c r="P36" s="1302" t="n">
        <v>1</v>
      </c>
      <c r="Q36" s="1302" t="n">
        <v>0</v>
      </c>
      <c r="R36" s="1303" t="n">
        <v>0</v>
      </c>
      <c r="S36" s="1302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36,0))))),3))</f>
        <v/>
      </c>
      <c r="T36" s="1302">
        <f>IF(S36="","",ROUND(S36*(1+R36),3))</f>
        <v/>
      </c>
      <c r="U36" s="361" t="inlineStr">
        <is>
          <t>m³</t>
        </is>
      </c>
      <c r="V36" s="363" t="n"/>
      <c r="W36" s="363" t="n"/>
      <c r="X36" s="1304" t="n"/>
      <c r="Y36" s="363" t="inlineStr">
        <is>
          <t>Pendiente</t>
        </is>
      </c>
    </row>
    <row r="37" ht="15" customFormat="1" customHeight="1" s="666">
      <c r="A37" s="358" t="inlineStr">
        <is>
          <t>MQ-029</t>
        </is>
      </c>
      <c r="B37" s="359" t="inlineStr">
        <is>
          <t>ESTRUCTURA</t>
        </is>
      </c>
      <c r="C37" s="360" t="inlineStr">
        <is>
          <t>Concreto</t>
        </is>
      </c>
      <c r="D37" s="361" t="inlineStr">
        <is>
          <t>04.01.02</t>
        </is>
      </c>
      <c r="E37" s="362" t="inlineStr">
        <is>
          <t>Concreto para vigas</t>
        </is>
      </c>
      <c r="F37" s="363" t="n"/>
      <c r="G37" s="363" t="n"/>
      <c r="H37" s="363" t="n"/>
      <c r="I37" s="361" t="inlineStr">
        <is>
          <t>m³</t>
        </is>
      </c>
      <c r="J37" s="1302" t="n">
        <v>0</v>
      </c>
      <c r="K37" s="1302" t="n">
        <v>0</v>
      </c>
      <c r="L37" s="1302" t="n">
        <v>0</v>
      </c>
      <c r="M37" s="1302" t="n">
        <v>0</v>
      </c>
      <c r="N37" s="1302" t="n">
        <v>1</v>
      </c>
      <c r="O37" s="1302" t="n">
        <v>1</v>
      </c>
      <c r="P37" s="1302" t="n">
        <v>1</v>
      </c>
      <c r="Q37" s="1302" t="n">
        <v>0</v>
      </c>
      <c r="R37" s="1303" t="n">
        <v>0</v>
      </c>
      <c r="S37" s="1302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37,0))))),3))</f>
        <v/>
      </c>
      <c r="T37" s="1302">
        <f>IF(S37="","",ROUND(S37*(1+R37),3))</f>
        <v/>
      </c>
      <c r="U37" s="361" t="inlineStr">
        <is>
          <t>m³</t>
        </is>
      </c>
      <c r="V37" s="363" t="n"/>
      <c r="W37" s="363" t="n"/>
      <c r="X37" s="1304" t="n"/>
      <c r="Y37" s="363" t="inlineStr">
        <is>
          <t>Pendiente</t>
        </is>
      </c>
    </row>
    <row r="38" ht="15" customFormat="1" customHeight="1" s="666">
      <c r="A38" s="358" t="inlineStr">
        <is>
          <t>MQ-030</t>
        </is>
      </c>
      <c r="B38" s="359" t="inlineStr">
        <is>
          <t>ESTRUCTURA</t>
        </is>
      </c>
      <c r="C38" s="360" t="inlineStr">
        <is>
          <t>Concreto</t>
        </is>
      </c>
      <c r="D38" s="361" t="inlineStr">
        <is>
          <t>04.01.03</t>
        </is>
      </c>
      <c r="E38" s="362" t="inlineStr">
        <is>
          <t>Concreto para losas</t>
        </is>
      </c>
      <c r="F38" s="363" t="n"/>
      <c r="G38" s="363" t="n"/>
      <c r="H38" s="363" t="n"/>
      <c r="I38" s="361" t="inlineStr">
        <is>
          <t>m³</t>
        </is>
      </c>
      <c r="J38" s="1302" t="n">
        <v>0</v>
      </c>
      <c r="K38" s="1302" t="n">
        <v>0</v>
      </c>
      <c r="L38" s="1302" t="n">
        <v>0</v>
      </c>
      <c r="M38" s="1302" t="n">
        <v>0</v>
      </c>
      <c r="N38" s="1302" t="n">
        <v>1</v>
      </c>
      <c r="O38" s="1302" t="n">
        <v>1</v>
      </c>
      <c r="P38" s="1302" t="n">
        <v>1</v>
      </c>
      <c r="Q38" s="1302" t="n">
        <v>0</v>
      </c>
      <c r="R38" s="1303" t="n">
        <v>0</v>
      </c>
      <c r="S38" s="1302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38,0))))),3))</f>
        <v/>
      </c>
      <c r="T38" s="1302">
        <f>IF(S38="","",ROUND(S38*(1+R38),3))</f>
        <v/>
      </c>
      <c r="U38" s="361" t="inlineStr">
        <is>
          <t>m³</t>
        </is>
      </c>
      <c r="V38" s="363" t="n"/>
      <c r="W38" s="363" t="n"/>
      <c r="X38" s="1304" t="n"/>
      <c r="Y38" s="363" t="inlineStr">
        <is>
          <t>Pendiente</t>
        </is>
      </c>
    </row>
    <row r="39" ht="15" customFormat="1" customHeight="1" s="666">
      <c r="A39" s="358" t="inlineStr">
        <is>
          <t>MQ-031</t>
        </is>
      </c>
      <c r="B39" s="359" t="inlineStr">
        <is>
          <t>ESTRUCTURA</t>
        </is>
      </c>
      <c r="C39" s="360" t="inlineStr">
        <is>
          <t>Concreto</t>
        </is>
      </c>
      <c r="D39" s="361" t="inlineStr">
        <is>
          <t>04.01.04</t>
        </is>
      </c>
      <c r="E39" s="362" t="inlineStr">
        <is>
          <t>Concreto para escaleras</t>
        </is>
      </c>
      <c r="F39" s="363" t="n"/>
      <c r="G39" s="363" t="n"/>
      <c r="H39" s="363" t="n"/>
      <c r="I39" s="361" t="inlineStr">
        <is>
          <t>m³</t>
        </is>
      </c>
      <c r="J39" s="1302" t="n">
        <v>0</v>
      </c>
      <c r="K39" s="1302" t="n">
        <v>0</v>
      </c>
      <c r="L39" s="1302" t="n">
        <v>0</v>
      </c>
      <c r="M39" s="1302" t="n">
        <v>0</v>
      </c>
      <c r="N39" s="1302" t="n">
        <v>1</v>
      </c>
      <c r="O39" s="1302" t="n">
        <v>1</v>
      </c>
      <c r="P39" s="1302" t="n">
        <v>1</v>
      </c>
      <c r="Q39" s="1302" t="n">
        <v>0</v>
      </c>
      <c r="R39" s="1303" t="n">
        <v>0</v>
      </c>
      <c r="S39" s="1302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39,0))))),3))</f>
        <v/>
      </c>
      <c r="T39" s="1302">
        <f>IF(S39="","",ROUND(S39*(1+R39),3))</f>
        <v/>
      </c>
      <c r="U39" s="361" t="inlineStr">
        <is>
          <t>m³</t>
        </is>
      </c>
      <c r="V39" s="363" t="n"/>
      <c r="W39" s="363" t="n"/>
      <c r="X39" s="1304" t="n"/>
      <c r="Y39" s="363" t="inlineStr">
        <is>
          <t>Pendiente</t>
        </is>
      </c>
    </row>
    <row r="40" ht="15" customFormat="1" customHeight="1" s="666">
      <c r="A40" s="358" t="inlineStr">
        <is>
          <t>MQ-032</t>
        </is>
      </c>
      <c r="B40" s="359" t="inlineStr">
        <is>
          <t>ESTRUCTURA</t>
        </is>
      </c>
      <c r="C40" s="360" t="inlineStr">
        <is>
          <t>Concreto</t>
        </is>
      </c>
      <c r="D40" s="361" t="inlineStr">
        <is>
          <t>04.01.05</t>
        </is>
      </c>
      <c r="E40" s="362" t="inlineStr">
        <is>
          <t>Concreto para muros estructurales</t>
        </is>
      </c>
      <c r="F40" s="363" t="n"/>
      <c r="G40" s="363" t="n"/>
      <c r="H40" s="363" t="n"/>
      <c r="I40" s="361" t="inlineStr">
        <is>
          <t>m³</t>
        </is>
      </c>
      <c r="J40" s="1302" t="n">
        <v>0</v>
      </c>
      <c r="K40" s="1302" t="n">
        <v>0</v>
      </c>
      <c r="L40" s="1302" t="n">
        <v>0</v>
      </c>
      <c r="M40" s="1302" t="n">
        <v>0</v>
      </c>
      <c r="N40" s="1302" t="n">
        <v>1</v>
      </c>
      <c r="O40" s="1302" t="n">
        <v>1</v>
      </c>
      <c r="P40" s="1302" t="n">
        <v>1</v>
      </c>
      <c r="Q40" s="1302" t="n">
        <v>0</v>
      </c>
      <c r="R40" s="1303" t="n">
        <v>0</v>
      </c>
      <c r="S40" s="1302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40,0))))),3))</f>
        <v/>
      </c>
      <c r="T40" s="1302">
        <f>IF(S40="","",ROUND(S40*(1+R40),3))</f>
        <v/>
      </c>
      <c r="U40" s="361" t="inlineStr">
        <is>
          <t>m³</t>
        </is>
      </c>
      <c r="V40" s="363" t="n"/>
      <c r="W40" s="363" t="n"/>
      <c r="X40" s="1304" t="n"/>
      <c r="Y40" s="363" t="inlineStr">
        <is>
          <t>Pendiente</t>
        </is>
      </c>
    </row>
    <row r="41" ht="15" customFormat="1" customHeight="1" s="666">
      <c r="A41" s="358" t="inlineStr">
        <is>
          <t>MQ-033</t>
        </is>
      </c>
      <c r="B41" s="359" t="inlineStr">
        <is>
          <t>ESTRUCTURA</t>
        </is>
      </c>
      <c r="C41" s="360" t="inlineStr">
        <is>
          <t>Acero</t>
        </is>
      </c>
      <c r="D41" s="361" t="inlineStr">
        <is>
          <t>04.02.01</t>
        </is>
      </c>
      <c r="E41" s="362" t="inlineStr">
        <is>
          <t>Acero de refuerzo de columnas</t>
        </is>
      </c>
      <c r="F41" s="363" t="n"/>
      <c r="G41" s="363" t="n"/>
      <c r="H41" s="363" t="n"/>
      <c r="I41" s="361" t="inlineStr">
        <is>
          <t>kg</t>
        </is>
      </c>
      <c r="J41" s="1302" t="n">
        <v>0</v>
      </c>
      <c r="K41" s="1302" t="n">
        <v>0</v>
      </c>
      <c r="L41" s="1302" t="n">
        <v>0</v>
      </c>
      <c r="M41" s="1302" t="n">
        <v>0</v>
      </c>
      <c r="N41" s="1302" t="n">
        <v>1</v>
      </c>
      <c r="O41" s="1302" t="n">
        <v>1</v>
      </c>
      <c r="P41" s="1302" t="n">
        <v>1</v>
      </c>
      <c r="Q41" s="1302" t="n">
        <v>0</v>
      </c>
      <c r="R41" s="1303" t="n">
        <v>0</v>
      </c>
      <c r="S41" s="1302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41,0))))),3))</f>
        <v/>
      </c>
      <c r="T41" s="1302">
        <f>IF(S41="","",ROUND(S41*(1+R41),3))</f>
        <v/>
      </c>
      <c r="U41" s="361" t="inlineStr">
        <is>
          <t>kg</t>
        </is>
      </c>
      <c r="V41" s="363" t="n"/>
      <c r="W41" s="363" t="n"/>
      <c r="X41" s="1304" t="n"/>
      <c r="Y41" s="363" t="inlineStr">
        <is>
          <t>Pendiente</t>
        </is>
      </c>
    </row>
    <row r="42" ht="15" customFormat="1" customHeight="1" s="666">
      <c r="A42" s="358" t="inlineStr">
        <is>
          <t>MQ-034</t>
        </is>
      </c>
      <c r="B42" s="359" t="inlineStr">
        <is>
          <t>ESTRUCTURA</t>
        </is>
      </c>
      <c r="C42" s="360" t="inlineStr">
        <is>
          <t>Acero</t>
        </is>
      </c>
      <c r="D42" s="361" t="inlineStr">
        <is>
          <t>04.02.02</t>
        </is>
      </c>
      <c r="E42" s="362" t="inlineStr">
        <is>
          <t>Acero de refuerzo de vigas</t>
        </is>
      </c>
      <c r="F42" s="363" t="n"/>
      <c r="G42" s="363" t="n"/>
      <c r="H42" s="363" t="n"/>
      <c r="I42" s="361" t="inlineStr">
        <is>
          <t>kg</t>
        </is>
      </c>
      <c r="J42" s="1302" t="n">
        <v>0</v>
      </c>
      <c r="K42" s="1302" t="n">
        <v>0</v>
      </c>
      <c r="L42" s="1302" t="n">
        <v>0</v>
      </c>
      <c r="M42" s="1302" t="n">
        <v>0</v>
      </c>
      <c r="N42" s="1302" t="n">
        <v>1</v>
      </c>
      <c r="O42" s="1302" t="n">
        <v>1</v>
      </c>
      <c r="P42" s="1302" t="n">
        <v>1</v>
      </c>
      <c r="Q42" s="1302" t="n">
        <v>0</v>
      </c>
      <c r="R42" s="1303" t="n">
        <v>0</v>
      </c>
      <c r="S42" s="1302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42,0))))),3))</f>
        <v/>
      </c>
      <c r="T42" s="1302">
        <f>IF(S42="","",ROUND(S42*(1+R42),3))</f>
        <v/>
      </c>
      <c r="U42" s="361" t="inlineStr">
        <is>
          <t>kg</t>
        </is>
      </c>
      <c r="V42" s="363" t="n"/>
      <c r="W42" s="363" t="n"/>
      <c r="X42" s="1304" t="n"/>
      <c r="Y42" s="363" t="inlineStr">
        <is>
          <t>Pendiente</t>
        </is>
      </c>
    </row>
    <row r="43" ht="15" customFormat="1" customHeight="1" s="666">
      <c r="A43" s="358" t="inlineStr">
        <is>
          <t>MQ-035</t>
        </is>
      </c>
      <c r="B43" s="359" t="inlineStr">
        <is>
          <t>ESTRUCTURA</t>
        </is>
      </c>
      <c r="C43" s="360" t="inlineStr">
        <is>
          <t>Acero</t>
        </is>
      </c>
      <c r="D43" s="361" t="inlineStr">
        <is>
          <t>04.02.03</t>
        </is>
      </c>
      <c r="E43" s="362" t="inlineStr">
        <is>
          <t>Acero de refuerzo de losas</t>
        </is>
      </c>
      <c r="F43" s="363" t="n"/>
      <c r="G43" s="363" t="n"/>
      <c r="H43" s="363" t="n"/>
      <c r="I43" s="361" t="inlineStr">
        <is>
          <t>kg</t>
        </is>
      </c>
      <c r="J43" s="1302" t="n">
        <v>0</v>
      </c>
      <c r="K43" s="1302" t="n">
        <v>0</v>
      </c>
      <c r="L43" s="1302" t="n">
        <v>0</v>
      </c>
      <c r="M43" s="1302" t="n">
        <v>0</v>
      </c>
      <c r="N43" s="1302" t="n">
        <v>1</v>
      </c>
      <c r="O43" s="1302" t="n">
        <v>1</v>
      </c>
      <c r="P43" s="1302" t="n">
        <v>1</v>
      </c>
      <c r="Q43" s="1302" t="n">
        <v>0</v>
      </c>
      <c r="R43" s="1303" t="n">
        <v>0</v>
      </c>
      <c r="S43" s="1302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43,0))))),3))</f>
        <v/>
      </c>
      <c r="T43" s="1302">
        <f>IF(S43="","",ROUND(S43*(1+R43),3))</f>
        <v/>
      </c>
      <c r="U43" s="361" t="inlineStr">
        <is>
          <t>kg</t>
        </is>
      </c>
      <c r="V43" s="363" t="n"/>
      <c r="W43" s="363" t="n"/>
      <c r="X43" s="1304" t="n"/>
      <c r="Y43" s="363" t="inlineStr">
        <is>
          <t>Pendiente</t>
        </is>
      </c>
    </row>
    <row r="44" ht="15" customFormat="1" customHeight="1" s="666">
      <c r="A44" s="358" t="inlineStr">
        <is>
          <t>MQ-036</t>
        </is>
      </c>
      <c r="B44" s="359" t="inlineStr">
        <is>
          <t>ESTRUCTURA</t>
        </is>
      </c>
      <c r="C44" s="360" t="inlineStr">
        <is>
          <t>Formaleta</t>
        </is>
      </c>
      <c r="D44" s="361" t="inlineStr">
        <is>
          <t>04.03.01</t>
        </is>
      </c>
      <c r="E44" s="362" t="inlineStr">
        <is>
          <t>Formaleta de columnas</t>
        </is>
      </c>
      <c r="F44" s="363" t="n"/>
      <c r="G44" s="363" t="n"/>
      <c r="H44" s="363" t="n"/>
      <c r="I44" s="361" t="inlineStr">
        <is>
          <t>m²</t>
        </is>
      </c>
      <c r="J44" s="1302" t="n">
        <v>0</v>
      </c>
      <c r="K44" s="1302" t="n">
        <v>0</v>
      </c>
      <c r="L44" s="1302" t="n">
        <v>0</v>
      </c>
      <c r="M44" s="1302" t="n">
        <v>0</v>
      </c>
      <c r="N44" s="1302" t="n">
        <v>1</v>
      </c>
      <c r="O44" s="1302" t="n">
        <v>1</v>
      </c>
      <c r="P44" s="1302" t="n">
        <v>1</v>
      </c>
      <c r="Q44" s="1302" t="n">
        <v>0</v>
      </c>
      <c r="R44" s="1303" t="n">
        <v>0</v>
      </c>
      <c r="S44" s="1302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44,0))))),3))</f>
        <v/>
      </c>
      <c r="T44" s="1302">
        <f>IF(S44="","",ROUND(S44*(1+R44),3))</f>
        <v/>
      </c>
      <c r="U44" s="361" t="inlineStr">
        <is>
          <t>m²</t>
        </is>
      </c>
      <c r="V44" s="363" t="n"/>
      <c r="W44" s="363" t="n"/>
      <c r="X44" s="1304" t="n"/>
      <c r="Y44" s="363" t="inlineStr">
        <is>
          <t>Pendiente</t>
        </is>
      </c>
    </row>
    <row r="45" ht="15" customFormat="1" customHeight="1" s="666">
      <c r="A45" s="358" t="inlineStr">
        <is>
          <t>MQ-037</t>
        </is>
      </c>
      <c r="B45" s="359" t="inlineStr">
        <is>
          <t>ESTRUCTURA</t>
        </is>
      </c>
      <c r="C45" s="360" t="inlineStr">
        <is>
          <t>Formaleta</t>
        </is>
      </c>
      <c r="D45" s="361" t="inlineStr">
        <is>
          <t>04.03.02</t>
        </is>
      </c>
      <c r="E45" s="362" t="inlineStr">
        <is>
          <t>Formaleta de vigas</t>
        </is>
      </c>
      <c r="F45" s="363" t="n"/>
      <c r="G45" s="363" t="n"/>
      <c r="H45" s="363" t="n"/>
      <c r="I45" s="361" t="inlineStr">
        <is>
          <t>m²</t>
        </is>
      </c>
      <c r="J45" s="1302" t="n">
        <v>0</v>
      </c>
      <c r="K45" s="1302" t="n">
        <v>0</v>
      </c>
      <c r="L45" s="1302" t="n">
        <v>0</v>
      </c>
      <c r="M45" s="1302" t="n">
        <v>0</v>
      </c>
      <c r="N45" s="1302" t="n">
        <v>1</v>
      </c>
      <c r="O45" s="1302" t="n">
        <v>1</v>
      </c>
      <c r="P45" s="1302" t="n">
        <v>1</v>
      </c>
      <c r="Q45" s="1302" t="n">
        <v>0</v>
      </c>
      <c r="R45" s="1303" t="n">
        <v>0</v>
      </c>
      <c r="S45" s="1302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45,0))))),3))</f>
        <v/>
      </c>
      <c r="T45" s="1302">
        <f>IF(S45="","",ROUND(S45*(1+R45),3))</f>
        <v/>
      </c>
      <c r="U45" s="361" t="inlineStr">
        <is>
          <t>m²</t>
        </is>
      </c>
      <c r="V45" s="363" t="n"/>
      <c r="W45" s="363" t="n"/>
      <c r="X45" s="1304" t="n"/>
      <c r="Y45" s="363" t="inlineStr">
        <is>
          <t>Pendiente</t>
        </is>
      </c>
    </row>
    <row r="46" ht="15" customFormat="1" customHeight="1" s="666">
      <c r="A46" s="358" t="inlineStr">
        <is>
          <t>MQ-038</t>
        </is>
      </c>
      <c r="B46" s="359" t="inlineStr">
        <is>
          <t>ESTRUCTURA</t>
        </is>
      </c>
      <c r="C46" s="360" t="inlineStr">
        <is>
          <t>Formaleta</t>
        </is>
      </c>
      <c r="D46" s="361" t="inlineStr">
        <is>
          <t>04.03.03</t>
        </is>
      </c>
      <c r="E46" s="362" t="inlineStr">
        <is>
          <t>Formaleta de losas</t>
        </is>
      </c>
      <c r="F46" s="363" t="n"/>
      <c r="G46" s="363" t="n"/>
      <c r="H46" s="363" t="n"/>
      <c r="I46" s="361" t="inlineStr">
        <is>
          <t>m²</t>
        </is>
      </c>
      <c r="J46" s="1302" t="n">
        <v>0</v>
      </c>
      <c r="K46" s="1302" t="n">
        <v>0</v>
      </c>
      <c r="L46" s="1302" t="n">
        <v>0</v>
      </c>
      <c r="M46" s="1302" t="n">
        <v>0</v>
      </c>
      <c r="N46" s="1302" t="n">
        <v>1</v>
      </c>
      <c r="O46" s="1302" t="n">
        <v>1</v>
      </c>
      <c r="P46" s="1302" t="n">
        <v>1</v>
      </c>
      <c r="Q46" s="1302" t="n">
        <v>0</v>
      </c>
      <c r="R46" s="1303" t="n">
        <v>0</v>
      </c>
      <c r="S46" s="1302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46,0))))),3))</f>
        <v/>
      </c>
      <c r="T46" s="1302">
        <f>IF(S46="","",ROUND(S46*(1+R46),3))</f>
        <v/>
      </c>
      <c r="U46" s="361" t="inlineStr">
        <is>
          <t>m²</t>
        </is>
      </c>
      <c r="V46" s="363" t="n"/>
      <c r="W46" s="363" t="n"/>
      <c r="X46" s="1304" t="n"/>
      <c r="Y46" s="363" t="inlineStr">
        <is>
          <t>Pendiente</t>
        </is>
      </c>
    </row>
    <row r="47" ht="15" customFormat="1" customHeight="1" s="666">
      <c r="A47" s="358" t="inlineStr">
        <is>
          <t>MQ-039</t>
        </is>
      </c>
      <c r="B47" s="359" t="inlineStr">
        <is>
          <t>ESTRUCTURA</t>
        </is>
      </c>
      <c r="C47" s="360" t="inlineStr">
        <is>
          <t>Formaleta</t>
        </is>
      </c>
      <c r="D47" s="361" t="inlineStr">
        <is>
          <t>04.03.04</t>
        </is>
      </c>
      <c r="E47" s="362" t="inlineStr">
        <is>
          <t>Formaleta de escaleras</t>
        </is>
      </c>
      <c r="F47" s="363" t="n"/>
      <c r="G47" s="363" t="n"/>
      <c r="H47" s="363" t="n"/>
      <c r="I47" s="361" t="inlineStr">
        <is>
          <t>m²</t>
        </is>
      </c>
      <c r="J47" s="1302" t="n">
        <v>0</v>
      </c>
      <c r="K47" s="1302" t="n">
        <v>0</v>
      </c>
      <c r="L47" s="1302" t="n">
        <v>0</v>
      </c>
      <c r="M47" s="1302" t="n">
        <v>0</v>
      </c>
      <c r="N47" s="1302" t="n">
        <v>1</v>
      </c>
      <c r="O47" s="1302" t="n">
        <v>1</v>
      </c>
      <c r="P47" s="1302" t="n">
        <v>1</v>
      </c>
      <c r="Q47" s="1302" t="n">
        <v>0</v>
      </c>
      <c r="R47" s="1303" t="n">
        <v>0</v>
      </c>
      <c r="S47" s="1302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47,0))))),3))</f>
        <v/>
      </c>
      <c r="T47" s="1302">
        <f>IF(S47="","",ROUND(S47*(1+R47),3))</f>
        <v/>
      </c>
      <c r="U47" s="361" t="inlineStr">
        <is>
          <t>m²</t>
        </is>
      </c>
      <c r="V47" s="363" t="n"/>
      <c r="W47" s="363" t="n"/>
      <c r="X47" s="1304" t="n"/>
      <c r="Y47" s="363" t="inlineStr">
        <is>
          <t>Pendiente</t>
        </is>
      </c>
    </row>
    <row r="48" ht="15" customFormat="1" customHeight="1" s="666">
      <c r="A48" s="358" t="inlineStr">
        <is>
          <t>MQ-040</t>
        </is>
      </c>
      <c r="B48" s="359" t="inlineStr">
        <is>
          <t>ESTRUCTURA</t>
        </is>
      </c>
      <c r="C48" s="360" t="inlineStr">
        <is>
          <t>Estructura metálica</t>
        </is>
      </c>
      <c r="D48" s="361" t="inlineStr">
        <is>
          <t>04.04.01</t>
        </is>
      </c>
      <c r="E48" s="362" t="inlineStr">
        <is>
          <t>Suministro y montaje de perfiles metálicos</t>
        </is>
      </c>
      <c r="F48" s="363" t="n"/>
      <c r="G48" s="363" t="n"/>
      <c r="H48" s="363" t="n"/>
      <c r="I48" s="361" t="inlineStr">
        <is>
          <t>kg</t>
        </is>
      </c>
      <c r="J48" s="1302" t="n">
        <v>0</v>
      </c>
      <c r="K48" s="1302" t="n">
        <v>0</v>
      </c>
      <c r="L48" s="1302" t="n">
        <v>0</v>
      </c>
      <c r="M48" s="1302" t="n">
        <v>0</v>
      </c>
      <c r="N48" s="1302" t="n">
        <v>1</v>
      </c>
      <c r="O48" s="1302" t="n">
        <v>1</v>
      </c>
      <c r="P48" s="1302" t="n">
        <v>1</v>
      </c>
      <c r="Q48" s="1302" t="n">
        <v>0</v>
      </c>
      <c r="R48" s="1303" t="n">
        <v>0</v>
      </c>
      <c r="S48" s="1302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48,0))))),3))</f>
        <v/>
      </c>
      <c r="T48" s="1302">
        <f>IF(S48="","",ROUND(S48*(1+R48),3))</f>
        <v/>
      </c>
      <c r="U48" s="361" t="inlineStr">
        <is>
          <t>kg</t>
        </is>
      </c>
      <c r="V48" s="363" t="n"/>
      <c r="W48" s="363" t="n"/>
      <c r="X48" s="1304" t="n"/>
      <c r="Y48" s="363" t="inlineStr">
        <is>
          <t>Pendiente</t>
        </is>
      </c>
    </row>
    <row r="49" ht="15" customFormat="1" customHeight="1" s="666">
      <c r="A49" s="358" t="inlineStr">
        <is>
          <t>MQ-041</t>
        </is>
      </c>
      <c r="B49" s="359" t="inlineStr">
        <is>
          <t>ESTRUCTURA</t>
        </is>
      </c>
      <c r="C49" s="360" t="inlineStr">
        <is>
          <t>Estructura metálica</t>
        </is>
      </c>
      <c r="D49" s="361" t="inlineStr">
        <is>
          <t>04.04.02</t>
        </is>
      </c>
      <c r="E49" s="362" t="inlineStr">
        <is>
          <t>Placas, pernos y conexiones metálicas</t>
        </is>
      </c>
      <c r="F49" s="363" t="n"/>
      <c r="G49" s="363" t="n"/>
      <c r="H49" s="363" t="n"/>
      <c r="I49" s="361" t="inlineStr">
        <is>
          <t>kg</t>
        </is>
      </c>
      <c r="J49" s="1302" t="n">
        <v>0</v>
      </c>
      <c r="K49" s="1302" t="n">
        <v>0</v>
      </c>
      <c r="L49" s="1302" t="n">
        <v>0</v>
      </c>
      <c r="M49" s="1302" t="n">
        <v>0</v>
      </c>
      <c r="N49" s="1302" t="n">
        <v>1</v>
      </c>
      <c r="O49" s="1302" t="n">
        <v>1</v>
      </c>
      <c r="P49" s="1302" t="n">
        <v>1</v>
      </c>
      <c r="Q49" s="1302" t="n">
        <v>0</v>
      </c>
      <c r="R49" s="1303" t="n">
        <v>0</v>
      </c>
      <c r="S49" s="1302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49,0))))),3))</f>
        <v/>
      </c>
      <c r="T49" s="1302">
        <f>IF(S49="","",ROUND(S49*(1+R49),3))</f>
        <v/>
      </c>
      <c r="U49" s="361" t="inlineStr">
        <is>
          <t>kg</t>
        </is>
      </c>
      <c r="V49" s="363" t="n"/>
      <c r="W49" s="363" t="n"/>
      <c r="X49" s="1304" t="n"/>
      <c r="Y49" s="363" t="inlineStr">
        <is>
          <t>Pendiente</t>
        </is>
      </c>
    </row>
    <row r="50" ht="15" customFormat="1" customHeight="1" s="666">
      <c r="A50" s="358" t="inlineStr">
        <is>
          <t>MQ-042</t>
        </is>
      </c>
      <c r="B50" s="359" t="inlineStr">
        <is>
          <t>MAMPOSTERÍA</t>
        </is>
      </c>
      <c r="C50" s="360" t="inlineStr">
        <is>
          <t>Muros</t>
        </is>
      </c>
      <c r="D50" s="361" t="inlineStr">
        <is>
          <t>05.01.01</t>
        </is>
      </c>
      <c r="E50" s="362" t="inlineStr">
        <is>
          <t>Mampostería en bloque de concreto</t>
        </is>
      </c>
      <c r="F50" s="363" t="n"/>
      <c r="G50" s="363" t="n"/>
      <c r="H50" s="363" t="n"/>
      <c r="I50" s="361" t="inlineStr">
        <is>
          <t>m²</t>
        </is>
      </c>
      <c r="J50" s="1302" t="n">
        <v>0</v>
      </c>
      <c r="K50" s="1302" t="n">
        <v>0</v>
      </c>
      <c r="L50" s="1302" t="n">
        <v>0</v>
      </c>
      <c r="M50" s="1302" t="n">
        <v>0</v>
      </c>
      <c r="N50" s="1302" t="n">
        <v>1</v>
      </c>
      <c r="O50" s="1302" t="n">
        <v>1</v>
      </c>
      <c r="P50" s="1302" t="n">
        <v>1</v>
      </c>
      <c r="Q50" s="1302" t="n">
        <v>0</v>
      </c>
      <c r="R50" s="1303" t="n">
        <v>0</v>
      </c>
      <c r="S50" s="1302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50,0))))),3))</f>
        <v/>
      </c>
      <c r="T50" s="1302">
        <f>IF(S50="","",ROUND(S50*(1+R50),3))</f>
        <v/>
      </c>
      <c r="U50" s="361" t="inlineStr">
        <is>
          <t>m²</t>
        </is>
      </c>
      <c r="V50" s="363" t="n"/>
      <c r="W50" s="363" t="n"/>
      <c r="X50" s="1304" t="n"/>
      <c r="Y50" s="363" t="inlineStr">
        <is>
          <t>Pendiente</t>
        </is>
      </c>
    </row>
    <row r="51" ht="15" customFormat="1" customHeight="1" s="666">
      <c r="A51" s="358" t="inlineStr">
        <is>
          <t>MQ-043</t>
        </is>
      </c>
      <c r="B51" s="359" t="inlineStr">
        <is>
          <t>MAMPOSTERÍA</t>
        </is>
      </c>
      <c r="C51" s="360" t="inlineStr">
        <is>
          <t>Muros</t>
        </is>
      </c>
      <c r="D51" s="361" t="inlineStr">
        <is>
          <t>05.01.02</t>
        </is>
      </c>
      <c r="E51" s="362" t="inlineStr">
        <is>
          <t>Mampostería en ladrillo</t>
        </is>
      </c>
      <c r="F51" s="363" t="n"/>
      <c r="G51" s="363" t="n"/>
      <c r="H51" s="363" t="n"/>
      <c r="I51" s="361" t="inlineStr">
        <is>
          <t>m²</t>
        </is>
      </c>
      <c r="J51" s="1302" t="n">
        <v>0</v>
      </c>
      <c r="K51" s="1302" t="n">
        <v>0</v>
      </c>
      <c r="L51" s="1302" t="n">
        <v>0</v>
      </c>
      <c r="M51" s="1302" t="n">
        <v>0</v>
      </c>
      <c r="N51" s="1302" t="n">
        <v>1</v>
      </c>
      <c r="O51" s="1302" t="n">
        <v>1</v>
      </c>
      <c r="P51" s="1302" t="n">
        <v>1</v>
      </c>
      <c r="Q51" s="1302" t="n">
        <v>0</v>
      </c>
      <c r="R51" s="1303" t="n">
        <v>0</v>
      </c>
      <c r="S51" s="1302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51,0))))),3))</f>
        <v/>
      </c>
      <c r="T51" s="1302">
        <f>IF(S51="","",ROUND(S51*(1+R51),3))</f>
        <v/>
      </c>
      <c r="U51" s="361" t="inlineStr">
        <is>
          <t>m²</t>
        </is>
      </c>
      <c r="V51" s="363" t="n"/>
      <c r="W51" s="363" t="n"/>
      <c r="X51" s="1304" t="n"/>
      <c r="Y51" s="363" t="inlineStr">
        <is>
          <t>Pendiente</t>
        </is>
      </c>
    </row>
    <row r="52" ht="15" customFormat="1" customHeight="1" s="666">
      <c r="A52" s="358" t="inlineStr">
        <is>
          <t>MQ-044</t>
        </is>
      </c>
      <c r="B52" s="359" t="inlineStr">
        <is>
          <t>MAMPOSTERÍA</t>
        </is>
      </c>
      <c r="C52" s="360" t="inlineStr">
        <is>
          <t>Muros</t>
        </is>
      </c>
      <c r="D52" s="361" t="inlineStr">
        <is>
          <t>05.01.03</t>
        </is>
      </c>
      <c r="E52" s="362" t="inlineStr">
        <is>
          <t>Mampostería estructural</t>
        </is>
      </c>
      <c r="F52" s="363" t="n"/>
      <c r="G52" s="363" t="n"/>
      <c r="H52" s="363" t="n"/>
      <c r="I52" s="361" t="inlineStr">
        <is>
          <t>m²</t>
        </is>
      </c>
      <c r="J52" s="1302" t="n">
        <v>0</v>
      </c>
      <c r="K52" s="1302" t="n">
        <v>0</v>
      </c>
      <c r="L52" s="1302" t="n">
        <v>0</v>
      </c>
      <c r="M52" s="1302" t="n">
        <v>0</v>
      </c>
      <c r="N52" s="1302" t="n">
        <v>1</v>
      </c>
      <c r="O52" s="1302" t="n">
        <v>1</v>
      </c>
      <c r="P52" s="1302" t="n">
        <v>1</v>
      </c>
      <c r="Q52" s="1302" t="n">
        <v>0</v>
      </c>
      <c r="R52" s="1303" t="n">
        <v>0</v>
      </c>
      <c r="S52" s="1302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52,0))))),3))</f>
        <v/>
      </c>
      <c r="T52" s="1302">
        <f>IF(S52="","",ROUND(S52*(1+R52),3))</f>
        <v/>
      </c>
      <c r="U52" s="361" t="inlineStr">
        <is>
          <t>m²</t>
        </is>
      </c>
      <c r="V52" s="363" t="n"/>
      <c r="W52" s="363" t="n"/>
      <c r="X52" s="1304" t="n"/>
      <c r="Y52" s="363" t="inlineStr">
        <is>
          <t>Pendiente</t>
        </is>
      </c>
    </row>
    <row r="53" ht="15" customFormat="1" customHeight="1" s="666">
      <c r="A53" s="358" t="inlineStr">
        <is>
          <t>MQ-045</t>
        </is>
      </c>
      <c r="B53" s="359" t="inlineStr">
        <is>
          <t>MAMPOSTERÍA</t>
        </is>
      </c>
      <c r="C53" s="360" t="inlineStr">
        <is>
          <t>Muros</t>
        </is>
      </c>
      <c r="D53" s="361" t="inlineStr">
        <is>
          <t>05.01.04</t>
        </is>
      </c>
      <c r="E53" s="362" t="inlineStr">
        <is>
          <t>Muros en sistema liviano / drywall</t>
        </is>
      </c>
      <c r="F53" s="363" t="n"/>
      <c r="G53" s="363" t="n"/>
      <c r="H53" s="363" t="n"/>
      <c r="I53" s="361" t="inlineStr">
        <is>
          <t>m²</t>
        </is>
      </c>
      <c r="J53" s="1302" t="n">
        <v>0</v>
      </c>
      <c r="K53" s="1302" t="n">
        <v>0</v>
      </c>
      <c r="L53" s="1302" t="n">
        <v>0</v>
      </c>
      <c r="M53" s="1302" t="n">
        <v>0</v>
      </c>
      <c r="N53" s="1302" t="n">
        <v>1</v>
      </c>
      <c r="O53" s="1302" t="n">
        <v>1</v>
      </c>
      <c r="P53" s="1302" t="n">
        <v>1</v>
      </c>
      <c r="Q53" s="1302" t="n">
        <v>0</v>
      </c>
      <c r="R53" s="1303" t="n">
        <v>0</v>
      </c>
      <c r="S53" s="1302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53,0))))),3))</f>
        <v/>
      </c>
      <c r="T53" s="1302">
        <f>IF(S53="","",ROUND(S53*(1+R53),3))</f>
        <v/>
      </c>
      <c r="U53" s="361" t="inlineStr">
        <is>
          <t>m²</t>
        </is>
      </c>
      <c r="V53" s="363" t="n"/>
      <c r="W53" s="363" t="n"/>
      <c r="X53" s="1304" t="n"/>
      <c r="Y53" s="363" t="inlineStr">
        <is>
          <t>Pendiente</t>
        </is>
      </c>
    </row>
    <row r="54" ht="15" customFormat="1" customHeight="1" s="666">
      <c r="A54" s="358" t="inlineStr">
        <is>
          <t>MQ-046</t>
        </is>
      </c>
      <c r="B54" s="359" t="inlineStr">
        <is>
          <t>MAMPOSTERÍA</t>
        </is>
      </c>
      <c r="C54" s="360" t="inlineStr">
        <is>
          <t>Complementarios</t>
        </is>
      </c>
      <c r="D54" s="361" t="inlineStr">
        <is>
          <t>05.02.01</t>
        </is>
      </c>
      <c r="E54" s="362" t="inlineStr">
        <is>
          <t>Dinteles sobre vanos</t>
        </is>
      </c>
      <c r="F54" s="363" t="n"/>
      <c r="G54" s="363" t="n"/>
      <c r="H54" s="363" t="n"/>
      <c r="I54" s="361" t="inlineStr">
        <is>
          <t>ml</t>
        </is>
      </c>
      <c r="J54" s="1302" t="n">
        <v>0</v>
      </c>
      <c r="K54" s="1302" t="n">
        <v>0</v>
      </c>
      <c r="L54" s="1302" t="n">
        <v>0</v>
      </c>
      <c r="M54" s="1302" t="n">
        <v>0</v>
      </c>
      <c r="N54" s="1302" t="n">
        <v>1</v>
      </c>
      <c r="O54" s="1302" t="n">
        <v>1</v>
      </c>
      <c r="P54" s="1302" t="n">
        <v>1</v>
      </c>
      <c r="Q54" s="1302" t="n">
        <v>0</v>
      </c>
      <c r="R54" s="1303" t="n">
        <v>0</v>
      </c>
      <c r="S54" s="1302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54,0))))),3))</f>
        <v/>
      </c>
      <c r="T54" s="1302">
        <f>IF(S54="","",ROUND(S54*(1+R54),3))</f>
        <v/>
      </c>
      <c r="U54" s="361" t="inlineStr">
        <is>
          <t>ml</t>
        </is>
      </c>
      <c r="V54" s="363" t="n"/>
      <c r="W54" s="363" t="n"/>
      <c r="X54" s="1304" t="n"/>
      <c r="Y54" s="363" t="inlineStr">
        <is>
          <t>Pendiente</t>
        </is>
      </c>
    </row>
    <row r="55" ht="15" customFormat="1" customHeight="1" s="666">
      <c r="A55" s="358" t="inlineStr">
        <is>
          <t>MQ-047</t>
        </is>
      </c>
      <c r="B55" s="359" t="inlineStr">
        <is>
          <t>MAMPOSTERÍA</t>
        </is>
      </c>
      <c r="C55" s="360" t="inlineStr">
        <is>
          <t>Complementarios</t>
        </is>
      </c>
      <c r="D55" s="361" t="inlineStr">
        <is>
          <t>05.02.02</t>
        </is>
      </c>
      <c r="E55" s="362" t="inlineStr">
        <is>
          <t>Alfajías y remates</t>
        </is>
      </c>
      <c r="F55" s="363" t="n"/>
      <c r="G55" s="363" t="n"/>
      <c r="H55" s="363" t="n"/>
      <c r="I55" s="361" t="inlineStr">
        <is>
          <t>ml</t>
        </is>
      </c>
      <c r="J55" s="1302" t="n">
        <v>0</v>
      </c>
      <c r="K55" s="1302" t="n">
        <v>0</v>
      </c>
      <c r="L55" s="1302" t="n">
        <v>0</v>
      </c>
      <c r="M55" s="1302" t="n">
        <v>0</v>
      </c>
      <c r="N55" s="1302" t="n">
        <v>1</v>
      </c>
      <c r="O55" s="1302" t="n">
        <v>1</v>
      </c>
      <c r="P55" s="1302" t="n">
        <v>1</v>
      </c>
      <c r="Q55" s="1302" t="n">
        <v>0</v>
      </c>
      <c r="R55" s="1303" t="n">
        <v>0</v>
      </c>
      <c r="S55" s="1302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55,0))))),3))</f>
        <v/>
      </c>
      <c r="T55" s="1302">
        <f>IF(S55="","",ROUND(S55*(1+R55),3))</f>
        <v/>
      </c>
      <c r="U55" s="361" t="inlineStr">
        <is>
          <t>ml</t>
        </is>
      </c>
      <c r="V55" s="363" t="n"/>
      <c r="W55" s="363" t="n"/>
      <c r="X55" s="1304" t="n"/>
      <c r="Y55" s="363" t="inlineStr">
        <is>
          <t>Pendiente</t>
        </is>
      </c>
    </row>
    <row r="56" ht="15" customFormat="1" customHeight="1" s="666">
      <c r="A56" s="358" t="inlineStr">
        <is>
          <t>MQ-048</t>
        </is>
      </c>
      <c r="B56" s="359" t="inlineStr">
        <is>
          <t>MAMPOSTERÍA</t>
        </is>
      </c>
      <c r="C56" s="360" t="inlineStr">
        <is>
          <t>Complementarios</t>
        </is>
      </c>
      <c r="D56" s="361" t="inlineStr">
        <is>
          <t>05.02.03</t>
        </is>
      </c>
      <c r="E56" s="362" t="inlineStr">
        <is>
          <t>Anclajes y refuerzos de mampostería</t>
        </is>
      </c>
      <c r="F56" s="363" t="n"/>
      <c r="G56" s="363" t="n"/>
      <c r="H56" s="363" t="n"/>
      <c r="I56" s="361" t="inlineStr">
        <is>
          <t>und</t>
        </is>
      </c>
      <c r="J56" s="1302" t="n">
        <v>0</v>
      </c>
      <c r="K56" s="1302" t="n">
        <v>0</v>
      </c>
      <c r="L56" s="1302" t="n">
        <v>0</v>
      </c>
      <c r="M56" s="1302" t="n">
        <v>0</v>
      </c>
      <c r="N56" s="1302" t="n">
        <v>1</v>
      </c>
      <c r="O56" s="1302" t="n">
        <v>1</v>
      </c>
      <c r="P56" s="1302" t="n">
        <v>1</v>
      </c>
      <c r="Q56" s="1302" t="n">
        <v>0</v>
      </c>
      <c r="R56" s="1303" t="n">
        <v>0</v>
      </c>
      <c r="S56" s="1302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56,0))))),3))</f>
        <v/>
      </c>
      <c r="T56" s="1302">
        <f>IF(S56="","",ROUND(S56*(1+R56),3))</f>
        <v/>
      </c>
      <c r="U56" s="361" t="inlineStr">
        <is>
          <t>und</t>
        </is>
      </c>
      <c r="V56" s="363" t="n"/>
      <c r="W56" s="363" t="n"/>
      <c r="X56" s="1304" t="n"/>
      <c r="Y56" s="363" t="inlineStr">
        <is>
          <t>Pendiente</t>
        </is>
      </c>
    </row>
    <row r="57" ht="15" customFormat="1" customHeight="1" s="666">
      <c r="A57" s="358" t="inlineStr">
        <is>
          <t>MQ-049</t>
        </is>
      </c>
      <c r="B57" s="359" t="inlineStr">
        <is>
          <t>CUBIERTAS</t>
        </is>
      </c>
      <c r="C57" s="360" t="inlineStr">
        <is>
          <t>Estructura</t>
        </is>
      </c>
      <c r="D57" s="361" t="inlineStr">
        <is>
          <t>06.01.01</t>
        </is>
      </c>
      <c r="E57" s="362" t="inlineStr">
        <is>
          <t>Estructura metálica o de madera para cubierta</t>
        </is>
      </c>
      <c r="F57" s="363" t="n"/>
      <c r="G57" s="363" t="n"/>
      <c r="H57" s="363" t="n"/>
      <c r="I57" s="361" t="inlineStr">
        <is>
          <t>kg</t>
        </is>
      </c>
      <c r="J57" s="1302" t="n">
        <v>0</v>
      </c>
      <c r="K57" s="1302" t="n">
        <v>0</v>
      </c>
      <c r="L57" s="1302" t="n">
        <v>0</v>
      </c>
      <c r="M57" s="1302" t="n">
        <v>0</v>
      </c>
      <c r="N57" s="1302" t="n">
        <v>1</v>
      </c>
      <c r="O57" s="1302" t="n">
        <v>1</v>
      </c>
      <c r="P57" s="1302" t="n">
        <v>1</v>
      </c>
      <c r="Q57" s="1302" t="n">
        <v>0</v>
      </c>
      <c r="R57" s="1303" t="n">
        <v>0</v>
      </c>
      <c r="S57" s="1302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57,0))))),3))</f>
        <v/>
      </c>
      <c r="T57" s="1302">
        <f>IF(S57="","",ROUND(S57*(1+R57),3))</f>
        <v/>
      </c>
      <c r="U57" s="361" t="inlineStr">
        <is>
          <t>kg</t>
        </is>
      </c>
      <c r="V57" s="363" t="n"/>
      <c r="W57" s="363" t="n"/>
      <c r="X57" s="1304" t="n"/>
      <c r="Y57" s="363" t="inlineStr">
        <is>
          <t>Pendiente</t>
        </is>
      </c>
    </row>
    <row r="58" ht="15" customFormat="1" customHeight="1" s="666">
      <c r="A58" s="358" t="inlineStr">
        <is>
          <t>MQ-050</t>
        </is>
      </c>
      <c r="B58" s="359" t="inlineStr">
        <is>
          <t>CUBIERTAS</t>
        </is>
      </c>
      <c r="C58" s="360" t="inlineStr">
        <is>
          <t>Estructura</t>
        </is>
      </c>
      <c r="D58" s="361" t="inlineStr">
        <is>
          <t>06.01.02</t>
        </is>
      </c>
      <c r="E58" s="362" t="inlineStr">
        <is>
          <t>Cerchas y elementos estructurales</t>
        </is>
      </c>
      <c r="F58" s="363" t="n"/>
      <c r="G58" s="363" t="n"/>
      <c r="H58" s="363" t="n"/>
      <c r="I58" s="361" t="inlineStr">
        <is>
          <t>kg</t>
        </is>
      </c>
      <c r="J58" s="1302" t="n">
        <v>0</v>
      </c>
      <c r="K58" s="1302" t="n">
        <v>0</v>
      </c>
      <c r="L58" s="1302" t="n">
        <v>0</v>
      </c>
      <c r="M58" s="1302" t="n">
        <v>0</v>
      </c>
      <c r="N58" s="1302" t="n">
        <v>1</v>
      </c>
      <c r="O58" s="1302" t="n">
        <v>1</v>
      </c>
      <c r="P58" s="1302" t="n">
        <v>1</v>
      </c>
      <c r="Q58" s="1302" t="n">
        <v>0</v>
      </c>
      <c r="R58" s="1303" t="n">
        <v>0</v>
      </c>
      <c r="S58" s="1302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58,0))))),3))</f>
        <v/>
      </c>
      <c r="T58" s="1302">
        <f>IF(S58="","",ROUND(S58*(1+R58),3))</f>
        <v/>
      </c>
      <c r="U58" s="361" t="inlineStr">
        <is>
          <t>kg</t>
        </is>
      </c>
      <c r="V58" s="363" t="n"/>
      <c r="W58" s="363" t="n"/>
      <c r="X58" s="1304" t="n"/>
      <c r="Y58" s="363" t="inlineStr">
        <is>
          <t>Pendiente</t>
        </is>
      </c>
    </row>
    <row r="59" ht="15" customFormat="1" customHeight="1" s="666">
      <c r="A59" s="358" t="inlineStr">
        <is>
          <t>MQ-051</t>
        </is>
      </c>
      <c r="B59" s="359" t="inlineStr">
        <is>
          <t>CUBIERTAS</t>
        </is>
      </c>
      <c r="C59" s="360" t="inlineStr">
        <is>
          <t>Cubierta</t>
        </is>
      </c>
      <c r="D59" s="361" t="inlineStr">
        <is>
          <t>06.02.01</t>
        </is>
      </c>
      <c r="E59" s="362" t="inlineStr">
        <is>
          <t>Suministro e instalación de teja</t>
        </is>
      </c>
      <c r="F59" s="363" t="n"/>
      <c r="G59" s="363" t="n"/>
      <c r="H59" s="363" t="n"/>
      <c r="I59" s="361" t="inlineStr">
        <is>
          <t>m²</t>
        </is>
      </c>
      <c r="J59" s="1302" t="n">
        <v>0</v>
      </c>
      <c r="K59" s="1302" t="n">
        <v>0</v>
      </c>
      <c r="L59" s="1302" t="n">
        <v>0</v>
      </c>
      <c r="M59" s="1302" t="n">
        <v>0</v>
      </c>
      <c r="N59" s="1302" t="n">
        <v>1</v>
      </c>
      <c r="O59" s="1302" t="n">
        <v>1</v>
      </c>
      <c r="P59" s="1302" t="n">
        <v>1</v>
      </c>
      <c r="Q59" s="1302" t="n">
        <v>0</v>
      </c>
      <c r="R59" s="1303" t="n">
        <v>0</v>
      </c>
      <c r="S59" s="1302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59,0))))),3))</f>
        <v/>
      </c>
      <c r="T59" s="1302">
        <f>IF(S59="","",ROUND(S59*(1+R59),3))</f>
        <v/>
      </c>
      <c r="U59" s="361" t="inlineStr">
        <is>
          <t>m²</t>
        </is>
      </c>
      <c r="V59" s="363" t="n"/>
      <c r="W59" s="363" t="n"/>
      <c r="X59" s="1304" t="n"/>
      <c r="Y59" s="363" t="inlineStr">
        <is>
          <t>Pendiente</t>
        </is>
      </c>
    </row>
    <row r="60" ht="15" customFormat="1" customHeight="1" s="666">
      <c r="A60" s="358" t="inlineStr">
        <is>
          <t>MQ-052</t>
        </is>
      </c>
      <c r="B60" s="359" t="inlineStr">
        <is>
          <t>CUBIERTAS</t>
        </is>
      </c>
      <c r="C60" s="360" t="inlineStr">
        <is>
          <t>Cubierta</t>
        </is>
      </c>
      <c r="D60" s="361" t="inlineStr">
        <is>
          <t>06.02.02</t>
        </is>
      </c>
      <c r="E60" s="362" t="inlineStr">
        <is>
          <t>Impermeabilización de cubierta</t>
        </is>
      </c>
      <c r="F60" s="363" t="n"/>
      <c r="G60" s="363" t="n"/>
      <c r="H60" s="363" t="n"/>
      <c r="I60" s="361" t="inlineStr">
        <is>
          <t>m²</t>
        </is>
      </c>
      <c r="J60" s="1302" t="n">
        <v>0</v>
      </c>
      <c r="K60" s="1302" t="n">
        <v>0</v>
      </c>
      <c r="L60" s="1302" t="n">
        <v>0</v>
      </c>
      <c r="M60" s="1302" t="n">
        <v>0</v>
      </c>
      <c r="N60" s="1302" t="n">
        <v>1</v>
      </c>
      <c r="O60" s="1302" t="n">
        <v>1</v>
      </c>
      <c r="P60" s="1302" t="n">
        <v>1</v>
      </c>
      <c r="Q60" s="1302" t="n">
        <v>0</v>
      </c>
      <c r="R60" s="1303" t="n">
        <v>0</v>
      </c>
      <c r="S60" s="1302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60,0))))),3))</f>
        <v/>
      </c>
      <c r="T60" s="1302">
        <f>IF(S60="","",ROUND(S60*(1+R60),3))</f>
        <v/>
      </c>
      <c r="U60" s="361" t="inlineStr">
        <is>
          <t>m²</t>
        </is>
      </c>
      <c r="V60" s="363" t="n"/>
      <c r="W60" s="363" t="n"/>
      <c r="X60" s="1304" t="n"/>
      <c r="Y60" s="363" t="inlineStr">
        <is>
          <t>Pendiente</t>
        </is>
      </c>
    </row>
    <row r="61" ht="15" customFormat="1" customHeight="1" s="666">
      <c r="A61" s="358" t="inlineStr">
        <is>
          <t>MQ-053</t>
        </is>
      </c>
      <c r="B61" s="359" t="inlineStr">
        <is>
          <t>CUBIERTAS</t>
        </is>
      </c>
      <c r="C61" s="360" t="inlineStr">
        <is>
          <t>Cubierta</t>
        </is>
      </c>
      <c r="D61" s="361" t="inlineStr">
        <is>
          <t>06.02.03</t>
        </is>
      </c>
      <c r="E61" s="362" t="inlineStr">
        <is>
          <t>Aislamiento térmico/acústico</t>
        </is>
      </c>
      <c r="F61" s="363" t="n"/>
      <c r="G61" s="363" t="n"/>
      <c r="H61" s="363" t="n"/>
      <c r="I61" s="361" t="inlineStr">
        <is>
          <t>m²</t>
        </is>
      </c>
      <c r="J61" s="1302" t="n">
        <v>0</v>
      </c>
      <c r="K61" s="1302" t="n">
        <v>0</v>
      </c>
      <c r="L61" s="1302" t="n">
        <v>0</v>
      </c>
      <c r="M61" s="1302" t="n">
        <v>0</v>
      </c>
      <c r="N61" s="1302" t="n">
        <v>1</v>
      </c>
      <c r="O61" s="1302" t="n">
        <v>1</v>
      </c>
      <c r="P61" s="1302" t="n">
        <v>1</v>
      </c>
      <c r="Q61" s="1302" t="n">
        <v>0</v>
      </c>
      <c r="R61" s="1303" t="n">
        <v>0</v>
      </c>
      <c r="S61" s="1302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61,0))))),3))</f>
        <v/>
      </c>
      <c r="T61" s="1302">
        <f>IF(S61="","",ROUND(S61*(1+R61),3))</f>
        <v/>
      </c>
      <c r="U61" s="361" t="inlineStr">
        <is>
          <t>m²</t>
        </is>
      </c>
      <c r="V61" s="363" t="n"/>
      <c r="W61" s="363" t="n"/>
      <c r="X61" s="1304" t="n"/>
      <c r="Y61" s="363" t="inlineStr">
        <is>
          <t>Pendiente</t>
        </is>
      </c>
    </row>
    <row r="62" ht="15" customFormat="1" customHeight="1" s="666">
      <c r="A62" s="358" t="inlineStr">
        <is>
          <t>MQ-054</t>
        </is>
      </c>
      <c r="B62" s="359" t="inlineStr">
        <is>
          <t>CUBIERTAS</t>
        </is>
      </c>
      <c r="C62" s="360" t="inlineStr">
        <is>
          <t>Canales</t>
        </is>
      </c>
      <c r="D62" s="361" t="inlineStr">
        <is>
          <t>06.03.01</t>
        </is>
      </c>
      <c r="E62" s="362" t="inlineStr">
        <is>
          <t>Canales de aguas lluvias</t>
        </is>
      </c>
      <c r="F62" s="363" t="n"/>
      <c r="G62" s="363" t="n"/>
      <c r="H62" s="363" t="n"/>
      <c r="I62" s="361" t="inlineStr">
        <is>
          <t>ml</t>
        </is>
      </c>
      <c r="J62" s="1302" t="n">
        <v>0</v>
      </c>
      <c r="K62" s="1302" t="n">
        <v>0</v>
      </c>
      <c r="L62" s="1302" t="n">
        <v>0</v>
      </c>
      <c r="M62" s="1302" t="n">
        <v>0</v>
      </c>
      <c r="N62" s="1302" t="n">
        <v>1</v>
      </c>
      <c r="O62" s="1302" t="n">
        <v>1</v>
      </c>
      <c r="P62" s="1302" t="n">
        <v>1</v>
      </c>
      <c r="Q62" s="1302" t="n">
        <v>0</v>
      </c>
      <c r="R62" s="1303" t="n">
        <v>0</v>
      </c>
      <c r="S62" s="1302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62,0))))),3))</f>
        <v/>
      </c>
      <c r="T62" s="1302">
        <f>IF(S62="","",ROUND(S62*(1+R62),3))</f>
        <v/>
      </c>
      <c r="U62" s="361" t="inlineStr">
        <is>
          <t>ml</t>
        </is>
      </c>
      <c r="V62" s="363" t="n"/>
      <c r="W62" s="363" t="n"/>
      <c r="X62" s="1304" t="n"/>
      <c r="Y62" s="363" t="inlineStr">
        <is>
          <t>Pendiente</t>
        </is>
      </c>
    </row>
    <row r="63" ht="15" customFormat="1" customHeight="1" s="666">
      <c r="A63" s="358" t="inlineStr">
        <is>
          <t>MQ-055</t>
        </is>
      </c>
      <c r="B63" s="359" t="inlineStr">
        <is>
          <t>CUBIERTAS</t>
        </is>
      </c>
      <c r="C63" s="360" t="inlineStr">
        <is>
          <t>Canales</t>
        </is>
      </c>
      <c r="D63" s="361" t="inlineStr">
        <is>
          <t>06.03.02</t>
        </is>
      </c>
      <c r="E63" s="362" t="inlineStr">
        <is>
          <t>Bajantes de aguas lluvias</t>
        </is>
      </c>
      <c r="F63" s="363" t="n"/>
      <c r="G63" s="363" t="n"/>
      <c r="H63" s="363" t="n"/>
      <c r="I63" s="361" t="inlineStr">
        <is>
          <t>ml</t>
        </is>
      </c>
      <c r="J63" s="1302" t="n">
        <v>0</v>
      </c>
      <c r="K63" s="1302" t="n">
        <v>0</v>
      </c>
      <c r="L63" s="1302" t="n">
        <v>0</v>
      </c>
      <c r="M63" s="1302" t="n">
        <v>0</v>
      </c>
      <c r="N63" s="1302" t="n">
        <v>1</v>
      </c>
      <c r="O63" s="1302" t="n">
        <v>1</v>
      </c>
      <c r="P63" s="1302" t="n">
        <v>1</v>
      </c>
      <c r="Q63" s="1302" t="n">
        <v>0</v>
      </c>
      <c r="R63" s="1303" t="n">
        <v>0</v>
      </c>
      <c r="S63" s="1302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63,0))))),3))</f>
        <v/>
      </c>
      <c r="T63" s="1302">
        <f>IF(S63="","",ROUND(S63*(1+R63),3))</f>
        <v/>
      </c>
      <c r="U63" s="361" t="inlineStr">
        <is>
          <t>ml</t>
        </is>
      </c>
      <c r="V63" s="363" t="n"/>
      <c r="W63" s="363" t="n"/>
      <c r="X63" s="1304" t="n"/>
      <c r="Y63" s="363" t="inlineStr">
        <is>
          <t>Pendiente</t>
        </is>
      </c>
    </row>
    <row r="64" ht="15" customFormat="1" customHeight="1" s="666">
      <c r="A64" s="358" t="inlineStr">
        <is>
          <t>MQ-056</t>
        </is>
      </c>
      <c r="B64" s="359" t="inlineStr">
        <is>
          <t>IMPERMEABILIZACIONES</t>
        </is>
      </c>
      <c r="C64" s="360" t="inlineStr">
        <is>
          <t>Superficies</t>
        </is>
      </c>
      <c r="D64" s="361" t="inlineStr">
        <is>
          <t>07.01.01</t>
        </is>
      </c>
      <c r="E64" s="362" t="inlineStr">
        <is>
          <t>Impermeabilización de losas y terrazas</t>
        </is>
      </c>
      <c r="F64" s="363" t="n"/>
      <c r="G64" s="363" t="n"/>
      <c r="H64" s="363" t="n"/>
      <c r="I64" s="361" t="inlineStr">
        <is>
          <t>m²</t>
        </is>
      </c>
      <c r="J64" s="1302" t="n">
        <v>0</v>
      </c>
      <c r="K64" s="1302" t="n">
        <v>0</v>
      </c>
      <c r="L64" s="1302" t="n">
        <v>0</v>
      </c>
      <c r="M64" s="1302" t="n">
        <v>0</v>
      </c>
      <c r="N64" s="1302" t="n">
        <v>1</v>
      </c>
      <c r="O64" s="1302" t="n">
        <v>1</v>
      </c>
      <c r="P64" s="1302" t="n">
        <v>1</v>
      </c>
      <c r="Q64" s="1302" t="n">
        <v>0</v>
      </c>
      <c r="R64" s="1303" t="n">
        <v>0</v>
      </c>
      <c r="S64" s="1302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64,0))))),3))</f>
        <v/>
      </c>
      <c r="T64" s="1302">
        <f>IF(S64="","",ROUND(S64*(1+R64),3))</f>
        <v/>
      </c>
      <c r="U64" s="361" t="inlineStr">
        <is>
          <t>m²</t>
        </is>
      </c>
      <c r="V64" s="363" t="n"/>
      <c r="W64" s="363" t="n"/>
      <c r="X64" s="1304" t="n"/>
      <c r="Y64" s="363" t="inlineStr">
        <is>
          <t>Pendiente</t>
        </is>
      </c>
    </row>
    <row r="65" ht="15" customFormat="1" customHeight="1" s="666">
      <c r="A65" s="358" t="inlineStr">
        <is>
          <t>MQ-057</t>
        </is>
      </c>
      <c r="B65" s="359" t="inlineStr">
        <is>
          <t>IMPERMEABILIZACIONES</t>
        </is>
      </c>
      <c r="C65" s="360" t="inlineStr">
        <is>
          <t>Superficies</t>
        </is>
      </c>
      <c r="D65" s="361" t="inlineStr">
        <is>
          <t>07.01.02</t>
        </is>
      </c>
      <c r="E65" s="362" t="inlineStr">
        <is>
          <t>Impermeabilización de muros</t>
        </is>
      </c>
      <c r="F65" s="363" t="n"/>
      <c r="G65" s="363" t="n"/>
      <c r="H65" s="363" t="n"/>
      <c r="I65" s="361" t="inlineStr">
        <is>
          <t>m²</t>
        </is>
      </c>
      <c r="J65" s="1302" t="n">
        <v>0</v>
      </c>
      <c r="K65" s="1302" t="n">
        <v>0</v>
      </c>
      <c r="L65" s="1302" t="n">
        <v>0</v>
      </c>
      <c r="M65" s="1302" t="n">
        <v>0</v>
      </c>
      <c r="N65" s="1302" t="n">
        <v>1</v>
      </c>
      <c r="O65" s="1302" t="n">
        <v>1</v>
      </c>
      <c r="P65" s="1302" t="n">
        <v>1</v>
      </c>
      <c r="Q65" s="1302" t="n">
        <v>0</v>
      </c>
      <c r="R65" s="1303" t="n">
        <v>0</v>
      </c>
      <c r="S65" s="1302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65,0))))),3))</f>
        <v/>
      </c>
      <c r="T65" s="1302">
        <f>IF(S65="","",ROUND(S65*(1+R65),3))</f>
        <v/>
      </c>
      <c r="U65" s="361" t="inlineStr">
        <is>
          <t>m²</t>
        </is>
      </c>
      <c r="V65" s="363" t="n"/>
      <c r="W65" s="363" t="n"/>
      <c r="X65" s="1304" t="n"/>
      <c r="Y65" s="363" t="inlineStr">
        <is>
          <t>Pendiente</t>
        </is>
      </c>
    </row>
    <row r="66" ht="15" customFormat="1" customHeight="1" s="666">
      <c r="A66" s="358" t="inlineStr">
        <is>
          <t>MQ-058</t>
        </is>
      </c>
      <c r="B66" s="359" t="inlineStr">
        <is>
          <t>IMPERMEABILIZACIONES</t>
        </is>
      </c>
      <c r="C66" s="360" t="inlineStr">
        <is>
          <t>Superficies</t>
        </is>
      </c>
      <c r="D66" s="361" t="inlineStr">
        <is>
          <t>07.01.03</t>
        </is>
      </c>
      <c r="E66" s="362" t="inlineStr">
        <is>
          <t>Impermeabilización de zonas húmedas</t>
        </is>
      </c>
      <c r="F66" s="363" t="n"/>
      <c r="G66" s="363" t="n"/>
      <c r="H66" s="363" t="n"/>
      <c r="I66" s="361" t="inlineStr">
        <is>
          <t>m²</t>
        </is>
      </c>
      <c r="J66" s="1302" t="n">
        <v>0</v>
      </c>
      <c r="K66" s="1302" t="n">
        <v>0</v>
      </c>
      <c r="L66" s="1302" t="n">
        <v>0</v>
      </c>
      <c r="M66" s="1302" t="n">
        <v>0</v>
      </c>
      <c r="N66" s="1302" t="n">
        <v>1</v>
      </c>
      <c r="O66" s="1302" t="n">
        <v>1</v>
      </c>
      <c r="P66" s="1302" t="n">
        <v>1</v>
      </c>
      <c r="Q66" s="1302" t="n">
        <v>0</v>
      </c>
      <c r="R66" s="1303" t="n">
        <v>0</v>
      </c>
      <c r="S66" s="1302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66,0))))),3))</f>
        <v/>
      </c>
      <c r="T66" s="1302">
        <f>IF(S66="","",ROUND(S66*(1+R66),3))</f>
        <v/>
      </c>
      <c r="U66" s="361" t="inlineStr">
        <is>
          <t>m²</t>
        </is>
      </c>
      <c r="V66" s="363" t="n"/>
      <c r="W66" s="363" t="n"/>
      <c r="X66" s="1304" t="n"/>
      <c r="Y66" s="363" t="inlineStr">
        <is>
          <t>Pendiente</t>
        </is>
      </c>
    </row>
    <row r="67" ht="15" customFormat="1" customHeight="1" s="666">
      <c r="A67" s="358" t="inlineStr">
        <is>
          <t>MQ-059</t>
        </is>
      </c>
      <c r="B67" s="359" t="inlineStr">
        <is>
          <t>PAÑETES Y REVOQUES</t>
        </is>
      </c>
      <c r="C67" s="360" t="inlineStr">
        <is>
          <t>Pañetes</t>
        </is>
      </c>
      <c r="D67" s="361" t="inlineStr">
        <is>
          <t>08.01.01</t>
        </is>
      </c>
      <c r="E67" s="362" t="inlineStr">
        <is>
          <t>Pañete / revoque interior</t>
        </is>
      </c>
      <c r="F67" s="363" t="n"/>
      <c r="G67" s="363" t="n"/>
      <c r="H67" s="363" t="n"/>
      <c r="I67" s="361" t="inlineStr">
        <is>
          <t>m²</t>
        </is>
      </c>
      <c r="J67" s="1302" t="n">
        <v>0</v>
      </c>
      <c r="K67" s="1302" t="n">
        <v>0</v>
      </c>
      <c r="L67" s="1302" t="n">
        <v>0</v>
      </c>
      <c r="M67" s="1302" t="n">
        <v>0</v>
      </c>
      <c r="N67" s="1302" t="n">
        <v>1</v>
      </c>
      <c r="O67" s="1302" t="n">
        <v>1</v>
      </c>
      <c r="P67" s="1302" t="n">
        <v>1</v>
      </c>
      <c r="Q67" s="1302" t="n">
        <v>0</v>
      </c>
      <c r="R67" s="1303" t="n">
        <v>0</v>
      </c>
      <c r="S67" s="1302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67,0))))),3))</f>
        <v/>
      </c>
      <c r="T67" s="1302">
        <f>IF(S67="","",ROUND(S67*(1+R67),3))</f>
        <v/>
      </c>
      <c r="U67" s="361" t="inlineStr">
        <is>
          <t>m²</t>
        </is>
      </c>
      <c r="V67" s="363" t="n"/>
      <c r="W67" s="363" t="n"/>
      <c r="X67" s="1304" t="n"/>
      <c r="Y67" s="363" t="inlineStr">
        <is>
          <t>Pendiente</t>
        </is>
      </c>
    </row>
    <row r="68" ht="15" customFormat="1" customHeight="1" s="666">
      <c r="A68" s="358" t="inlineStr">
        <is>
          <t>MQ-060</t>
        </is>
      </c>
      <c r="B68" s="359" t="inlineStr">
        <is>
          <t>PAÑETES Y REVOQUES</t>
        </is>
      </c>
      <c r="C68" s="360" t="inlineStr">
        <is>
          <t>Pañetes</t>
        </is>
      </c>
      <c r="D68" s="361" t="inlineStr">
        <is>
          <t>08.01.02</t>
        </is>
      </c>
      <c r="E68" s="362" t="inlineStr">
        <is>
          <t>Pañete / revoque exterior</t>
        </is>
      </c>
      <c r="F68" s="363" t="n"/>
      <c r="G68" s="363" t="n"/>
      <c r="H68" s="363" t="n"/>
      <c r="I68" s="361" t="inlineStr">
        <is>
          <t>m²</t>
        </is>
      </c>
      <c r="J68" s="1302" t="n">
        <v>0</v>
      </c>
      <c r="K68" s="1302" t="n">
        <v>0</v>
      </c>
      <c r="L68" s="1302" t="n">
        <v>0</v>
      </c>
      <c r="M68" s="1302" t="n">
        <v>0</v>
      </c>
      <c r="N68" s="1302" t="n">
        <v>1</v>
      </c>
      <c r="O68" s="1302" t="n">
        <v>1</v>
      </c>
      <c r="P68" s="1302" t="n">
        <v>1</v>
      </c>
      <c r="Q68" s="1302" t="n">
        <v>0</v>
      </c>
      <c r="R68" s="1303" t="n">
        <v>0</v>
      </c>
      <c r="S68" s="1302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68,0))))),3))</f>
        <v/>
      </c>
      <c r="T68" s="1302">
        <f>IF(S68="","",ROUND(S68*(1+R68),3))</f>
        <v/>
      </c>
      <c r="U68" s="361" t="inlineStr">
        <is>
          <t>m²</t>
        </is>
      </c>
      <c r="V68" s="363" t="n"/>
      <c r="W68" s="363" t="n"/>
      <c r="X68" s="1304" t="n"/>
      <c r="Y68" s="363" t="inlineStr">
        <is>
          <t>Pendiente</t>
        </is>
      </c>
    </row>
    <row r="69" ht="15" customFormat="1" customHeight="1" s="666">
      <c r="A69" s="358" t="inlineStr">
        <is>
          <t>MQ-061</t>
        </is>
      </c>
      <c r="B69" s="359" t="inlineStr">
        <is>
          <t>PAÑETES Y REVOQUES</t>
        </is>
      </c>
      <c r="C69" s="360" t="inlineStr">
        <is>
          <t>Pañetes</t>
        </is>
      </c>
      <c r="D69" s="361" t="inlineStr">
        <is>
          <t>08.01.03</t>
        </is>
      </c>
      <c r="E69" s="362" t="inlineStr">
        <is>
          <t>Pañete impermeabilizado</t>
        </is>
      </c>
      <c r="F69" s="363" t="n"/>
      <c r="G69" s="363" t="n"/>
      <c r="H69" s="363" t="n"/>
      <c r="I69" s="361" t="inlineStr">
        <is>
          <t>m²</t>
        </is>
      </c>
      <c r="J69" s="1302" t="n">
        <v>0</v>
      </c>
      <c r="K69" s="1302" t="n">
        <v>0</v>
      </c>
      <c r="L69" s="1302" t="n">
        <v>0</v>
      </c>
      <c r="M69" s="1302" t="n">
        <v>0</v>
      </c>
      <c r="N69" s="1302" t="n">
        <v>1</v>
      </c>
      <c r="O69" s="1302" t="n">
        <v>1</v>
      </c>
      <c r="P69" s="1302" t="n">
        <v>1</v>
      </c>
      <c r="Q69" s="1302" t="n">
        <v>0</v>
      </c>
      <c r="R69" s="1303" t="n">
        <v>0</v>
      </c>
      <c r="S69" s="1302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69,0))))),3))</f>
        <v/>
      </c>
      <c r="T69" s="1302">
        <f>IF(S69="","",ROUND(S69*(1+R69),3))</f>
        <v/>
      </c>
      <c r="U69" s="361" t="inlineStr">
        <is>
          <t>m²</t>
        </is>
      </c>
      <c r="V69" s="363" t="n"/>
      <c r="W69" s="363" t="n"/>
      <c r="X69" s="1304" t="n"/>
      <c r="Y69" s="363" t="inlineStr">
        <is>
          <t>Pendiente</t>
        </is>
      </c>
    </row>
    <row r="70" ht="15" customFormat="1" customHeight="1" s="666">
      <c r="A70" s="358" t="inlineStr">
        <is>
          <t>MQ-062</t>
        </is>
      </c>
      <c r="B70" s="359" t="inlineStr">
        <is>
          <t>PAÑETES Y REVOQUES</t>
        </is>
      </c>
      <c r="C70" s="360" t="inlineStr">
        <is>
          <t>Pañetes</t>
        </is>
      </c>
      <c r="D70" s="361" t="inlineStr">
        <is>
          <t>08.01.04</t>
        </is>
      </c>
      <c r="E70" s="362" t="inlineStr">
        <is>
          <t>Estuco plástico o tradicional</t>
        </is>
      </c>
      <c r="F70" s="363" t="n"/>
      <c r="G70" s="363" t="n"/>
      <c r="H70" s="363" t="n"/>
      <c r="I70" s="361" t="inlineStr">
        <is>
          <t>m²</t>
        </is>
      </c>
      <c r="J70" s="1302" t="n">
        <v>0</v>
      </c>
      <c r="K70" s="1302" t="n">
        <v>0</v>
      </c>
      <c r="L70" s="1302" t="n">
        <v>0</v>
      </c>
      <c r="M70" s="1302" t="n">
        <v>0</v>
      </c>
      <c r="N70" s="1302" t="n">
        <v>1</v>
      </c>
      <c r="O70" s="1302" t="n">
        <v>1</v>
      </c>
      <c r="P70" s="1302" t="n">
        <v>1</v>
      </c>
      <c r="Q70" s="1302" t="n">
        <v>0</v>
      </c>
      <c r="R70" s="1303" t="n">
        <v>0</v>
      </c>
      <c r="S70" s="1302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70,0))))),3))</f>
        <v/>
      </c>
      <c r="T70" s="1302">
        <f>IF(S70="","",ROUND(S70*(1+R70),3))</f>
        <v/>
      </c>
      <c r="U70" s="361" t="inlineStr">
        <is>
          <t>m²</t>
        </is>
      </c>
      <c r="V70" s="363" t="n"/>
      <c r="W70" s="363" t="n"/>
      <c r="X70" s="1304" t="n"/>
      <c r="Y70" s="363" t="inlineStr">
        <is>
          <t>Pendiente</t>
        </is>
      </c>
    </row>
    <row r="71" ht="15" customFormat="1" customHeight="1" s="666">
      <c r="A71" s="358" t="inlineStr">
        <is>
          <t>MQ-063</t>
        </is>
      </c>
      <c r="B71" s="359" t="inlineStr">
        <is>
          <t>PISOS Y ENCHAPES</t>
        </is>
      </c>
      <c r="C71" s="360" t="inlineStr">
        <is>
          <t>Pisos</t>
        </is>
      </c>
      <c r="D71" s="361" t="inlineStr">
        <is>
          <t>09.01.01</t>
        </is>
      </c>
      <c r="E71" s="362" t="inlineStr">
        <is>
          <t>Mortero de nivelación</t>
        </is>
      </c>
      <c r="F71" s="363" t="n"/>
      <c r="G71" s="363" t="n"/>
      <c r="H71" s="363" t="n"/>
      <c r="I71" s="361" t="inlineStr">
        <is>
          <t>m²</t>
        </is>
      </c>
      <c r="J71" s="1302" t="n">
        <v>0</v>
      </c>
      <c r="K71" s="1302" t="n">
        <v>0</v>
      </c>
      <c r="L71" s="1302" t="n">
        <v>0</v>
      </c>
      <c r="M71" s="1302" t="n">
        <v>0</v>
      </c>
      <c r="N71" s="1302" t="n">
        <v>1</v>
      </c>
      <c r="O71" s="1302" t="n">
        <v>1</v>
      </c>
      <c r="P71" s="1302" t="n">
        <v>1</v>
      </c>
      <c r="Q71" s="1302" t="n">
        <v>0</v>
      </c>
      <c r="R71" s="1303" t="n">
        <v>0</v>
      </c>
      <c r="S71" s="1302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71,0))))),3))</f>
        <v/>
      </c>
      <c r="T71" s="1302">
        <f>IF(S71="","",ROUND(S71*(1+R71),3))</f>
        <v/>
      </c>
      <c r="U71" s="361" t="inlineStr">
        <is>
          <t>m²</t>
        </is>
      </c>
      <c r="V71" s="363" t="n"/>
      <c r="W71" s="363" t="n"/>
      <c r="X71" s="1304" t="n"/>
      <c r="Y71" s="363" t="inlineStr">
        <is>
          <t>Pendiente</t>
        </is>
      </c>
    </row>
    <row r="72" ht="15" customFormat="1" customHeight="1" s="666">
      <c r="A72" s="358" t="inlineStr">
        <is>
          <t>MQ-064</t>
        </is>
      </c>
      <c r="B72" s="359" t="inlineStr">
        <is>
          <t>PISOS Y ENCHAPES</t>
        </is>
      </c>
      <c r="C72" s="360" t="inlineStr">
        <is>
          <t>Pisos</t>
        </is>
      </c>
      <c r="D72" s="361" t="inlineStr">
        <is>
          <t>09.01.02</t>
        </is>
      </c>
      <c r="E72" s="362" t="inlineStr">
        <is>
          <t>Piso cerámico</t>
        </is>
      </c>
      <c r="F72" s="363" t="n"/>
      <c r="G72" s="363" t="n"/>
      <c r="H72" s="363" t="n"/>
      <c r="I72" s="361" t="inlineStr">
        <is>
          <t>m²</t>
        </is>
      </c>
      <c r="J72" s="1302" t="n">
        <v>0</v>
      </c>
      <c r="K72" s="1302" t="n">
        <v>0</v>
      </c>
      <c r="L72" s="1302" t="n">
        <v>0</v>
      </c>
      <c r="M72" s="1302" t="n">
        <v>0</v>
      </c>
      <c r="N72" s="1302" t="n">
        <v>1</v>
      </c>
      <c r="O72" s="1302" t="n">
        <v>1</v>
      </c>
      <c r="P72" s="1302" t="n">
        <v>1</v>
      </c>
      <c r="Q72" s="1302" t="n">
        <v>0</v>
      </c>
      <c r="R72" s="1303" t="n">
        <v>0</v>
      </c>
      <c r="S72" s="1302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72,0))))),3))</f>
        <v/>
      </c>
      <c r="T72" s="1302">
        <f>IF(S72="","",ROUND(S72*(1+R72),3))</f>
        <v/>
      </c>
      <c r="U72" s="361" t="inlineStr">
        <is>
          <t>m²</t>
        </is>
      </c>
      <c r="V72" s="363" t="n"/>
      <c r="W72" s="363" t="n"/>
      <c r="X72" s="1304" t="n"/>
      <c r="Y72" s="363" t="inlineStr">
        <is>
          <t>Pendiente</t>
        </is>
      </c>
    </row>
    <row r="73" ht="15" customFormat="1" customHeight="1" s="666">
      <c r="A73" s="358" t="inlineStr">
        <is>
          <t>MQ-065</t>
        </is>
      </c>
      <c r="B73" s="359" t="inlineStr">
        <is>
          <t>PISOS Y ENCHAPES</t>
        </is>
      </c>
      <c r="C73" s="360" t="inlineStr">
        <is>
          <t>Pisos</t>
        </is>
      </c>
      <c r="D73" s="361" t="inlineStr">
        <is>
          <t>09.01.03</t>
        </is>
      </c>
      <c r="E73" s="362" t="inlineStr">
        <is>
          <t>Piso en porcelanato</t>
        </is>
      </c>
      <c r="F73" s="363" t="n"/>
      <c r="G73" s="363" t="n"/>
      <c r="H73" s="363" t="n"/>
      <c r="I73" s="361" t="inlineStr">
        <is>
          <t>m²</t>
        </is>
      </c>
      <c r="J73" s="1302" t="n">
        <v>0</v>
      </c>
      <c r="K73" s="1302" t="n">
        <v>0</v>
      </c>
      <c r="L73" s="1302" t="n">
        <v>0</v>
      </c>
      <c r="M73" s="1302" t="n">
        <v>0</v>
      </c>
      <c r="N73" s="1302" t="n">
        <v>1</v>
      </c>
      <c r="O73" s="1302" t="n">
        <v>1</v>
      </c>
      <c r="P73" s="1302" t="n">
        <v>1</v>
      </c>
      <c r="Q73" s="1302" t="n">
        <v>0</v>
      </c>
      <c r="R73" s="1303" t="n">
        <v>0</v>
      </c>
      <c r="S73" s="1302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73,0))))),3))</f>
        <v/>
      </c>
      <c r="T73" s="1302">
        <f>IF(S73="","",ROUND(S73*(1+R73),3))</f>
        <v/>
      </c>
      <c r="U73" s="361" t="inlineStr">
        <is>
          <t>m²</t>
        </is>
      </c>
      <c r="V73" s="363" t="n"/>
      <c r="W73" s="363" t="n"/>
      <c r="X73" s="1304" t="n"/>
      <c r="Y73" s="363" t="inlineStr">
        <is>
          <t>Pendiente</t>
        </is>
      </c>
    </row>
    <row r="74" ht="15" customFormat="1" customHeight="1" s="666">
      <c r="A74" s="358" t="inlineStr">
        <is>
          <t>MQ-066</t>
        </is>
      </c>
      <c r="B74" s="359" t="inlineStr">
        <is>
          <t>PISOS Y ENCHAPES</t>
        </is>
      </c>
      <c r="C74" s="360" t="inlineStr">
        <is>
          <t>Pisos</t>
        </is>
      </c>
      <c r="D74" s="361" t="inlineStr">
        <is>
          <t>09.01.04</t>
        </is>
      </c>
      <c r="E74" s="362" t="inlineStr">
        <is>
          <t>Piso vinílico</t>
        </is>
      </c>
      <c r="F74" s="363" t="n"/>
      <c r="G74" s="363" t="n"/>
      <c r="H74" s="363" t="n"/>
      <c r="I74" s="361" t="inlineStr">
        <is>
          <t>m²</t>
        </is>
      </c>
      <c r="J74" s="1302" t="n">
        <v>0</v>
      </c>
      <c r="K74" s="1302" t="n">
        <v>0</v>
      </c>
      <c r="L74" s="1302" t="n">
        <v>0</v>
      </c>
      <c r="M74" s="1302" t="n">
        <v>0</v>
      </c>
      <c r="N74" s="1302" t="n">
        <v>1</v>
      </c>
      <c r="O74" s="1302" t="n">
        <v>1</v>
      </c>
      <c r="P74" s="1302" t="n">
        <v>1</v>
      </c>
      <c r="Q74" s="1302" t="n">
        <v>0</v>
      </c>
      <c r="R74" s="1303" t="n">
        <v>0</v>
      </c>
      <c r="S74" s="1302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74,0))))),3))</f>
        <v/>
      </c>
      <c r="T74" s="1302">
        <f>IF(S74="","",ROUND(S74*(1+R74),3))</f>
        <v/>
      </c>
      <c r="U74" s="361" t="inlineStr">
        <is>
          <t>m²</t>
        </is>
      </c>
      <c r="V74" s="363" t="n"/>
      <c r="W74" s="363" t="n"/>
      <c r="X74" s="1304" t="n"/>
      <c r="Y74" s="363" t="inlineStr">
        <is>
          <t>Pendiente</t>
        </is>
      </c>
    </row>
    <row r="75" ht="15" customFormat="1" customHeight="1" s="666">
      <c r="A75" s="358" t="inlineStr">
        <is>
          <t>MQ-067</t>
        </is>
      </c>
      <c r="B75" s="359" t="inlineStr">
        <is>
          <t>PISOS Y ENCHAPES</t>
        </is>
      </c>
      <c r="C75" s="360" t="inlineStr">
        <is>
          <t>Pisos</t>
        </is>
      </c>
      <c r="D75" s="361" t="inlineStr">
        <is>
          <t>09.01.05</t>
        </is>
      </c>
      <c r="E75" s="362" t="inlineStr">
        <is>
          <t>Piso laminado</t>
        </is>
      </c>
      <c r="F75" s="363" t="n"/>
      <c r="G75" s="363" t="n"/>
      <c r="H75" s="363" t="n"/>
      <c r="I75" s="361" t="inlineStr">
        <is>
          <t>m²</t>
        </is>
      </c>
      <c r="J75" s="1302" t="n">
        <v>0</v>
      </c>
      <c r="K75" s="1302" t="n">
        <v>0</v>
      </c>
      <c r="L75" s="1302" t="n">
        <v>0</v>
      </c>
      <c r="M75" s="1302" t="n">
        <v>0</v>
      </c>
      <c r="N75" s="1302" t="n">
        <v>1</v>
      </c>
      <c r="O75" s="1302" t="n">
        <v>1</v>
      </c>
      <c r="P75" s="1302" t="n">
        <v>1</v>
      </c>
      <c r="Q75" s="1302" t="n">
        <v>0</v>
      </c>
      <c r="R75" s="1303" t="n">
        <v>0</v>
      </c>
      <c r="S75" s="1302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75,0))))),3))</f>
        <v/>
      </c>
      <c r="T75" s="1302">
        <f>IF(S75="","",ROUND(S75*(1+R75),3))</f>
        <v/>
      </c>
      <c r="U75" s="361" t="inlineStr">
        <is>
          <t>m²</t>
        </is>
      </c>
      <c r="V75" s="363" t="n"/>
      <c r="W75" s="363" t="n"/>
      <c r="X75" s="1304" t="n"/>
      <c r="Y75" s="363" t="inlineStr">
        <is>
          <t>Pendiente</t>
        </is>
      </c>
    </row>
    <row r="76" ht="15" customFormat="1" customHeight="1" s="666">
      <c r="A76" s="358" t="inlineStr">
        <is>
          <t>MQ-068</t>
        </is>
      </c>
      <c r="B76" s="359" t="inlineStr">
        <is>
          <t>PISOS Y ENCHAPES</t>
        </is>
      </c>
      <c r="C76" s="360" t="inlineStr">
        <is>
          <t>Enchapes</t>
        </is>
      </c>
      <c r="D76" s="361" t="inlineStr">
        <is>
          <t>09.02.01</t>
        </is>
      </c>
      <c r="E76" s="362" t="inlineStr">
        <is>
          <t>Enchape cerámico en muros</t>
        </is>
      </c>
      <c r="F76" s="363" t="n"/>
      <c r="G76" s="363" t="n"/>
      <c r="H76" s="363" t="n"/>
      <c r="I76" s="361" t="inlineStr">
        <is>
          <t>m²</t>
        </is>
      </c>
      <c r="J76" s="1302" t="n">
        <v>0</v>
      </c>
      <c r="K76" s="1302" t="n">
        <v>0</v>
      </c>
      <c r="L76" s="1302" t="n">
        <v>0</v>
      </c>
      <c r="M76" s="1302" t="n">
        <v>0</v>
      </c>
      <c r="N76" s="1302" t="n">
        <v>1</v>
      </c>
      <c r="O76" s="1302" t="n">
        <v>1</v>
      </c>
      <c r="P76" s="1302" t="n">
        <v>1</v>
      </c>
      <c r="Q76" s="1302" t="n">
        <v>0</v>
      </c>
      <c r="R76" s="1303" t="n">
        <v>0</v>
      </c>
      <c r="S76" s="1302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76,0))))),3))</f>
        <v/>
      </c>
      <c r="T76" s="1302">
        <f>IF(S76="","",ROUND(S76*(1+R76),3))</f>
        <v/>
      </c>
      <c r="U76" s="361" t="inlineStr">
        <is>
          <t>m²</t>
        </is>
      </c>
      <c r="V76" s="363" t="n"/>
      <c r="W76" s="363" t="n"/>
      <c r="X76" s="1304" t="n"/>
      <c r="Y76" s="363" t="inlineStr">
        <is>
          <t>Pendiente</t>
        </is>
      </c>
    </row>
    <row r="77" ht="15" customFormat="1" customHeight="1" s="666">
      <c r="A77" s="358" t="inlineStr">
        <is>
          <t>MQ-069</t>
        </is>
      </c>
      <c r="B77" s="359" t="inlineStr">
        <is>
          <t>PISOS Y ENCHAPES</t>
        </is>
      </c>
      <c r="C77" s="360" t="inlineStr">
        <is>
          <t>Enchapes</t>
        </is>
      </c>
      <c r="D77" s="361" t="inlineStr">
        <is>
          <t>09.02.02</t>
        </is>
      </c>
      <c r="E77" s="362" t="inlineStr">
        <is>
          <t>Guardaescoba</t>
        </is>
      </c>
      <c r="F77" s="363" t="n"/>
      <c r="G77" s="363" t="n"/>
      <c r="H77" s="363" t="n"/>
      <c r="I77" s="361" t="inlineStr">
        <is>
          <t>ml</t>
        </is>
      </c>
      <c r="J77" s="1302" t="n">
        <v>0</v>
      </c>
      <c r="K77" s="1302" t="n">
        <v>0</v>
      </c>
      <c r="L77" s="1302" t="n">
        <v>0</v>
      </c>
      <c r="M77" s="1302" t="n">
        <v>0</v>
      </c>
      <c r="N77" s="1302" t="n">
        <v>1</v>
      </c>
      <c r="O77" s="1302" t="n">
        <v>1</v>
      </c>
      <c r="P77" s="1302" t="n">
        <v>1</v>
      </c>
      <c r="Q77" s="1302" t="n">
        <v>0</v>
      </c>
      <c r="R77" s="1303" t="n">
        <v>0</v>
      </c>
      <c r="S77" s="1302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77,0))))),3))</f>
        <v/>
      </c>
      <c r="T77" s="1302">
        <f>IF(S77="","",ROUND(S77*(1+R77),3))</f>
        <v/>
      </c>
      <c r="U77" s="361" t="inlineStr">
        <is>
          <t>ml</t>
        </is>
      </c>
      <c r="V77" s="363" t="n"/>
      <c r="W77" s="363" t="n"/>
      <c r="X77" s="1304" t="n"/>
      <c r="Y77" s="363" t="inlineStr">
        <is>
          <t>Pendiente</t>
        </is>
      </c>
    </row>
    <row r="78" ht="15" customFormat="1" customHeight="1" s="666">
      <c r="A78" s="358" t="inlineStr">
        <is>
          <t>MQ-070</t>
        </is>
      </c>
      <c r="B78" s="359" t="inlineStr">
        <is>
          <t>PISOS Y ENCHAPES</t>
        </is>
      </c>
      <c r="C78" s="360" t="inlineStr">
        <is>
          <t>Enchapes</t>
        </is>
      </c>
      <c r="D78" s="361" t="inlineStr">
        <is>
          <t>09.02.03</t>
        </is>
      </c>
      <c r="E78" s="362" t="inlineStr">
        <is>
          <t>Juntas de dilatación / construcción</t>
        </is>
      </c>
      <c r="F78" s="363" t="n"/>
      <c r="G78" s="363" t="n"/>
      <c r="H78" s="363" t="n"/>
      <c r="I78" s="361" t="inlineStr">
        <is>
          <t>ml</t>
        </is>
      </c>
      <c r="J78" s="1302" t="n">
        <v>0</v>
      </c>
      <c r="K78" s="1302" t="n">
        <v>0</v>
      </c>
      <c r="L78" s="1302" t="n">
        <v>0</v>
      </c>
      <c r="M78" s="1302" t="n">
        <v>0</v>
      </c>
      <c r="N78" s="1302" t="n">
        <v>1</v>
      </c>
      <c r="O78" s="1302" t="n">
        <v>1</v>
      </c>
      <c r="P78" s="1302" t="n">
        <v>1</v>
      </c>
      <c r="Q78" s="1302" t="n">
        <v>0</v>
      </c>
      <c r="R78" s="1303" t="n">
        <v>0</v>
      </c>
      <c r="S78" s="1302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78,0))))),3))</f>
        <v/>
      </c>
      <c r="T78" s="1302">
        <f>IF(S78="","",ROUND(S78*(1+R78),3))</f>
        <v/>
      </c>
      <c r="U78" s="361" t="inlineStr">
        <is>
          <t>ml</t>
        </is>
      </c>
      <c r="V78" s="363" t="n"/>
      <c r="W78" s="363" t="n"/>
      <c r="X78" s="1304" t="n"/>
      <c r="Y78" s="363" t="inlineStr">
        <is>
          <t>Pendiente</t>
        </is>
      </c>
    </row>
    <row r="79" ht="15" customFormat="1" customHeight="1" s="666">
      <c r="A79" s="358" t="inlineStr">
        <is>
          <t>MQ-071</t>
        </is>
      </c>
      <c r="B79" s="359" t="inlineStr">
        <is>
          <t>PINTURA</t>
        </is>
      </c>
      <c r="C79" s="360" t="inlineStr">
        <is>
          <t>Pintura</t>
        </is>
      </c>
      <c r="D79" s="361" t="inlineStr">
        <is>
          <t>10.01.01</t>
        </is>
      </c>
      <c r="E79" s="362" t="inlineStr">
        <is>
          <t>Pintura vinílica interior</t>
        </is>
      </c>
      <c r="F79" s="363" t="n"/>
      <c r="G79" s="363" t="n"/>
      <c r="H79" s="363" t="n"/>
      <c r="I79" s="361" t="inlineStr">
        <is>
          <t>m²</t>
        </is>
      </c>
      <c r="J79" s="1302" t="n">
        <v>0</v>
      </c>
      <c r="K79" s="1302" t="n">
        <v>0</v>
      </c>
      <c r="L79" s="1302" t="n">
        <v>0</v>
      </c>
      <c r="M79" s="1302" t="n">
        <v>0</v>
      </c>
      <c r="N79" s="1302" t="n">
        <v>1</v>
      </c>
      <c r="O79" s="1302" t="n">
        <v>1</v>
      </c>
      <c r="P79" s="1302" t="n">
        <v>1</v>
      </c>
      <c r="Q79" s="1302" t="n">
        <v>0</v>
      </c>
      <c r="R79" s="1303" t="n">
        <v>0</v>
      </c>
      <c r="S79" s="1302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79,0))))),3))</f>
        <v/>
      </c>
      <c r="T79" s="1302">
        <f>IF(S79="","",ROUND(S79*(1+R79),3))</f>
        <v/>
      </c>
      <c r="U79" s="361" t="inlineStr">
        <is>
          <t>m²</t>
        </is>
      </c>
      <c r="V79" s="363" t="n"/>
      <c r="W79" s="363" t="n"/>
      <c r="X79" s="1304" t="n"/>
      <c r="Y79" s="363" t="inlineStr">
        <is>
          <t>Pendiente</t>
        </is>
      </c>
    </row>
    <row r="80" ht="15" customFormat="1" customHeight="1" s="666">
      <c r="A80" s="358" t="inlineStr">
        <is>
          <t>MQ-072</t>
        </is>
      </c>
      <c r="B80" s="359" t="inlineStr">
        <is>
          <t>PINTURA</t>
        </is>
      </c>
      <c r="C80" s="360" t="inlineStr">
        <is>
          <t>Pintura</t>
        </is>
      </c>
      <c r="D80" s="361" t="inlineStr">
        <is>
          <t>10.01.02</t>
        </is>
      </c>
      <c r="E80" s="362" t="inlineStr">
        <is>
          <t>Pintura exterior</t>
        </is>
      </c>
      <c r="F80" s="363" t="n"/>
      <c r="G80" s="363" t="n"/>
      <c r="H80" s="363" t="n"/>
      <c r="I80" s="361" t="inlineStr">
        <is>
          <t>m²</t>
        </is>
      </c>
      <c r="J80" s="1302" t="n">
        <v>0</v>
      </c>
      <c r="K80" s="1302" t="n">
        <v>0</v>
      </c>
      <c r="L80" s="1302" t="n">
        <v>0</v>
      </c>
      <c r="M80" s="1302" t="n">
        <v>0</v>
      </c>
      <c r="N80" s="1302" t="n">
        <v>1</v>
      </c>
      <c r="O80" s="1302" t="n">
        <v>1</v>
      </c>
      <c r="P80" s="1302" t="n">
        <v>1</v>
      </c>
      <c r="Q80" s="1302" t="n">
        <v>0</v>
      </c>
      <c r="R80" s="1303" t="n">
        <v>0</v>
      </c>
      <c r="S80" s="1302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80,0))))),3))</f>
        <v/>
      </c>
      <c r="T80" s="1302">
        <f>IF(S80="","",ROUND(S80*(1+R80),3))</f>
        <v/>
      </c>
      <c r="U80" s="361" t="inlineStr">
        <is>
          <t>m²</t>
        </is>
      </c>
      <c r="V80" s="363" t="n"/>
      <c r="W80" s="363" t="n"/>
      <c r="X80" s="1304" t="n"/>
      <c r="Y80" s="363" t="inlineStr">
        <is>
          <t>Pendiente</t>
        </is>
      </c>
    </row>
    <row r="81" ht="15" customFormat="1" customHeight="1" s="666">
      <c r="A81" s="358" t="inlineStr">
        <is>
          <t>MQ-073</t>
        </is>
      </c>
      <c r="B81" s="359" t="inlineStr">
        <is>
          <t>PINTURA</t>
        </is>
      </c>
      <c r="C81" s="360" t="inlineStr">
        <is>
          <t>Pintura</t>
        </is>
      </c>
      <c r="D81" s="361" t="inlineStr">
        <is>
          <t>10.01.03</t>
        </is>
      </c>
      <c r="E81" s="362" t="inlineStr">
        <is>
          <t>Pintura esmalte en superficies metálicas/madera</t>
        </is>
      </c>
      <c r="F81" s="363" t="n"/>
      <c r="G81" s="363" t="n"/>
      <c r="H81" s="363" t="n"/>
      <c r="I81" s="361" t="inlineStr">
        <is>
          <t>m²</t>
        </is>
      </c>
      <c r="J81" s="1302" t="n">
        <v>0</v>
      </c>
      <c r="K81" s="1302" t="n">
        <v>0</v>
      </c>
      <c r="L81" s="1302" t="n">
        <v>0</v>
      </c>
      <c r="M81" s="1302" t="n">
        <v>0</v>
      </c>
      <c r="N81" s="1302" t="n">
        <v>1</v>
      </c>
      <c r="O81" s="1302" t="n">
        <v>1</v>
      </c>
      <c r="P81" s="1302" t="n">
        <v>1</v>
      </c>
      <c r="Q81" s="1302" t="n">
        <v>0</v>
      </c>
      <c r="R81" s="1303" t="n">
        <v>0</v>
      </c>
      <c r="S81" s="1302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81,0))))),3))</f>
        <v/>
      </c>
      <c r="T81" s="1302">
        <f>IF(S81="","",ROUND(S81*(1+R81),3))</f>
        <v/>
      </c>
      <c r="U81" s="361" t="inlineStr">
        <is>
          <t>m²</t>
        </is>
      </c>
      <c r="V81" s="363" t="n"/>
      <c r="W81" s="363" t="n"/>
      <c r="X81" s="1304" t="n"/>
      <c r="Y81" s="363" t="inlineStr">
        <is>
          <t>Pendiente</t>
        </is>
      </c>
    </row>
    <row r="82" ht="15" customFormat="1" customHeight="1" s="666">
      <c r="A82" s="358" t="inlineStr">
        <is>
          <t>MQ-074</t>
        </is>
      </c>
      <c r="B82" s="359" t="inlineStr">
        <is>
          <t>PINTURA</t>
        </is>
      </c>
      <c r="C82" s="360" t="inlineStr">
        <is>
          <t>Pintura</t>
        </is>
      </c>
      <c r="D82" s="361" t="inlineStr">
        <is>
          <t>10.01.04</t>
        </is>
      </c>
      <c r="E82" s="362" t="inlineStr">
        <is>
          <t>Pintura anticorrosiva</t>
        </is>
      </c>
      <c r="F82" s="363" t="n"/>
      <c r="G82" s="363" t="n"/>
      <c r="H82" s="363" t="n"/>
      <c r="I82" s="361" t="inlineStr">
        <is>
          <t>m²</t>
        </is>
      </c>
      <c r="J82" s="1302" t="n">
        <v>0</v>
      </c>
      <c r="K82" s="1302" t="n">
        <v>0</v>
      </c>
      <c r="L82" s="1302" t="n">
        <v>0</v>
      </c>
      <c r="M82" s="1302" t="n">
        <v>0</v>
      </c>
      <c r="N82" s="1302" t="n">
        <v>1</v>
      </c>
      <c r="O82" s="1302" t="n">
        <v>1</v>
      </c>
      <c r="P82" s="1302" t="n">
        <v>1</v>
      </c>
      <c r="Q82" s="1302" t="n">
        <v>0</v>
      </c>
      <c r="R82" s="1303" t="n">
        <v>0</v>
      </c>
      <c r="S82" s="1302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82,0))))),3))</f>
        <v/>
      </c>
      <c r="T82" s="1302">
        <f>IF(S82="","",ROUND(S82*(1+R82),3))</f>
        <v/>
      </c>
      <c r="U82" s="361" t="inlineStr">
        <is>
          <t>m²</t>
        </is>
      </c>
      <c r="V82" s="363" t="n"/>
      <c r="W82" s="363" t="n"/>
      <c r="X82" s="1304" t="n"/>
      <c r="Y82" s="363" t="inlineStr">
        <is>
          <t>Pendiente</t>
        </is>
      </c>
    </row>
    <row r="83" ht="15" customFormat="1" customHeight="1" s="666">
      <c r="A83" s="358" t="inlineStr">
        <is>
          <t>MQ-075</t>
        </is>
      </c>
      <c r="B83" s="359" t="inlineStr">
        <is>
          <t>PINTURA</t>
        </is>
      </c>
      <c r="C83" s="360" t="inlineStr">
        <is>
          <t>Pintura</t>
        </is>
      </c>
      <c r="D83" s="361" t="inlineStr">
        <is>
          <t>10.01.05</t>
        </is>
      </c>
      <c r="E83" s="362" t="inlineStr">
        <is>
          <t>Sellador / imprimante</t>
        </is>
      </c>
      <c r="F83" s="363" t="n"/>
      <c r="G83" s="363" t="n"/>
      <c r="H83" s="363" t="n"/>
      <c r="I83" s="361" t="inlineStr">
        <is>
          <t>m²</t>
        </is>
      </c>
      <c r="J83" s="1302" t="n">
        <v>0</v>
      </c>
      <c r="K83" s="1302" t="n">
        <v>0</v>
      </c>
      <c r="L83" s="1302" t="n">
        <v>0</v>
      </c>
      <c r="M83" s="1302" t="n">
        <v>0</v>
      </c>
      <c r="N83" s="1302" t="n">
        <v>1</v>
      </c>
      <c r="O83" s="1302" t="n">
        <v>1</v>
      </c>
      <c r="P83" s="1302" t="n">
        <v>1</v>
      </c>
      <c r="Q83" s="1302" t="n">
        <v>0</v>
      </c>
      <c r="R83" s="1303" t="n">
        <v>0</v>
      </c>
      <c r="S83" s="1302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83,0))))),3))</f>
        <v/>
      </c>
      <c r="T83" s="1302">
        <f>IF(S83="","",ROUND(S83*(1+R83),3))</f>
        <v/>
      </c>
      <c r="U83" s="361" t="inlineStr">
        <is>
          <t>m²</t>
        </is>
      </c>
      <c r="V83" s="363" t="n"/>
      <c r="W83" s="363" t="n"/>
      <c r="X83" s="1304" t="n"/>
      <c r="Y83" s="363" t="inlineStr">
        <is>
          <t>Pendiente</t>
        </is>
      </c>
    </row>
    <row r="84" ht="15" customFormat="1" customHeight="1" s="666">
      <c r="A84" s="358" t="inlineStr">
        <is>
          <t>MQ-076</t>
        </is>
      </c>
      <c r="B84" s="359" t="inlineStr">
        <is>
          <t>CARPINTERÍA</t>
        </is>
      </c>
      <c r="C84" s="360" t="inlineStr">
        <is>
          <t>Madera</t>
        </is>
      </c>
      <c r="D84" s="361" t="inlineStr">
        <is>
          <t>11.01.01</t>
        </is>
      </c>
      <c r="E84" s="362" t="inlineStr">
        <is>
          <t>Puertas de madera</t>
        </is>
      </c>
      <c r="F84" s="363" t="n"/>
      <c r="G84" s="363" t="n"/>
      <c r="H84" s="363" t="n"/>
      <c r="I84" s="361" t="inlineStr">
        <is>
          <t>und</t>
        </is>
      </c>
      <c r="J84" s="1302" t="n">
        <v>0</v>
      </c>
      <c r="K84" s="1302" t="n">
        <v>0</v>
      </c>
      <c r="L84" s="1302" t="n">
        <v>0</v>
      </c>
      <c r="M84" s="1302" t="n">
        <v>0</v>
      </c>
      <c r="N84" s="1302" t="n">
        <v>1</v>
      </c>
      <c r="O84" s="1302" t="n">
        <v>1</v>
      </c>
      <c r="P84" s="1302" t="n">
        <v>1</v>
      </c>
      <c r="Q84" s="1302" t="n">
        <v>0</v>
      </c>
      <c r="R84" s="1303" t="n">
        <v>0</v>
      </c>
      <c r="S84" s="1302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84,0))))),3))</f>
        <v/>
      </c>
      <c r="T84" s="1302">
        <f>IF(S84="","",ROUND(S84*(1+R84),3))</f>
        <v/>
      </c>
      <c r="U84" s="361" t="inlineStr">
        <is>
          <t>und</t>
        </is>
      </c>
      <c r="V84" s="363" t="n"/>
      <c r="W84" s="363" t="n"/>
      <c r="X84" s="1304" t="n"/>
      <c r="Y84" s="363" t="inlineStr">
        <is>
          <t>Pendiente</t>
        </is>
      </c>
    </row>
    <row r="85" ht="15" customFormat="1" customHeight="1" s="666">
      <c r="A85" s="358" t="inlineStr">
        <is>
          <t>MQ-077</t>
        </is>
      </c>
      <c r="B85" s="359" t="inlineStr">
        <is>
          <t>CARPINTERÍA</t>
        </is>
      </c>
      <c r="C85" s="360" t="inlineStr">
        <is>
          <t>Madera</t>
        </is>
      </c>
      <c r="D85" s="361" t="inlineStr">
        <is>
          <t>11.01.02</t>
        </is>
      </c>
      <c r="E85" s="362" t="inlineStr">
        <is>
          <t>Muebles fijos de madera</t>
        </is>
      </c>
      <c r="F85" s="363" t="n"/>
      <c r="G85" s="363" t="n"/>
      <c r="H85" s="363" t="n"/>
      <c r="I85" s="361" t="inlineStr">
        <is>
          <t>ml</t>
        </is>
      </c>
      <c r="J85" s="1302" t="n">
        <v>0</v>
      </c>
      <c r="K85" s="1302" t="n">
        <v>0</v>
      </c>
      <c r="L85" s="1302" t="n">
        <v>0</v>
      </c>
      <c r="M85" s="1302" t="n">
        <v>0</v>
      </c>
      <c r="N85" s="1302" t="n">
        <v>1</v>
      </c>
      <c r="O85" s="1302" t="n">
        <v>1</v>
      </c>
      <c r="P85" s="1302" t="n">
        <v>1</v>
      </c>
      <c r="Q85" s="1302" t="n">
        <v>0</v>
      </c>
      <c r="R85" s="1303" t="n">
        <v>0</v>
      </c>
      <c r="S85" s="1302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85,0))))),3))</f>
        <v/>
      </c>
      <c r="T85" s="1302">
        <f>IF(S85="","",ROUND(S85*(1+R85),3))</f>
        <v/>
      </c>
      <c r="U85" s="361" t="inlineStr">
        <is>
          <t>ml</t>
        </is>
      </c>
      <c r="V85" s="363" t="n"/>
      <c r="W85" s="363" t="n"/>
      <c r="X85" s="1304" t="n"/>
      <c r="Y85" s="363" t="inlineStr">
        <is>
          <t>Pendiente</t>
        </is>
      </c>
    </row>
    <row r="86" ht="15" customFormat="1" customHeight="1" s="666">
      <c r="A86" s="358" t="inlineStr">
        <is>
          <t>MQ-078</t>
        </is>
      </c>
      <c r="B86" s="359" t="inlineStr">
        <is>
          <t>CARPINTERÍA</t>
        </is>
      </c>
      <c r="C86" s="360" t="inlineStr">
        <is>
          <t>Metálica</t>
        </is>
      </c>
      <c r="D86" s="361" t="inlineStr">
        <is>
          <t>11.02.01</t>
        </is>
      </c>
      <c r="E86" s="362" t="inlineStr">
        <is>
          <t>Puertas metálicas</t>
        </is>
      </c>
      <c r="F86" s="363" t="n"/>
      <c r="G86" s="363" t="n"/>
      <c r="H86" s="363" t="n"/>
      <c r="I86" s="361" t="inlineStr">
        <is>
          <t>und</t>
        </is>
      </c>
      <c r="J86" s="1302" t="n">
        <v>0</v>
      </c>
      <c r="K86" s="1302" t="n">
        <v>0</v>
      </c>
      <c r="L86" s="1302" t="n">
        <v>0</v>
      </c>
      <c r="M86" s="1302" t="n">
        <v>0</v>
      </c>
      <c r="N86" s="1302" t="n">
        <v>1</v>
      </c>
      <c r="O86" s="1302" t="n">
        <v>1</v>
      </c>
      <c r="P86" s="1302" t="n">
        <v>1</v>
      </c>
      <c r="Q86" s="1302" t="n">
        <v>0</v>
      </c>
      <c r="R86" s="1303" t="n">
        <v>0</v>
      </c>
      <c r="S86" s="1302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86,0))))),3))</f>
        <v/>
      </c>
      <c r="T86" s="1302">
        <f>IF(S86="","",ROUND(S86*(1+R86),3))</f>
        <v/>
      </c>
      <c r="U86" s="361" t="inlineStr">
        <is>
          <t>und</t>
        </is>
      </c>
      <c r="V86" s="363" t="n"/>
      <c r="W86" s="363" t="n"/>
      <c r="X86" s="1304" t="n"/>
      <c r="Y86" s="363" t="inlineStr">
        <is>
          <t>Pendiente</t>
        </is>
      </c>
    </row>
    <row r="87" ht="15" customFormat="1" customHeight="1" s="666">
      <c r="A87" s="358" t="inlineStr">
        <is>
          <t>MQ-079</t>
        </is>
      </c>
      <c r="B87" s="359" t="inlineStr">
        <is>
          <t>CARPINTERÍA</t>
        </is>
      </c>
      <c r="C87" s="360" t="inlineStr">
        <is>
          <t>Metálica</t>
        </is>
      </c>
      <c r="D87" s="361" t="inlineStr">
        <is>
          <t>11.02.02</t>
        </is>
      </c>
      <c r="E87" s="362" t="inlineStr">
        <is>
          <t>Barandas metálicas</t>
        </is>
      </c>
      <c r="F87" s="363" t="n"/>
      <c r="G87" s="363" t="n"/>
      <c r="H87" s="363" t="n"/>
      <c r="I87" s="361" t="inlineStr">
        <is>
          <t>ml</t>
        </is>
      </c>
      <c r="J87" s="1302" t="n">
        <v>0</v>
      </c>
      <c r="K87" s="1302" t="n">
        <v>0</v>
      </c>
      <c r="L87" s="1302" t="n">
        <v>0</v>
      </c>
      <c r="M87" s="1302" t="n">
        <v>0</v>
      </c>
      <c r="N87" s="1302" t="n">
        <v>1</v>
      </c>
      <c r="O87" s="1302" t="n">
        <v>1</v>
      </c>
      <c r="P87" s="1302" t="n">
        <v>1</v>
      </c>
      <c r="Q87" s="1302" t="n">
        <v>0</v>
      </c>
      <c r="R87" s="1303" t="n">
        <v>0</v>
      </c>
      <c r="S87" s="1302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87,0))))),3))</f>
        <v/>
      </c>
      <c r="T87" s="1302">
        <f>IF(S87="","",ROUND(S87*(1+R87),3))</f>
        <v/>
      </c>
      <c r="U87" s="361" t="inlineStr">
        <is>
          <t>ml</t>
        </is>
      </c>
      <c r="V87" s="363" t="n"/>
      <c r="W87" s="363" t="n"/>
      <c r="X87" s="1304" t="n"/>
      <c r="Y87" s="363" t="inlineStr">
        <is>
          <t>Pendiente</t>
        </is>
      </c>
    </row>
    <row r="88" ht="15" customFormat="1" customHeight="1" s="666">
      <c r="A88" s="358" t="inlineStr">
        <is>
          <t>MQ-080</t>
        </is>
      </c>
      <c r="B88" s="359" t="inlineStr">
        <is>
          <t>CARPINTERÍA</t>
        </is>
      </c>
      <c r="C88" s="360" t="inlineStr">
        <is>
          <t>Metálica</t>
        </is>
      </c>
      <c r="D88" s="361" t="inlineStr">
        <is>
          <t>11.02.03</t>
        </is>
      </c>
      <c r="E88" s="362" t="inlineStr">
        <is>
          <t>Pasamanos</t>
        </is>
      </c>
      <c r="F88" s="363" t="n"/>
      <c r="G88" s="363" t="n"/>
      <c r="H88" s="363" t="n"/>
      <c r="I88" s="361" t="inlineStr">
        <is>
          <t>ml</t>
        </is>
      </c>
      <c r="J88" s="1302" t="n">
        <v>0</v>
      </c>
      <c r="K88" s="1302" t="n">
        <v>0</v>
      </c>
      <c r="L88" s="1302" t="n">
        <v>0</v>
      </c>
      <c r="M88" s="1302" t="n">
        <v>0</v>
      </c>
      <c r="N88" s="1302" t="n">
        <v>1</v>
      </c>
      <c r="O88" s="1302" t="n">
        <v>1</v>
      </c>
      <c r="P88" s="1302" t="n">
        <v>1</v>
      </c>
      <c r="Q88" s="1302" t="n">
        <v>0</v>
      </c>
      <c r="R88" s="1303" t="n">
        <v>0</v>
      </c>
      <c r="S88" s="1302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88,0))))),3))</f>
        <v/>
      </c>
      <c r="T88" s="1302">
        <f>IF(S88="","",ROUND(S88*(1+R88),3))</f>
        <v/>
      </c>
      <c r="U88" s="361" t="inlineStr">
        <is>
          <t>ml</t>
        </is>
      </c>
      <c r="V88" s="363" t="n"/>
      <c r="W88" s="363" t="n"/>
      <c r="X88" s="1304" t="n"/>
      <c r="Y88" s="363" t="inlineStr">
        <is>
          <t>Pendiente</t>
        </is>
      </c>
    </row>
    <row r="89" ht="15" customFormat="1" customHeight="1" s="666">
      <c r="A89" s="358" t="inlineStr">
        <is>
          <t>MQ-081</t>
        </is>
      </c>
      <c r="B89" s="359" t="inlineStr">
        <is>
          <t>CARPINTERÍA</t>
        </is>
      </c>
      <c r="C89" s="360" t="inlineStr">
        <is>
          <t>Aluminio</t>
        </is>
      </c>
      <c r="D89" s="361" t="inlineStr">
        <is>
          <t>11.03.01</t>
        </is>
      </c>
      <c r="E89" s="362" t="inlineStr">
        <is>
          <t>Ventanas de aluminio</t>
        </is>
      </c>
      <c r="F89" s="363" t="n"/>
      <c r="G89" s="363" t="n"/>
      <c r="H89" s="363" t="n"/>
      <c r="I89" s="361" t="inlineStr">
        <is>
          <t>m²</t>
        </is>
      </c>
      <c r="J89" s="1302" t="n">
        <v>0</v>
      </c>
      <c r="K89" s="1302" t="n">
        <v>0</v>
      </c>
      <c r="L89" s="1302" t="n">
        <v>0</v>
      </c>
      <c r="M89" s="1302" t="n">
        <v>0</v>
      </c>
      <c r="N89" s="1302" t="n">
        <v>1</v>
      </c>
      <c r="O89" s="1302" t="n">
        <v>1</v>
      </c>
      <c r="P89" s="1302" t="n">
        <v>1</v>
      </c>
      <c r="Q89" s="1302" t="n">
        <v>0</v>
      </c>
      <c r="R89" s="1303" t="n">
        <v>0</v>
      </c>
      <c r="S89" s="1302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89,0))))),3))</f>
        <v/>
      </c>
      <c r="T89" s="1302">
        <f>IF(S89="","",ROUND(S89*(1+R89),3))</f>
        <v/>
      </c>
      <c r="U89" s="361" t="inlineStr">
        <is>
          <t>m²</t>
        </is>
      </c>
      <c r="V89" s="363" t="n"/>
      <c r="W89" s="363" t="n"/>
      <c r="X89" s="1304" t="n"/>
      <c r="Y89" s="363" t="inlineStr">
        <is>
          <t>Pendiente</t>
        </is>
      </c>
    </row>
    <row r="90" ht="15" customFormat="1" customHeight="1" s="666">
      <c r="A90" s="358" t="inlineStr">
        <is>
          <t>MQ-082</t>
        </is>
      </c>
      <c r="B90" s="359" t="inlineStr">
        <is>
          <t>CARPINTERÍA</t>
        </is>
      </c>
      <c r="C90" s="360" t="inlineStr">
        <is>
          <t>Aluminio</t>
        </is>
      </c>
      <c r="D90" s="361" t="inlineStr">
        <is>
          <t>11.03.02</t>
        </is>
      </c>
      <c r="E90" s="362" t="inlineStr">
        <is>
          <t>Divisiones de aluminio</t>
        </is>
      </c>
      <c r="F90" s="363" t="n"/>
      <c r="G90" s="363" t="n"/>
      <c r="H90" s="363" t="n"/>
      <c r="I90" s="361" t="inlineStr">
        <is>
          <t>m²</t>
        </is>
      </c>
      <c r="J90" s="1302" t="n">
        <v>0</v>
      </c>
      <c r="K90" s="1302" t="n">
        <v>0</v>
      </c>
      <c r="L90" s="1302" t="n">
        <v>0</v>
      </c>
      <c r="M90" s="1302" t="n">
        <v>0</v>
      </c>
      <c r="N90" s="1302" t="n">
        <v>1</v>
      </c>
      <c r="O90" s="1302" t="n">
        <v>1</v>
      </c>
      <c r="P90" s="1302" t="n">
        <v>1</v>
      </c>
      <c r="Q90" s="1302" t="n">
        <v>0</v>
      </c>
      <c r="R90" s="1303" t="n">
        <v>0</v>
      </c>
      <c r="S90" s="1302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90,0))))),3))</f>
        <v/>
      </c>
      <c r="T90" s="1302">
        <f>IF(S90="","",ROUND(S90*(1+R90),3))</f>
        <v/>
      </c>
      <c r="U90" s="361" t="inlineStr">
        <is>
          <t>m²</t>
        </is>
      </c>
      <c r="V90" s="363" t="n"/>
      <c r="W90" s="363" t="n"/>
      <c r="X90" s="1304" t="n"/>
      <c r="Y90" s="363" t="inlineStr">
        <is>
          <t>Pendiente</t>
        </is>
      </c>
    </row>
    <row r="91" ht="15" customFormat="1" customHeight="1" s="666">
      <c r="A91" s="358" t="inlineStr">
        <is>
          <t>MQ-083</t>
        </is>
      </c>
      <c r="B91" s="359" t="inlineStr">
        <is>
          <t>VIDRIOS</t>
        </is>
      </c>
      <c r="C91" s="360" t="inlineStr">
        <is>
          <t>Vidriería</t>
        </is>
      </c>
      <c r="D91" s="361" t="inlineStr">
        <is>
          <t>12.01.01</t>
        </is>
      </c>
      <c r="E91" s="362" t="inlineStr">
        <is>
          <t>Vidrio templado</t>
        </is>
      </c>
      <c r="F91" s="363" t="n"/>
      <c r="G91" s="363" t="n"/>
      <c r="H91" s="363" t="n"/>
      <c r="I91" s="361" t="inlineStr">
        <is>
          <t>m²</t>
        </is>
      </c>
      <c r="J91" s="1302" t="n">
        <v>0</v>
      </c>
      <c r="K91" s="1302" t="n">
        <v>0</v>
      </c>
      <c r="L91" s="1302" t="n">
        <v>0</v>
      </c>
      <c r="M91" s="1302" t="n">
        <v>0</v>
      </c>
      <c r="N91" s="1302" t="n">
        <v>1</v>
      </c>
      <c r="O91" s="1302" t="n">
        <v>1</v>
      </c>
      <c r="P91" s="1302" t="n">
        <v>1</v>
      </c>
      <c r="Q91" s="1302" t="n">
        <v>0</v>
      </c>
      <c r="R91" s="1303" t="n">
        <v>0</v>
      </c>
      <c r="S91" s="1302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91,0))))),3))</f>
        <v/>
      </c>
      <c r="T91" s="1302">
        <f>IF(S91="","",ROUND(S91*(1+R91),3))</f>
        <v/>
      </c>
      <c r="U91" s="361" t="inlineStr">
        <is>
          <t>m²</t>
        </is>
      </c>
      <c r="V91" s="363" t="n"/>
      <c r="W91" s="363" t="n"/>
      <c r="X91" s="1304" t="n"/>
      <c r="Y91" s="363" t="inlineStr">
        <is>
          <t>Pendiente</t>
        </is>
      </c>
    </row>
    <row r="92" ht="15" customFormat="1" customHeight="1" s="666">
      <c r="A92" s="358" t="inlineStr">
        <is>
          <t>MQ-084</t>
        </is>
      </c>
      <c r="B92" s="359" t="inlineStr">
        <is>
          <t>VIDRIOS</t>
        </is>
      </c>
      <c r="C92" s="360" t="inlineStr">
        <is>
          <t>Vidriería</t>
        </is>
      </c>
      <c r="D92" s="361" t="inlineStr">
        <is>
          <t>12.01.02</t>
        </is>
      </c>
      <c r="E92" s="362" t="inlineStr">
        <is>
          <t>Vidrio laminado</t>
        </is>
      </c>
      <c r="F92" s="363" t="n"/>
      <c r="G92" s="363" t="n"/>
      <c r="H92" s="363" t="n"/>
      <c r="I92" s="361" t="inlineStr">
        <is>
          <t>m²</t>
        </is>
      </c>
      <c r="J92" s="1302" t="n">
        <v>0</v>
      </c>
      <c r="K92" s="1302" t="n">
        <v>0</v>
      </c>
      <c r="L92" s="1302" t="n">
        <v>0</v>
      </c>
      <c r="M92" s="1302" t="n">
        <v>0</v>
      </c>
      <c r="N92" s="1302" t="n">
        <v>1</v>
      </c>
      <c r="O92" s="1302" t="n">
        <v>1</v>
      </c>
      <c r="P92" s="1302" t="n">
        <v>1</v>
      </c>
      <c r="Q92" s="1302" t="n">
        <v>0</v>
      </c>
      <c r="R92" s="1303" t="n">
        <v>0</v>
      </c>
      <c r="S92" s="1302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92,0))))),3))</f>
        <v/>
      </c>
      <c r="T92" s="1302">
        <f>IF(S92="","",ROUND(S92*(1+R92),3))</f>
        <v/>
      </c>
      <c r="U92" s="361" t="inlineStr">
        <is>
          <t>m²</t>
        </is>
      </c>
      <c r="V92" s="363" t="n"/>
      <c r="W92" s="363" t="n"/>
      <c r="X92" s="1304" t="n"/>
      <c r="Y92" s="363" t="inlineStr">
        <is>
          <t>Pendiente</t>
        </is>
      </c>
    </row>
    <row r="93" ht="15" customFormat="1" customHeight="1" s="666">
      <c r="A93" s="358" t="inlineStr">
        <is>
          <t>MQ-085</t>
        </is>
      </c>
      <c r="B93" s="359" t="inlineStr">
        <is>
          <t>VIDRIOS</t>
        </is>
      </c>
      <c r="C93" s="360" t="inlineStr">
        <is>
          <t>Vidriería</t>
        </is>
      </c>
      <c r="D93" s="361" t="inlineStr">
        <is>
          <t>12.01.03</t>
        </is>
      </c>
      <c r="E93" s="362" t="inlineStr">
        <is>
          <t>Espejos</t>
        </is>
      </c>
      <c r="F93" s="363" t="n"/>
      <c r="G93" s="363" t="n"/>
      <c r="H93" s="363" t="n"/>
      <c r="I93" s="361" t="inlineStr">
        <is>
          <t>m²</t>
        </is>
      </c>
      <c r="J93" s="1302" t="n">
        <v>0</v>
      </c>
      <c r="K93" s="1302" t="n">
        <v>0</v>
      </c>
      <c r="L93" s="1302" t="n">
        <v>0</v>
      </c>
      <c r="M93" s="1302" t="n">
        <v>0</v>
      </c>
      <c r="N93" s="1302" t="n">
        <v>1</v>
      </c>
      <c r="O93" s="1302" t="n">
        <v>1</v>
      </c>
      <c r="P93" s="1302" t="n">
        <v>1</v>
      </c>
      <c r="Q93" s="1302" t="n">
        <v>0</v>
      </c>
      <c r="R93" s="1303" t="n">
        <v>0</v>
      </c>
      <c r="S93" s="1302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93,0))))),3))</f>
        <v/>
      </c>
      <c r="T93" s="1302">
        <f>IF(S93="","",ROUND(S93*(1+R93),3))</f>
        <v/>
      </c>
      <c r="U93" s="361" t="inlineStr">
        <is>
          <t>m²</t>
        </is>
      </c>
      <c r="V93" s="363" t="n"/>
      <c r="W93" s="363" t="n"/>
      <c r="X93" s="1304" t="n"/>
      <c r="Y93" s="363" t="inlineStr">
        <is>
          <t>Pendiente</t>
        </is>
      </c>
    </row>
    <row r="94" ht="15" customFormat="1" customHeight="1" s="666">
      <c r="A94" s="358" t="inlineStr">
        <is>
          <t>MQ-086</t>
        </is>
      </c>
      <c r="B94" s="359" t="inlineStr">
        <is>
          <t>VIDRIOS</t>
        </is>
      </c>
      <c r="C94" s="360" t="inlineStr">
        <is>
          <t>Vidriería</t>
        </is>
      </c>
      <c r="D94" s="361" t="inlineStr">
        <is>
          <t>12.01.04</t>
        </is>
      </c>
      <c r="E94" s="362" t="inlineStr">
        <is>
          <t>Sellos y silicona</t>
        </is>
      </c>
      <c r="F94" s="363" t="n"/>
      <c r="G94" s="363" t="n"/>
      <c r="H94" s="363" t="n"/>
      <c r="I94" s="361" t="inlineStr">
        <is>
          <t>ml</t>
        </is>
      </c>
      <c r="J94" s="1302" t="n">
        <v>0</v>
      </c>
      <c r="K94" s="1302" t="n">
        <v>0</v>
      </c>
      <c r="L94" s="1302" t="n">
        <v>0</v>
      </c>
      <c r="M94" s="1302" t="n">
        <v>0</v>
      </c>
      <c r="N94" s="1302" t="n">
        <v>1</v>
      </c>
      <c r="O94" s="1302" t="n">
        <v>1</v>
      </c>
      <c r="P94" s="1302" t="n">
        <v>1</v>
      </c>
      <c r="Q94" s="1302" t="n">
        <v>0</v>
      </c>
      <c r="R94" s="1303" t="n">
        <v>0</v>
      </c>
      <c r="S94" s="1302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94,0))))),3))</f>
        <v/>
      </c>
      <c r="T94" s="1302">
        <f>IF(S94="","",ROUND(S94*(1+R94),3))</f>
        <v/>
      </c>
      <c r="U94" s="361" t="inlineStr">
        <is>
          <t>ml</t>
        </is>
      </c>
      <c r="V94" s="363" t="n"/>
      <c r="W94" s="363" t="n"/>
      <c r="X94" s="1304" t="n"/>
      <c r="Y94" s="363" t="inlineStr">
        <is>
          <t>Pendiente</t>
        </is>
      </c>
    </row>
    <row r="95" ht="15" customFormat="1" customHeight="1" s="666">
      <c r="A95" s="358" t="inlineStr">
        <is>
          <t>MQ-087</t>
        </is>
      </c>
      <c r="B95" s="359" t="inlineStr">
        <is>
          <t>INSTALACIONES HIDROSANITARIAS</t>
        </is>
      </c>
      <c r="C95" s="360" t="inlineStr">
        <is>
          <t>Agua potable</t>
        </is>
      </c>
      <c r="D95" s="361" t="inlineStr">
        <is>
          <t>13.01.01</t>
        </is>
      </c>
      <c r="E95" s="362" t="inlineStr">
        <is>
          <t>Tubería de agua fría</t>
        </is>
      </c>
      <c r="F95" s="363" t="n"/>
      <c r="G95" s="363" t="n"/>
      <c r="H95" s="363" t="n"/>
      <c r="I95" s="361" t="inlineStr">
        <is>
          <t>ml</t>
        </is>
      </c>
      <c r="J95" s="1302" t="n">
        <v>0</v>
      </c>
      <c r="K95" s="1302" t="n">
        <v>0</v>
      </c>
      <c r="L95" s="1302" t="n">
        <v>0</v>
      </c>
      <c r="M95" s="1302" t="n">
        <v>0</v>
      </c>
      <c r="N95" s="1302" t="n">
        <v>1</v>
      </c>
      <c r="O95" s="1302" t="n">
        <v>1</v>
      </c>
      <c r="P95" s="1302" t="n">
        <v>1</v>
      </c>
      <c r="Q95" s="1302" t="n">
        <v>0</v>
      </c>
      <c r="R95" s="1303" t="n">
        <v>0</v>
      </c>
      <c r="S95" s="1302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95,0))))),3))</f>
        <v/>
      </c>
      <c r="T95" s="1302">
        <f>IF(S95="","",ROUND(S95*(1+R95),3))</f>
        <v/>
      </c>
      <c r="U95" s="361" t="inlineStr">
        <is>
          <t>ml</t>
        </is>
      </c>
      <c r="V95" s="363" t="n"/>
      <c r="W95" s="363" t="n"/>
      <c r="X95" s="1304" t="n"/>
      <c r="Y95" s="363" t="inlineStr">
        <is>
          <t>Pendiente</t>
        </is>
      </c>
    </row>
    <row r="96" ht="15" customFormat="1" customHeight="1" s="666">
      <c r="A96" s="358" t="inlineStr">
        <is>
          <t>MQ-088</t>
        </is>
      </c>
      <c r="B96" s="359" t="inlineStr">
        <is>
          <t>INSTALACIONES HIDROSANITARIAS</t>
        </is>
      </c>
      <c r="C96" s="360" t="inlineStr">
        <is>
          <t>Agua potable</t>
        </is>
      </c>
      <c r="D96" s="361" t="inlineStr">
        <is>
          <t>13.01.02</t>
        </is>
      </c>
      <c r="E96" s="362" t="inlineStr">
        <is>
          <t>Tubería de agua caliente</t>
        </is>
      </c>
      <c r="F96" s="363" t="n"/>
      <c r="G96" s="363" t="n"/>
      <c r="H96" s="363" t="n"/>
      <c r="I96" s="361" t="inlineStr">
        <is>
          <t>ml</t>
        </is>
      </c>
      <c r="J96" s="1302" t="n">
        <v>0</v>
      </c>
      <c r="K96" s="1302" t="n">
        <v>0</v>
      </c>
      <c r="L96" s="1302" t="n">
        <v>0</v>
      </c>
      <c r="M96" s="1302" t="n">
        <v>0</v>
      </c>
      <c r="N96" s="1302" t="n">
        <v>1</v>
      </c>
      <c r="O96" s="1302" t="n">
        <v>1</v>
      </c>
      <c r="P96" s="1302" t="n">
        <v>1</v>
      </c>
      <c r="Q96" s="1302" t="n">
        <v>0</v>
      </c>
      <c r="R96" s="1303" t="n">
        <v>0</v>
      </c>
      <c r="S96" s="1302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96,0))))),3))</f>
        <v/>
      </c>
      <c r="T96" s="1302">
        <f>IF(S96="","",ROUND(S96*(1+R96),3))</f>
        <v/>
      </c>
      <c r="U96" s="361" t="inlineStr">
        <is>
          <t>ml</t>
        </is>
      </c>
      <c r="V96" s="363" t="n"/>
      <c r="W96" s="363" t="n"/>
      <c r="X96" s="1304" t="n"/>
      <c r="Y96" s="363" t="inlineStr">
        <is>
          <t>Pendiente</t>
        </is>
      </c>
    </row>
    <row r="97" ht="15" customFormat="1" customHeight="1" s="666">
      <c r="A97" s="358" t="inlineStr">
        <is>
          <t>MQ-089</t>
        </is>
      </c>
      <c r="B97" s="359" t="inlineStr">
        <is>
          <t>INSTALACIONES HIDROSANITARIAS</t>
        </is>
      </c>
      <c r="C97" s="360" t="inlineStr">
        <is>
          <t>Agua potable</t>
        </is>
      </c>
      <c r="D97" s="361" t="inlineStr">
        <is>
          <t>13.01.03</t>
        </is>
      </c>
      <c r="E97" s="362" t="inlineStr">
        <is>
          <t>Válvulas y accesorios</t>
        </is>
      </c>
      <c r="F97" s="363" t="n"/>
      <c r="G97" s="363" t="n"/>
      <c r="H97" s="363" t="n"/>
      <c r="I97" s="361" t="inlineStr">
        <is>
          <t>und</t>
        </is>
      </c>
      <c r="J97" s="1302" t="n">
        <v>0</v>
      </c>
      <c r="K97" s="1302" t="n">
        <v>0</v>
      </c>
      <c r="L97" s="1302" t="n">
        <v>0</v>
      </c>
      <c r="M97" s="1302" t="n">
        <v>0</v>
      </c>
      <c r="N97" s="1302" t="n">
        <v>1</v>
      </c>
      <c r="O97" s="1302" t="n">
        <v>1</v>
      </c>
      <c r="P97" s="1302" t="n">
        <v>1</v>
      </c>
      <c r="Q97" s="1302" t="n">
        <v>0</v>
      </c>
      <c r="R97" s="1303" t="n">
        <v>0</v>
      </c>
      <c r="S97" s="1302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97,0))))),3))</f>
        <v/>
      </c>
      <c r="T97" s="1302">
        <f>IF(S97="","",ROUND(S97*(1+R97),3))</f>
        <v/>
      </c>
      <c r="U97" s="361" t="inlineStr">
        <is>
          <t>und</t>
        </is>
      </c>
      <c r="V97" s="363" t="n"/>
      <c r="W97" s="363" t="n"/>
      <c r="X97" s="1304" t="n"/>
      <c r="Y97" s="363" t="inlineStr">
        <is>
          <t>Pendiente</t>
        </is>
      </c>
    </row>
    <row r="98" ht="15" customFormat="1" customHeight="1" s="666">
      <c r="A98" s="358" t="inlineStr">
        <is>
          <t>MQ-090</t>
        </is>
      </c>
      <c r="B98" s="359" t="inlineStr">
        <is>
          <t>INSTALACIONES HIDROSANITARIAS</t>
        </is>
      </c>
      <c r="C98" s="360" t="inlineStr">
        <is>
          <t>Desagües</t>
        </is>
      </c>
      <c r="D98" s="361" t="inlineStr">
        <is>
          <t>13.02.01</t>
        </is>
      </c>
      <c r="E98" s="362" t="inlineStr">
        <is>
          <t>Tubería sanitaria</t>
        </is>
      </c>
      <c r="F98" s="363" t="n"/>
      <c r="G98" s="363" t="n"/>
      <c r="H98" s="363" t="n"/>
      <c r="I98" s="361" t="inlineStr">
        <is>
          <t>ml</t>
        </is>
      </c>
      <c r="J98" s="1302" t="n">
        <v>0</v>
      </c>
      <c r="K98" s="1302" t="n">
        <v>0</v>
      </c>
      <c r="L98" s="1302" t="n">
        <v>0</v>
      </c>
      <c r="M98" s="1302" t="n">
        <v>0</v>
      </c>
      <c r="N98" s="1302" t="n">
        <v>1</v>
      </c>
      <c r="O98" s="1302" t="n">
        <v>1</v>
      </c>
      <c r="P98" s="1302" t="n">
        <v>1</v>
      </c>
      <c r="Q98" s="1302" t="n">
        <v>0</v>
      </c>
      <c r="R98" s="1303" t="n">
        <v>0</v>
      </c>
      <c r="S98" s="1302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98,0))))),3))</f>
        <v/>
      </c>
      <c r="T98" s="1302">
        <f>IF(S98="","",ROUND(S98*(1+R98),3))</f>
        <v/>
      </c>
      <c r="U98" s="361" t="inlineStr">
        <is>
          <t>ml</t>
        </is>
      </c>
      <c r="V98" s="363" t="n"/>
      <c r="W98" s="363" t="n"/>
      <c r="X98" s="1304" t="n"/>
      <c r="Y98" s="363" t="inlineStr">
        <is>
          <t>Pendiente</t>
        </is>
      </c>
    </row>
    <row r="99" ht="15" customFormat="1" customHeight="1" s="666">
      <c r="A99" s="358" t="inlineStr">
        <is>
          <t>MQ-091</t>
        </is>
      </c>
      <c r="B99" s="359" t="inlineStr">
        <is>
          <t>INSTALACIONES HIDROSANITARIAS</t>
        </is>
      </c>
      <c r="C99" s="360" t="inlineStr">
        <is>
          <t>Desagües</t>
        </is>
      </c>
      <c r="D99" s="361" t="inlineStr">
        <is>
          <t>13.02.02</t>
        </is>
      </c>
      <c r="E99" s="362" t="inlineStr">
        <is>
          <t>Tubería de aguas lluvias</t>
        </is>
      </c>
      <c r="F99" s="363" t="n"/>
      <c r="G99" s="363" t="n"/>
      <c r="H99" s="363" t="n"/>
      <c r="I99" s="361" t="inlineStr">
        <is>
          <t>ml</t>
        </is>
      </c>
      <c r="J99" s="1302" t="n">
        <v>0</v>
      </c>
      <c r="K99" s="1302" t="n">
        <v>0</v>
      </c>
      <c r="L99" s="1302" t="n">
        <v>0</v>
      </c>
      <c r="M99" s="1302" t="n">
        <v>0</v>
      </c>
      <c r="N99" s="1302" t="n">
        <v>1</v>
      </c>
      <c r="O99" s="1302" t="n">
        <v>1</v>
      </c>
      <c r="P99" s="1302" t="n">
        <v>1</v>
      </c>
      <c r="Q99" s="1302" t="n">
        <v>0</v>
      </c>
      <c r="R99" s="1303" t="n">
        <v>0</v>
      </c>
      <c r="S99" s="1302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99,0))))),3))</f>
        <v/>
      </c>
      <c r="T99" s="1302">
        <f>IF(S99="","",ROUND(S99*(1+R99),3))</f>
        <v/>
      </c>
      <c r="U99" s="361" t="inlineStr">
        <is>
          <t>ml</t>
        </is>
      </c>
      <c r="V99" s="363" t="n"/>
      <c r="W99" s="363" t="n"/>
      <c r="X99" s="1304" t="n"/>
      <c r="Y99" s="363" t="inlineStr">
        <is>
          <t>Pendiente</t>
        </is>
      </c>
    </row>
    <row r="100" ht="15" customFormat="1" customHeight="1" s="666">
      <c r="A100" s="358" t="inlineStr">
        <is>
          <t>MQ-092</t>
        </is>
      </c>
      <c r="B100" s="359" t="inlineStr">
        <is>
          <t>INSTALACIONES HIDROSANITARIAS</t>
        </is>
      </c>
      <c r="C100" s="360" t="inlineStr">
        <is>
          <t>Desagües</t>
        </is>
      </c>
      <c r="D100" s="361" t="inlineStr">
        <is>
          <t>13.02.03</t>
        </is>
      </c>
      <c r="E100" s="362" t="inlineStr">
        <is>
          <t>Cajas de inspección</t>
        </is>
      </c>
      <c r="F100" s="363" t="n"/>
      <c r="G100" s="363" t="n"/>
      <c r="H100" s="363" t="n"/>
      <c r="I100" s="361" t="inlineStr">
        <is>
          <t>und</t>
        </is>
      </c>
      <c r="J100" s="1302" t="n">
        <v>0</v>
      </c>
      <c r="K100" s="1302" t="n">
        <v>0</v>
      </c>
      <c r="L100" s="1302" t="n">
        <v>0</v>
      </c>
      <c r="M100" s="1302" t="n">
        <v>0</v>
      </c>
      <c r="N100" s="1302" t="n">
        <v>1</v>
      </c>
      <c r="O100" s="1302" t="n">
        <v>1</v>
      </c>
      <c r="P100" s="1302" t="n">
        <v>1</v>
      </c>
      <c r="Q100" s="1302" t="n">
        <v>0</v>
      </c>
      <c r="R100" s="1303" t="n">
        <v>0</v>
      </c>
      <c r="S100" s="1302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100,0))))),3))</f>
        <v/>
      </c>
      <c r="T100" s="1302">
        <f>IF(S100="","",ROUND(S100*(1+R100),3))</f>
        <v/>
      </c>
      <c r="U100" s="361" t="inlineStr">
        <is>
          <t>und</t>
        </is>
      </c>
      <c r="V100" s="363" t="n"/>
      <c r="W100" s="363" t="n"/>
      <c r="X100" s="1304" t="n"/>
      <c r="Y100" s="363" t="inlineStr">
        <is>
          <t>Pendiente</t>
        </is>
      </c>
    </row>
    <row r="101" ht="15" customFormat="1" customHeight="1" s="666">
      <c r="A101" s="358" t="inlineStr">
        <is>
          <t>MQ-093</t>
        </is>
      </c>
      <c r="B101" s="359" t="inlineStr">
        <is>
          <t>INSTALACIONES HIDROSANITARIAS</t>
        </is>
      </c>
      <c r="C101" s="360" t="inlineStr">
        <is>
          <t>Aparatos</t>
        </is>
      </c>
      <c r="D101" s="361" t="inlineStr">
        <is>
          <t>13.03.01</t>
        </is>
      </c>
      <c r="E101" s="362" t="inlineStr">
        <is>
          <t>Aparatos sanitarios</t>
        </is>
      </c>
      <c r="F101" s="363" t="n"/>
      <c r="G101" s="363" t="n"/>
      <c r="H101" s="363" t="n"/>
      <c r="I101" s="361" t="inlineStr">
        <is>
          <t>und</t>
        </is>
      </c>
      <c r="J101" s="1302" t="n">
        <v>0</v>
      </c>
      <c r="K101" s="1302" t="n">
        <v>0</v>
      </c>
      <c r="L101" s="1302" t="n">
        <v>0</v>
      </c>
      <c r="M101" s="1302" t="n">
        <v>0</v>
      </c>
      <c r="N101" s="1302" t="n">
        <v>1</v>
      </c>
      <c r="O101" s="1302" t="n">
        <v>1</v>
      </c>
      <c r="P101" s="1302" t="n">
        <v>1</v>
      </c>
      <c r="Q101" s="1302" t="n">
        <v>0</v>
      </c>
      <c r="R101" s="1303" t="n">
        <v>0</v>
      </c>
      <c r="S101" s="1302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101,0))))),3))</f>
        <v/>
      </c>
      <c r="T101" s="1302">
        <f>IF(S101="","",ROUND(S101*(1+R101),3))</f>
        <v/>
      </c>
      <c r="U101" s="361" t="inlineStr">
        <is>
          <t>und</t>
        </is>
      </c>
      <c r="V101" s="363" t="n"/>
      <c r="W101" s="363" t="n"/>
      <c r="X101" s="1304" t="n"/>
      <c r="Y101" s="363" t="inlineStr">
        <is>
          <t>Pendiente</t>
        </is>
      </c>
    </row>
    <row r="102" ht="15" customFormat="1" customHeight="1" s="666">
      <c r="A102" s="358" t="inlineStr">
        <is>
          <t>MQ-094</t>
        </is>
      </c>
      <c r="B102" s="359" t="inlineStr">
        <is>
          <t>INSTALACIONES HIDROSANITARIAS</t>
        </is>
      </c>
      <c r="C102" s="360" t="inlineStr">
        <is>
          <t>Aparatos</t>
        </is>
      </c>
      <c r="D102" s="361" t="inlineStr">
        <is>
          <t>13.03.02</t>
        </is>
      </c>
      <c r="E102" s="362" t="inlineStr">
        <is>
          <t>Lavamanos</t>
        </is>
      </c>
      <c r="F102" s="363" t="n"/>
      <c r="G102" s="363" t="n"/>
      <c r="H102" s="363" t="n"/>
      <c r="I102" s="361" t="inlineStr">
        <is>
          <t>und</t>
        </is>
      </c>
      <c r="J102" s="1302" t="n">
        <v>0</v>
      </c>
      <c r="K102" s="1302" t="n">
        <v>0</v>
      </c>
      <c r="L102" s="1302" t="n">
        <v>0</v>
      </c>
      <c r="M102" s="1302" t="n">
        <v>0</v>
      </c>
      <c r="N102" s="1302" t="n">
        <v>1</v>
      </c>
      <c r="O102" s="1302" t="n">
        <v>1</v>
      </c>
      <c r="P102" s="1302" t="n">
        <v>1</v>
      </c>
      <c r="Q102" s="1302" t="n">
        <v>0</v>
      </c>
      <c r="R102" s="1303" t="n">
        <v>0</v>
      </c>
      <c r="S102" s="1302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102,0))))),3))</f>
        <v/>
      </c>
      <c r="T102" s="1302">
        <f>IF(S102="","",ROUND(S102*(1+R102),3))</f>
        <v/>
      </c>
      <c r="U102" s="361" t="inlineStr">
        <is>
          <t>und</t>
        </is>
      </c>
      <c r="V102" s="363" t="n"/>
      <c r="W102" s="363" t="n"/>
      <c r="X102" s="1304" t="n"/>
      <c r="Y102" s="363" t="inlineStr">
        <is>
          <t>Pendiente</t>
        </is>
      </c>
    </row>
    <row r="103" ht="15" customFormat="1" customHeight="1" s="666">
      <c r="A103" s="358" t="inlineStr">
        <is>
          <t>MQ-095</t>
        </is>
      </c>
      <c r="B103" s="359" t="inlineStr">
        <is>
          <t>INSTALACIONES HIDROSANITARIAS</t>
        </is>
      </c>
      <c r="C103" s="360" t="inlineStr">
        <is>
          <t>Aparatos</t>
        </is>
      </c>
      <c r="D103" s="361" t="inlineStr">
        <is>
          <t>13.03.03</t>
        </is>
      </c>
      <c r="E103" s="362" t="inlineStr">
        <is>
          <t>Griferías</t>
        </is>
      </c>
      <c r="F103" s="363" t="n"/>
      <c r="G103" s="363" t="n"/>
      <c r="H103" s="363" t="n"/>
      <c r="I103" s="361" t="inlineStr">
        <is>
          <t>und</t>
        </is>
      </c>
      <c r="J103" s="1302" t="n">
        <v>0</v>
      </c>
      <c r="K103" s="1302" t="n">
        <v>0</v>
      </c>
      <c r="L103" s="1302" t="n">
        <v>0</v>
      </c>
      <c r="M103" s="1302" t="n">
        <v>0</v>
      </c>
      <c r="N103" s="1302" t="n">
        <v>1</v>
      </c>
      <c r="O103" s="1302" t="n">
        <v>1</v>
      </c>
      <c r="P103" s="1302" t="n">
        <v>1</v>
      </c>
      <c r="Q103" s="1302" t="n">
        <v>0</v>
      </c>
      <c r="R103" s="1303" t="n">
        <v>0</v>
      </c>
      <c r="S103" s="1302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103,0))))),3))</f>
        <v/>
      </c>
      <c r="T103" s="1302">
        <f>IF(S103="","",ROUND(S103*(1+R103),3))</f>
        <v/>
      </c>
      <c r="U103" s="361" t="inlineStr">
        <is>
          <t>und</t>
        </is>
      </c>
      <c r="V103" s="363" t="n"/>
      <c r="W103" s="363" t="n"/>
      <c r="X103" s="1304" t="n"/>
      <c r="Y103" s="363" t="inlineStr">
        <is>
          <t>Pendiente</t>
        </is>
      </c>
    </row>
    <row r="104" ht="15" customFormat="1" customHeight="1" s="666">
      <c r="A104" s="358" t="inlineStr">
        <is>
          <t>MQ-096</t>
        </is>
      </c>
      <c r="B104" s="359" t="inlineStr">
        <is>
          <t>INSTALACIONES HIDROSANITARIAS</t>
        </is>
      </c>
      <c r="C104" s="360" t="inlineStr">
        <is>
          <t>Aparatos</t>
        </is>
      </c>
      <c r="D104" s="361" t="inlineStr">
        <is>
          <t>13.03.04</t>
        </is>
      </c>
      <c r="E104" s="362" t="inlineStr">
        <is>
          <t>Duchas</t>
        </is>
      </c>
      <c r="F104" s="363" t="n"/>
      <c r="G104" s="363" t="n"/>
      <c r="H104" s="363" t="n"/>
      <c r="I104" s="361" t="inlineStr">
        <is>
          <t>und</t>
        </is>
      </c>
      <c r="J104" s="1302" t="n">
        <v>0</v>
      </c>
      <c r="K104" s="1302" t="n">
        <v>0</v>
      </c>
      <c r="L104" s="1302" t="n">
        <v>0</v>
      </c>
      <c r="M104" s="1302" t="n">
        <v>0</v>
      </c>
      <c r="N104" s="1302" t="n">
        <v>1</v>
      </c>
      <c r="O104" s="1302" t="n">
        <v>1</v>
      </c>
      <c r="P104" s="1302" t="n">
        <v>1</v>
      </c>
      <c r="Q104" s="1302" t="n">
        <v>0</v>
      </c>
      <c r="R104" s="1303" t="n">
        <v>0</v>
      </c>
      <c r="S104" s="1302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104,0))))),3))</f>
        <v/>
      </c>
      <c r="T104" s="1302">
        <f>IF(S104="","",ROUND(S104*(1+R104),3))</f>
        <v/>
      </c>
      <c r="U104" s="361" t="inlineStr">
        <is>
          <t>und</t>
        </is>
      </c>
      <c r="V104" s="363" t="n"/>
      <c r="W104" s="363" t="n"/>
      <c r="X104" s="1304" t="n"/>
      <c r="Y104" s="363" t="inlineStr">
        <is>
          <t>Pendiente</t>
        </is>
      </c>
    </row>
    <row r="105" ht="15" customFormat="1" customHeight="1" s="666">
      <c r="A105" s="358" t="inlineStr">
        <is>
          <t>MQ-097</t>
        </is>
      </c>
      <c r="B105" s="359" t="inlineStr">
        <is>
          <t>INSTALACIONES HIDROSANITARIAS</t>
        </is>
      </c>
      <c r="C105" s="360" t="inlineStr">
        <is>
          <t>Pruebas</t>
        </is>
      </c>
      <c r="D105" s="361" t="inlineStr">
        <is>
          <t>13.04.01</t>
        </is>
      </c>
      <c r="E105" s="362" t="inlineStr">
        <is>
          <t>Pruebas hidráulicas y de estanqueidad</t>
        </is>
      </c>
      <c r="F105" s="363" t="n"/>
      <c r="G105" s="363" t="n"/>
      <c r="H105" s="363" t="n"/>
      <c r="I105" s="361" t="inlineStr">
        <is>
          <t>gl</t>
        </is>
      </c>
      <c r="J105" s="1302" t="n">
        <v>0</v>
      </c>
      <c r="K105" s="1302" t="n">
        <v>0</v>
      </c>
      <c r="L105" s="1302" t="n">
        <v>0</v>
      </c>
      <c r="M105" s="1302" t="n">
        <v>0</v>
      </c>
      <c r="N105" s="1302" t="n">
        <v>1</v>
      </c>
      <c r="O105" s="1302" t="n">
        <v>1</v>
      </c>
      <c r="P105" s="1302" t="n">
        <v>1</v>
      </c>
      <c r="Q105" s="1302" t="n">
        <v>0</v>
      </c>
      <c r="R105" s="1303" t="n">
        <v>0</v>
      </c>
      <c r="S105" s="1302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105,0))))),3))</f>
        <v/>
      </c>
      <c r="T105" s="1302">
        <f>IF(S105="","",ROUND(S105*(1+R105),3))</f>
        <v/>
      </c>
      <c r="U105" s="361" t="inlineStr">
        <is>
          <t>gl</t>
        </is>
      </c>
      <c r="V105" s="363" t="n"/>
      <c r="W105" s="363" t="n"/>
      <c r="X105" s="1304" t="n"/>
      <c r="Y105" s="363" t="inlineStr">
        <is>
          <t>Pendiente</t>
        </is>
      </c>
    </row>
    <row r="106" ht="15" customFormat="1" customHeight="1" s="666">
      <c r="A106" s="358" t="inlineStr">
        <is>
          <t>MQ-098</t>
        </is>
      </c>
      <c r="B106" s="359" t="inlineStr">
        <is>
          <t>INSTALACIONES ELÉCTRICAS</t>
        </is>
      </c>
      <c r="C106" s="360" t="inlineStr">
        <is>
          <t>Canalizaciones</t>
        </is>
      </c>
      <c r="D106" s="361" t="inlineStr">
        <is>
          <t>14.01.01</t>
        </is>
      </c>
      <c r="E106" s="362" t="inlineStr">
        <is>
          <t>Tubería/conduit eléctrica</t>
        </is>
      </c>
      <c r="F106" s="363" t="n"/>
      <c r="G106" s="363" t="n"/>
      <c r="H106" s="363" t="n"/>
      <c r="I106" s="361" t="inlineStr">
        <is>
          <t>ml</t>
        </is>
      </c>
      <c r="J106" s="1302" t="n">
        <v>0</v>
      </c>
      <c r="K106" s="1302" t="n">
        <v>0</v>
      </c>
      <c r="L106" s="1302" t="n">
        <v>0</v>
      </c>
      <c r="M106" s="1302" t="n">
        <v>0</v>
      </c>
      <c r="N106" s="1302" t="n">
        <v>1</v>
      </c>
      <c r="O106" s="1302" t="n">
        <v>1</v>
      </c>
      <c r="P106" s="1302" t="n">
        <v>1</v>
      </c>
      <c r="Q106" s="1302" t="n">
        <v>0</v>
      </c>
      <c r="R106" s="1303" t="n">
        <v>0</v>
      </c>
      <c r="S106" s="1302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106,0))))),3))</f>
        <v/>
      </c>
      <c r="T106" s="1302">
        <f>IF(S106="","",ROUND(S106*(1+R106),3))</f>
        <v/>
      </c>
      <c r="U106" s="361" t="inlineStr">
        <is>
          <t>ml</t>
        </is>
      </c>
      <c r="V106" s="363" t="n"/>
      <c r="W106" s="363" t="n"/>
      <c r="X106" s="1304" t="n"/>
      <c r="Y106" s="363" t="inlineStr">
        <is>
          <t>Pendiente</t>
        </is>
      </c>
    </row>
    <row r="107" ht="15" customFormat="1" customHeight="1" s="666">
      <c r="A107" s="358" t="inlineStr">
        <is>
          <t>MQ-099</t>
        </is>
      </c>
      <c r="B107" s="359" t="inlineStr">
        <is>
          <t>INSTALACIONES ELÉCTRICAS</t>
        </is>
      </c>
      <c r="C107" s="360" t="inlineStr">
        <is>
          <t>Canalizaciones</t>
        </is>
      </c>
      <c r="D107" s="361" t="inlineStr">
        <is>
          <t>14.01.02</t>
        </is>
      </c>
      <c r="E107" s="362" t="inlineStr">
        <is>
          <t>Bandejas portacables</t>
        </is>
      </c>
      <c r="F107" s="363" t="n"/>
      <c r="G107" s="363" t="n"/>
      <c r="H107" s="363" t="n"/>
      <c r="I107" s="361" t="inlineStr">
        <is>
          <t>ml</t>
        </is>
      </c>
      <c r="J107" s="1302" t="n">
        <v>0</v>
      </c>
      <c r="K107" s="1302" t="n">
        <v>0</v>
      </c>
      <c r="L107" s="1302" t="n">
        <v>0</v>
      </c>
      <c r="M107" s="1302" t="n">
        <v>0</v>
      </c>
      <c r="N107" s="1302" t="n">
        <v>1</v>
      </c>
      <c r="O107" s="1302" t="n">
        <v>1</v>
      </c>
      <c r="P107" s="1302" t="n">
        <v>1</v>
      </c>
      <c r="Q107" s="1302" t="n">
        <v>0</v>
      </c>
      <c r="R107" s="1303" t="n">
        <v>0</v>
      </c>
      <c r="S107" s="1302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107,0))))),3))</f>
        <v/>
      </c>
      <c r="T107" s="1302">
        <f>IF(S107="","",ROUND(S107*(1+R107),3))</f>
        <v/>
      </c>
      <c r="U107" s="361" t="inlineStr">
        <is>
          <t>ml</t>
        </is>
      </c>
      <c r="V107" s="363" t="n"/>
      <c r="W107" s="363" t="n"/>
      <c r="X107" s="1304" t="n"/>
      <c r="Y107" s="363" t="inlineStr">
        <is>
          <t>Pendiente</t>
        </is>
      </c>
    </row>
    <row r="108" ht="15" customFormat="1" customHeight="1" s="666">
      <c r="A108" s="358" t="inlineStr">
        <is>
          <t>MQ-100</t>
        </is>
      </c>
      <c r="B108" s="359" t="inlineStr">
        <is>
          <t>INSTALACIONES ELÉCTRICAS</t>
        </is>
      </c>
      <c r="C108" s="360" t="inlineStr">
        <is>
          <t>Canalizaciones</t>
        </is>
      </c>
      <c r="D108" s="361" t="inlineStr">
        <is>
          <t>14.01.03</t>
        </is>
      </c>
      <c r="E108" s="362" t="inlineStr">
        <is>
          <t>Cajas eléctricas</t>
        </is>
      </c>
      <c r="F108" s="363" t="n"/>
      <c r="G108" s="363" t="n"/>
      <c r="H108" s="363" t="n"/>
      <c r="I108" s="361" t="inlineStr">
        <is>
          <t>und</t>
        </is>
      </c>
      <c r="J108" s="1302" t="n">
        <v>0</v>
      </c>
      <c r="K108" s="1302" t="n">
        <v>0</v>
      </c>
      <c r="L108" s="1302" t="n">
        <v>0</v>
      </c>
      <c r="M108" s="1302" t="n">
        <v>0</v>
      </c>
      <c r="N108" s="1302" t="n">
        <v>1</v>
      </c>
      <c r="O108" s="1302" t="n">
        <v>1</v>
      </c>
      <c r="P108" s="1302" t="n">
        <v>1</v>
      </c>
      <c r="Q108" s="1302" t="n">
        <v>0</v>
      </c>
      <c r="R108" s="1303" t="n">
        <v>0</v>
      </c>
      <c r="S108" s="1302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108,0))))),3))</f>
        <v/>
      </c>
      <c r="T108" s="1302">
        <f>IF(S108="","",ROUND(S108*(1+R108),3))</f>
        <v/>
      </c>
      <c r="U108" s="361" t="inlineStr">
        <is>
          <t>und</t>
        </is>
      </c>
      <c r="V108" s="363" t="n"/>
      <c r="W108" s="363" t="n"/>
      <c r="X108" s="1304" t="n"/>
      <c r="Y108" s="363" t="inlineStr">
        <is>
          <t>Pendiente</t>
        </is>
      </c>
    </row>
    <row r="109" ht="15" customFormat="1" customHeight="1" s="666">
      <c r="A109" s="358" t="inlineStr">
        <is>
          <t>MQ-101</t>
        </is>
      </c>
      <c r="B109" s="359" t="inlineStr">
        <is>
          <t>INSTALACIONES ELÉCTRICAS</t>
        </is>
      </c>
      <c r="C109" s="360" t="inlineStr">
        <is>
          <t>Cableado</t>
        </is>
      </c>
      <c r="D109" s="361" t="inlineStr">
        <is>
          <t>14.02.01</t>
        </is>
      </c>
      <c r="E109" s="362" t="inlineStr">
        <is>
          <t>Cableado de fuerza</t>
        </is>
      </c>
      <c r="F109" s="363" t="n"/>
      <c r="G109" s="363" t="n"/>
      <c r="H109" s="363" t="n"/>
      <c r="I109" s="361" t="inlineStr">
        <is>
          <t>ml</t>
        </is>
      </c>
      <c r="J109" s="1302" t="n">
        <v>0</v>
      </c>
      <c r="K109" s="1302" t="n">
        <v>0</v>
      </c>
      <c r="L109" s="1302" t="n">
        <v>0</v>
      </c>
      <c r="M109" s="1302" t="n">
        <v>0</v>
      </c>
      <c r="N109" s="1302" t="n">
        <v>1</v>
      </c>
      <c r="O109" s="1302" t="n">
        <v>1</v>
      </c>
      <c r="P109" s="1302" t="n">
        <v>1</v>
      </c>
      <c r="Q109" s="1302" t="n">
        <v>0</v>
      </c>
      <c r="R109" s="1303" t="n">
        <v>0</v>
      </c>
      <c r="S109" s="1302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109,0))))),3))</f>
        <v/>
      </c>
      <c r="T109" s="1302">
        <f>IF(S109="","",ROUND(S109*(1+R109),3))</f>
        <v/>
      </c>
      <c r="U109" s="361" t="inlineStr">
        <is>
          <t>ml</t>
        </is>
      </c>
      <c r="V109" s="363" t="n"/>
      <c r="W109" s="363" t="n"/>
      <c r="X109" s="1304" t="n"/>
      <c r="Y109" s="363" t="inlineStr">
        <is>
          <t>Pendiente</t>
        </is>
      </c>
    </row>
    <row r="110" ht="15" customFormat="1" customHeight="1" s="666">
      <c r="A110" s="358" t="inlineStr">
        <is>
          <t>MQ-102</t>
        </is>
      </c>
      <c r="B110" s="359" t="inlineStr">
        <is>
          <t>INSTALACIONES ELÉCTRICAS</t>
        </is>
      </c>
      <c r="C110" s="360" t="inlineStr">
        <is>
          <t>Cableado</t>
        </is>
      </c>
      <c r="D110" s="361" t="inlineStr">
        <is>
          <t>14.02.02</t>
        </is>
      </c>
      <c r="E110" s="362" t="inlineStr">
        <is>
          <t>Cableado de iluminación</t>
        </is>
      </c>
      <c r="F110" s="363" t="n"/>
      <c r="G110" s="363" t="n"/>
      <c r="H110" s="363" t="n"/>
      <c r="I110" s="361" t="inlineStr">
        <is>
          <t>ml</t>
        </is>
      </c>
      <c r="J110" s="1302" t="n">
        <v>0</v>
      </c>
      <c r="K110" s="1302" t="n">
        <v>0</v>
      </c>
      <c r="L110" s="1302" t="n">
        <v>0</v>
      </c>
      <c r="M110" s="1302" t="n">
        <v>0</v>
      </c>
      <c r="N110" s="1302" t="n">
        <v>1</v>
      </c>
      <c r="O110" s="1302" t="n">
        <v>1</v>
      </c>
      <c r="P110" s="1302" t="n">
        <v>1</v>
      </c>
      <c r="Q110" s="1302" t="n">
        <v>0</v>
      </c>
      <c r="R110" s="1303" t="n">
        <v>0</v>
      </c>
      <c r="S110" s="1302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110,0))))),3))</f>
        <v/>
      </c>
      <c r="T110" s="1302">
        <f>IF(S110="","",ROUND(S110*(1+R110),3))</f>
        <v/>
      </c>
      <c r="U110" s="361" t="inlineStr">
        <is>
          <t>ml</t>
        </is>
      </c>
      <c r="V110" s="363" t="n"/>
      <c r="W110" s="363" t="n"/>
      <c r="X110" s="1304" t="n"/>
      <c r="Y110" s="363" t="inlineStr">
        <is>
          <t>Pendiente</t>
        </is>
      </c>
    </row>
    <row r="111" ht="15" customFormat="1" customHeight="1" s="666">
      <c r="A111" s="358" t="inlineStr">
        <is>
          <t>MQ-103</t>
        </is>
      </c>
      <c r="B111" s="359" t="inlineStr">
        <is>
          <t>INSTALACIONES ELÉCTRICAS</t>
        </is>
      </c>
      <c r="C111" s="360" t="inlineStr">
        <is>
          <t>Cableado</t>
        </is>
      </c>
      <c r="D111" s="361" t="inlineStr">
        <is>
          <t>14.02.03</t>
        </is>
      </c>
      <c r="E111" s="362" t="inlineStr">
        <is>
          <t>Tableros eléctricos</t>
        </is>
      </c>
      <c r="F111" s="363" t="n"/>
      <c r="G111" s="363" t="n"/>
      <c r="H111" s="363" t="n"/>
      <c r="I111" s="361" t="inlineStr">
        <is>
          <t>und</t>
        </is>
      </c>
      <c r="J111" s="1302" t="n">
        <v>0</v>
      </c>
      <c r="K111" s="1302" t="n">
        <v>0</v>
      </c>
      <c r="L111" s="1302" t="n">
        <v>0</v>
      </c>
      <c r="M111" s="1302" t="n">
        <v>0</v>
      </c>
      <c r="N111" s="1302" t="n">
        <v>1</v>
      </c>
      <c r="O111" s="1302" t="n">
        <v>1</v>
      </c>
      <c r="P111" s="1302" t="n">
        <v>1</v>
      </c>
      <c r="Q111" s="1302" t="n">
        <v>0</v>
      </c>
      <c r="R111" s="1303" t="n">
        <v>0</v>
      </c>
      <c r="S111" s="1302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111,0))))),3))</f>
        <v/>
      </c>
      <c r="T111" s="1302">
        <f>IF(S111="","",ROUND(S111*(1+R111),3))</f>
        <v/>
      </c>
      <c r="U111" s="361" t="inlineStr">
        <is>
          <t>und</t>
        </is>
      </c>
      <c r="V111" s="363" t="n"/>
      <c r="W111" s="363" t="n"/>
      <c r="X111" s="1304" t="n"/>
      <c r="Y111" s="363" t="inlineStr">
        <is>
          <t>Pendiente</t>
        </is>
      </c>
    </row>
    <row r="112" ht="15" customFormat="1" customHeight="1" s="666">
      <c r="A112" s="358" t="inlineStr">
        <is>
          <t>MQ-104</t>
        </is>
      </c>
      <c r="B112" s="359" t="inlineStr">
        <is>
          <t>INSTALACIONES ELÉCTRICAS</t>
        </is>
      </c>
      <c r="C112" s="360" t="inlineStr">
        <is>
          <t>Aparatos</t>
        </is>
      </c>
      <c r="D112" s="361" t="inlineStr">
        <is>
          <t>14.03.01</t>
        </is>
      </c>
      <c r="E112" s="362" t="inlineStr">
        <is>
          <t>Tomacorrientes</t>
        </is>
      </c>
      <c r="F112" s="363" t="n"/>
      <c r="G112" s="363" t="n"/>
      <c r="H112" s="363" t="n"/>
      <c r="I112" s="361" t="inlineStr">
        <is>
          <t>und</t>
        </is>
      </c>
      <c r="J112" s="1302" t="n">
        <v>0</v>
      </c>
      <c r="K112" s="1302" t="n">
        <v>0</v>
      </c>
      <c r="L112" s="1302" t="n">
        <v>0</v>
      </c>
      <c r="M112" s="1302" t="n">
        <v>0</v>
      </c>
      <c r="N112" s="1302" t="n">
        <v>1</v>
      </c>
      <c r="O112" s="1302" t="n">
        <v>1</v>
      </c>
      <c r="P112" s="1302" t="n">
        <v>1</v>
      </c>
      <c r="Q112" s="1302" t="n">
        <v>0</v>
      </c>
      <c r="R112" s="1303" t="n">
        <v>0</v>
      </c>
      <c r="S112" s="1302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112,0))))),3))</f>
        <v/>
      </c>
      <c r="T112" s="1302">
        <f>IF(S112="","",ROUND(S112*(1+R112),3))</f>
        <v/>
      </c>
      <c r="U112" s="361" t="inlineStr">
        <is>
          <t>und</t>
        </is>
      </c>
      <c r="V112" s="363" t="n"/>
      <c r="W112" s="363" t="n"/>
      <c r="X112" s="1304" t="n"/>
      <c r="Y112" s="363" t="inlineStr">
        <is>
          <t>Pendiente</t>
        </is>
      </c>
    </row>
    <row r="113" ht="15" customFormat="1" customHeight="1" s="666">
      <c r="A113" s="358" t="inlineStr">
        <is>
          <t>MQ-105</t>
        </is>
      </c>
      <c r="B113" s="359" t="inlineStr">
        <is>
          <t>INSTALACIONES ELÉCTRICAS</t>
        </is>
      </c>
      <c r="C113" s="360" t="inlineStr">
        <is>
          <t>Aparatos</t>
        </is>
      </c>
      <c r="D113" s="361" t="inlineStr">
        <is>
          <t>14.03.02</t>
        </is>
      </c>
      <c r="E113" s="362" t="inlineStr">
        <is>
          <t>Interruptores</t>
        </is>
      </c>
      <c r="F113" s="363" t="n"/>
      <c r="G113" s="363" t="n"/>
      <c r="H113" s="363" t="n"/>
      <c r="I113" s="361" t="inlineStr">
        <is>
          <t>und</t>
        </is>
      </c>
      <c r="J113" s="1302" t="n">
        <v>0</v>
      </c>
      <c r="K113" s="1302" t="n">
        <v>0</v>
      </c>
      <c r="L113" s="1302" t="n">
        <v>0</v>
      </c>
      <c r="M113" s="1302" t="n">
        <v>0</v>
      </c>
      <c r="N113" s="1302" t="n">
        <v>1</v>
      </c>
      <c r="O113" s="1302" t="n">
        <v>1</v>
      </c>
      <c r="P113" s="1302" t="n">
        <v>1</v>
      </c>
      <c r="Q113" s="1302" t="n">
        <v>0</v>
      </c>
      <c r="R113" s="1303" t="n">
        <v>0</v>
      </c>
      <c r="S113" s="1302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113,0))))),3))</f>
        <v/>
      </c>
      <c r="T113" s="1302">
        <f>IF(S113="","",ROUND(S113*(1+R113),3))</f>
        <v/>
      </c>
      <c r="U113" s="361" t="inlineStr">
        <is>
          <t>und</t>
        </is>
      </c>
      <c r="V113" s="363" t="n"/>
      <c r="W113" s="363" t="n"/>
      <c r="X113" s="1304" t="n"/>
      <c r="Y113" s="363" t="inlineStr">
        <is>
          <t>Pendiente</t>
        </is>
      </c>
    </row>
    <row r="114" ht="15" customFormat="1" customHeight="1" s="666">
      <c r="A114" s="358" t="inlineStr">
        <is>
          <t>MQ-106</t>
        </is>
      </c>
      <c r="B114" s="359" t="inlineStr">
        <is>
          <t>INSTALACIONES ELÉCTRICAS</t>
        </is>
      </c>
      <c r="C114" s="360" t="inlineStr">
        <is>
          <t>Aparatos</t>
        </is>
      </c>
      <c r="D114" s="361" t="inlineStr">
        <is>
          <t>14.03.03</t>
        </is>
      </c>
      <c r="E114" s="362" t="inlineStr">
        <is>
          <t>Luminarias</t>
        </is>
      </c>
      <c r="F114" s="363" t="n"/>
      <c r="G114" s="363" t="n"/>
      <c r="H114" s="363" t="n"/>
      <c r="I114" s="361" t="inlineStr">
        <is>
          <t>und</t>
        </is>
      </c>
      <c r="J114" s="1302" t="n">
        <v>0</v>
      </c>
      <c r="K114" s="1302" t="n">
        <v>0</v>
      </c>
      <c r="L114" s="1302" t="n">
        <v>0</v>
      </c>
      <c r="M114" s="1302" t="n">
        <v>0</v>
      </c>
      <c r="N114" s="1302" t="n">
        <v>1</v>
      </c>
      <c r="O114" s="1302" t="n">
        <v>1</v>
      </c>
      <c r="P114" s="1302" t="n">
        <v>1</v>
      </c>
      <c r="Q114" s="1302" t="n">
        <v>0</v>
      </c>
      <c r="R114" s="1303" t="n">
        <v>0</v>
      </c>
      <c r="S114" s="1302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114,0))))),3))</f>
        <v/>
      </c>
      <c r="T114" s="1302">
        <f>IF(S114="","",ROUND(S114*(1+R114),3))</f>
        <v/>
      </c>
      <c r="U114" s="361" t="inlineStr">
        <is>
          <t>und</t>
        </is>
      </c>
      <c r="V114" s="363" t="n"/>
      <c r="W114" s="363" t="n"/>
      <c r="X114" s="1304" t="n"/>
      <c r="Y114" s="363" t="inlineStr">
        <is>
          <t>Pendiente</t>
        </is>
      </c>
    </row>
    <row r="115" ht="15" customFormat="1" customHeight="1" s="666">
      <c r="A115" s="358" t="inlineStr">
        <is>
          <t>MQ-107</t>
        </is>
      </c>
      <c r="B115" s="359" t="inlineStr">
        <is>
          <t>INSTALACIONES ELÉCTRICAS</t>
        </is>
      </c>
      <c r="C115" s="360" t="inlineStr">
        <is>
          <t>Puesta a tierra</t>
        </is>
      </c>
      <c r="D115" s="361" t="inlineStr">
        <is>
          <t>14.04.01</t>
        </is>
      </c>
      <c r="E115" s="362" t="inlineStr">
        <is>
          <t>Sistema de puesta a tierra</t>
        </is>
      </c>
      <c r="F115" s="363" t="n"/>
      <c r="G115" s="363" t="n"/>
      <c r="H115" s="363" t="n"/>
      <c r="I115" s="361" t="inlineStr">
        <is>
          <t>gl</t>
        </is>
      </c>
      <c r="J115" s="1302" t="n">
        <v>0</v>
      </c>
      <c r="K115" s="1302" t="n">
        <v>0</v>
      </c>
      <c r="L115" s="1302" t="n">
        <v>0</v>
      </c>
      <c r="M115" s="1302" t="n">
        <v>0</v>
      </c>
      <c r="N115" s="1302" t="n">
        <v>1</v>
      </c>
      <c r="O115" s="1302" t="n">
        <v>1</v>
      </c>
      <c r="P115" s="1302" t="n">
        <v>1</v>
      </c>
      <c r="Q115" s="1302" t="n">
        <v>0</v>
      </c>
      <c r="R115" s="1303" t="n">
        <v>0</v>
      </c>
      <c r="S115" s="1302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115,0))))),3))</f>
        <v/>
      </c>
      <c r="T115" s="1302">
        <f>IF(S115="","",ROUND(S115*(1+R115),3))</f>
        <v/>
      </c>
      <c r="U115" s="361" t="inlineStr">
        <is>
          <t>gl</t>
        </is>
      </c>
      <c r="V115" s="363" t="n"/>
      <c r="W115" s="363" t="n"/>
      <c r="X115" s="1304" t="n"/>
      <c r="Y115" s="363" t="inlineStr">
        <is>
          <t>Pendiente</t>
        </is>
      </c>
    </row>
    <row r="116" ht="15" customFormat="1" customHeight="1" s="666">
      <c r="A116" s="358" t="inlineStr">
        <is>
          <t>MQ-108</t>
        </is>
      </c>
      <c r="B116" s="359" t="inlineStr">
        <is>
          <t>INSTALACIONES ELÉCTRICAS</t>
        </is>
      </c>
      <c r="C116" s="360" t="inlineStr">
        <is>
          <t>Pruebas</t>
        </is>
      </c>
      <c r="D116" s="361" t="inlineStr">
        <is>
          <t>14.05.01</t>
        </is>
      </c>
      <c r="E116" s="362" t="inlineStr">
        <is>
          <t>Pruebas y certificaciones</t>
        </is>
      </c>
      <c r="F116" s="363" t="n"/>
      <c r="G116" s="363" t="n"/>
      <c r="H116" s="363" t="n"/>
      <c r="I116" s="361" t="inlineStr">
        <is>
          <t>gl</t>
        </is>
      </c>
      <c r="J116" s="1302" t="n">
        <v>0</v>
      </c>
      <c r="K116" s="1302" t="n">
        <v>0</v>
      </c>
      <c r="L116" s="1302" t="n">
        <v>0</v>
      </c>
      <c r="M116" s="1302" t="n">
        <v>0</v>
      </c>
      <c r="N116" s="1302" t="n">
        <v>1</v>
      </c>
      <c r="O116" s="1302" t="n">
        <v>1</v>
      </c>
      <c r="P116" s="1302" t="n">
        <v>1</v>
      </c>
      <c r="Q116" s="1302" t="n">
        <v>0</v>
      </c>
      <c r="R116" s="1303" t="n">
        <v>0</v>
      </c>
      <c r="S116" s="1302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116,0))))),3))</f>
        <v/>
      </c>
      <c r="T116" s="1302">
        <f>IF(S116="","",ROUND(S116*(1+R116),3))</f>
        <v/>
      </c>
      <c r="U116" s="361" t="inlineStr">
        <is>
          <t>gl</t>
        </is>
      </c>
      <c r="V116" s="363" t="n"/>
      <c r="W116" s="363" t="n"/>
      <c r="X116" s="1304" t="n"/>
      <c r="Y116" s="363" t="inlineStr">
        <is>
          <t>Pendiente</t>
        </is>
      </c>
    </row>
    <row r="117" ht="15" customFormat="1" customHeight="1" s="666">
      <c r="A117" s="358" t="inlineStr">
        <is>
          <t>MQ-109</t>
        </is>
      </c>
      <c r="B117" s="359" t="inlineStr">
        <is>
          <t>COMUNICACIONES Y SEGURIDAD</t>
        </is>
      </c>
      <c r="C117" s="360" t="inlineStr">
        <is>
          <t>Datos</t>
        </is>
      </c>
      <c r="D117" s="361" t="inlineStr">
        <is>
          <t>15.01.01</t>
        </is>
      </c>
      <c r="E117" s="362" t="inlineStr">
        <is>
          <t>Cableado estructurado de datos</t>
        </is>
      </c>
      <c r="F117" s="363" t="n"/>
      <c r="G117" s="363" t="n"/>
      <c r="H117" s="363" t="n"/>
      <c r="I117" s="361" t="inlineStr">
        <is>
          <t>ml</t>
        </is>
      </c>
      <c r="J117" s="1302" t="n">
        <v>0</v>
      </c>
      <c r="K117" s="1302" t="n">
        <v>0</v>
      </c>
      <c r="L117" s="1302" t="n">
        <v>0</v>
      </c>
      <c r="M117" s="1302" t="n">
        <v>0</v>
      </c>
      <c r="N117" s="1302" t="n">
        <v>1</v>
      </c>
      <c r="O117" s="1302" t="n">
        <v>1</v>
      </c>
      <c r="P117" s="1302" t="n">
        <v>1</v>
      </c>
      <c r="Q117" s="1302" t="n">
        <v>0</v>
      </c>
      <c r="R117" s="1303" t="n">
        <v>0</v>
      </c>
      <c r="S117" s="1302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117,0))))),3))</f>
        <v/>
      </c>
      <c r="T117" s="1302">
        <f>IF(S117="","",ROUND(S117*(1+R117),3))</f>
        <v/>
      </c>
      <c r="U117" s="361" t="inlineStr">
        <is>
          <t>ml</t>
        </is>
      </c>
      <c r="V117" s="363" t="n"/>
      <c r="W117" s="363" t="n"/>
      <c r="X117" s="1304" t="n"/>
      <c r="Y117" s="363" t="inlineStr">
        <is>
          <t>Pendiente</t>
        </is>
      </c>
    </row>
    <row r="118" ht="15" customFormat="1" customHeight="1" s="666">
      <c r="A118" s="358" t="inlineStr">
        <is>
          <t>MQ-110</t>
        </is>
      </c>
      <c r="B118" s="359" t="inlineStr">
        <is>
          <t>COMUNICACIONES Y SEGURIDAD</t>
        </is>
      </c>
      <c r="C118" s="360" t="inlineStr">
        <is>
          <t>Datos</t>
        </is>
      </c>
      <c r="D118" s="361" t="inlineStr">
        <is>
          <t>15.01.02</t>
        </is>
      </c>
      <c r="E118" s="362" t="inlineStr">
        <is>
          <t>Rack de comunicaciones</t>
        </is>
      </c>
      <c r="F118" s="363" t="n"/>
      <c r="G118" s="363" t="n"/>
      <c r="H118" s="363" t="n"/>
      <c r="I118" s="361" t="inlineStr">
        <is>
          <t>und</t>
        </is>
      </c>
      <c r="J118" s="1302" t="n">
        <v>0</v>
      </c>
      <c r="K118" s="1302" t="n">
        <v>0</v>
      </c>
      <c r="L118" s="1302" t="n">
        <v>0</v>
      </c>
      <c r="M118" s="1302" t="n">
        <v>0</v>
      </c>
      <c r="N118" s="1302" t="n">
        <v>1</v>
      </c>
      <c r="O118" s="1302" t="n">
        <v>1</v>
      </c>
      <c r="P118" s="1302" t="n">
        <v>1</v>
      </c>
      <c r="Q118" s="1302" t="n">
        <v>0</v>
      </c>
      <c r="R118" s="1303" t="n">
        <v>0</v>
      </c>
      <c r="S118" s="1302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118,0))))),3))</f>
        <v/>
      </c>
      <c r="T118" s="1302">
        <f>IF(S118="","",ROUND(S118*(1+R118),3))</f>
        <v/>
      </c>
      <c r="U118" s="361" t="inlineStr">
        <is>
          <t>und</t>
        </is>
      </c>
      <c r="V118" s="363" t="n"/>
      <c r="W118" s="363" t="n"/>
      <c r="X118" s="1304" t="n"/>
      <c r="Y118" s="363" t="inlineStr">
        <is>
          <t>Pendiente</t>
        </is>
      </c>
    </row>
    <row r="119" ht="15" customFormat="1" customHeight="1" s="666">
      <c r="A119" s="358" t="inlineStr">
        <is>
          <t>MQ-111</t>
        </is>
      </c>
      <c r="B119" s="359" t="inlineStr">
        <is>
          <t>COMUNICACIONES Y SEGURIDAD</t>
        </is>
      </c>
      <c r="C119" s="360" t="inlineStr">
        <is>
          <t>Seguridad</t>
        </is>
      </c>
      <c r="D119" s="361" t="inlineStr">
        <is>
          <t>15.02.01</t>
        </is>
      </c>
      <c r="E119" s="362" t="inlineStr">
        <is>
          <t>Cámaras y sistema CCTV</t>
        </is>
      </c>
      <c r="F119" s="363" t="n"/>
      <c r="G119" s="363" t="n"/>
      <c r="H119" s="363" t="n"/>
      <c r="I119" s="361" t="inlineStr">
        <is>
          <t>und</t>
        </is>
      </c>
      <c r="J119" s="1302" t="n">
        <v>0</v>
      </c>
      <c r="K119" s="1302" t="n">
        <v>0</v>
      </c>
      <c r="L119" s="1302" t="n">
        <v>0</v>
      </c>
      <c r="M119" s="1302" t="n">
        <v>0</v>
      </c>
      <c r="N119" s="1302" t="n">
        <v>1</v>
      </c>
      <c r="O119" s="1302" t="n">
        <v>1</v>
      </c>
      <c r="P119" s="1302" t="n">
        <v>1</v>
      </c>
      <c r="Q119" s="1302" t="n">
        <v>0</v>
      </c>
      <c r="R119" s="1303" t="n">
        <v>0</v>
      </c>
      <c r="S119" s="1302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119,0))))),3))</f>
        <v/>
      </c>
      <c r="T119" s="1302">
        <f>IF(S119="","",ROUND(S119*(1+R119),3))</f>
        <v/>
      </c>
      <c r="U119" s="361" t="inlineStr">
        <is>
          <t>und</t>
        </is>
      </c>
      <c r="V119" s="363" t="n"/>
      <c r="W119" s="363" t="n"/>
      <c r="X119" s="1304" t="n"/>
      <c r="Y119" s="363" t="inlineStr">
        <is>
          <t>Pendiente</t>
        </is>
      </c>
    </row>
    <row r="120" ht="15" customFormat="1" customHeight="1" s="666">
      <c r="A120" s="358" t="inlineStr">
        <is>
          <t>MQ-112</t>
        </is>
      </c>
      <c r="B120" s="359" t="inlineStr">
        <is>
          <t>COMUNICACIONES Y SEGURIDAD</t>
        </is>
      </c>
      <c r="C120" s="360" t="inlineStr">
        <is>
          <t>Seguridad</t>
        </is>
      </c>
      <c r="D120" s="361" t="inlineStr">
        <is>
          <t>15.02.02</t>
        </is>
      </c>
      <c r="E120" s="362" t="inlineStr">
        <is>
          <t>Control de acceso</t>
        </is>
      </c>
      <c r="F120" s="363" t="n"/>
      <c r="G120" s="363" t="n"/>
      <c r="H120" s="363" t="n"/>
      <c r="I120" s="361" t="inlineStr">
        <is>
          <t>und</t>
        </is>
      </c>
      <c r="J120" s="1302" t="n">
        <v>0</v>
      </c>
      <c r="K120" s="1302" t="n">
        <v>0</v>
      </c>
      <c r="L120" s="1302" t="n">
        <v>0</v>
      </c>
      <c r="M120" s="1302" t="n">
        <v>0</v>
      </c>
      <c r="N120" s="1302" t="n">
        <v>1</v>
      </c>
      <c r="O120" s="1302" t="n">
        <v>1</v>
      </c>
      <c r="P120" s="1302" t="n">
        <v>1</v>
      </c>
      <c r="Q120" s="1302" t="n">
        <v>0</v>
      </c>
      <c r="R120" s="1303" t="n">
        <v>0</v>
      </c>
      <c r="S120" s="1302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120,0))))),3))</f>
        <v/>
      </c>
      <c r="T120" s="1302">
        <f>IF(S120="","",ROUND(S120*(1+R120),3))</f>
        <v/>
      </c>
      <c r="U120" s="361" t="inlineStr">
        <is>
          <t>und</t>
        </is>
      </c>
      <c r="V120" s="363" t="n"/>
      <c r="W120" s="363" t="n"/>
      <c r="X120" s="1304" t="n"/>
      <c r="Y120" s="363" t="inlineStr">
        <is>
          <t>Pendiente</t>
        </is>
      </c>
    </row>
    <row r="121" ht="15" customFormat="1" customHeight="1" s="666">
      <c r="A121" s="358" t="inlineStr">
        <is>
          <t>MQ-113</t>
        </is>
      </c>
      <c r="B121" s="359" t="inlineStr">
        <is>
          <t>COMUNICACIONES Y SEGURIDAD</t>
        </is>
      </c>
      <c r="C121" s="360" t="inlineStr">
        <is>
          <t>Seguridad</t>
        </is>
      </c>
      <c r="D121" s="361" t="inlineStr">
        <is>
          <t>15.02.03</t>
        </is>
      </c>
      <c r="E121" s="362" t="inlineStr">
        <is>
          <t>Sistema de citofonía</t>
        </is>
      </c>
      <c r="F121" s="363" t="n"/>
      <c r="G121" s="363" t="n"/>
      <c r="H121" s="363" t="n"/>
      <c r="I121" s="361" t="inlineStr">
        <is>
          <t>und</t>
        </is>
      </c>
      <c r="J121" s="1302" t="n">
        <v>0</v>
      </c>
      <c r="K121" s="1302" t="n">
        <v>0</v>
      </c>
      <c r="L121" s="1302" t="n">
        <v>0</v>
      </c>
      <c r="M121" s="1302" t="n">
        <v>0</v>
      </c>
      <c r="N121" s="1302" t="n">
        <v>1</v>
      </c>
      <c r="O121" s="1302" t="n">
        <v>1</v>
      </c>
      <c r="P121" s="1302" t="n">
        <v>1</v>
      </c>
      <c r="Q121" s="1302" t="n">
        <v>0</v>
      </c>
      <c r="R121" s="1303" t="n">
        <v>0</v>
      </c>
      <c r="S121" s="1302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121,0))))),3))</f>
        <v/>
      </c>
      <c r="T121" s="1302">
        <f>IF(S121="","",ROUND(S121*(1+R121),3))</f>
        <v/>
      </c>
      <c r="U121" s="361" t="inlineStr">
        <is>
          <t>und</t>
        </is>
      </c>
      <c r="V121" s="363" t="n"/>
      <c r="W121" s="363" t="n"/>
      <c r="X121" s="1304" t="n"/>
      <c r="Y121" s="363" t="inlineStr">
        <is>
          <t>Pendiente</t>
        </is>
      </c>
    </row>
    <row r="122" ht="15" customFormat="1" customHeight="1" s="666">
      <c r="A122" s="358" t="inlineStr">
        <is>
          <t>MQ-114</t>
        </is>
      </c>
      <c r="B122" s="359" t="inlineStr">
        <is>
          <t>COMUNICACIONES Y SEGURIDAD</t>
        </is>
      </c>
      <c r="C122" s="360" t="inlineStr">
        <is>
          <t>Detección</t>
        </is>
      </c>
      <c r="D122" s="361" t="inlineStr">
        <is>
          <t>15.03.01</t>
        </is>
      </c>
      <c r="E122" s="362" t="inlineStr">
        <is>
          <t>Sistema de detección de incendios</t>
        </is>
      </c>
      <c r="F122" s="363" t="n"/>
      <c r="G122" s="363" t="n"/>
      <c r="H122" s="363" t="n"/>
      <c r="I122" s="361" t="inlineStr">
        <is>
          <t>gl</t>
        </is>
      </c>
      <c r="J122" s="1302" t="n">
        <v>0</v>
      </c>
      <c r="K122" s="1302" t="n">
        <v>0</v>
      </c>
      <c r="L122" s="1302" t="n">
        <v>0</v>
      </c>
      <c r="M122" s="1302" t="n">
        <v>0</v>
      </c>
      <c r="N122" s="1302" t="n">
        <v>1</v>
      </c>
      <c r="O122" s="1302" t="n">
        <v>1</v>
      </c>
      <c r="P122" s="1302" t="n">
        <v>1</v>
      </c>
      <c r="Q122" s="1302" t="n">
        <v>0</v>
      </c>
      <c r="R122" s="1303" t="n">
        <v>0</v>
      </c>
      <c r="S122" s="1302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122,0))))),3))</f>
        <v/>
      </c>
      <c r="T122" s="1302">
        <f>IF(S122="","",ROUND(S122*(1+R122),3))</f>
        <v/>
      </c>
      <c r="U122" s="361" t="inlineStr">
        <is>
          <t>gl</t>
        </is>
      </c>
      <c r="V122" s="363" t="n"/>
      <c r="W122" s="363" t="n"/>
      <c r="X122" s="1304" t="n"/>
      <c r="Y122" s="363" t="inlineStr">
        <is>
          <t>Pendiente</t>
        </is>
      </c>
    </row>
    <row r="123" ht="15" customFormat="1" customHeight="1" s="666">
      <c r="A123" s="358" t="inlineStr">
        <is>
          <t>MQ-115</t>
        </is>
      </c>
      <c r="B123" s="359" t="inlineStr">
        <is>
          <t>CLIMATIZACIÓN Y VENTILACIÓN</t>
        </is>
      </c>
      <c r="C123" s="360" t="inlineStr">
        <is>
          <t>HVAC</t>
        </is>
      </c>
      <c r="D123" s="361" t="inlineStr">
        <is>
          <t>16.01.01</t>
        </is>
      </c>
      <c r="E123" s="362" t="inlineStr">
        <is>
          <t>Equipos de aire acondicionado</t>
        </is>
      </c>
      <c r="F123" s="363" t="n"/>
      <c r="G123" s="363" t="n"/>
      <c r="H123" s="363" t="n"/>
      <c r="I123" s="361" t="inlineStr">
        <is>
          <t>und</t>
        </is>
      </c>
      <c r="J123" s="1302" t="n">
        <v>0</v>
      </c>
      <c r="K123" s="1302" t="n">
        <v>0</v>
      </c>
      <c r="L123" s="1302" t="n">
        <v>0</v>
      </c>
      <c r="M123" s="1302" t="n">
        <v>0</v>
      </c>
      <c r="N123" s="1302" t="n">
        <v>1</v>
      </c>
      <c r="O123" s="1302" t="n">
        <v>1</v>
      </c>
      <c r="P123" s="1302" t="n">
        <v>1</v>
      </c>
      <c r="Q123" s="1302" t="n">
        <v>0</v>
      </c>
      <c r="R123" s="1303" t="n">
        <v>0</v>
      </c>
      <c r="S123" s="1302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123,0))))),3))</f>
        <v/>
      </c>
      <c r="T123" s="1302">
        <f>IF(S123="","",ROUND(S123*(1+R123),3))</f>
        <v/>
      </c>
      <c r="U123" s="361" t="inlineStr">
        <is>
          <t>und</t>
        </is>
      </c>
      <c r="V123" s="363" t="n"/>
      <c r="W123" s="363" t="n"/>
      <c r="X123" s="1304" t="n"/>
      <c r="Y123" s="363" t="inlineStr">
        <is>
          <t>Pendiente</t>
        </is>
      </c>
    </row>
    <row r="124" ht="15" customFormat="1" customHeight="1" s="666">
      <c r="A124" s="358" t="inlineStr">
        <is>
          <t>MQ-116</t>
        </is>
      </c>
      <c r="B124" s="359" t="inlineStr">
        <is>
          <t>CLIMATIZACIÓN Y VENTILACIÓN</t>
        </is>
      </c>
      <c r="C124" s="360" t="inlineStr">
        <is>
          <t>HVAC</t>
        </is>
      </c>
      <c r="D124" s="361" t="inlineStr">
        <is>
          <t>16.01.02</t>
        </is>
      </c>
      <c r="E124" s="362" t="inlineStr">
        <is>
          <t>Ductos de ventilación</t>
        </is>
      </c>
      <c r="F124" s="363" t="n"/>
      <c r="G124" s="363" t="n"/>
      <c r="H124" s="363" t="n"/>
      <c r="I124" s="361" t="inlineStr">
        <is>
          <t>m²</t>
        </is>
      </c>
      <c r="J124" s="1302" t="n">
        <v>0</v>
      </c>
      <c r="K124" s="1302" t="n">
        <v>0</v>
      </c>
      <c r="L124" s="1302" t="n">
        <v>0</v>
      </c>
      <c r="M124" s="1302" t="n">
        <v>0</v>
      </c>
      <c r="N124" s="1302" t="n">
        <v>1</v>
      </c>
      <c r="O124" s="1302" t="n">
        <v>1</v>
      </c>
      <c r="P124" s="1302" t="n">
        <v>1</v>
      </c>
      <c r="Q124" s="1302" t="n">
        <v>0</v>
      </c>
      <c r="R124" s="1303" t="n">
        <v>0</v>
      </c>
      <c r="S124" s="1302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124,0))))),3))</f>
        <v/>
      </c>
      <c r="T124" s="1302">
        <f>IF(S124="","",ROUND(S124*(1+R124),3))</f>
        <v/>
      </c>
      <c r="U124" s="361" t="inlineStr">
        <is>
          <t>m²</t>
        </is>
      </c>
      <c r="V124" s="363" t="n"/>
      <c r="W124" s="363" t="n"/>
      <c r="X124" s="1304" t="n"/>
      <c r="Y124" s="363" t="inlineStr">
        <is>
          <t>Pendiente</t>
        </is>
      </c>
    </row>
    <row r="125" ht="15" customFormat="1" customHeight="1" s="666">
      <c r="A125" s="358" t="inlineStr">
        <is>
          <t>MQ-117</t>
        </is>
      </c>
      <c r="B125" s="359" t="inlineStr">
        <is>
          <t>CLIMATIZACIÓN Y VENTILACIÓN</t>
        </is>
      </c>
      <c r="C125" s="360" t="inlineStr">
        <is>
          <t>HVAC</t>
        </is>
      </c>
      <c r="D125" s="361" t="inlineStr">
        <is>
          <t>16.01.03</t>
        </is>
      </c>
      <c r="E125" s="362" t="inlineStr">
        <is>
          <t>Tubería de refrigerante</t>
        </is>
      </c>
      <c r="F125" s="363" t="n"/>
      <c r="G125" s="363" t="n"/>
      <c r="H125" s="363" t="n"/>
      <c r="I125" s="361" t="inlineStr">
        <is>
          <t>ml</t>
        </is>
      </c>
      <c r="J125" s="1302" t="n">
        <v>0</v>
      </c>
      <c r="K125" s="1302" t="n">
        <v>0</v>
      </c>
      <c r="L125" s="1302" t="n">
        <v>0</v>
      </c>
      <c r="M125" s="1302" t="n">
        <v>0</v>
      </c>
      <c r="N125" s="1302" t="n">
        <v>1</v>
      </c>
      <c r="O125" s="1302" t="n">
        <v>1</v>
      </c>
      <c r="P125" s="1302" t="n">
        <v>1</v>
      </c>
      <c r="Q125" s="1302" t="n">
        <v>0</v>
      </c>
      <c r="R125" s="1303" t="n">
        <v>0</v>
      </c>
      <c r="S125" s="1302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125,0))))),3))</f>
        <v/>
      </c>
      <c r="T125" s="1302">
        <f>IF(S125="","",ROUND(S125*(1+R125),3))</f>
        <v/>
      </c>
      <c r="U125" s="361" t="inlineStr">
        <is>
          <t>ml</t>
        </is>
      </c>
      <c r="V125" s="363" t="n"/>
      <c r="W125" s="363" t="n"/>
      <c r="X125" s="1304" t="n"/>
      <c r="Y125" s="363" t="inlineStr">
        <is>
          <t>Pendiente</t>
        </is>
      </c>
    </row>
    <row r="126" ht="15" customFormat="1" customHeight="1" s="666">
      <c r="A126" s="358" t="inlineStr">
        <is>
          <t>MQ-118</t>
        </is>
      </c>
      <c r="B126" s="359" t="inlineStr">
        <is>
          <t>CLIMATIZACIÓN Y VENTILACIÓN</t>
        </is>
      </c>
      <c r="C126" s="360" t="inlineStr">
        <is>
          <t>HVAC</t>
        </is>
      </c>
      <c r="D126" s="361" t="inlineStr">
        <is>
          <t>16.01.04</t>
        </is>
      </c>
      <c r="E126" s="362" t="inlineStr">
        <is>
          <t>Rejillas y difusores</t>
        </is>
      </c>
      <c r="F126" s="363" t="n"/>
      <c r="G126" s="363" t="n"/>
      <c r="H126" s="363" t="n"/>
      <c r="I126" s="361" t="inlineStr">
        <is>
          <t>und</t>
        </is>
      </c>
      <c r="J126" s="1302" t="n">
        <v>0</v>
      </c>
      <c r="K126" s="1302" t="n">
        <v>0</v>
      </c>
      <c r="L126" s="1302" t="n">
        <v>0</v>
      </c>
      <c r="M126" s="1302" t="n">
        <v>0</v>
      </c>
      <c r="N126" s="1302" t="n">
        <v>1</v>
      </c>
      <c r="O126" s="1302" t="n">
        <v>1</v>
      </c>
      <c r="P126" s="1302" t="n">
        <v>1</v>
      </c>
      <c r="Q126" s="1302" t="n">
        <v>0</v>
      </c>
      <c r="R126" s="1303" t="n">
        <v>0</v>
      </c>
      <c r="S126" s="1302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126,0))))),3))</f>
        <v/>
      </c>
      <c r="T126" s="1302">
        <f>IF(S126="","",ROUND(S126*(1+R126),3))</f>
        <v/>
      </c>
      <c r="U126" s="361" t="inlineStr">
        <is>
          <t>und</t>
        </is>
      </c>
      <c r="V126" s="363" t="n"/>
      <c r="W126" s="363" t="n"/>
      <c r="X126" s="1304" t="n"/>
      <c r="Y126" s="363" t="inlineStr">
        <is>
          <t>Pendiente</t>
        </is>
      </c>
    </row>
    <row r="127" ht="15" customFormat="1" customHeight="1" s="666">
      <c r="A127" s="358" t="inlineStr">
        <is>
          <t>MQ-119</t>
        </is>
      </c>
      <c r="B127" s="359" t="inlineStr">
        <is>
          <t>GAS</t>
        </is>
      </c>
      <c r="C127" s="360" t="inlineStr">
        <is>
          <t>Red de gas</t>
        </is>
      </c>
      <c r="D127" s="361" t="inlineStr">
        <is>
          <t>17.01.01</t>
        </is>
      </c>
      <c r="E127" s="362" t="inlineStr">
        <is>
          <t>Red interna de gas</t>
        </is>
      </c>
      <c r="F127" s="363" t="n"/>
      <c r="G127" s="363" t="n"/>
      <c r="H127" s="363" t="n"/>
      <c r="I127" s="361" t="inlineStr">
        <is>
          <t>ml</t>
        </is>
      </c>
      <c r="J127" s="1302" t="n">
        <v>0</v>
      </c>
      <c r="K127" s="1302" t="n">
        <v>0</v>
      </c>
      <c r="L127" s="1302" t="n">
        <v>0</v>
      </c>
      <c r="M127" s="1302" t="n">
        <v>0</v>
      </c>
      <c r="N127" s="1302" t="n">
        <v>1</v>
      </c>
      <c r="O127" s="1302" t="n">
        <v>1</v>
      </c>
      <c r="P127" s="1302" t="n">
        <v>1</v>
      </c>
      <c r="Q127" s="1302" t="n">
        <v>0</v>
      </c>
      <c r="R127" s="1303" t="n">
        <v>0</v>
      </c>
      <c r="S127" s="1302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127,0))))),3))</f>
        <v/>
      </c>
      <c r="T127" s="1302">
        <f>IF(S127="","",ROUND(S127*(1+R127),3))</f>
        <v/>
      </c>
      <c r="U127" s="361" t="inlineStr">
        <is>
          <t>ml</t>
        </is>
      </c>
      <c r="V127" s="363" t="n"/>
      <c r="W127" s="363" t="n"/>
      <c r="X127" s="1304" t="n"/>
      <c r="Y127" s="363" t="inlineStr">
        <is>
          <t>Pendiente</t>
        </is>
      </c>
    </row>
    <row r="128" ht="15" customFormat="1" customHeight="1" s="666">
      <c r="A128" s="358" t="inlineStr">
        <is>
          <t>MQ-120</t>
        </is>
      </c>
      <c r="B128" s="359" t="inlineStr">
        <is>
          <t>GAS</t>
        </is>
      </c>
      <c r="C128" s="360" t="inlineStr">
        <is>
          <t>Red de gas</t>
        </is>
      </c>
      <c r="D128" s="361" t="inlineStr">
        <is>
          <t>17.01.02</t>
        </is>
      </c>
      <c r="E128" s="362" t="inlineStr">
        <is>
          <t>Válvulas y accesorios</t>
        </is>
      </c>
      <c r="F128" s="363" t="n"/>
      <c r="G128" s="363" t="n"/>
      <c r="H128" s="363" t="n"/>
      <c r="I128" s="361" t="inlineStr">
        <is>
          <t>und</t>
        </is>
      </c>
      <c r="J128" s="1302" t="n">
        <v>0</v>
      </c>
      <c r="K128" s="1302" t="n">
        <v>0</v>
      </c>
      <c r="L128" s="1302" t="n">
        <v>0</v>
      </c>
      <c r="M128" s="1302" t="n">
        <v>0</v>
      </c>
      <c r="N128" s="1302" t="n">
        <v>1</v>
      </c>
      <c r="O128" s="1302" t="n">
        <v>1</v>
      </c>
      <c r="P128" s="1302" t="n">
        <v>1</v>
      </c>
      <c r="Q128" s="1302" t="n">
        <v>0</v>
      </c>
      <c r="R128" s="1303" t="n">
        <v>0</v>
      </c>
      <c r="S128" s="1302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128,0))))),3))</f>
        <v/>
      </c>
      <c r="T128" s="1302">
        <f>IF(S128="","",ROUND(S128*(1+R128),3))</f>
        <v/>
      </c>
      <c r="U128" s="361" t="inlineStr">
        <is>
          <t>und</t>
        </is>
      </c>
      <c r="V128" s="363" t="n"/>
      <c r="W128" s="363" t="n"/>
      <c r="X128" s="1304" t="n"/>
      <c r="Y128" s="363" t="inlineStr">
        <is>
          <t>Pendiente</t>
        </is>
      </c>
    </row>
    <row r="129" ht="15" customFormat="1" customHeight="1" s="666">
      <c r="A129" s="358" t="inlineStr">
        <is>
          <t>MQ-121</t>
        </is>
      </c>
      <c r="B129" s="359" t="inlineStr">
        <is>
          <t>GAS</t>
        </is>
      </c>
      <c r="C129" s="360" t="inlineStr">
        <is>
          <t>Red de gas</t>
        </is>
      </c>
      <c r="D129" s="361" t="inlineStr">
        <is>
          <t>17.01.03</t>
        </is>
      </c>
      <c r="E129" s="362" t="inlineStr">
        <is>
          <t>Pruebas y certificación</t>
        </is>
      </c>
      <c r="F129" s="363" t="n"/>
      <c r="G129" s="363" t="n"/>
      <c r="H129" s="363" t="n"/>
      <c r="I129" s="361" t="inlineStr">
        <is>
          <t>gl</t>
        </is>
      </c>
      <c r="J129" s="1302" t="n">
        <v>0</v>
      </c>
      <c r="K129" s="1302" t="n">
        <v>0</v>
      </c>
      <c r="L129" s="1302" t="n">
        <v>0</v>
      </c>
      <c r="M129" s="1302" t="n">
        <v>0</v>
      </c>
      <c r="N129" s="1302" t="n">
        <v>1</v>
      </c>
      <c r="O129" s="1302" t="n">
        <v>1</v>
      </c>
      <c r="P129" s="1302" t="n">
        <v>1</v>
      </c>
      <c r="Q129" s="1302" t="n">
        <v>0</v>
      </c>
      <c r="R129" s="1303" t="n">
        <v>0</v>
      </c>
      <c r="S129" s="1302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129,0))))),3))</f>
        <v/>
      </c>
      <c r="T129" s="1302">
        <f>IF(S129="","",ROUND(S129*(1+R129),3))</f>
        <v/>
      </c>
      <c r="U129" s="361" t="inlineStr">
        <is>
          <t>gl</t>
        </is>
      </c>
      <c r="V129" s="363" t="n"/>
      <c r="W129" s="363" t="n"/>
      <c r="X129" s="1304" t="n"/>
      <c r="Y129" s="363" t="inlineStr">
        <is>
          <t>Pendiente</t>
        </is>
      </c>
    </row>
    <row r="130" ht="15" customFormat="1" customHeight="1" s="666">
      <c r="A130" s="358" t="inlineStr">
        <is>
          <t>MQ-122</t>
        </is>
      </c>
      <c r="B130" s="359" t="inlineStr">
        <is>
          <t>URBANISMO Y EXTERIORES</t>
        </is>
      </c>
      <c r="C130" s="360" t="inlineStr">
        <is>
          <t>Pavimentos</t>
        </is>
      </c>
      <c r="D130" s="361" t="inlineStr">
        <is>
          <t>18.01.01</t>
        </is>
      </c>
      <c r="E130" s="362" t="inlineStr">
        <is>
          <t>Construcción de andenes</t>
        </is>
      </c>
      <c r="F130" s="363" t="n"/>
      <c r="G130" s="363" t="n"/>
      <c r="H130" s="363" t="n"/>
      <c r="I130" s="361" t="inlineStr">
        <is>
          <t>m²</t>
        </is>
      </c>
      <c r="J130" s="1302" t="n">
        <v>0</v>
      </c>
      <c r="K130" s="1302" t="n">
        <v>0</v>
      </c>
      <c r="L130" s="1302" t="n">
        <v>0</v>
      </c>
      <c r="M130" s="1302" t="n">
        <v>0</v>
      </c>
      <c r="N130" s="1302" t="n">
        <v>1</v>
      </c>
      <c r="O130" s="1302" t="n">
        <v>1</v>
      </c>
      <c r="P130" s="1302" t="n">
        <v>1</v>
      </c>
      <c r="Q130" s="1302" t="n">
        <v>0</v>
      </c>
      <c r="R130" s="1303" t="n">
        <v>0</v>
      </c>
      <c r="S130" s="1302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130,0))))),3))</f>
        <v/>
      </c>
      <c r="T130" s="1302">
        <f>IF(S130="","",ROUND(S130*(1+R130),3))</f>
        <v/>
      </c>
      <c r="U130" s="361" t="inlineStr">
        <is>
          <t>m²</t>
        </is>
      </c>
      <c r="V130" s="363" t="n"/>
      <c r="W130" s="363" t="n"/>
      <c r="X130" s="1304" t="n"/>
      <c r="Y130" s="363" t="inlineStr">
        <is>
          <t>Pendiente</t>
        </is>
      </c>
    </row>
    <row r="131" ht="15" customFormat="1" customHeight="1" s="666">
      <c r="A131" s="358" t="inlineStr">
        <is>
          <t>MQ-123</t>
        </is>
      </c>
      <c r="B131" s="359" t="inlineStr">
        <is>
          <t>URBANISMO Y EXTERIORES</t>
        </is>
      </c>
      <c r="C131" s="360" t="inlineStr">
        <is>
          <t>Pavimentos</t>
        </is>
      </c>
      <c r="D131" s="361" t="inlineStr">
        <is>
          <t>18.01.02</t>
        </is>
      </c>
      <c r="E131" s="362" t="inlineStr">
        <is>
          <t>Placas de concreto exteriores</t>
        </is>
      </c>
      <c r="F131" s="363" t="n"/>
      <c r="G131" s="363" t="n"/>
      <c r="H131" s="363" t="n"/>
      <c r="I131" s="361" t="inlineStr">
        <is>
          <t>m³</t>
        </is>
      </c>
      <c r="J131" s="1302" t="n">
        <v>0</v>
      </c>
      <c r="K131" s="1302" t="n">
        <v>0</v>
      </c>
      <c r="L131" s="1302" t="n">
        <v>0</v>
      </c>
      <c r="M131" s="1302" t="n">
        <v>0</v>
      </c>
      <c r="N131" s="1302" t="n">
        <v>1</v>
      </c>
      <c r="O131" s="1302" t="n">
        <v>1</v>
      </c>
      <c r="P131" s="1302" t="n">
        <v>1</v>
      </c>
      <c r="Q131" s="1302" t="n">
        <v>0</v>
      </c>
      <c r="R131" s="1303" t="n">
        <v>0</v>
      </c>
      <c r="S131" s="1302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131,0))))),3))</f>
        <v/>
      </c>
      <c r="T131" s="1302">
        <f>IF(S131="","",ROUND(S131*(1+R131),3))</f>
        <v/>
      </c>
      <c r="U131" s="361" t="inlineStr">
        <is>
          <t>m³</t>
        </is>
      </c>
      <c r="V131" s="363" t="n"/>
      <c r="W131" s="363" t="n"/>
      <c r="X131" s="1304" t="n"/>
      <c r="Y131" s="363" t="inlineStr">
        <is>
          <t>Pendiente</t>
        </is>
      </c>
    </row>
    <row r="132" ht="15" customFormat="1" customHeight="1" s="666">
      <c r="A132" s="358" t="inlineStr">
        <is>
          <t>MQ-124</t>
        </is>
      </c>
      <c r="B132" s="359" t="inlineStr">
        <is>
          <t>URBANISMO Y EXTERIORES</t>
        </is>
      </c>
      <c r="C132" s="360" t="inlineStr">
        <is>
          <t>Pavimentos</t>
        </is>
      </c>
      <c r="D132" s="361" t="inlineStr">
        <is>
          <t>18.01.03</t>
        </is>
      </c>
      <c r="E132" s="362" t="inlineStr">
        <is>
          <t>Pavimento en adoquín</t>
        </is>
      </c>
      <c r="F132" s="363" t="n"/>
      <c r="G132" s="363" t="n"/>
      <c r="H132" s="363" t="n"/>
      <c r="I132" s="361" t="inlineStr">
        <is>
          <t>m²</t>
        </is>
      </c>
      <c r="J132" s="1302" t="n">
        <v>0</v>
      </c>
      <c r="K132" s="1302" t="n">
        <v>0</v>
      </c>
      <c r="L132" s="1302" t="n">
        <v>0</v>
      </c>
      <c r="M132" s="1302" t="n">
        <v>0</v>
      </c>
      <c r="N132" s="1302" t="n">
        <v>1</v>
      </c>
      <c r="O132" s="1302" t="n">
        <v>1</v>
      </c>
      <c r="P132" s="1302" t="n">
        <v>1</v>
      </c>
      <c r="Q132" s="1302" t="n">
        <v>0</v>
      </c>
      <c r="R132" s="1303" t="n">
        <v>0</v>
      </c>
      <c r="S132" s="1302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132,0))))),3))</f>
        <v/>
      </c>
      <c r="T132" s="1302">
        <f>IF(S132="","",ROUND(S132*(1+R132),3))</f>
        <v/>
      </c>
      <c r="U132" s="361" t="inlineStr">
        <is>
          <t>m²</t>
        </is>
      </c>
      <c r="V132" s="363" t="n"/>
      <c r="W132" s="363" t="n"/>
      <c r="X132" s="1304" t="n"/>
      <c r="Y132" s="363" t="inlineStr">
        <is>
          <t>Pendiente</t>
        </is>
      </c>
    </row>
    <row r="133" ht="15" customFormat="1" customHeight="1" s="666">
      <c r="A133" s="358" t="inlineStr">
        <is>
          <t>MQ-125</t>
        </is>
      </c>
      <c r="B133" s="359" t="inlineStr">
        <is>
          <t>URBANISMO Y EXTERIORES</t>
        </is>
      </c>
      <c r="C133" s="360" t="inlineStr">
        <is>
          <t>Bordillos</t>
        </is>
      </c>
      <c r="D133" s="361" t="inlineStr">
        <is>
          <t>18.02.01</t>
        </is>
      </c>
      <c r="E133" s="362" t="inlineStr">
        <is>
          <t>Sardineles y bordillos</t>
        </is>
      </c>
      <c r="F133" s="363" t="n"/>
      <c r="G133" s="363" t="n"/>
      <c r="H133" s="363" t="n"/>
      <c r="I133" s="361" t="inlineStr">
        <is>
          <t>ml</t>
        </is>
      </c>
      <c r="J133" s="1302" t="n">
        <v>0</v>
      </c>
      <c r="K133" s="1302" t="n">
        <v>0</v>
      </c>
      <c r="L133" s="1302" t="n">
        <v>0</v>
      </c>
      <c r="M133" s="1302" t="n">
        <v>0</v>
      </c>
      <c r="N133" s="1302" t="n">
        <v>1</v>
      </c>
      <c r="O133" s="1302" t="n">
        <v>1</v>
      </c>
      <c r="P133" s="1302" t="n">
        <v>1</v>
      </c>
      <c r="Q133" s="1302" t="n">
        <v>0</v>
      </c>
      <c r="R133" s="1303" t="n">
        <v>0</v>
      </c>
      <c r="S133" s="1302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133,0))))),3))</f>
        <v/>
      </c>
      <c r="T133" s="1302">
        <f>IF(S133="","",ROUND(S133*(1+R133),3))</f>
        <v/>
      </c>
      <c r="U133" s="361" t="inlineStr">
        <is>
          <t>ml</t>
        </is>
      </c>
      <c r="V133" s="363" t="n"/>
      <c r="W133" s="363" t="n"/>
      <c r="X133" s="1304" t="n"/>
      <c r="Y133" s="363" t="inlineStr">
        <is>
          <t>Pendiente</t>
        </is>
      </c>
    </row>
    <row r="134" ht="15" customFormat="1" customHeight="1" s="666">
      <c r="A134" s="358" t="inlineStr">
        <is>
          <t>MQ-126</t>
        </is>
      </c>
      <c r="B134" s="359" t="inlineStr">
        <is>
          <t>URBANISMO Y EXTERIORES</t>
        </is>
      </c>
      <c r="C134" s="360" t="inlineStr">
        <is>
          <t>Drenajes</t>
        </is>
      </c>
      <c r="D134" s="361" t="inlineStr">
        <is>
          <t>18.03.01</t>
        </is>
      </c>
      <c r="E134" s="362" t="inlineStr">
        <is>
          <t>Sumideros exteriores</t>
        </is>
      </c>
      <c r="F134" s="363" t="n"/>
      <c r="G134" s="363" t="n"/>
      <c r="H134" s="363" t="n"/>
      <c r="I134" s="361" t="inlineStr">
        <is>
          <t>und</t>
        </is>
      </c>
      <c r="J134" s="1302" t="n">
        <v>0</v>
      </c>
      <c r="K134" s="1302" t="n">
        <v>0</v>
      </c>
      <c r="L134" s="1302" t="n">
        <v>0</v>
      </c>
      <c r="M134" s="1302" t="n">
        <v>0</v>
      </c>
      <c r="N134" s="1302" t="n">
        <v>1</v>
      </c>
      <c r="O134" s="1302" t="n">
        <v>1</v>
      </c>
      <c r="P134" s="1302" t="n">
        <v>1</v>
      </c>
      <c r="Q134" s="1302" t="n">
        <v>0</v>
      </c>
      <c r="R134" s="1303" t="n">
        <v>0</v>
      </c>
      <c r="S134" s="1302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134,0))))),3))</f>
        <v/>
      </c>
      <c r="T134" s="1302">
        <f>IF(S134="","",ROUND(S134*(1+R134),3))</f>
        <v/>
      </c>
      <c r="U134" s="361" t="inlineStr">
        <is>
          <t>und</t>
        </is>
      </c>
      <c r="V134" s="363" t="n"/>
      <c r="W134" s="363" t="n"/>
      <c r="X134" s="1304" t="n"/>
      <c r="Y134" s="363" t="inlineStr">
        <is>
          <t>Pendiente</t>
        </is>
      </c>
    </row>
    <row r="135" ht="15" customFormat="1" customHeight="1" s="666">
      <c r="A135" s="358" t="inlineStr">
        <is>
          <t>MQ-127</t>
        </is>
      </c>
      <c r="B135" s="359" t="inlineStr">
        <is>
          <t>URBANISMO Y EXTERIORES</t>
        </is>
      </c>
      <c r="C135" s="360" t="inlineStr">
        <is>
          <t>Paisajismo</t>
        </is>
      </c>
      <c r="D135" s="361" t="inlineStr">
        <is>
          <t>18.04.01</t>
        </is>
      </c>
      <c r="E135" s="362" t="inlineStr">
        <is>
          <t>Suministro y extendido de tierra vegetal</t>
        </is>
      </c>
      <c r="F135" s="363" t="n"/>
      <c r="G135" s="363" t="n"/>
      <c r="H135" s="363" t="n"/>
      <c r="I135" s="361" t="inlineStr">
        <is>
          <t>m³</t>
        </is>
      </c>
      <c r="J135" s="1302" t="n">
        <v>0</v>
      </c>
      <c r="K135" s="1302" t="n">
        <v>0</v>
      </c>
      <c r="L135" s="1302" t="n">
        <v>0</v>
      </c>
      <c r="M135" s="1302" t="n">
        <v>0</v>
      </c>
      <c r="N135" s="1302" t="n">
        <v>1</v>
      </c>
      <c r="O135" s="1302" t="n">
        <v>1</v>
      </c>
      <c r="P135" s="1302" t="n">
        <v>1</v>
      </c>
      <c r="Q135" s="1302" t="n">
        <v>0</v>
      </c>
      <c r="R135" s="1303" t="n">
        <v>0</v>
      </c>
      <c r="S135" s="1302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135,0))))),3))</f>
        <v/>
      </c>
      <c r="T135" s="1302">
        <f>IF(S135="","",ROUND(S135*(1+R135),3))</f>
        <v/>
      </c>
      <c r="U135" s="361" t="inlineStr">
        <is>
          <t>m³</t>
        </is>
      </c>
      <c r="V135" s="363" t="n"/>
      <c r="W135" s="363" t="n"/>
      <c r="X135" s="1304" t="n"/>
      <c r="Y135" s="363" t="inlineStr">
        <is>
          <t>Pendiente</t>
        </is>
      </c>
    </row>
    <row r="136" ht="15" customFormat="1" customHeight="1" s="666">
      <c r="A136" s="358" t="inlineStr">
        <is>
          <t>MQ-128</t>
        </is>
      </c>
      <c r="B136" s="359" t="inlineStr">
        <is>
          <t>URBANISMO Y EXTERIORES</t>
        </is>
      </c>
      <c r="C136" s="360" t="inlineStr">
        <is>
          <t>Paisajismo</t>
        </is>
      </c>
      <c r="D136" s="361" t="inlineStr">
        <is>
          <t>18.04.02</t>
        </is>
      </c>
      <c r="E136" s="362" t="inlineStr">
        <is>
          <t>Siembra y jardinería</t>
        </is>
      </c>
      <c r="F136" s="363" t="n"/>
      <c r="G136" s="363" t="n"/>
      <c r="H136" s="363" t="n"/>
      <c r="I136" s="361" t="inlineStr">
        <is>
          <t>m²</t>
        </is>
      </c>
      <c r="J136" s="1302" t="n">
        <v>0</v>
      </c>
      <c r="K136" s="1302" t="n">
        <v>0</v>
      </c>
      <c r="L136" s="1302" t="n">
        <v>0</v>
      </c>
      <c r="M136" s="1302" t="n">
        <v>0</v>
      </c>
      <c r="N136" s="1302" t="n">
        <v>1</v>
      </c>
      <c r="O136" s="1302" t="n">
        <v>1</v>
      </c>
      <c r="P136" s="1302" t="n">
        <v>1</v>
      </c>
      <c r="Q136" s="1302" t="n">
        <v>0</v>
      </c>
      <c r="R136" s="1303" t="n">
        <v>0</v>
      </c>
      <c r="S136" s="1302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136,0))))),3))</f>
        <v/>
      </c>
      <c r="T136" s="1302">
        <f>IF(S136="","",ROUND(S136*(1+R136),3))</f>
        <v/>
      </c>
      <c r="U136" s="361" t="inlineStr">
        <is>
          <t>m²</t>
        </is>
      </c>
      <c r="V136" s="363" t="n"/>
      <c r="W136" s="363" t="n"/>
      <c r="X136" s="1304" t="n"/>
      <c r="Y136" s="363" t="inlineStr">
        <is>
          <t>Pendiente</t>
        </is>
      </c>
    </row>
    <row r="137" ht="15" customFormat="1" customHeight="1" s="666">
      <c r="A137" s="358" t="inlineStr">
        <is>
          <t>MQ-129</t>
        </is>
      </c>
      <c r="B137" s="359" t="inlineStr">
        <is>
          <t>OBRAS COMPLEMENTARIAS</t>
        </is>
      </c>
      <c r="C137" s="360" t="inlineStr">
        <is>
          <t>Metálicas</t>
        </is>
      </c>
      <c r="D137" s="361" t="inlineStr">
        <is>
          <t>19.01.01</t>
        </is>
      </c>
      <c r="E137" s="362" t="inlineStr">
        <is>
          <t>Rejas metálicas</t>
        </is>
      </c>
      <c r="F137" s="363" t="n"/>
      <c r="G137" s="363" t="n"/>
      <c r="H137" s="363" t="n"/>
      <c r="I137" s="361" t="inlineStr">
        <is>
          <t>m²</t>
        </is>
      </c>
      <c r="J137" s="1302" t="n">
        <v>0</v>
      </c>
      <c r="K137" s="1302" t="n">
        <v>0</v>
      </c>
      <c r="L137" s="1302" t="n">
        <v>0</v>
      </c>
      <c r="M137" s="1302" t="n">
        <v>0</v>
      </c>
      <c r="N137" s="1302" t="n">
        <v>1</v>
      </c>
      <c r="O137" s="1302" t="n">
        <v>1</v>
      </c>
      <c r="P137" s="1302" t="n">
        <v>1</v>
      </c>
      <c r="Q137" s="1302" t="n">
        <v>0</v>
      </c>
      <c r="R137" s="1303" t="n">
        <v>0</v>
      </c>
      <c r="S137" s="1302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137,0))))),3))</f>
        <v/>
      </c>
      <c r="T137" s="1302">
        <f>IF(S137="","",ROUND(S137*(1+R137),3))</f>
        <v/>
      </c>
      <c r="U137" s="361" t="inlineStr">
        <is>
          <t>m²</t>
        </is>
      </c>
      <c r="V137" s="363" t="n"/>
      <c r="W137" s="363" t="n"/>
      <c r="X137" s="1304" t="n"/>
      <c r="Y137" s="363" t="inlineStr">
        <is>
          <t>Pendiente</t>
        </is>
      </c>
    </row>
    <row r="138" ht="15" customFormat="1" customHeight="1" s="666">
      <c r="A138" s="358" t="inlineStr">
        <is>
          <t>MQ-130</t>
        </is>
      </c>
      <c r="B138" s="359" t="inlineStr">
        <is>
          <t>OBRAS COMPLEMENTARIAS</t>
        </is>
      </c>
      <c r="C138" s="360" t="inlineStr">
        <is>
          <t>Metálicas</t>
        </is>
      </c>
      <c r="D138" s="361" t="inlineStr">
        <is>
          <t>19.01.02</t>
        </is>
      </c>
      <c r="E138" s="362" t="inlineStr">
        <is>
          <t>Escaleras metálicas</t>
        </is>
      </c>
      <c r="F138" s="363" t="n"/>
      <c r="G138" s="363" t="n"/>
      <c r="H138" s="363" t="n"/>
      <c r="I138" s="361" t="inlineStr">
        <is>
          <t>kg</t>
        </is>
      </c>
      <c r="J138" s="1302" t="n">
        <v>0</v>
      </c>
      <c r="K138" s="1302" t="n">
        <v>0</v>
      </c>
      <c r="L138" s="1302" t="n">
        <v>0</v>
      </c>
      <c r="M138" s="1302" t="n">
        <v>0</v>
      </c>
      <c r="N138" s="1302" t="n">
        <v>1</v>
      </c>
      <c r="O138" s="1302" t="n">
        <v>1</v>
      </c>
      <c r="P138" s="1302" t="n">
        <v>1</v>
      </c>
      <c r="Q138" s="1302" t="n">
        <v>0</v>
      </c>
      <c r="R138" s="1303" t="n">
        <v>0</v>
      </c>
      <c r="S138" s="1302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138,0))))),3))</f>
        <v/>
      </c>
      <c r="T138" s="1302">
        <f>IF(S138="","",ROUND(S138*(1+R138),3))</f>
        <v/>
      </c>
      <c r="U138" s="361" t="inlineStr">
        <is>
          <t>kg</t>
        </is>
      </c>
      <c r="V138" s="363" t="n"/>
      <c r="W138" s="363" t="n"/>
      <c r="X138" s="1304" t="n"/>
      <c r="Y138" s="363" t="inlineStr">
        <is>
          <t>Pendiente</t>
        </is>
      </c>
    </row>
    <row r="139" ht="15" customFormat="1" customHeight="1" s="666">
      <c r="A139" s="358" t="inlineStr">
        <is>
          <t>MQ-131</t>
        </is>
      </c>
      <c r="B139" s="359" t="inlineStr">
        <is>
          <t>OBRAS COMPLEMENTARIAS</t>
        </is>
      </c>
      <c r="C139" s="360" t="inlineStr">
        <is>
          <t>Metálicas</t>
        </is>
      </c>
      <c r="D139" s="361" t="inlineStr">
        <is>
          <t>19.01.03</t>
        </is>
      </c>
      <c r="E139" s="362" t="inlineStr">
        <is>
          <t>Elementos metálicos especiales</t>
        </is>
      </c>
      <c r="F139" s="363" t="n"/>
      <c r="G139" s="363" t="n"/>
      <c r="H139" s="363" t="n"/>
      <c r="I139" s="361" t="inlineStr">
        <is>
          <t>kg</t>
        </is>
      </c>
      <c r="J139" s="1302" t="n">
        <v>0</v>
      </c>
      <c r="K139" s="1302" t="n">
        <v>0</v>
      </c>
      <c r="L139" s="1302" t="n">
        <v>0</v>
      </c>
      <c r="M139" s="1302" t="n">
        <v>0</v>
      </c>
      <c r="N139" s="1302" t="n">
        <v>1</v>
      </c>
      <c r="O139" s="1302" t="n">
        <v>1</v>
      </c>
      <c r="P139" s="1302" t="n">
        <v>1</v>
      </c>
      <c r="Q139" s="1302" t="n">
        <v>0</v>
      </c>
      <c r="R139" s="1303" t="n">
        <v>0</v>
      </c>
      <c r="S139" s="1302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139,0))))),3))</f>
        <v/>
      </c>
      <c r="T139" s="1302">
        <f>IF(S139="","",ROUND(S139*(1+R139),3))</f>
        <v/>
      </c>
      <c r="U139" s="361" t="inlineStr">
        <is>
          <t>kg</t>
        </is>
      </c>
      <c r="V139" s="363" t="n"/>
      <c r="W139" s="363" t="n"/>
      <c r="X139" s="1304" t="n"/>
      <c r="Y139" s="363" t="inlineStr">
        <is>
          <t>Pendiente</t>
        </is>
      </c>
    </row>
    <row r="140" ht="15" customFormat="1" customHeight="1" s="666">
      <c r="A140" s="358" t="inlineStr">
        <is>
          <t>MQ-132</t>
        </is>
      </c>
      <c r="B140" s="359" t="inlineStr">
        <is>
          <t>OBRAS COMPLEMENTARIAS</t>
        </is>
      </c>
      <c r="C140" s="360" t="inlineStr">
        <is>
          <t>Mobiliario</t>
        </is>
      </c>
      <c r="D140" s="361" t="inlineStr">
        <is>
          <t>19.02.01</t>
        </is>
      </c>
      <c r="E140" s="362" t="inlineStr">
        <is>
          <t>Mobiliario fijo de obra</t>
        </is>
      </c>
      <c r="F140" s="363" t="n"/>
      <c r="G140" s="363" t="n"/>
      <c r="H140" s="363" t="n"/>
      <c r="I140" s="361" t="inlineStr">
        <is>
          <t>und</t>
        </is>
      </c>
      <c r="J140" s="1302" t="n">
        <v>0</v>
      </c>
      <c r="K140" s="1302" t="n">
        <v>0</v>
      </c>
      <c r="L140" s="1302" t="n">
        <v>0</v>
      </c>
      <c r="M140" s="1302" t="n">
        <v>0</v>
      </c>
      <c r="N140" s="1302" t="n">
        <v>1</v>
      </c>
      <c r="O140" s="1302" t="n">
        <v>1</v>
      </c>
      <c r="P140" s="1302" t="n">
        <v>1</v>
      </c>
      <c r="Q140" s="1302" t="n">
        <v>0</v>
      </c>
      <c r="R140" s="1303" t="n">
        <v>0</v>
      </c>
      <c r="S140" s="1302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140,0))))),3))</f>
        <v/>
      </c>
      <c r="T140" s="1302">
        <f>IF(S140="","",ROUND(S140*(1+R140),3))</f>
        <v/>
      </c>
      <c r="U140" s="361" t="inlineStr">
        <is>
          <t>und</t>
        </is>
      </c>
      <c r="V140" s="363" t="n"/>
      <c r="W140" s="363" t="n"/>
      <c r="X140" s="1304" t="n"/>
      <c r="Y140" s="363" t="inlineStr">
        <is>
          <t>Pendiente</t>
        </is>
      </c>
    </row>
    <row r="141" ht="15" customFormat="1" customHeight="1" s="666">
      <c r="A141" s="358" t="inlineStr">
        <is>
          <t>MQ-133</t>
        </is>
      </c>
      <c r="B141" s="359" t="inlineStr">
        <is>
          <t>ASEO, ENTREGA Y CIERRE</t>
        </is>
      </c>
      <c r="C141" s="360" t="inlineStr">
        <is>
          <t>Limpieza</t>
        </is>
      </c>
      <c r="D141" s="361" t="inlineStr">
        <is>
          <t>20.01.01</t>
        </is>
      </c>
      <c r="E141" s="362" t="inlineStr">
        <is>
          <t>Limpieza gruesa y fina de obra</t>
        </is>
      </c>
      <c r="F141" s="363" t="n"/>
      <c r="G141" s="363" t="n"/>
      <c r="H141" s="363" t="n"/>
      <c r="I141" s="361" t="inlineStr">
        <is>
          <t>m²</t>
        </is>
      </c>
      <c r="J141" s="1302" t="n">
        <v>0</v>
      </c>
      <c r="K141" s="1302" t="n">
        <v>0</v>
      </c>
      <c r="L141" s="1302" t="n">
        <v>0</v>
      </c>
      <c r="M141" s="1302" t="n">
        <v>0</v>
      </c>
      <c r="N141" s="1302" t="n">
        <v>1</v>
      </c>
      <c r="O141" s="1302" t="n">
        <v>1</v>
      </c>
      <c r="P141" s="1302" t="n">
        <v>1</v>
      </c>
      <c r="Q141" s="1302" t="n">
        <v>0</v>
      </c>
      <c r="R141" s="1303" t="n">
        <v>0</v>
      </c>
      <c r="S141" s="1302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141,0))))),3))</f>
        <v/>
      </c>
      <c r="T141" s="1302">
        <f>IF(S141="","",ROUND(S141*(1+R141),3))</f>
        <v/>
      </c>
      <c r="U141" s="361" t="inlineStr">
        <is>
          <t>m²</t>
        </is>
      </c>
      <c r="V141" s="363" t="n"/>
      <c r="W141" s="363" t="n"/>
      <c r="X141" s="1304" t="n"/>
      <c r="Y141" s="363" t="inlineStr">
        <is>
          <t>Pendiente</t>
        </is>
      </c>
    </row>
    <row r="142" ht="15" customFormat="1" customHeight="1" s="666">
      <c r="A142" s="358" t="inlineStr">
        <is>
          <t>MQ-134</t>
        </is>
      </c>
      <c r="B142" s="359" t="inlineStr">
        <is>
          <t>ASEO, ENTREGA Y CIERRE</t>
        </is>
      </c>
      <c r="C142" s="360" t="inlineStr">
        <is>
          <t>Limpieza</t>
        </is>
      </c>
      <c r="D142" s="361" t="inlineStr">
        <is>
          <t>20.01.02</t>
        </is>
      </c>
      <c r="E142" s="362" t="inlineStr">
        <is>
          <t>Limpieza final para entrega</t>
        </is>
      </c>
      <c r="F142" s="363" t="n"/>
      <c r="G142" s="363" t="n"/>
      <c r="H142" s="363" t="n"/>
      <c r="I142" s="361" t="inlineStr">
        <is>
          <t>m²</t>
        </is>
      </c>
      <c r="J142" s="1302" t="n">
        <v>0</v>
      </c>
      <c r="K142" s="1302" t="n">
        <v>0</v>
      </c>
      <c r="L142" s="1302" t="n">
        <v>0</v>
      </c>
      <c r="M142" s="1302" t="n">
        <v>0</v>
      </c>
      <c r="N142" s="1302" t="n">
        <v>1</v>
      </c>
      <c r="O142" s="1302" t="n">
        <v>1</v>
      </c>
      <c r="P142" s="1302" t="n">
        <v>1</v>
      </c>
      <c r="Q142" s="1302" t="n">
        <v>0</v>
      </c>
      <c r="R142" s="1303" t="n">
        <v>0</v>
      </c>
      <c r="S142" s="1302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142,0))))),3))</f>
        <v/>
      </c>
      <c r="T142" s="1302">
        <f>IF(S142="","",ROUND(S142*(1+R142),3))</f>
        <v/>
      </c>
      <c r="U142" s="361" t="inlineStr">
        <is>
          <t>m²</t>
        </is>
      </c>
      <c r="V142" s="363" t="n"/>
      <c r="W142" s="363" t="n"/>
      <c r="X142" s="1304" t="n"/>
      <c r="Y142" s="363" t="inlineStr">
        <is>
          <t>Pendiente</t>
        </is>
      </c>
    </row>
    <row r="143" ht="15" customFormat="1" customHeight="1" s="666">
      <c r="A143" s="358" t="inlineStr">
        <is>
          <t>MQ-135</t>
        </is>
      </c>
      <c r="B143" s="359" t="inlineStr">
        <is>
          <t>ASEO, ENTREGA Y CIERRE</t>
        </is>
      </c>
      <c r="C143" s="360" t="inlineStr">
        <is>
          <t>Pruebas</t>
        </is>
      </c>
      <c r="D143" s="361" t="inlineStr">
        <is>
          <t>20.02.01</t>
        </is>
      </c>
      <c r="E143" s="362" t="inlineStr">
        <is>
          <t>Pruebas, puesta en marcha y ajustes</t>
        </is>
      </c>
      <c r="F143" s="363" t="n"/>
      <c r="G143" s="363" t="n"/>
      <c r="H143" s="363" t="n"/>
      <c r="I143" s="361" t="inlineStr">
        <is>
          <t>gl</t>
        </is>
      </c>
      <c r="J143" s="1302" t="n">
        <v>0</v>
      </c>
      <c r="K143" s="1302" t="n">
        <v>0</v>
      </c>
      <c r="L143" s="1302" t="n">
        <v>0</v>
      </c>
      <c r="M143" s="1302" t="n">
        <v>0</v>
      </c>
      <c r="N143" s="1302" t="n">
        <v>1</v>
      </c>
      <c r="O143" s="1302" t="n">
        <v>1</v>
      </c>
      <c r="P143" s="1302" t="n">
        <v>1</v>
      </c>
      <c r="Q143" s="1302" t="n">
        <v>0</v>
      </c>
      <c r="R143" s="1303" t="n">
        <v>0</v>
      </c>
      <c r="S143" s="1302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143,0))))),3))</f>
        <v/>
      </c>
      <c r="T143" s="1302">
        <f>IF(S143="","",ROUND(S143*(1+R143),3))</f>
        <v/>
      </c>
      <c r="U143" s="361" t="inlineStr">
        <is>
          <t>gl</t>
        </is>
      </c>
      <c r="V143" s="363" t="n"/>
      <c r="W143" s="363" t="n"/>
      <c r="X143" s="1304" t="n"/>
      <c r="Y143" s="363" t="inlineStr">
        <is>
          <t>Pendiente</t>
        </is>
      </c>
    </row>
    <row r="144" ht="15" customFormat="1" customHeight="1" s="666">
      <c r="A144" s="358" t="inlineStr">
        <is>
          <t>MQ-136</t>
        </is>
      </c>
      <c r="B144" s="359" t="inlineStr">
        <is>
          <t>ASEO, ENTREGA Y CIERRE</t>
        </is>
      </c>
      <c r="C144" s="360" t="inlineStr">
        <is>
          <t>Documentación</t>
        </is>
      </c>
      <c r="D144" s="361" t="inlineStr">
        <is>
          <t>20.02.01</t>
        </is>
      </c>
      <c r="E144" s="362" t="inlineStr">
        <is>
          <t>Actualización de planos récord / as-built</t>
        </is>
      </c>
      <c r="F144" s="363" t="n"/>
      <c r="G144" s="363" t="n"/>
      <c r="H144" s="363" t="n"/>
      <c r="I144" s="361" t="inlineStr">
        <is>
          <t>gl</t>
        </is>
      </c>
      <c r="J144" s="1302" t="n">
        <v>0</v>
      </c>
      <c r="K144" s="1302" t="n">
        <v>0</v>
      </c>
      <c r="L144" s="1302" t="n">
        <v>0</v>
      </c>
      <c r="M144" s="1302" t="n">
        <v>0</v>
      </c>
      <c r="N144" s="1302" t="n">
        <v>1</v>
      </c>
      <c r="O144" s="1302" t="n">
        <v>1</v>
      </c>
      <c r="P144" s="1302" t="n">
        <v>1</v>
      </c>
      <c r="Q144" s="1302" t="n">
        <v>0</v>
      </c>
      <c r="R144" s="1303" t="n">
        <v>0</v>
      </c>
      <c r="S144" s="1302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144,0))))),3))</f>
        <v/>
      </c>
      <c r="T144" s="1302">
        <f>IF(S144="","",ROUND(S144*(1+R144),3))</f>
        <v/>
      </c>
      <c r="U144" s="361" t="inlineStr">
        <is>
          <t>gl</t>
        </is>
      </c>
      <c r="V144" s="363" t="n"/>
      <c r="W144" s="363" t="n"/>
      <c r="X144" s="1304" t="n"/>
      <c r="Y144" s="363" t="inlineStr">
        <is>
          <t>Pendiente</t>
        </is>
      </c>
    </row>
    <row r="145" ht="15" customFormat="1" customHeight="1" s="666">
      <c r="A145" s="358" t="inlineStr">
        <is>
          <t>MQ-137</t>
        </is>
      </c>
      <c r="B145" s="359" t="inlineStr">
        <is>
          <t>ASEO, ENTREGA Y CIERRE</t>
        </is>
      </c>
      <c r="C145" s="360" t="inlineStr">
        <is>
          <t>Entrega</t>
        </is>
      </c>
      <c r="D145" s="361" t="inlineStr">
        <is>
          <t>20.02.02</t>
        </is>
      </c>
      <c r="E145" s="362" t="inlineStr">
        <is>
          <t>Entrega, manuales y acta de recibo</t>
        </is>
      </c>
      <c r="F145" s="363" t="n"/>
      <c r="G145" s="363" t="n"/>
      <c r="H145" s="363" t="n"/>
      <c r="I145" s="361" t="inlineStr">
        <is>
          <t>gl</t>
        </is>
      </c>
      <c r="J145" s="1302" t="n">
        <v>0</v>
      </c>
      <c r="K145" s="1302" t="n">
        <v>0</v>
      </c>
      <c r="L145" s="1302" t="n">
        <v>0</v>
      </c>
      <c r="M145" s="1302" t="n">
        <v>0</v>
      </c>
      <c r="N145" s="1302" t="n">
        <v>1</v>
      </c>
      <c r="O145" s="1302" t="n">
        <v>1</v>
      </c>
      <c r="P145" s="1302" t="n">
        <v>1</v>
      </c>
      <c r="Q145" s="1302" t="n">
        <v>0</v>
      </c>
      <c r="R145" s="1303" t="n">
        <v>0</v>
      </c>
      <c r="S145" s="1302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145,0))))),3))</f>
        <v/>
      </c>
      <c r="T145" s="1302">
        <f>IF(S145="","",ROUND(S145*(1+R145),3))</f>
        <v/>
      </c>
      <c r="U145" s="361" t="inlineStr">
        <is>
          <t>gl</t>
        </is>
      </c>
      <c r="V145" s="363" t="n"/>
      <c r="W145" s="363" t="n"/>
      <c r="X145" s="1304" t="n"/>
      <c r="Y145" s="363" t="inlineStr">
        <is>
          <t>Pendiente</t>
        </is>
      </c>
    </row>
    <row r="146">
      <c r="A146" s="226" t="inlineStr">
        <is>
          <t>REV. 10/09/2026</t>
        </is>
      </c>
      <c r="Y146" s="497">
        <f>I4</f>
        <v/>
      </c>
    </row>
  </sheetData>
  <mergeCells count="12">
    <mergeCell ref="I4:J4"/>
    <mergeCell ref="D3:G3"/>
    <mergeCell ref="I6:J6"/>
    <mergeCell ref="A1:C7"/>
    <mergeCell ref="I7:J7"/>
    <mergeCell ref="I5:J5"/>
    <mergeCell ref="K1:Y7"/>
    <mergeCell ref="D5:G5"/>
    <mergeCell ref="H3:J3"/>
    <mergeCell ref="D6:G7"/>
    <mergeCell ref="D1:J1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topLeftCell="A23" zoomScale="79" zoomScaleNormal="79" workbookViewId="0">
      <selection activeCell="A45" sqref="A45"/>
    </sheetView>
  </sheetViews>
  <sheetFormatPr baseColWidth="10" defaultColWidth="8.88671875" defaultRowHeight="14.4"/>
  <cols>
    <col width="40.77734375" customWidth="1" style="1062" min="1" max="1"/>
    <col width="15.77734375" customWidth="1" style="1062" min="2" max="4"/>
    <col width="15.77734375" customWidth="1" style="1062" min="10" max="12"/>
  </cols>
  <sheetData>
    <row r="1" ht="40.05" customHeight="1" s="1062">
      <c r="A1" s="263" t="n"/>
      <c r="B1" s="618" t="inlineStr">
        <is>
          <t>REFORMAS Y REMODELACIONES</t>
        </is>
      </c>
      <c r="C1" s="619" t="n"/>
      <c r="D1" s="619" t="n"/>
      <c r="E1" s="619" t="n"/>
      <c r="F1" s="619" t="n"/>
      <c r="G1" s="619" t="n"/>
      <c r="H1" s="619" t="n"/>
      <c r="I1" s="619" t="n"/>
      <c r="J1" s="619" t="n"/>
      <c r="K1" s="619" t="n"/>
      <c r="L1" s="620" t="n"/>
      <c r="M1" s="669" t="n"/>
      <c r="N1" s="669" t="n"/>
    </row>
    <row r="2" ht="4.95" customHeight="1" s="1062">
      <c r="A2" s="271" t="n"/>
      <c r="B2" s="647" t="n"/>
      <c r="L2" s="616" t="n"/>
      <c r="M2" s="669" t="n"/>
      <c r="N2" s="669" t="n"/>
    </row>
    <row r="3">
      <c r="A3" s="654" t="n"/>
      <c r="B3" s="607" t="n"/>
      <c r="C3" s="607" t="n"/>
      <c r="D3" s="607" t="n"/>
      <c r="E3" s="607" t="n"/>
      <c r="F3" s="607" t="n"/>
      <c r="G3" s="607" t="n"/>
      <c r="H3" s="607" t="n"/>
      <c r="I3" s="608" t="n"/>
      <c r="J3" s="609" t="inlineStr">
        <is>
          <t>CONTROL DOCUMENTAL</t>
        </is>
      </c>
      <c r="K3" s="610" t="n"/>
      <c r="L3" s="611" t="n"/>
    </row>
    <row r="4" ht="21" customHeight="1" s="1062">
      <c r="A4" s="263" t="n"/>
      <c r="B4" s="565" t="inlineStr">
        <is>
          <t>REFORMAS Y REMODELACIONES</t>
        </is>
      </c>
      <c r="J4" s="262" t="inlineStr">
        <is>
          <t>Código</t>
        </is>
      </c>
      <c r="K4" s="637" t="inlineStr">
        <is>
          <t>RYR-CO-001</t>
        </is>
      </c>
      <c r="L4" s="638" t="n"/>
    </row>
    <row r="5">
      <c r="A5" s="263" t="n"/>
      <c r="B5" s="636" t="inlineStr">
        <is>
          <t>DISEÑAMOS, RENOVAMOS Y CONSTRUIMOS ESPACIOS QUE INSPIRAN</t>
        </is>
      </c>
      <c r="J5" s="260" t="inlineStr">
        <is>
          <t>Versión</t>
        </is>
      </c>
      <c r="K5" s="604" t="n">
        <v>1</v>
      </c>
      <c r="L5" s="605" t="n"/>
    </row>
    <row r="6">
      <c r="A6" s="628" t="n"/>
      <c r="J6" s="260" t="inlineStr">
        <is>
          <t>Fecha de Emisión</t>
        </is>
      </c>
      <c r="K6" s="617" t="inlineStr">
        <is>
          <t>10/09/2026</t>
        </is>
      </c>
      <c r="L6" s="605" t="n"/>
    </row>
    <row r="7">
      <c r="J7" s="261" t="inlineStr">
        <is>
          <t>Página</t>
        </is>
      </c>
      <c r="K7" s="602" t="inlineStr">
        <is>
          <t>1 de 1</t>
        </is>
      </c>
      <c r="L7" s="603" t="n"/>
    </row>
    <row r="8" ht="15" customHeight="1" s="1062">
      <c r="A8" s="648" t="inlineStr">
        <is>
          <t>CONTROL MAESTRO DE CANTIDADES DE OBRA — TODAS LAS ACTIVIDADES</t>
        </is>
      </c>
    </row>
    <row r="9" ht="15" customHeight="1" s="1062">
      <c r="A9" s="630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062">
      <c r="A10" s="621" t="inlineStr">
        <is>
          <t>ACTIVIDADES CATALOGADAS</t>
        </is>
      </c>
      <c r="C10" s="622" t="n"/>
      <c r="D10" s="631" t="inlineStr">
        <is>
          <t>CANTIDADES CALCULADAS</t>
        </is>
      </c>
      <c r="G10" s="650" t="inlineStr">
        <is>
          <t>ACTIVIDADES APROBADAS</t>
        </is>
      </c>
      <c r="J10" s="632" t="inlineStr">
        <is>
          <t>PENDIENTES</t>
        </is>
      </c>
    </row>
    <row r="11" ht="15" customHeight="1" s="1062">
      <c r="A11" s="656">
        <f>COUNTA('Cantidades de Obra'!A9:A153)</f>
        <v/>
      </c>
      <c r="C11" s="622" t="n"/>
      <c r="D11" s="626">
        <f>COUNT('Cantidades de Obra'!T9:T153)</f>
        <v/>
      </c>
      <c r="G11" s="655">
        <f>COUNTIF('Cantidades de Obra'!Y9:Y153,"Aprobada")</f>
        <v/>
      </c>
      <c r="J11" s="627">
        <f>COUNTIF('Cantidades de Obra'!Y9:Y153,"Pendiente")</f>
        <v/>
      </c>
    </row>
    <row r="12" ht="15" customHeight="1" s="1062">
      <c r="C12" s="622" t="n"/>
    </row>
    <row r="13" ht="15" customHeight="1" s="1062">
      <c r="A13" s="629" t="inlineStr">
        <is>
          <t>CONTROL POR CAPÍTULO</t>
        </is>
      </c>
    </row>
    <row r="14" ht="15" customHeight="1" s="1062">
      <c r="A14" s="250" t="inlineStr">
        <is>
          <t>Capítulo</t>
        </is>
      </c>
      <c r="B14" s="250" t="inlineStr">
        <is>
          <t>Actividades</t>
        </is>
      </c>
      <c r="C14" s="250" t="inlineStr">
        <is>
          <t>Calculadas</t>
        </is>
      </c>
      <c r="D14" s="250" t="inlineStr">
        <is>
          <t>Pendientes</t>
        </is>
      </c>
      <c r="E14" s="296" t="n"/>
      <c r="F14" s="296" t="n"/>
      <c r="G14" s="296" t="n"/>
      <c r="H14" s="296" t="n"/>
      <c r="I14" s="296" t="n"/>
      <c r="J14" s="296" t="n"/>
      <c r="K14" s="296" t="n"/>
      <c r="L14" s="296" t="n"/>
    </row>
    <row r="15" ht="15" customHeight="1" s="1062">
      <c r="A15" s="247" t="inlineStr">
        <is>
          <t>PRELIMINARES</t>
        </is>
      </c>
      <c r="B15" s="252">
        <f>COUNTIF('Cantidades de Obra'!B:B,A15)</f>
        <v/>
      </c>
      <c r="C15" s="253">
        <f>COUNTIFS('Cantidades de Obra'!B:B,A15,'Cantidades de Obra'!T:T,"&gt;0")</f>
        <v/>
      </c>
      <c r="D15" s="251">
        <f>B15-C15</f>
        <v/>
      </c>
      <c r="E15" s="248" t="n"/>
      <c r="F15" s="248" t="n"/>
      <c r="G15" s="248" t="n"/>
      <c r="H15" s="248" t="n"/>
      <c r="I15" s="248" t="n"/>
      <c r="J15" s="248" t="n"/>
      <c r="K15" s="248" t="n"/>
      <c r="L15" s="249" t="n"/>
    </row>
    <row r="16" ht="15" customHeight="1" s="1062">
      <c r="A16" s="247" t="inlineStr">
        <is>
          <t>MOVIMIENTO DE TIERRAS</t>
        </is>
      </c>
      <c r="B16" s="252">
        <f>COUNTIF('Cantidades de Obra'!B:B,A16)</f>
        <v/>
      </c>
      <c r="C16" s="253">
        <f>COUNTIFS('Cantidades de Obra'!B:B,A16,'Cantidades de Obra'!T:T,"&gt;0")</f>
        <v/>
      </c>
      <c r="D16" s="251">
        <f>B16-C16</f>
        <v/>
      </c>
      <c r="E16" s="248" t="n"/>
      <c r="F16" s="248" t="n"/>
      <c r="G16" s="248" t="n"/>
      <c r="H16" s="248" t="n"/>
      <c r="I16" s="248" t="n"/>
      <c r="J16" s="248" t="n"/>
      <c r="K16" s="248" t="n"/>
      <c r="L16" s="249" t="n"/>
    </row>
    <row r="17" ht="15" customHeight="1" s="1062">
      <c r="A17" s="247" t="inlineStr">
        <is>
          <t>CIMENTACIONES</t>
        </is>
      </c>
      <c r="B17" s="252">
        <f>COUNTIF('Cantidades de Obra'!B:B,A17)</f>
        <v/>
      </c>
      <c r="C17" s="253">
        <f>COUNTIFS('Cantidades de Obra'!B:B,A17,'Cantidades de Obra'!T:T,"&gt;0")</f>
        <v/>
      </c>
      <c r="D17" s="251">
        <f>B17-C17</f>
        <v/>
      </c>
      <c r="E17" s="248" t="n"/>
      <c r="F17" s="248" t="n"/>
      <c r="G17" s="248" t="n"/>
      <c r="H17" s="248" t="n"/>
      <c r="I17" s="248" t="n"/>
      <c r="J17" s="248" t="n"/>
      <c r="K17" s="248" t="n"/>
      <c r="L17" s="249" t="n"/>
    </row>
    <row r="18" ht="15" customHeight="1" s="1062">
      <c r="A18" s="247" t="inlineStr">
        <is>
          <t>ESTRUCTURA</t>
        </is>
      </c>
      <c r="B18" s="252">
        <f>COUNTIF('Cantidades de Obra'!B:B,A18)</f>
        <v/>
      </c>
      <c r="C18" s="253">
        <f>COUNTIFS('Cantidades de Obra'!B:B,A18,'Cantidades de Obra'!T:T,"&gt;0")</f>
        <v/>
      </c>
      <c r="D18" s="251">
        <f>B18-C18</f>
        <v/>
      </c>
      <c r="E18" s="248" t="n"/>
      <c r="F18" s="248" t="n"/>
      <c r="G18" s="248" t="n"/>
      <c r="H18" s="248" t="n"/>
      <c r="I18" s="248" t="n"/>
      <c r="J18" s="248" t="n"/>
      <c r="K18" s="248" t="n"/>
      <c r="L18" s="249" t="n"/>
    </row>
    <row r="19" ht="15" customHeight="1" s="1062">
      <c r="A19" s="247" t="inlineStr">
        <is>
          <t>MAMPOSTERÍA</t>
        </is>
      </c>
      <c r="B19" s="252">
        <f>COUNTIF('Cantidades de Obra'!B:B,A19)</f>
        <v/>
      </c>
      <c r="C19" s="253">
        <f>COUNTIFS('Cantidades de Obra'!B:B,A19,'Cantidades de Obra'!T:T,"&gt;0")</f>
        <v/>
      </c>
      <c r="D19" s="251">
        <f>B19-C19</f>
        <v/>
      </c>
      <c r="E19" s="248" t="n"/>
      <c r="F19" s="248" t="n"/>
      <c r="G19" s="248" t="n"/>
      <c r="H19" s="248" t="n"/>
      <c r="I19" s="248" t="n"/>
      <c r="J19" s="248" t="n"/>
      <c r="K19" s="248" t="n"/>
      <c r="L19" s="249" t="n"/>
    </row>
    <row r="20" ht="15" customHeight="1" s="1062">
      <c r="A20" s="247" t="inlineStr">
        <is>
          <t>CUBIERTAS</t>
        </is>
      </c>
      <c r="B20" s="252">
        <f>COUNTIF('Cantidades de Obra'!B:B,A20)</f>
        <v/>
      </c>
      <c r="C20" s="253">
        <f>COUNTIFS('Cantidades de Obra'!B:B,A20,'Cantidades de Obra'!T:T,"&gt;0")</f>
        <v/>
      </c>
      <c r="D20" s="251">
        <f>B20-C20</f>
        <v/>
      </c>
      <c r="E20" s="248" t="n"/>
      <c r="F20" s="248" t="n"/>
      <c r="G20" s="248" t="n"/>
      <c r="H20" s="248" t="n"/>
      <c r="I20" s="248" t="n"/>
      <c r="J20" s="248" t="n"/>
      <c r="K20" s="248" t="n"/>
      <c r="L20" s="249" t="n"/>
    </row>
    <row r="21" ht="15" customHeight="1" s="1062">
      <c r="A21" s="247" t="inlineStr">
        <is>
          <t>IMPERMEABILIZACIONES</t>
        </is>
      </c>
      <c r="B21" s="252">
        <f>COUNTIF('Cantidades de Obra'!B:B,A21)</f>
        <v/>
      </c>
      <c r="C21" s="253">
        <f>COUNTIFS('Cantidades de Obra'!B:B,A21,'Cantidades de Obra'!T:T,"&gt;0")</f>
        <v/>
      </c>
      <c r="D21" s="251">
        <f>B21-C21</f>
        <v/>
      </c>
      <c r="E21" s="248" t="n"/>
      <c r="F21" s="248" t="n"/>
      <c r="G21" s="248" t="n"/>
      <c r="H21" s="248" t="n"/>
      <c r="I21" s="248" t="n"/>
      <c r="J21" s="248" t="n"/>
      <c r="K21" s="248" t="n"/>
      <c r="L21" s="249" t="n"/>
    </row>
    <row r="22" ht="15" customHeight="1" s="1062">
      <c r="A22" s="247" t="inlineStr">
        <is>
          <t>PAÑETES Y REVOQUES</t>
        </is>
      </c>
      <c r="B22" s="252">
        <f>COUNTIF('Cantidades de Obra'!B:B,A22)</f>
        <v/>
      </c>
      <c r="C22" s="253">
        <f>COUNTIFS('Cantidades de Obra'!B:B,A22,'Cantidades de Obra'!T:T,"&gt;0")</f>
        <v/>
      </c>
      <c r="D22" s="251">
        <f>B22-C22</f>
        <v/>
      </c>
      <c r="E22" s="248" t="n"/>
      <c r="F22" s="248" t="n"/>
      <c r="G22" s="248" t="n"/>
      <c r="H22" s="248" t="n"/>
      <c r="I22" s="248" t="n"/>
      <c r="J22" s="248" t="n"/>
      <c r="K22" s="248" t="n"/>
      <c r="L22" s="249" t="n"/>
    </row>
    <row r="23" ht="15" customHeight="1" s="1062">
      <c r="A23" s="247" t="inlineStr">
        <is>
          <t>PISOS Y ENCHAPES</t>
        </is>
      </c>
      <c r="B23" s="252">
        <f>COUNTIF('Cantidades de Obra'!B:B,A23)</f>
        <v/>
      </c>
      <c r="C23" s="253">
        <f>COUNTIFS('Cantidades de Obra'!B:B,A23,'Cantidades de Obra'!T:T,"&gt;0")</f>
        <v/>
      </c>
      <c r="D23" s="251">
        <f>B23-C23</f>
        <v/>
      </c>
      <c r="E23" s="248" t="n"/>
      <c r="F23" s="248" t="n"/>
      <c r="G23" s="248" t="n"/>
      <c r="H23" s="248" t="n"/>
      <c r="I23" s="248" t="n"/>
      <c r="J23" s="248" t="n"/>
      <c r="K23" s="248" t="n"/>
      <c r="L23" s="249" t="n"/>
    </row>
    <row r="24" ht="15" customHeight="1" s="1062">
      <c r="A24" s="247" t="inlineStr">
        <is>
          <t>PINTURA</t>
        </is>
      </c>
      <c r="B24" s="252">
        <f>COUNTIF('Cantidades de Obra'!B:B,A24)</f>
        <v/>
      </c>
      <c r="C24" s="253">
        <f>COUNTIFS('Cantidades de Obra'!B:B,A24,'Cantidades de Obra'!T:T,"&gt;0")</f>
        <v/>
      </c>
      <c r="D24" s="251">
        <f>B24-C24</f>
        <v/>
      </c>
      <c r="E24" s="248" t="n"/>
      <c r="F24" s="248" t="n"/>
      <c r="G24" s="248" t="n"/>
      <c r="H24" s="248" t="n"/>
      <c r="I24" s="248" t="n"/>
      <c r="J24" s="248" t="n"/>
      <c r="K24" s="248" t="n"/>
      <c r="L24" s="249" t="n"/>
    </row>
    <row r="25" ht="15" customHeight="1" s="1062">
      <c r="A25" s="247" t="inlineStr">
        <is>
          <t>CARPINTERÍA</t>
        </is>
      </c>
      <c r="B25" s="252">
        <f>COUNTIF('Cantidades de Obra'!B:B,A25)</f>
        <v/>
      </c>
      <c r="C25" s="253">
        <f>COUNTIFS('Cantidades de Obra'!B:B,A25,'Cantidades de Obra'!T:T,"&gt;0")</f>
        <v/>
      </c>
      <c r="D25" s="251">
        <f>B25-C25</f>
        <v/>
      </c>
      <c r="E25" s="248" t="n"/>
      <c r="F25" s="248" t="n"/>
      <c r="G25" s="248" t="n"/>
      <c r="H25" s="248" t="n"/>
      <c r="I25" s="248" t="n"/>
      <c r="J25" s="248" t="n"/>
      <c r="K25" s="248" t="n"/>
      <c r="L25" s="249" t="n"/>
    </row>
    <row r="26" ht="15" customHeight="1" s="1062">
      <c r="A26" s="269" t="inlineStr">
        <is>
          <t>VIDRIOS</t>
        </is>
      </c>
      <c r="B26" s="252">
        <f>COUNTIF('Cantidades de Obra'!B:B,A26)</f>
        <v/>
      </c>
      <c r="C26" s="253">
        <f>COUNTIFS('Cantidades de Obra'!B:B,A26,'Cantidades de Obra'!T:T,"&gt;0")</f>
        <v/>
      </c>
      <c r="D26" s="251">
        <f>B26-C26</f>
        <v/>
      </c>
      <c r="E26" s="248" t="n"/>
      <c r="F26" s="248" t="n"/>
      <c r="G26" s="248" t="n"/>
      <c r="H26" s="248" t="n"/>
      <c r="I26" s="248" t="n"/>
      <c r="J26" s="248" t="n"/>
      <c r="K26" s="248" t="n"/>
      <c r="L26" s="249" t="n"/>
    </row>
    <row r="27" ht="15" customHeight="1" s="1062">
      <c r="A27" s="247" t="inlineStr">
        <is>
          <t>INSTALACIONES HIDROSANITARIAS</t>
        </is>
      </c>
      <c r="B27" s="252">
        <f>COUNTIF('Cantidades de Obra'!B:B,A27)</f>
        <v/>
      </c>
      <c r="C27" s="253">
        <f>COUNTIFS('Cantidades de Obra'!B:B,A27,'Cantidades de Obra'!T:T,"&gt;0")</f>
        <v/>
      </c>
      <c r="D27" s="251">
        <f>B27-C27</f>
        <v/>
      </c>
      <c r="E27" s="248" t="n"/>
      <c r="F27" s="248" t="n"/>
      <c r="G27" s="248" t="n"/>
      <c r="H27" s="248" t="n"/>
      <c r="I27" s="248" t="n"/>
      <c r="J27" s="248" t="n"/>
      <c r="K27" s="248" t="n"/>
      <c r="L27" s="249" t="n"/>
    </row>
    <row r="28" ht="15" customHeight="1" s="1062">
      <c r="A28" s="247" t="inlineStr">
        <is>
          <t>INSTALACIONES ELÉCTRICAS</t>
        </is>
      </c>
      <c r="B28" s="252">
        <f>COUNTIF('Cantidades de Obra'!B:B,A28)</f>
        <v/>
      </c>
      <c r="C28" s="253">
        <f>COUNTIFS('Cantidades de Obra'!B:B,A28,'Cantidades de Obra'!T:T,"&gt;0")</f>
        <v/>
      </c>
      <c r="D28" s="251">
        <f>B28-C28</f>
        <v/>
      </c>
      <c r="E28" s="248" t="n"/>
      <c r="F28" s="248" t="n"/>
      <c r="G28" s="248" t="n"/>
      <c r="H28" s="248" t="n"/>
      <c r="I28" s="248" t="n"/>
      <c r="J28" s="248" t="n"/>
      <c r="K28" s="248" t="n"/>
      <c r="L28" s="249" t="n"/>
    </row>
    <row r="29" ht="15" customHeight="1" s="1062">
      <c r="A29" s="247" t="inlineStr">
        <is>
          <t>COMUNICACIONES Y SEGURIDAD</t>
        </is>
      </c>
      <c r="B29" s="252">
        <f>COUNTIF('Cantidades de Obra'!B:B,A29)</f>
        <v/>
      </c>
      <c r="C29" s="253">
        <f>COUNTIFS('Cantidades de Obra'!B:B,A29,'Cantidades de Obra'!T:T,"&gt;0")</f>
        <v/>
      </c>
      <c r="D29" s="251">
        <f>B29-C29</f>
        <v/>
      </c>
      <c r="E29" s="248" t="n"/>
      <c r="F29" s="248" t="n"/>
      <c r="G29" s="248" t="n"/>
      <c r="H29" s="248" t="n"/>
      <c r="I29" s="248" t="n"/>
      <c r="J29" s="248" t="n"/>
      <c r="K29" s="248" t="n"/>
      <c r="L29" s="249" t="n"/>
    </row>
    <row r="30" ht="15" customHeight="1" s="1062">
      <c r="A30" s="247" t="inlineStr">
        <is>
          <t>CLIMATIZACIÓN Y VENTILACIÓN</t>
        </is>
      </c>
      <c r="B30" s="252">
        <f>COUNTIF('Cantidades de Obra'!B:B,A30)</f>
        <v/>
      </c>
      <c r="C30" s="253">
        <f>COUNTIFS('Cantidades de Obra'!B:B,A30,'Cantidades de Obra'!T:T,"&gt;0")</f>
        <v/>
      </c>
      <c r="D30" s="251">
        <f>B30-C30</f>
        <v/>
      </c>
      <c r="E30" s="248" t="n"/>
      <c r="F30" s="248" t="n"/>
      <c r="G30" s="248" t="n"/>
      <c r="H30" s="248" t="n"/>
      <c r="I30" s="248" t="n"/>
      <c r="J30" s="248" t="n"/>
      <c r="K30" s="248" t="n"/>
      <c r="L30" s="249" t="n"/>
    </row>
    <row r="31" ht="15" customHeight="1" s="1062">
      <c r="A31" s="247" t="inlineStr">
        <is>
          <t>GAS</t>
        </is>
      </c>
      <c r="B31" s="252">
        <f>COUNTIF('Cantidades de Obra'!B:B,A31)</f>
        <v/>
      </c>
      <c r="C31" s="253">
        <f>COUNTIFS('Cantidades de Obra'!B:B,A31,'Cantidades de Obra'!T:T,"&gt;0")</f>
        <v/>
      </c>
      <c r="D31" s="251">
        <f>B31-C31</f>
        <v/>
      </c>
      <c r="E31" s="248" t="n"/>
      <c r="F31" s="248" t="n"/>
      <c r="G31" s="248" t="n"/>
      <c r="H31" s="248" t="n"/>
      <c r="I31" s="248" t="n"/>
      <c r="J31" s="248" t="n"/>
      <c r="K31" s="248" t="n"/>
      <c r="L31" s="249" t="n"/>
    </row>
    <row r="32">
      <c r="A32" s="349" t="inlineStr">
        <is>
          <t>URBANISMO Y EXTERIORES</t>
        </is>
      </c>
      <c r="B32" s="252">
        <f>COUNTIF('Cantidades de Obra'!B:B,A32)</f>
        <v/>
      </c>
      <c r="C32" s="253">
        <f>COUNTIFS('Cantidades de Obra'!B:B,A32,'Cantidades de Obra'!T:T,"&gt;0")</f>
        <v/>
      </c>
      <c r="D32" s="251">
        <f>B32-C32</f>
        <v/>
      </c>
    </row>
    <row r="33" ht="15" customHeight="1" s="1062">
      <c r="A33" s="247" t="inlineStr">
        <is>
          <t>OBRAS COMPLEMENTARIAS</t>
        </is>
      </c>
      <c r="B33" s="252">
        <f>COUNTIF('Cantidades de Obra'!B:B,A33)</f>
        <v/>
      </c>
      <c r="C33" s="253">
        <f>COUNTIFS('Cantidades de Obra'!B:B,A33,'Cantidades de Obra'!T:T,"&gt;0")</f>
        <v/>
      </c>
      <c r="D33" s="251">
        <f>B33-C33</f>
        <v/>
      </c>
      <c r="E33" s="248" t="n"/>
      <c r="F33" s="248" t="n"/>
      <c r="G33" s="248" t="n"/>
      <c r="H33" s="248" t="n"/>
      <c r="I33" s="248" t="n"/>
      <c r="J33" s="248" t="n"/>
      <c r="K33" s="248" t="n"/>
      <c r="L33" s="249" t="n"/>
    </row>
    <row r="34">
      <c r="A34" s="247" t="inlineStr">
        <is>
          <t>ASEO, ENTREGA Y CIERRE</t>
        </is>
      </c>
      <c r="B34" s="252">
        <f>COUNTIF('Cantidades de Obra'!B:B,A34)</f>
        <v/>
      </c>
      <c r="C34" s="253">
        <f>COUNTIFS('Cantidades de Obra'!B:B,A34,'Cantidades de Obra'!T:T,"&gt;0")</f>
        <v/>
      </c>
      <c r="D34" s="251">
        <f>B34-C34</f>
        <v/>
      </c>
      <c r="E34" s="248" t="n"/>
      <c r="F34" s="248" t="n"/>
      <c r="G34" s="248" t="n"/>
      <c r="H34" s="248" t="n"/>
      <c r="I34" s="248" t="n"/>
      <c r="J34" s="248" t="n"/>
      <c r="K34" s="248" t="n"/>
      <c r="L34" s="249" t="n"/>
    </row>
    <row r="35">
      <c r="A35" s="649" t="inlineStr">
        <is>
          <t>FLUJO DE TRABAJO RECOMENDADO</t>
        </is>
      </c>
      <c r="L35" s="622" t="n"/>
    </row>
    <row r="36" ht="15" customHeight="1" s="1062">
      <c r="A36" s="633" t="inlineStr">
        <is>
          <t>1. Seleccionar actividad específica.</t>
        </is>
      </c>
      <c r="B36" s="634" t="n"/>
      <c r="C36" s="634" t="n"/>
      <c r="D36" s="634" t="n"/>
      <c r="E36" s="634" t="n"/>
      <c r="F36" s="634" t="n"/>
      <c r="G36" s="634" t="n"/>
      <c r="H36" s="634" t="n"/>
      <c r="I36" s="634" t="n"/>
      <c r="J36" s="634" t="n"/>
      <c r="K36" s="634" t="n"/>
      <c r="L36" s="635" t="n"/>
    </row>
    <row r="37" ht="15" customHeight="1" s="1062">
      <c r="A37" s="623" t="inlineStr">
        <is>
          <t>2. Registrar ubicación y plano/revisión.</t>
        </is>
      </c>
      <c r="B37" s="624" t="n"/>
      <c r="C37" s="624" t="n"/>
      <c r="D37" s="624" t="n"/>
      <c r="E37" s="624" t="n"/>
      <c r="F37" s="624" t="n"/>
      <c r="G37" s="624" t="n"/>
      <c r="H37" s="624" t="n"/>
      <c r="I37" s="624" t="n"/>
      <c r="J37" s="624" t="n"/>
      <c r="K37" s="624" t="n"/>
      <c r="L37" s="625" t="n"/>
    </row>
    <row r="38" ht="15" customHeight="1" s="1062">
      <c r="A38" s="623" t="inlineStr">
        <is>
          <t>3. Medir dimensiones y número de elementos.</t>
        </is>
      </c>
      <c r="B38" s="624" t="n"/>
      <c r="C38" s="624" t="n"/>
      <c r="D38" s="624" t="n"/>
      <c r="E38" s="624" t="n"/>
      <c r="F38" s="624" t="n"/>
      <c r="G38" s="624" t="n"/>
      <c r="H38" s="624" t="n"/>
      <c r="I38" s="624" t="n"/>
      <c r="J38" s="624" t="n"/>
      <c r="K38" s="624" t="n"/>
      <c r="L38" s="625" t="n"/>
    </row>
    <row r="39">
      <c r="A39" s="623" t="inlineStr">
        <is>
          <t>4. Registrar deducciones y desperdicio justificado.</t>
        </is>
      </c>
      <c r="B39" s="624" t="n"/>
      <c r="C39" s="624" t="n"/>
      <c r="D39" s="624" t="n"/>
      <c r="E39" s="624" t="n"/>
      <c r="F39" s="624" t="n"/>
      <c r="G39" s="624" t="n"/>
      <c r="H39" s="624" t="n"/>
      <c r="I39" s="624" t="n"/>
      <c r="J39" s="624" t="n"/>
      <c r="K39" s="624" t="n"/>
      <c r="L39" s="625" t="n"/>
    </row>
    <row r="40">
      <c r="A40" s="623" t="inlineStr">
        <is>
          <t>5. Revisar cantidad neta y final.</t>
        </is>
      </c>
      <c r="B40" s="624" t="n"/>
      <c r="C40" s="624" t="n"/>
      <c r="D40" s="624" t="n"/>
      <c r="E40" s="624" t="n"/>
      <c r="F40" s="624" t="n"/>
      <c r="G40" s="624" t="n"/>
      <c r="H40" s="624" t="n"/>
      <c r="I40" s="624" t="n"/>
      <c r="J40" s="624" t="n"/>
      <c r="K40" s="624" t="n"/>
      <c r="L40" s="625" t="n"/>
    </row>
    <row r="41">
      <c r="A41" s="651" t="inlineStr">
        <is>
          <t>6. Contrastar con presupuesto/APU y aprobar.</t>
        </is>
      </c>
      <c r="B41" s="652" t="n"/>
      <c r="C41" s="652" t="n"/>
      <c r="D41" s="652" t="n"/>
      <c r="E41" s="652" t="n"/>
      <c r="F41" s="652" t="n"/>
      <c r="G41" s="652" t="n"/>
      <c r="H41" s="652" t="n"/>
      <c r="I41" s="652" t="n"/>
      <c r="J41" s="652" t="n"/>
      <c r="K41" s="652" t="n"/>
      <c r="L41" s="653" t="n"/>
    </row>
    <row r="42">
      <c r="A42" s="639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640" t="n"/>
      <c r="C42" s="640" t="n"/>
      <c r="D42" s="640" t="n"/>
      <c r="E42" s="640" t="n"/>
      <c r="F42" s="640" t="n"/>
      <c r="G42" s="640" t="n"/>
      <c r="H42" s="640" t="n"/>
      <c r="I42" s="640" t="n"/>
      <c r="J42" s="640" t="n"/>
      <c r="K42" s="640" t="n"/>
      <c r="L42" s="641" t="n"/>
    </row>
    <row r="43">
      <c r="A43" s="642" t="n"/>
      <c r="L43" s="643" t="n"/>
    </row>
    <row r="44">
      <c r="A44" s="644" t="n"/>
      <c r="B44" s="645" t="n"/>
      <c r="C44" s="645" t="n"/>
      <c r="D44" s="645" t="n"/>
      <c r="E44" s="645" t="n"/>
      <c r="F44" s="645" t="n"/>
      <c r="G44" s="645" t="n"/>
      <c r="H44" s="645" t="n"/>
      <c r="I44" s="645" t="n"/>
      <c r="J44" s="645" t="n"/>
      <c r="K44" s="645" t="n"/>
      <c r="L44" s="646" t="n"/>
    </row>
    <row r="45">
      <c r="A45" s="226" t="inlineStr">
        <is>
          <t>REV. 10/09/2026</t>
        </is>
      </c>
      <c r="B45" s="669" t="n"/>
      <c r="C45" s="669" t="n"/>
      <c r="D45" s="669" t="n"/>
      <c r="E45" s="669" t="n"/>
      <c r="F45" s="669" t="n"/>
      <c r="G45" s="669" t="n"/>
      <c r="H45" s="669" t="n"/>
      <c r="I45" s="669" t="n"/>
      <c r="J45" s="669" t="n"/>
      <c r="K45" s="669" t="n"/>
      <c r="L45" s="499">
        <f>K4</f>
        <v/>
      </c>
    </row>
    <row r="46">
      <c r="A46" s="669" t="n"/>
      <c r="B46" s="669" t="n"/>
      <c r="C46" s="669" t="n"/>
      <c r="D46" s="669" t="n"/>
      <c r="E46" s="669" t="n"/>
      <c r="F46" s="669" t="n"/>
      <c r="G46" s="669" t="n"/>
      <c r="H46" s="669" t="n"/>
      <c r="I46" s="669" t="n"/>
      <c r="J46" s="669" t="n"/>
      <c r="K46" s="669" t="n"/>
      <c r="L46" s="669" t="n"/>
    </row>
    <row r="47">
      <c r="A47" s="669" t="n"/>
      <c r="B47" s="669" t="n"/>
      <c r="C47" s="669" t="n"/>
      <c r="D47" s="669" t="n"/>
      <c r="E47" s="669" t="n"/>
      <c r="F47" s="669" t="n"/>
      <c r="G47" s="669" t="n"/>
      <c r="H47" s="669" t="n"/>
      <c r="I47" s="669" t="n"/>
      <c r="J47" s="669" t="n"/>
      <c r="K47" s="669" t="n"/>
      <c r="L47" s="669" t="n"/>
    </row>
    <row r="48">
      <c r="A48" s="669" t="n"/>
      <c r="B48" s="669" t="n"/>
      <c r="C48" s="669" t="n"/>
      <c r="D48" s="669" t="n"/>
      <c r="E48" s="669" t="n"/>
      <c r="F48" s="669" t="n"/>
      <c r="G48" s="669" t="n"/>
      <c r="H48" s="669" t="n"/>
      <c r="I48" s="669" t="n"/>
      <c r="J48" s="669" t="n"/>
      <c r="K48" s="669" t="n"/>
      <c r="L48" s="669" t="n"/>
    </row>
    <row r="49">
      <c r="A49" s="669" t="n"/>
      <c r="B49" s="669" t="n"/>
      <c r="C49" s="669" t="n"/>
      <c r="D49" s="669" t="n"/>
      <c r="E49" s="669" t="n"/>
      <c r="F49" s="669" t="n"/>
      <c r="G49" s="669" t="n"/>
      <c r="H49" s="669" t="n"/>
      <c r="I49" s="669" t="n"/>
      <c r="J49" s="669" t="n"/>
      <c r="K49" s="669" t="n"/>
      <c r="L49" s="669" t="n"/>
    </row>
  </sheetData>
  <mergeCells count="30">
    <mergeCell ref="G10:I10"/>
    <mergeCell ref="A41:L41"/>
    <mergeCell ref="A37:L37"/>
    <mergeCell ref="K5:L5"/>
    <mergeCell ref="A3:I3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6:I7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topLeftCell="A133" zoomScale="80" zoomScaleNormal="80" workbookViewId="0">
      <selection activeCell="A146" sqref="A146"/>
    </sheetView>
  </sheetViews>
  <sheetFormatPr baseColWidth="10" defaultColWidth="8.88671875" defaultRowHeight="14.4"/>
  <cols>
    <col width="15.77734375" customWidth="1" style="667" min="1" max="1"/>
    <col width="15.77734375" customWidth="1" style="600" min="2" max="2"/>
    <col width="20.77734375" customWidth="1" style="600" min="3" max="3"/>
    <col width="44" customWidth="1" style="1062" min="4" max="4"/>
    <col width="20.77734375" customWidth="1" style="1062" min="5" max="5"/>
    <col width="15.77734375" customWidth="1" style="1062" min="6" max="6"/>
    <col width="8.77734375" customWidth="1" style="600" min="7" max="7"/>
    <col width="15.77734375" customWidth="1" style="600" min="8" max="8"/>
    <col width="15.77734375" customWidth="1" style="1062" min="9" max="10"/>
    <col width="12" customWidth="1" style="1062" min="11" max="11"/>
    <col width="13" customWidth="1" style="1062" min="12" max="12"/>
    <col width="10" customWidth="1" style="1062" min="14" max="14"/>
    <col width="13" customWidth="1" style="1062" min="15" max="15"/>
    <col width="14" customWidth="1" style="1062" min="16" max="16"/>
    <col width="15" customWidth="1" style="1062" min="17" max="17"/>
    <col width="52" customWidth="1" style="600" min="19" max="19"/>
    <col width="22" customWidth="1" style="600" min="20" max="20"/>
    <col width="50.77734375" customWidth="1" style="1062" min="21" max="21"/>
  </cols>
  <sheetData>
    <row r="1" ht="40.05" customHeight="1" s="1062">
      <c r="D1" s="585" t="inlineStr">
        <is>
          <t>CANTIDADES DE OBRA</t>
        </is>
      </c>
      <c r="K1" s="600" t="n"/>
    </row>
    <row r="2">
      <c r="D2" s="290" t="n"/>
      <c r="E2" s="290" t="n"/>
      <c r="F2" s="290" t="n"/>
      <c r="G2" s="290" t="n"/>
      <c r="H2" s="290" t="n"/>
      <c r="I2" s="290" t="n"/>
      <c r="J2" s="290" t="n"/>
    </row>
    <row r="3">
      <c r="D3" s="600" t="n"/>
      <c r="H3" s="657" t="inlineStr">
        <is>
          <t>CONTROL DOCUMENTAL</t>
        </is>
      </c>
      <c r="I3" s="658" t="n"/>
      <c r="J3" s="659" t="n"/>
    </row>
    <row r="4" ht="21" customHeight="1" s="1062">
      <c r="D4" s="660" t="inlineStr">
        <is>
          <t>REFORMAS Y REMODELACIONES</t>
        </is>
      </c>
      <c r="E4" s="607" t="n"/>
      <c r="F4" s="607" t="n"/>
      <c r="G4" s="608" t="n"/>
      <c r="H4" s="262" t="inlineStr">
        <is>
          <t>Código</t>
        </is>
      </c>
      <c r="I4" s="637" t="inlineStr">
        <is>
          <t>RYR-CO-006</t>
        </is>
      </c>
      <c r="J4" s="638" t="n"/>
    </row>
    <row r="5">
      <c r="D5" s="606" t="inlineStr">
        <is>
          <t>DISEÑAMOS, RENOVAMOS Y CONSTRUIMOS ESPACIOS QUE INSPIRAN</t>
        </is>
      </c>
      <c r="E5" s="607" t="n"/>
      <c r="F5" s="607" t="n"/>
      <c r="G5" s="608" t="n"/>
      <c r="H5" s="260" t="inlineStr">
        <is>
          <t>Versión</t>
        </is>
      </c>
      <c r="I5" s="604" t="n">
        <v>1</v>
      </c>
      <c r="J5" s="605" t="n"/>
    </row>
    <row r="6">
      <c r="D6" s="600" t="n"/>
      <c r="H6" s="260" t="inlineStr">
        <is>
          <t>Fecha de Emisión</t>
        </is>
      </c>
      <c r="I6" s="617" t="inlineStr">
        <is>
          <t>10/09/2026</t>
        </is>
      </c>
      <c r="J6" s="605" t="n"/>
    </row>
    <row r="7">
      <c r="H7" s="261" t="inlineStr">
        <is>
          <t>Página</t>
        </is>
      </c>
      <c r="I7" s="602" t="inlineStr">
        <is>
          <t>1 de 1</t>
        </is>
      </c>
      <c r="J7" s="603" t="n"/>
    </row>
    <row r="8" ht="19.95" customFormat="1" customHeight="1" s="270">
      <c r="A8" s="374" t="inlineStr">
        <is>
          <t>ID cálculo</t>
        </is>
      </c>
      <c r="B8" s="375" t="inlineStr">
        <is>
          <t>ID cantidad</t>
        </is>
      </c>
      <c r="C8" s="375" t="inlineStr">
        <is>
          <t>Código actividad</t>
        </is>
      </c>
      <c r="D8" s="375" t="inlineStr">
        <is>
          <t>Actividad</t>
        </is>
      </c>
      <c r="E8" s="375" t="inlineStr">
        <is>
          <t>Ubicación</t>
        </is>
      </c>
      <c r="F8" s="375" t="inlineStr">
        <is>
          <t>Plano</t>
        </is>
      </c>
      <c r="G8" s="375" t="inlineStr">
        <is>
          <t>Rev.</t>
        </is>
      </c>
      <c r="H8" s="375" t="inlineStr">
        <is>
          <t>Unidad</t>
        </is>
      </c>
      <c r="I8" s="375" t="inlineStr">
        <is>
          <t>Largo</t>
        </is>
      </c>
      <c r="J8" s="375" t="inlineStr">
        <is>
          <t>Ancho</t>
        </is>
      </c>
      <c r="K8" s="375" t="inlineStr">
        <is>
          <t>Alto/Prof.</t>
        </is>
      </c>
      <c r="L8" s="375" t="inlineStr">
        <is>
          <t>N° elementos</t>
        </is>
      </c>
      <c r="M8" s="375" t="inlineStr">
        <is>
          <t>Repeticiones</t>
        </is>
      </c>
      <c r="N8" s="375" t="inlineStr">
        <is>
          <t>Factor</t>
        </is>
      </c>
      <c r="O8" s="375" t="inlineStr">
        <is>
          <t>Deducción</t>
        </is>
      </c>
      <c r="P8" s="375" t="inlineStr">
        <is>
          <t>Desperdicio %</t>
        </is>
      </c>
      <c r="Q8" s="375" t="inlineStr">
        <is>
          <t>Cantidad neta</t>
        </is>
      </c>
      <c r="R8" s="375" t="inlineStr">
        <is>
          <t>Cantidad final</t>
        </is>
      </c>
      <c r="S8" s="375" t="inlineStr">
        <is>
          <t>Criterio matemático</t>
        </is>
      </c>
      <c r="T8" s="375" t="inlineStr">
        <is>
          <t>Fuente / soporte</t>
        </is>
      </c>
      <c r="U8" s="376" t="inlineStr">
        <is>
          <t>Observaciones</t>
        </is>
      </c>
    </row>
    <row r="9" ht="15" customFormat="1" customHeight="1" s="265">
      <c r="A9" s="369" t="n"/>
      <c r="B9" s="370" t="n"/>
      <c r="C9" s="371" t="n"/>
      <c r="D9" s="372" t="n"/>
      <c r="E9" s="372" t="n"/>
      <c r="F9" s="372" t="n"/>
      <c r="G9" s="373" t="n"/>
      <c r="H9" s="373" t="n"/>
      <c r="I9" s="1305" t="n"/>
      <c r="J9" s="1305" t="n"/>
      <c r="K9" s="1305" t="n"/>
      <c r="L9" s="1305" t="n"/>
      <c r="M9" s="1305" t="n"/>
      <c r="N9" s="1305" t="n"/>
      <c r="O9" s="1305" t="n"/>
      <c r="P9" s="1306" t="n"/>
      <c r="Q9" s="1305" t="n"/>
      <c r="R9" s="1305" t="n"/>
      <c r="S9" s="373" t="n"/>
      <c r="T9" s="373" t="n"/>
      <c r="U9" s="372" t="n"/>
    </row>
    <row r="10" ht="15" customFormat="1" customHeight="1" s="265">
      <c r="A10" s="364" t="n"/>
      <c r="B10" s="365" t="n"/>
      <c r="C10" s="366" t="n"/>
      <c r="D10" s="367" t="n"/>
      <c r="E10" s="367" t="n"/>
      <c r="F10" s="367" t="n"/>
      <c r="G10" s="368" t="n"/>
      <c r="H10" s="368" t="n"/>
      <c r="I10" s="1307" t="n"/>
      <c r="J10" s="1307" t="n"/>
      <c r="K10" s="1307" t="n"/>
      <c r="L10" s="1307" t="n"/>
      <c r="M10" s="1307" t="n"/>
      <c r="N10" s="1307" t="n"/>
      <c r="O10" s="1307" t="n"/>
      <c r="P10" s="1308" t="n"/>
      <c r="Q10" s="1307" t="n"/>
      <c r="R10" s="1307" t="n"/>
      <c r="S10" s="368" t="n"/>
      <c r="T10" s="368" t="n"/>
      <c r="U10" s="367" t="n"/>
    </row>
    <row r="11" ht="15" customFormat="1" customHeight="1" s="265">
      <c r="A11" s="364" t="n"/>
      <c r="B11" s="365" t="n"/>
      <c r="C11" s="366" t="n"/>
      <c r="D11" s="367" t="n"/>
      <c r="E11" s="367" t="n"/>
      <c r="F11" s="367" t="n"/>
      <c r="G11" s="368" t="n"/>
      <c r="H11" s="368" t="n"/>
      <c r="I11" s="1307" t="n"/>
      <c r="J11" s="1307" t="n"/>
      <c r="K11" s="1307" t="n"/>
      <c r="L11" s="1307" t="n"/>
      <c r="M11" s="1307" t="n"/>
      <c r="N11" s="1307" t="n"/>
      <c r="O11" s="1307" t="n"/>
      <c r="P11" s="1308" t="n"/>
      <c r="Q11" s="1307" t="n"/>
      <c r="R11" s="1307" t="n"/>
      <c r="S11" s="368" t="n"/>
      <c r="T11" s="368" t="n"/>
      <c r="U11" s="367" t="n"/>
    </row>
    <row r="12" ht="15" customFormat="1" customHeight="1" s="265">
      <c r="A12" s="364" t="n"/>
      <c r="B12" s="365" t="n"/>
      <c r="C12" s="366" t="n"/>
      <c r="D12" s="367" t="n"/>
      <c r="E12" s="367" t="n"/>
      <c r="F12" s="367" t="n"/>
      <c r="G12" s="368" t="n"/>
      <c r="H12" s="368" t="n"/>
      <c r="I12" s="1307" t="n"/>
      <c r="J12" s="1307" t="n"/>
      <c r="K12" s="1307" t="n"/>
      <c r="L12" s="1307" t="n"/>
      <c r="M12" s="1307" t="n"/>
      <c r="N12" s="1307" t="n"/>
      <c r="O12" s="1307" t="n"/>
      <c r="P12" s="1308" t="n"/>
      <c r="Q12" s="1307" t="n"/>
      <c r="R12" s="1307" t="n"/>
      <c r="S12" s="368" t="n"/>
      <c r="T12" s="368" t="n"/>
      <c r="U12" s="367" t="n"/>
    </row>
    <row r="13" ht="15" customFormat="1" customHeight="1" s="265">
      <c r="A13" s="364" t="n"/>
      <c r="B13" s="365" t="n"/>
      <c r="C13" s="366" t="n"/>
      <c r="D13" s="367" t="n"/>
      <c r="E13" s="367" t="n"/>
      <c r="F13" s="367" t="n"/>
      <c r="G13" s="368" t="n"/>
      <c r="H13" s="368" t="n"/>
      <c r="I13" s="1307" t="n"/>
      <c r="J13" s="1307" t="n"/>
      <c r="K13" s="1307" t="n"/>
      <c r="L13" s="1307" t="n"/>
      <c r="M13" s="1307" t="n"/>
      <c r="N13" s="1307" t="n"/>
      <c r="O13" s="1307" t="n"/>
      <c r="P13" s="1308" t="n"/>
      <c r="Q13" s="1307" t="n"/>
      <c r="R13" s="1307" t="n"/>
      <c r="S13" s="368" t="n"/>
      <c r="T13" s="368" t="n"/>
      <c r="U13" s="367" t="n"/>
    </row>
    <row r="14" ht="15" customFormat="1" customHeight="1" s="265">
      <c r="A14" s="364" t="n"/>
      <c r="B14" s="365" t="n"/>
      <c r="C14" s="366" t="n"/>
      <c r="D14" s="367" t="n"/>
      <c r="E14" s="367" t="n"/>
      <c r="F14" s="367" t="n"/>
      <c r="G14" s="368" t="n"/>
      <c r="H14" s="368" t="n"/>
      <c r="I14" s="1307" t="n"/>
      <c r="J14" s="1307" t="n"/>
      <c r="K14" s="1307" t="n"/>
      <c r="L14" s="1307" t="n"/>
      <c r="M14" s="1307" t="n"/>
      <c r="N14" s="1307" t="n"/>
      <c r="O14" s="1307" t="n"/>
      <c r="P14" s="1308" t="n"/>
      <c r="Q14" s="1307" t="n"/>
      <c r="R14" s="1307" t="n"/>
      <c r="S14" s="368" t="n"/>
      <c r="T14" s="368" t="n"/>
      <c r="U14" s="367" t="n"/>
    </row>
    <row r="15" ht="15" customFormat="1" customHeight="1" s="265">
      <c r="A15" s="364" t="n"/>
      <c r="B15" s="365" t="n"/>
      <c r="C15" s="366" t="n"/>
      <c r="D15" s="367" t="n"/>
      <c r="E15" s="367" t="n"/>
      <c r="F15" s="367" t="n"/>
      <c r="G15" s="368" t="n"/>
      <c r="H15" s="368" t="n"/>
      <c r="I15" s="1307" t="n"/>
      <c r="J15" s="1307" t="n"/>
      <c r="K15" s="1307" t="n"/>
      <c r="L15" s="1307" t="n"/>
      <c r="M15" s="1307" t="n"/>
      <c r="N15" s="1307" t="n"/>
      <c r="O15" s="1307" t="n"/>
      <c r="P15" s="1308" t="n"/>
      <c r="Q15" s="1307" t="n"/>
      <c r="R15" s="1307" t="n"/>
      <c r="S15" s="368" t="n"/>
      <c r="T15" s="368" t="n"/>
      <c r="U15" s="367" t="n"/>
    </row>
    <row r="16" ht="15" customFormat="1" customHeight="1" s="265">
      <c r="A16" s="364" t="n"/>
      <c r="B16" s="365" t="n"/>
      <c r="C16" s="366" t="n"/>
      <c r="D16" s="367" t="n"/>
      <c r="E16" s="367" t="n"/>
      <c r="F16" s="367" t="n"/>
      <c r="G16" s="368" t="n"/>
      <c r="H16" s="368" t="n"/>
      <c r="I16" s="1307" t="n"/>
      <c r="J16" s="1307" t="n"/>
      <c r="K16" s="1307" t="n"/>
      <c r="L16" s="1307" t="n"/>
      <c r="M16" s="1307" t="n"/>
      <c r="N16" s="1307" t="n"/>
      <c r="O16" s="1307" t="n"/>
      <c r="P16" s="1308" t="n"/>
      <c r="Q16" s="1307" t="n"/>
      <c r="R16" s="1307" t="n"/>
      <c r="S16" s="368" t="n"/>
      <c r="T16" s="368" t="n"/>
      <c r="U16" s="367" t="n"/>
    </row>
    <row r="17" ht="15" customFormat="1" customHeight="1" s="265">
      <c r="A17" s="364" t="n"/>
      <c r="B17" s="365" t="n"/>
      <c r="C17" s="366" t="n"/>
      <c r="D17" s="367" t="n"/>
      <c r="E17" s="367" t="n"/>
      <c r="F17" s="367" t="n"/>
      <c r="G17" s="368" t="n"/>
      <c r="H17" s="368" t="n"/>
      <c r="I17" s="1307" t="n"/>
      <c r="J17" s="1307" t="n"/>
      <c r="K17" s="1307" t="n"/>
      <c r="L17" s="1307" t="n"/>
      <c r="M17" s="1307" t="n"/>
      <c r="N17" s="1307" t="n"/>
      <c r="O17" s="1307" t="n"/>
      <c r="P17" s="1308" t="n"/>
      <c r="Q17" s="1307" t="n"/>
      <c r="R17" s="1307" t="n"/>
      <c r="S17" s="368" t="n"/>
      <c r="T17" s="368" t="n"/>
      <c r="U17" s="367" t="n"/>
    </row>
    <row r="18" ht="15" customFormat="1" customHeight="1" s="265">
      <c r="A18" s="364" t="n"/>
      <c r="B18" s="365" t="n"/>
      <c r="C18" s="366" t="n"/>
      <c r="D18" s="367" t="n"/>
      <c r="E18" s="367" t="n"/>
      <c r="F18" s="367" t="n"/>
      <c r="G18" s="368" t="n"/>
      <c r="H18" s="368" t="n"/>
      <c r="I18" s="1307" t="n"/>
      <c r="J18" s="1307" t="n"/>
      <c r="K18" s="1307" t="n"/>
      <c r="L18" s="1307" t="n"/>
      <c r="M18" s="1307" t="n"/>
      <c r="N18" s="1307" t="n"/>
      <c r="O18" s="1307" t="n"/>
      <c r="P18" s="1308" t="n"/>
      <c r="Q18" s="1307" t="n"/>
      <c r="R18" s="1307" t="n"/>
      <c r="S18" s="368" t="n"/>
      <c r="T18" s="368" t="n"/>
      <c r="U18" s="367" t="n"/>
    </row>
    <row r="19" ht="15" customFormat="1" customHeight="1" s="265">
      <c r="A19" s="364" t="n"/>
      <c r="B19" s="365" t="n"/>
      <c r="C19" s="366" t="n"/>
      <c r="D19" s="367" t="n"/>
      <c r="E19" s="367" t="n"/>
      <c r="F19" s="367" t="n"/>
      <c r="G19" s="368" t="n"/>
      <c r="H19" s="368" t="n"/>
      <c r="I19" s="1307" t="n"/>
      <c r="J19" s="1307" t="n"/>
      <c r="K19" s="1307" t="n"/>
      <c r="L19" s="1307" t="n"/>
      <c r="M19" s="1307" t="n"/>
      <c r="N19" s="1307" t="n"/>
      <c r="O19" s="1307" t="n"/>
      <c r="P19" s="1308" t="n"/>
      <c r="Q19" s="1307" t="n"/>
      <c r="R19" s="1307" t="n"/>
      <c r="S19" s="368" t="n"/>
      <c r="T19" s="368" t="n"/>
      <c r="U19" s="367" t="n"/>
    </row>
    <row r="20" ht="15" customFormat="1" customHeight="1" s="265">
      <c r="A20" s="364" t="n"/>
      <c r="B20" s="365" t="n"/>
      <c r="C20" s="366" t="n"/>
      <c r="D20" s="367" t="n"/>
      <c r="E20" s="367" t="n"/>
      <c r="F20" s="367" t="n"/>
      <c r="G20" s="368" t="n"/>
      <c r="H20" s="368" t="n"/>
      <c r="I20" s="1307" t="n"/>
      <c r="J20" s="1307" t="n"/>
      <c r="K20" s="1307" t="n"/>
      <c r="L20" s="1307" t="n"/>
      <c r="M20" s="1307" t="n"/>
      <c r="N20" s="1307" t="n"/>
      <c r="O20" s="1307" t="n"/>
      <c r="P20" s="1308" t="n"/>
      <c r="Q20" s="1307" t="n"/>
      <c r="R20" s="1307" t="n"/>
      <c r="S20" s="368" t="n"/>
      <c r="T20" s="368" t="n"/>
      <c r="U20" s="367" t="n"/>
    </row>
    <row r="21" ht="15" customFormat="1" customHeight="1" s="265">
      <c r="A21" s="364" t="n"/>
      <c r="B21" s="365" t="n"/>
      <c r="C21" s="366" t="n"/>
      <c r="D21" s="367" t="n"/>
      <c r="E21" s="367" t="n"/>
      <c r="F21" s="367" t="n"/>
      <c r="G21" s="368" t="n"/>
      <c r="H21" s="368" t="n"/>
      <c r="I21" s="1307" t="n"/>
      <c r="J21" s="1307" t="n"/>
      <c r="K21" s="1307" t="n"/>
      <c r="L21" s="1307" t="n"/>
      <c r="M21" s="1307" t="n"/>
      <c r="N21" s="1307" t="n"/>
      <c r="O21" s="1307" t="n"/>
      <c r="P21" s="1308" t="n"/>
      <c r="Q21" s="1307" t="n"/>
      <c r="R21" s="1307" t="n"/>
      <c r="S21" s="368" t="n"/>
      <c r="T21" s="368" t="n"/>
      <c r="U21" s="367" t="n"/>
    </row>
    <row r="22" ht="15" customFormat="1" customHeight="1" s="265">
      <c r="A22" s="364" t="n"/>
      <c r="B22" s="365" t="n"/>
      <c r="C22" s="366" t="n"/>
      <c r="D22" s="367" t="n"/>
      <c r="E22" s="367" t="n"/>
      <c r="F22" s="367" t="n"/>
      <c r="G22" s="368" t="n"/>
      <c r="H22" s="368" t="n"/>
      <c r="I22" s="1307" t="n"/>
      <c r="J22" s="1307" t="n"/>
      <c r="K22" s="1307" t="n"/>
      <c r="L22" s="1307" t="n"/>
      <c r="M22" s="1307" t="n"/>
      <c r="N22" s="1307" t="n"/>
      <c r="O22" s="1307" t="n"/>
      <c r="P22" s="1308" t="n"/>
      <c r="Q22" s="1307" t="n"/>
      <c r="R22" s="1307" t="n"/>
      <c r="S22" s="368" t="n"/>
      <c r="T22" s="368" t="n"/>
      <c r="U22" s="367" t="n"/>
    </row>
    <row r="23" ht="15" customFormat="1" customHeight="1" s="265">
      <c r="A23" s="364" t="n"/>
      <c r="B23" s="365" t="n"/>
      <c r="C23" s="366" t="n"/>
      <c r="D23" s="367" t="n"/>
      <c r="E23" s="367" t="n"/>
      <c r="F23" s="367" t="n"/>
      <c r="G23" s="368" t="n"/>
      <c r="H23" s="368" t="n"/>
      <c r="I23" s="1307" t="n"/>
      <c r="J23" s="1307" t="n"/>
      <c r="K23" s="1307" t="n"/>
      <c r="L23" s="1307" t="n"/>
      <c r="M23" s="1307" t="n"/>
      <c r="N23" s="1307" t="n"/>
      <c r="O23" s="1307" t="n"/>
      <c r="P23" s="1308" t="n"/>
      <c r="Q23" s="1307" t="n"/>
      <c r="R23" s="1307" t="n"/>
      <c r="S23" s="368" t="n"/>
      <c r="T23" s="368" t="n"/>
      <c r="U23" s="367" t="n"/>
    </row>
    <row r="24" ht="15" customFormat="1" customHeight="1" s="265">
      <c r="A24" s="364" t="n"/>
      <c r="B24" s="365" t="n"/>
      <c r="C24" s="366" t="n"/>
      <c r="D24" s="367" t="n"/>
      <c r="E24" s="367" t="n"/>
      <c r="F24" s="367" t="n"/>
      <c r="G24" s="368" t="n"/>
      <c r="H24" s="368" t="n"/>
      <c r="I24" s="1307" t="n"/>
      <c r="J24" s="1307" t="n"/>
      <c r="K24" s="1307" t="n"/>
      <c r="L24" s="1307" t="n"/>
      <c r="M24" s="1307" t="n"/>
      <c r="N24" s="1307" t="n"/>
      <c r="O24" s="1307" t="n"/>
      <c r="P24" s="1308" t="n"/>
      <c r="Q24" s="1307" t="n"/>
      <c r="R24" s="1307" t="n"/>
      <c r="S24" s="368" t="n"/>
      <c r="T24" s="368" t="n"/>
      <c r="U24" s="367" t="n"/>
    </row>
    <row r="25" ht="15" customFormat="1" customHeight="1" s="265">
      <c r="A25" s="364" t="n"/>
      <c r="B25" s="365" t="n"/>
      <c r="C25" s="366" t="n"/>
      <c r="D25" s="367" t="n"/>
      <c r="E25" s="367" t="n"/>
      <c r="F25" s="367" t="n"/>
      <c r="G25" s="368" t="n"/>
      <c r="H25" s="368" t="n"/>
      <c r="I25" s="1307" t="n"/>
      <c r="J25" s="1307" t="n"/>
      <c r="K25" s="1307" t="n"/>
      <c r="L25" s="1307" t="n"/>
      <c r="M25" s="1307" t="n"/>
      <c r="N25" s="1307" t="n"/>
      <c r="O25" s="1307" t="n"/>
      <c r="P25" s="1308" t="n"/>
      <c r="Q25" s="1307" t="n"/>
      <c r="R25" s="1307" t="n"/>
      <c r="S25" s="368" t="n"/>
      <c r="T25" s="368" t="n"/>
      <c r="U25" s="367" t="n"/>
    </row>
    <row r="26" ht="15" customFormat="1" customHeight="1" s="265">
      <c r="A26" s="364" t="n"/>
      <c r="B26" s="365" t="n"/>
      <c r="C26" s="366" t="n"/>
      <c r="D26" s="367" t="n"/>
      <c r="E26" s="367" t="n"/>
      <c r="F26" s="367" t="n"/>
      <c r="G26" s="368" t="n"/>
      <c r="H26" s="368" t="n"/>
      <c r="I26" s="1307" t="n"/>
      <c r="J26" s="1307" t="n"/>
      <c r="K26" s="1307" t="n"/>
      <c r="L26" s="1307" t="n"/>
      <c r="M26" s="1307" t="n"/>
      <c r="N26" s="1307" t="n"/>
      <c r="O26" s="1307" t="n"/>
      <c r="P26" s="1308" t="n"/>
      <c r="Q26" s="1307" t="n"/>
      <c r="R26" s="1307" t="n"/>
      <c r="S26" s="368" t="n"/>
      <c r="T26" s="368" t="n"/>
      <c r="U26" s="367" t="n"/>
    </row>
    <row r="27" ht="15" customFormat="1" customHeight="1" s="265">
      <c r="A27" s="364" t="n"/>
      <c r="B27" s="365" t="n"/>
      <c r="C27" s="366" t="n"/>
      <c r="D27" s="367" t="n"/>
      <c r="E27" s="367" t="n"/>
      <c r="F27" s="367" t="n"/>
      <c r="G27" s="368" t="n"/>
      <c r="H27" s="368" t="n"/>
      <c r="I27" s="1307" t="n"/>
      <c r="J27" s="1307" t="n"/>
      <c r="K27" s="1307" t="n"/>
      <c r="L27" s="1307" t="n"/>
      <c r="M27" s="1307" t="n"/>
      <c r="N27" s="1307" t="n"/>
      <c r="O27" s="1307" t="n"/>
      <c r="P27" s="1308" t="n"/>
      <c r="Q27" s="1307" t="n"/>
      <c r="R27" s="1307" t="n"/>
      <c r="S27" s="368" t="n"/>
      <c r="T27" s="368" t="n"/>
      <c r="U27" s="367" t="n"/>
    </row>
    <row r="28" ht="15" customFormat="1" customHeight="1" s="265">
      <c r="A28" s="364" t="n"/>
      <c r="B28" s="365" t="n"/>
      <c r="C28" s="366" t="n"/>
      <c r="D28" s="367" t="n"/>
      <c r="E28" s="367" t="n"/>
      <c r="F28" s="367" t="n"/>
      <c r="G28" s="368" t="n"/>
      <c r="H28" s="368" t="n"/>
      <c r="I28" s="1307" t="n"/>
      <c r="J28" s="1307" t="n"/>
      <c r="K28" s="1307" t="n"/>
      <c r="L28" s="1307" t="n"/>
      <c r="M28" s="1307" t="n"/>
      <c r="N28" s="1307" t="n"/>
      <c r="O28" s="1307" t="n"/>
      <c r="P28" s="1308" t="n"/>
      <c r="Q28" s="1307" t="n"/>
      <c r="R28" s="1307" t="n"/>
      <c r="S28" s="368" t="n"/>
      <c r="T28" s="368" t="n"/>
      <c r="U28" s="367" t="n"/>
    </row>
    <row r="29" ht="15" customFormat="1" customHeight="1" s="265">
      <c r="A29" s="364" t="n"/>
      <c r="B29" s="365" t="n"/>
      <c r="C29" s="366" t="n"/>
      <c r="D29" s="367" t="n"/>
      <c r="E29" s="367" t="n"/>
      <c r="F29" s="367" t="n"/>
      <c r="G29" s="368" t="n"/>
      <c r="H29" s="368" t="n"/>
      <c r="I29" s="1307" t="n"/>
      <c r="J29" s="1307" t="n"/>
      <c r="K29" s="1307" t="n"/>
      <c r="L29" s="1307" t="n"/>
      <c r="M29" s="1307" t="n"/>
      <c r="N29" s="1307" t="n"/>
      <c r="O29" s="1307" t="n"/>
      <c r="P29" s="1308" t="n"/>
      <c r="Q29" s="1307" t="n"/>
      <c r="R29" s="1307" t="n"/>
      <c r="S29" s="368" t="n"/>
      <c r="T29" s="368" t="n"/>
      <c r="U29" s="367" t="n"/>
    </row>
    <row r="30" ht="15" customFormat="1" customHeight="1" s="265">
      <c r="A30" s="364" t="n"/>
      <c r="B30" s="365" t="n"/>
      <c r="C30" s="366" t="n"/>
      <c r="D30" s="367" t="n"/>
      <c r="E30" s="367" t="n"/>
      <c r="F30" s="367" t="n"/>
      <c r="G30" s="368" t="n"/>
      <c r="H30" s="368" t="n"/>
      <c r="I30" s="1307" t="n"/>
      <c r="J30" s="1307" t="n"/>
      <c r="K30" s="1307" t="n"/>
      <c r="L30" s="1307" t="n"/>
      <c r="M30" s="1307" t="n"/>
      <c r="N30" s="1307" t="n"/>
      <c r="O30" s="1307" t="n"/>
      <c r="P30" s="1308" t="n"/>
      <c r="Q30" s="1307" t="n"/>
      <c r="R30" s="1307" t="n"/>
      <c r="S30" s="368" t="n"/>
      <c r="T30" s="368" t="n"/>
      <c r="U30" s="367" t="n"/>
    </row>
    <row r="31" ht="15" customFormat="1" customHeight="1" s="265">
      <c r="A31" s="364" t="n"/>
      <c r="B31" s="365" t="n"/>
      <c r="C31" s="366" t="n"/>
      <c r="D31" s="367" t="n"/>
      <c r="E31" s="367" t="n"/>
      <c r="F31" s="367" t="n"/>
      <c r="G31" s="368" t="n"/>
      <c r="H31" s="368" t="n"/>
      <c r="I31" s="1307" t="n"/>
      <c r="J31" s="1307" t="n"/>
      <c r="K31" s="1307" t="n"/>
      <c r="L31" s="1307" t="n"/>
      <c r="M31" s="1307" t="n"/>
      <c r="N31" s="1307" t="n"/>
      <c r="O31" s="1307" t="n"/>
      <c r="P31" s="1308" t="n"/>
      <c r="Q31" s="1307" t="n"/>
      <c r="R31" s="1307" t="n"/>
      <c r="S31" s="368" t="n"/>
      <c r="T31" s="368" t="n"/>
      <c r="U31" s="367" t="n"/>
    </row>
    <row r="32" ht="15" customFormat="1" customHeight="1" s="265">
      <c r="A32" s="364" t="n"/>
      <c r="B32" s="365" t="n"/>
      <c r="C32" s="366" t="n"/>
      <c r="D32" s="367" t="n"/>
      <c r="E32" s="367" t="n"/>
      <c r="F32" s="367" t="n"/>
      <c r="G32" s="368" t="n"/>
      <c r="H32" s="368" t="n"/>
      <c r="I32" s="1307" t="n"/>
      <c r="J32" s="1307" t="n"/>
      <c r="K32" s="1307" t="n"/>
      <c r="L32" s="1307" t="n"/>
      <c r="M32" s="1307" t="n"/>
      <c r="N32" s="1307" t="n"/>
      <c r="O32" s="1307" t="n"/>
      <c r="P32" s="1308" t="n"/>
      <c r="Q32" s="1307" t="n"/>
      <c r="R32" s="1307" t="n"/>
      <c r="S32" s="368" t="n"/>
      <c r="T32" s="368" t="n"/>
      <c r="U32" s="367" t="n"/>
    </row>
    <row r="33" ht="15" customFormat="1" customHeight="1" s="265">
      <c r="A33" s="364" t="n"/>
      <c r="B33" s="365" t="n"/>
      <c r="C33" s="366" t="n"/>
      <c r="D33" s="367" t="n"/>
      <c r="E33" s="367" t="n"/>
      <c r="F33" s="367" t="n"/>
      <c r="G33" s="368" t="n"/>
      <c r="H33" s="368" t="n"/>
      <c r="I33" s="1307" t="n"/>
      <c r="J33" s="1307" t="n"/>
      <c r="K33" s="1307" t="n"/>
      <c r="L33" s="1307" t="n"/>
      <c r="M33" s="1307" t="n"/>
      <c r="N33" s="1307" t="n"/>
      <c r="O33" s="1307" t="n"/>
      <c r="P33" s="1308" t="n"/>
      <c r="Q33" s="1307" t="n"/>
      <c r="R33" s="1307" t="n"/>
      <c r="S33" s="368" t="n"/>
      <c r="T33" s="368" t="n"/>
      <c r="U33" s="367" t="n"/>
    </row>
    <row r="34" ht="15" customFormat="1" customHeight="1" s="265">
      <c r="A34" s="364" t="n"/>
      <c r="B34" s="365" t="n"/>
      <c r="C34" s="366" t="n"/>
      <c r="D34" s="367" t="n"/>
      <c r="E34" s="367" t="n"/>
      <c r="F34" s="367" t="n"/>
      <c r="G34" s="368" t="n"/>
      <c r="H34" s="368" t="n"/>
      <c r="I34" s="1307" t="n"/>
      <c r="J34" s="1307" t="n"/>
      <c r="K34" s="1307" t="n"/>
      <c r="L34" s="1307" t="n"/>
      <c r="M34" s="1307" t="n"/>
      <c r="N34" s="1307" t="n"/>
      <c r="O34" s="1307" t="n"/>
      <c r="P34" s="1308" t="n"/>
      <c r="Q34" s="1307" t="n"/>
      <c r="R34" s="1307" t="n"/>
      <c r="S34" s="368" t="n"/>
      <c r="T34" s="368" t="n"/>
      <c r="U34" s="367" t="n"/>
    </row>
    <row r="35" ht="15" customFormat="1" customHeight="1" s="265">
      <c r="A35" s="364" t="n"/>
      <c r="B35" s="365" t="n"/>
      <c r="C35" s="366" t="n"/>
      <c r="D35" s="367" t="n"/>
      <c r="E35" s="367" t="n"/>
      <c r="F35" s="367" t="n"/>
      <c r="G35" s="368" t="n"/>
      <c r="H35" s="368" t="n"/>
      <c r="I35" s="1307" t="n"/>
      <c r="J35" s="1307" t="n"/>
      <c r="K35" s="1307" t="n"/>
      <c r="L35" s="1307" t="n"/>
      <c r="M35" s="1307" t="n"/>
      <c r="N35" s="1307" t="n"/>
      <c r="O35" s="1307" t="n"/>
      <c r="P35" s="1308" t="n"/>
      <c r="Q35" s="1307" t="n"/>
      <c r="R35" s="1307" t="n"/>
      <c r="S35" s="368" t="n"/>
      <c r="T35" s="368" t="n"/>
      <c r="U35" s="367" t="n"/>
    </row>
    <row r="36" ht="15" customFormat="1" customHeight="1" s="265">
      <c r="A36" s="364" t="n"/>
      <c r="B36" s="365" t="n"/>
      <c r="C36" s="366" t="n"/>
      <c r="D36" s="367" t="n"/>
      <c r="E36" s="367" t="n"/>
      <c r="F36" s="367" t="n"/>
      <c r="G36" s="368" t="n"/>
      <c r="H36" s="368" t="n"/>
      <c r="I36" s="1307" t="n"/>
      <c r="J36" s="1307" t="n"/>
      <c r="K36" s="1307" t="n"/>
      <c r="L36" s="1307" t="n"/>
      <c r="M36" s="1307" t="n"/>
      <c r="N36" s="1307" t="n"/>
      <c r="O36" s="1307" t="n"/>
      <c r="P36" s="1308" t="n"/>
      <c r="Q36" s="1307" t="n"/>
      <c r="R36" s="1307" t="n"/>
      <c r="S36" s="368" t="n"/>
      <c r="T36" s="368" t="n"/>
      <c r="U36" s="367" t="n"/>
    </row>
    <row r="37" ht="15" customFormat="1" customHeight="1" s="265">
      <c r="A37" s="364" t="n"/>
      <c r="B37" s="365" t="n"/>
      <c r="C37" s="366" t="n"/>
      <c r="D37" s="367" t="n"/>
      <c r="E37" s="367" t="n"/>
      <c r="F37" s="367" t="n"/>
      <c r="G37" s="368" t="n"/>
      <c r="H37" s="368" t="n"/>
      <c r="I37" s="1307" t="n"/>
      <c r="J37" s="1307" t="n"/>
      <c r="K37" s="1307" t="n"/>
      <c r="L37" s="1307" t="n"/>
      <c r="M37" s="1307" t="n"/>
      <c r="N37" s="1307" t="n"/>
      <c r="O37" s="1307" t="n"/>
      <c r="P37" s="1308" t="n"/>
      <c r="Q37" s="1307" t="n"/>
      <c r="R37" s="1307" t="n"/>
      <c r="S37" s="368" t="n"/>
      <c r="T37" s="368" t="n"/>
      <c r="U37" s="367" t="n"/>
    </row>
    <row r="38" ht="15" customFormat="1" customHeight="1" s="265">
      <c r="A38" s="364" t="n"/>
      <c r="B38" s="365" t="n"/>
      <c r="C38" s="366" t="n"/>
      <c r="D38" s="367" t="n"/>
      <c r="E38" s="367" t="n"/>
      <c r="F38" s="367" t="n"/>
      <c r="G38" s="368" t="n"/>
      <c r="H38" s="368" t="n"/>
      <c r="I38" s="1307" t="n"/>
      <c r="J38" s="1307" t="n"/>
      <c r="K38" s="1307" t="n"/>
      <c r="L38" s="1307" t="n"/>
      <c r="M38" s="1307" t="n"/>
      <c r="N38" s="1307" t="n"/>
      <c r="O38" s="1307" t="n"/>
      <c r="P38" s="1308" t="n"/>
      <c r="Q38" s="1307" t="n"/>
      <c r="R38" s="1307" t="n"/>
      <c r="S38" s="368" t="n"/>
      <c r="T38" s="368" t="n"/>
      <c r="U38" s="367" t="n"/>
    </row>
    <row r="39" ht="15" customFormat="1" customHeight="1" s="265">
      <c r="A39" s="364" t="n"/>
      <c r="B39" s="365" t="n"/>
      <c r="C39" s="366" t="n"/>
      <c r="D39" s="367" t="n"/>
      <c r="E39" s="367" t="n"/>
      <c r="F39" s="367" t="n"/>
      <c r="G39" s="368" t="n"/>
      <c r="H39" s="368" t="n"/>
      <c r="I39" s="1307" t="n"/>
      <c r="J39" s="1307" t="n"/>
      <c r="K39" s="1307" t="n"/>
      <c r="L39" s="1307" t="n"/>
      <c r="M39" s="1307" t="n"/>
      <c r="N39" s="1307" t="n"/>
      <c r="O39" s="1307" t="n"/>
      <c r="P39" s="1308" t="n"/>
      <c r="Q39" s="1307" t="n"/>
      <c r="R39" s="1307" t="n"/>
      <c r="S39" s="368" t="n"/>
      <c r="T39" s="368" t="n"/>
      <c r="U39" s="367" t="n"/>
    </row>
    <row r="40" ht="15" customFormat="1" customHeight="1" s="265">
      <c r="A40" s="364" t="n"/>
      <c r="B40" s="365" t="n"/>
      <c r="C40" s="366" t="n"/>
      <c r="D40" s="367" t="n"/>
      <c r="E40" s="367" t="n"/>
      <c r="F40" s="367" t="n"/>
      <c r="G40" s="368" t="n"/>
      <c r="H40" s="368" t="n"/>
      <c r="I40" s="1307" t="n"/>
      <c r="J40" s="1307" t="n"/>
      <c r="K40" s="1307" t="n"/>
      <c r="L40" s="1307" t="n"/>
      <c r="M40" s="1307" t="n"/>
      <c r="N40" s="1307" t="n"/>
      <c r="O40" s="1307" t="n"/>
      <c r="P40" s="1308" t="n"/>
      <c r="Q40" s="1307" t="n"/>
      <c r="R40" s="1307" t="n"/>
      <c r="S40" s="368" t="n"/>
      <c r="T40" s="368" t="n"/>
      <c r="U40" s="367" t="n"/>
    </row>
    <row r="41" ht="15" customFormat="1" customHeight="1" s="265">
      <c r="A41" s="364" t="n"/>
      <c r="B41" s="365" t="n"/>
      <c r="C41" s="366" t="n"/>
      <c r="D41" s="367" t="n"/>
      <c r="E41" s="367" t="n"/>
      <c r="F41" s="367" t="n"/>
      <c r="G41" s="368" t="n"/>
      <c r="H41" s="368" t="n"/>
      <c r="I41" s="1307" t="n"/>
      <c r="J41" s="1307" t="n"/>
      <c r="K41" s="1307" t="n"/>
      <c r="L41" s="1307" t="n"/>
      <c r="M41" s="1307" t="n"/>
      <c r="N41" s="1307" t="n"/>
      <c r="O41" s="1307" t="n"/>
      <c r="P41" s="1308" t="n"/>
      <c r="Q41" s="1307" t="n"/>
      <c r="R41" s="1307" t="n"/>
      <c r="S41" s="368" t="n"/>
      <c r="T41" s="368" t="n"/>
      <c r="U41" s="367" t="n"/>
    </row>
    <row r="42" ht="15" customFormat="1" customHeight="1" s="265">
      <c r="A42" s="364" t="n"/>
      <c r="B42" s="365" t="n"/>
      <c r="C42" s="366" t="n"/>
      <c r="D42" s="367" t="n"/>
      <c r="E42" s="367" t="n"/>
      <c r="F42" s="367" t="n"/>
      <c r="G42" s="368" t="n"/>
      <c r="H42" s="368" t="n"/>
      <c r="I42" s="1307" t="n"/>
      <c r="J42" s="1307" t="n"/>
      <c r="K42" s="1307" t="n"/>
      <c r="L42" s="1307" t="n"/>
      <c r="M42" s="1307" t="n"/>
      <c r="N42" s="1307" t="n"/>
      <c r="O42" s="1307" t="n"/>
      <c r="P42" s="1308" t="n"/>
      <c r="Q42" s="1307" t="n"/>
      <c r="R42" s="1307" t="n"/>
      <c r="S42" s="368" t="n"/>
      <c r="T42" s="368" t="n"/>
      <c r="U42" s="367" t="n"/>
    </row>
    <row r="43" ht="15" customFormat="1" customHeight="1" s="265">
      <c r="A43" s="364" t="n"/>
      <c r="B43" s="365" t="n"/>
      <c r="C43" s="366" t="n"/>
      <c r="D43" s="367" t="n"/>
      <c r="E43" s="367" t="n"/>
      <c r="F43" s="367" t="n"/>
      <c r="G43" s="368" t="n"/>
      <c r="H43" s="368" t="n"/>
      <c r="I43" s="1307" t="n"/>
      <c r="J43" s="1307" t="n"/>
      <c r="K43" s="1307" t="n"/>
      <c r="L43" s="1307" t="n"/>
      <c r="M43" s="1307" t="n"/>
      <c r="N43" s="1307" t="n"/>
      <c r="O43" s="1307" t="n"/>
      <c r="P43" s="1308" t="n"/>
      <c r="Q43" s="1307" t="n"/>
      <c r="R43" s="1307" t="n"/>
      <c r="S43" s="368" t="n"/>
      <c r="T43" s="368" t="n"/>
      <c r="U43" s="367" t="n"/>
    </row>
    <row r="44" ht="15" customFormat="1" customHeight="1" s="265">
      <c r="A44" s="364" t="n"/>
      <c r="B44" s="365" t="n"/>
      <c r="C44" s="366" t="n"/>
      <c r="D44" s="367" t="n"/>
      <c r="E44" s="367" t="n"/>
      <c r="F44" s="367" t="n"/>
      <c r="G44" s="368" t="n"/>
      <c r="H44" s="368" t="n"/>
      <c r="I44" s="1307" t="n"/>
      <c r="J44" s="1307" t="n"/>
      <c r="K44" s="1307" t="n"/>
      <c r="L44" s="1307" t="n"/>
      <c r="M44" s="1307" t="n"/>
      <c r="N44" s="1307" t="n"/>
      <c r="O44" s="1307" t="n"/>
      <c r="P44" s="1308" t="n"/>
      <c r="Q44" s="1307" t="n"/>
      <c r="R44" s="1307" t="n"/>
      <c r="S44" s="368" t="n"/>
      <c r="T44" s="368" t="n"/>
      <c r="U44" s="367" t="n"/>
    </row>
    <row r="45" ht="15" customFormat="1" customHeight="1" s="265">
      <c r="A45" s="364" t="n"/>
      <c r="B45" s="365" t="n"/>
      <c r="C45" s="366" t="n"/>
      <c r="D45" s="367" t="n"/>
      <c r="E45" s="367" t="n"/>
      <c r="F45" s="367" t="n"/>
      <c r="G45" s="368" t="n"/>
      <c r="H45" s="368" t="n"/>
      <c r="I45" s="1307" t="n"/>
      <c r="J45" s="1307" t="n"/>
      <c r="K45" s="1307" t="n"/>
      <c r="L45" s="1307" t="n"/>
      <c r="M45" s="1307" t="n"/>
      <c r="N45" s="1307" t="n"/>
      <c r="O45" s="1307" t="n"/>
      <c r="P45" s="1308" t="n"/>
      <c r="Q45" s="1307" t="n"/>
      <c r="R45" s="1307" t="n"/>
      <c r="S45" s="368" t="n"/>
      <c r="T45" s="368" t="n"/>
      <c r="U45" s="367" t="n"/>
    </row>
    <row r="46" ht="15" customFormat="1" customHeight="1" s="265">
      <c r="A46" s="364" t="n"/>
      <c r="B46" s="365" t="n"/>
      <c r="C46" s="366" t="n"/>
      <c r="D46" s="367" t="n"/>
      <c r="E46" s="367" t="n"/>
      <c r="F46" s="367" t="n"/>
      <c r="G46" s="368" t="n"/>
      <c r="H46" s="368" t="n"/>
      <c r="I46" s="1307" t="n"/>
      <c r="J46" s="1307" t="n"/>
      <c r="K46" s="1307" t="n"/>
      <c r="L46" s="1307" t="n"/>
      <c r="M46" s="1307" t="n"/>
      <c r="N46" s="1307" t="n"/>
      <c r="O46" s="1307" t="n"/>
      <c r="P46" s="1308" t="n"/>
      <c r="Q46" s="1307" t="n"/>
      <c r="R46" s="1307" t="n"/>
      <c r="S46" s="368" t="n"/>
      <c r="T46" s="368" t="n"/>
      <c r="U46" s="367" t="n"/>
    </row>
    <row r="47" ht="15" customFormat="1" customHeight="1" s="265">
      <c r="A47" s="364" t="n"/>
      <c r="B47" s="365" t="n"/>
      <c r="C47" s="366" t="n"/>
      <c r="D47" s="367" t="n"/>
      <c r="E47" s="367" t="n"/>
      <c r="F47" s="367" t="n"/>
      <c r="G47" s="368" t="n"/>
      <c r="H47" s="368" t="n"/>
      <c r="I47" s="1307" t="n"/>
      <c r="J47" s="1307" t="n"/>
      <c r="K47" s="1307" t="n"/>
      <c r="L47" s="1307" t="n"/>
      <c r="M47" s="1307" t="n"/>
      <c r="N47" s="1307" t="n"/>
      <c r="O47" s="1307" t="n"/>
      <c r="P47" s="1308" t="n"/>
      <c r="Q47" s="1307" t="n"/>
      <c r="R47" s="1307" t="n"/>
      <c r="S47" s="368" t="n"/>
      <c r="T47" s="368" t="n"/>
      <c r="U47" s="367" t="n"/>
    </row>
    <row r="48" ht="15" customFormat="1" customHeight="1" s="265">
      <c r="A48" s="364" t="n"/>
      <c r="B48" s="365" t="n"/>
      <c r="C48" s="366" t="n"/>
      <c r="D48" s="367" t="n"/>
      <c r="E48" s="367" t="n"/>
      <c r="F48" s="367" t="n"/>
      <c r="G48" s="368" t="n"/>
      <c r="H48" s="368" t="n"/>
      <c r="I48" s="1307" t="n"/>
      <c r="J48" s="1307" t="n"/>
      <c r="K48" s="1307" t="n"/>
      <c r="L48" s="1307" t="n"/>
      <c r="M48" s="1307" t="n"/>
      <c r="N48" s="1307" t="n"/>
      <c r="O48" s="1307" t="n"/>
      <c r="P48" s="1308" t="n"/>
      <c r="Q48" s="1307" t="n"/>
      <c r="R48" s="1307" t="n"/>
      <c r="S48" s="368" t="n"/>
      <c r="T48" s="368" t="n"/>
      <c r="U48" s="367" t="n"/>
    </row>
    <row r="49" ht="15" customFormat="1" customHeight="1" s="265">
      <c r="A49" s="364" t="n"/>
      <c r="B49" s="365" t="n"/>
      <c r="C49" s="366" t="n"/>
      <c r="D49" s="367" t="n"/>
      <c r="E49" s="367" t="n"/>
      <c r="F49" s="367" t="n"/>
      <c r="G49" s="368" t="n"/>
      <c r="H49" s="368" t="n"/>
      <c r="I49" s="1307" t="n"/>
      <c r="J49" s="1307" t="n"/>
      <c r="K49" s="1307" t="n"/>
      <c r="L49" s="1307" t="n"/>
      <c r="M49" s="1307" t="n"/>
      <c r="N49" s="1307" t="n"/>
      <c r="O49" s="1307" t="n"/>
      <c r="P49" s="1308" t="n"/>
      <c r="Q49" s="1307" t="n"/>
      <c r="R49" s="1307" t="n"/>
      <c r="S49" s="368" t="n"/>
      <c r="T49" s="368" t="n"/>
      <c r="U49" s="367" t="n"/>
    </row>
    <row r="50" ht="15" customFormat="1" customHeight="1" s="265">
      <c r="A50" s="364" t="n"/>
      <c r="B50" s="365" t="n"/>
      <c r="C50" s="366" t="n"/>
      <c r="D50" s="367" t="n"/>
      <c r="E50" s="367" t="n"/>
      <c r="F50" s="367" t="n"/>
      <c r="G50" s="368" t="n"/>
      <c r="H50" s="368" t="n"/>
      <c r="I50" s="1307" t="n"/>
      <c r="J50" s="1307" t="n"/>
      <c r="K50" s="1307" t="n"/>
      <c r="L50" s="1307" t="n"/>
      <c r="M50" s="1307" t="n"/>
      <c r="N50" s="1307" t="n"/>
      <c r="O50" s="1307" t="n"/>
      <c r="P50" s="1308" t="n"/>
      <c r="Q50" s="1307" t="n"/>
      <c r="R50" s="1307" t="n"/>
      <c r="S50" s="368" t="n"/>
      <c r="T50" s="368" t="n"/>
      <c r="U50" s="367" t="n"/>
    </row>
    <row r="51" ht="15" customFormat="1" customHeight="1" s="265">
      <c r="A51" s="364" t="n"/>
      <c r="B51" s="365" t="n"/>
      <c r="C51" s="366" t="n"/>
      <c r="D51" s="367" t="n"/>
      <c r="E51" s="367" t="n"/>
      <c r="F51" s="367" t="n"/>
      <c r="G51" s="368" t="n"/>
      <c r="H51" s="368" t="n"/>
      <c r="I51" s="1307" t="n"/>
      <c r="J51" s="1307" t="n"/>
      <c r="K51" s="1307" t="n"/>
      <c r="L51" s="1307" t="n"/>
      <c r="M51" s="1307" t="n"/>
      <c r="N51" s="1307" t="n"/>
      <c r="O51" s="1307" t="n"/>
      <c r="P51" s="1308" t="n"/>
      <c r="Q51" s="1307" t="n"/>
      <c r="R51" s="1307" t="n"/>
      <c r="S51" s="368" t="n"/>
      <c r="T51" s="368" t="n"/>
      <c r="U51" s="367" t="n"/>
    </row>
    <row r="52" ht="15" customFormat="1" customHeight="1" s="265">
      <c r="A52" s="364" t="n"/>
      <c r="B52" s="365" t="n"/>
      <c r="C52" s="366" t="n"/>
      <c r="D52" s="367" t="n"/>
      <c r="E52" s="367" t="n"/>
      <c r="F52" s="367" t="n"/>
      <c r="G52" s="368" t="n"/>
      <c r="H52" s="368" t="n"/>
      <c r="I52" s="1307" t="n"/>
      <c r="J52" s="1307" t="n"/>
      <c r="K52" s="1307" t="n"/>
      <c r="L52" s="1307" t="n"/>
      <c r="M52" s="1307" t="n"/>
      <c r="N52" s="1307" t="n"/>
      <c r="O52" s="1307" t="n"/>
      <c r="P52" s="1308" t="n"/>
      <c r="Q52" s="1307" t="n"/>
      <c r="R52" s="1307" t="n"/>
      <c r="S52" s="368" t="n"/>
      <c r="T52" s="368" t="n"/>
      <c r="U52" s="367" t="n"/>
    </row>
    <row r="53" ht="15" customFormat="1" customHeight="1" s="265">
      <c r="A53" s="364" t="n"/>
      <c r="B53" s="365" t="n"/>
      <c r="C53" s="366" t="n"/>
      <c r="D53" s="367" t="n"/>
      <c r="E53" s="367" t="n"/>
      <c r="F53" s="367" t="n"/>
      <c r="G53" s="368" t="n"/>
      <c r="H53" s="368" t="n"/>
      <c r="I53" s="1307" t="n"/>
      <c r="J53" s="1307" t="n"/>
      <c r="K53" s="1307" t="n"/>
      <c r="L53" s="1307" t="n"/>
      <c r="M53" s="1307" t="n"/>
      <c r="N53" s="1307" t="n"/>
      <c r="O53" s="1307" t="n"/>
      <c r="P53" s="1308" t="n"/>
      <c r="Q53" s="1307" t="n"/>
      <c r="R53" s="1307" t="n"/>
      <c r="S53" s="368" t="n"/>
      <c r="T53" s="368" t="n"/>
      <c r="U53" s="367" t="n"/>
    </row>
    <row r="54" ht="15" customFormat="1" customHeight="1" s="265">
      <c r="A54" s="364" t="n"/>
      <c r="B54" s="365" t="n"/>
      <c r="C54" s="366" t="n"/>
      <c r="D54" s="367" t="n"/>
      <c r="E54" s="367" t="n"/>
      <c r="F54" s="367" t="n"/>
      <c r="G54" s="368" t="n"/>
      <c r="H54" s="368" t="n"/>
      <c r="I54" s="1307" t="n"/>
      <c r="J54" s="1307" t="n"/>
      <c r="K54" s="1307" t="n"/>
      <c r="L54" s="1307" t="n"/>
      <c r="M54" s="1307" t="n"/>
      <c r="N54" s="1307" t="n"/>
      <c r="O54" s="1307" t="n"/>
      <c r="P54" s="1308" t="n"/>
      <c r="Q54" s="1307" t="n"/>
      <c r="R54" s="1307" t="n"/>
      <c r="S54" s="368" t="n"/>
      <c r="T54" s="368" t="n"/>
      <c r="U54" s="367" t="n"/>
    </row>
    <row r="55" ht="15" customFormat="1" customHeight="1" s="265">
      <c r="A55" s="364" t="n"/>
      <c r="B55" s="365" t="n"/>
      <c r="C55" s="366" t="n"/>
      <c r="D55" s="367" t="n"/>
      <c r="E55" s="367" t="n"/>
      <c r="F55" s="367" t="n"/>
      <c r="G55" s="368" t="n"/>
      <c r="H55" s="368" t="n"/>
      <c r="I55" s="1307" t="n"/>
      <c r="J55" s="1307" t="n"/>
      <c r="K55" s="1307" t="n"/>
      <c r="L55" s="1307" t="n"/>
      <c r="M55" s="1307" t="n"/>
      <c r="N55" s="1307" t="n"/>
      <c r="O55" s="1307" t="n"/>
      <c r="P55" s="1308" t="n"/>
      <c r="Q55" s="1307" t="n"/>
      <c r="R55" s="1307" t="n"/>
      <c r="S55" s="368" t="n"/>
      <c r="T55" s="368" t="n"/>
      <c r="U55" s="367" t="n"/>
    </row>
    <row r="56" ht="15" customFormat="1" customHeight="1" s="265">
      <c r="A56" s="364" t="n"/>
      <c r="B56" s="365" t="n"/>
      <c r="C56" s="366" t="n"/>
      <c r="D56" s="367" t="n"/>
      <c r="E56" s="367" t="n"/>
      <c r="F56" s="367" t="n"/>
      <c r="G56" s="368" t="n"/>
      <c r="H56" s="368" t="n"/>
      <c r="I56" s="1307" t="n"/>
      <c r="J56" s="1307" t="n"/>
      <c r="K56" s="1307" t="n"/>
      <c r="L56" s="1307" t="n"/>
      <c r="M56" s="1307" t="n"/>
      <c r="N56" s="1307" t="n"/>
      <c r="O56" s="1307" t="n"/>
      <c r="P56" s="1308" t="n"/>
      <c r="Q56" s="1307" t="n"/>
      <c r="R56" s="1307" t="n"/>
      <c r="S56" s="368" t="n"/>
      <c r="T56" s="368" t="n"/>
      <c r="U56" s="367" t="n"/>
    </row>
    <row r="57" ht="15" customFormat="1" customHeight="1" s="265">
      <c r="A57" s="364" t="n"/>
      <c r="B57" s="365" t="n"/>
      <c r="C57" s="366" t="n"/>
      <c r="D57" s="367" t="n"/>
      <c r="E57" s="367" t="n"/>
      <c r="F57" s="367" t="n"/>
      <c r="G57" s="368" t="n"/>
      <c r="H57" s="368" t="n"/>
      <c r="I57" s="1307" t="n"/>
      <c r="J57" s="1307" t="n"/>
      <c r="K57" s="1307" t="n"/>
      <c r="L57" s="1307" t="n"/>
      <c r="M57" s="1307" t="n"/>
      <c r="N57" s="1307" t="n"/>
      <c r="O57" s="1307" t="n"/>
      <c r="P57" s="1308" t="n"/>
      <c r="Q57" s="1307" t="n"/>
      <c r="R57" s="1307" t="n"/>
      <c r="S57" s="368" t="n"/>
      <c r="T57" s="368" t="n"/>
      <c r="U57" s="367" t="n"/>
    </row>
    <row r="58" ht="15" customFormat="1" customHeight="1" s="265">
      <c r="A58" s="364" t="n"/>
      <c r="B58" s="365" t="n"/>
      <c r="C58" s="366" t="n"/>
      <c r="D58" s="367" t="n"/>
      <c r="E58" s="367" t="n"/>
      <c r="F58" s="367" t="n"/>
      <c r="G58" s="368" t="n"/>
      <c r="H58" s="368" t="n"/>
      <c r="I58" s="1307" t="n"/>
      <c r="J58" s="1307" t="n"/>
      <c r="K58" s="1307" t="n"/>
      <c r="L58" s="1307" t="n"/>
      <c r="M58" s="1307" t="n"/>
      <c r="N58" s="1307" t="n"/>
      <c r="O58" s="1307" t="n"/>
      <c r="P58" s="1308" t="n"/>
      <c r="Q58" s="1307" t="n"/>
      <c r="R58" s="1307" t="n"/>
      <c r="S58" s="368" t="n"/>
      <c r="T58" s="368" t="n"/>
      <c r="U58" s="367" t="n"/>
    </row>
    <row r="59" ht="15" customFormat="1" customHeight="1" s="265">
      <c r="A59" s="364" t="n"/>
      <c r="B59" s="365" t="n"/>
      <c r="C59" s="366" t="n"/>
      <c r="D59" s="367" t="n"/>
      <c r="E59" s="367" t="n"/>
      <c r="F59" s="367" t="n"/>
      <c r="G59" s="368" t="n"/>
      <c r="H59" s="368" t="n"/>
      <c r="I59" s="1307" t="n"/>
      <c r="J59" s="1307" t="n"/>
      <c r="K59" s="1307" t="n"/>
      <c r="L59" s="1307" t="n"/>
      <c r="M59" s="1307" t="n"/>
      <c r="N59" s="1307" t="n"/>
      <c r="O59" s="1307" t="n"/>
      <c r="P59" s="1308" t="n"/>
      <c r="Q59" s="1307" t="n"/>
      <c r="R59" s="1307" t="n"/>
      <c r="S59" s="368" t="n"/>
      <c r="T59" s="368" t="n"/>
      <c r="U59" s="367" t="n"/>
    </row>
    <row r="60" ht="15" customFormat="1" customHeight="1" s="265">
      <c r="A60" s="364" t="n"/>
      <c r="B60" s="365" t="n"/>
      <c r="C60" s="366" t="n"/>
      <c r="D60" s="367" t="n"/>
      <c r="E60" s="367" t="n"/>
      <c r="F60" s="367" t="n"/>
      <c r="G60" s="368" t="n"/>
      <c r="H60" s="368" t="n"/>
      <c r="I60" s="1307" t="n"/>
      <c r="J60" s="1307" t="n"/>
      <c r="K60" s="1307" t="n"/>
      <c r="L60" s="1307" t="n"/>
      <c r="M60" s="1307" t="n"/>
      <c r="N60" s="1307" t="n"/>
      <c r="O60" s="1307" t="n"/>
      <c r="P60" s="1308" t="n"/>
      <c r="Q60" s="1307" t="n"/>
      <c r="R60" s="1307" t="n"/>
      <c r="S60" s="368" t="n"/>
      <c r="T60" s="368" t="n"/>
      <c r="U60" s="367" t="n"/>
    </row>
    <row r="61" ht="15" customFormat="1" customHeight="1" s="265">
      <c r="A61" s="364" t="n"/>
      <c r="B61" s="365" t="n"/>
      <c r="C61" s="366" t="n"/>
      <c r="D61" s="367" t="n"/>
      <c r="E61" s="367" t="n"/>
      <c r="F61" s="367" t="n"/>
      <c r="G61" s="368" t="n"/>
      <c r="H61" s="368" t="n"/>
      <c r="I61" s="1307" t="n"/>
      <c r="J61" s="1307" t="n"/>
      <c r="K61" s="1307" t="n"/>
      <c r="L61" s="1307" t="n"/>
      <c r="M61" s="1307" t="n"/>
      <c r="N61" s="1307" t="n"/>
      <c r="O61" s="1307" t="n"/>
      <c r="P61" s="1308" t="n"/>
      <c r="Q61" s="1307" t="n"/>
      <c r="R61" s="1307" t="n"/>
      <c r="S61" s="368" t="n"/>
      <c r="T61" s="368" t="n"/>
      <c r="U61" s="367" t="n"/>
    </row>
    <row r="62" ht="15" customFormat="1" customHeight="1" s="265">
      <c r="A62" s="364" t="n"/>
      <c r="B62" s="365" t="n"/>
      <c r="C62" s="366" t="n"/>
      <c r="D62" s="367" t="n"/>
      <c r="E62" s="367" t="n"/>
      <c r="F62" s="367" t="n"/>
      <c r="G62" s="368" t="n"/>
      <c r="H62" s="368" t="n"/>
      <c r="I62" s="1307" t="n"/>
      <c r="J62" s="1307" t="n"/>
      <c r="K62" s="1307" t="n"/>
      <c r="L62" s="1307" t="n"/>
      <c r="M62" s="1307" t="n"/>
      <c r="N62" s="1307" t="n"/>
      <c r="O62" s="1307" t="n"/>
      <c r="P62" s="1308" t="n"/>
      <c r="Q62" s="1307" t="n"/>
      <c r="R62" s="1307" t="n"/>
      <c r="S62" s="368" t="n"/>
      <c r="T62" s="368" t="n"/>
      <c r="U62" s="367" t="n"/>
    </row>
    <row r="63" ht="15" customFormat="1" customHeight="1" s="265">
      <c r="A63" s="364" t="n"/>
      <c r="B63" s="365" t="n"/>
      <c r="C63" s="366" t="n"/>
      <c r="D63" s="367" t="n"/>
      <c r="E63" s="367" t="n"/>
      <c r="F63" s="367" t="n"/>
      <c r="G63" s="368" t="n"/>
      <c r="H63" s="368" t="n"/>
      <c r="I63" s="1307" t="n"/>
      <c r="J63" s="1307" t="n"/>
      <c r="K63" s="1307" t="n"/>
      <c r="L63" s="1307" t="n"/>
      <c r="M63" s="1307" t="n"/>
      <c r="N63" s="1307" t="n"/>
      <c r="O63" s="1307" t="n"/>
      <c r="P63" s="1308" t="n"/>
      <c r="Q63" s="1307" t="n"/>
      <c r="R63" s="1307" t="n"/>
      <c r="S63" s="368" t="n"/>
      <c r="T63" s="368" t="n"/>
      <c r="U63" s="367" t="n"/>
    </row>
    <row r="64" ht="15" customFormat="1" customHeight="1" s="265">
      <c r="A64" s="364" t="n"/>
      <c r="B64" s="365" t="n"/>
      <c r="C64" s="366" t="n"/>
      <c r="D64" s="367" t="n"/>
      <c r="E64" s="367" t="n"/>
      <c r="F64" s="367" t="n"/>
      <c r="G64" s="368" t="n"/>
      <c r="H64" s="368" t="n"/>
      <c r="I64" s="1307" t="n"/>
      <c r="J64" s="1307" t="n"/>
      <c r="K64" s="1307" t="n"/>
      <c r="L64" s="1307" t="n"/>
      <c r="M64" s="1307" t="n"/>
      <c r="N64" s="1307" t="n"/>
      <c r="O64" s="1307" t="n"/>
      <c r="P64" s="1308" t="n"/>
      <c r="Q64" s="1307" t="n"/>
      <c r="R64" s="1307" t="n"/>
      <c r="S64" s="368" t="n"/>
      <c r="T64" s="368" t="n"/>
      <c r="U64" s="367" t="n"/>
    </row>
    <row r="65" ht="15" customFormat="1" customHeight="1" s="265">
      <c r="A65" s="364" t="n"/>
      <c r="B65" s="365" t="n"/>
      <c r="C65" s="366" t="n"/>
      <c r="D65" s="367" t="n"/>
      <c r="E65" s="367" t="n"/>
      <c r="F65" s="367" t="n"/>
      <c r="G65" s="368" t="n"/>
      <c r="H65" s="368" t="n"/>
      <c r="I65" s="1307" t="n"/>
      <c r="J65" s="1307" t="n"/>
      <c r="K65" s="1307" t="n"/>
      <c r="L65" s="1307" t="n"/>
      <c r="M65" s="1307" t="n"/>
      <c r="N65" s="1307" t="n"/>
      <c r="O65" s="1307" t="n"/>
      <c r="P65" s="1308" t="n"/>
      <c r="Q65" s="1307" t="n"/>
      <c r="R65" s="1307" t="n"/>
      <c r="S65" s="368" t="n"/>
      <c r="T65" s="368" t="n"/>
      <c r="U65" s="367" t="n"/>
    </row>
    <row r="66" ht="15" customFormat="1" customHeight="1" s="265">
      <c r="A66" s="364" t="n"/>
      <c r="B66" s="365" t="n"/>
      <c r="C66" s="366" t="n"/>
      <c r="D66" s="367" t="n"/>
      <c r="E66" s="367" t="n"/>
      <c r="F66" s="367" t="n"/>
      <c r="G66" s="368" t="n"/>
      <c r="H66" s="368" t="n"/>
      <c r="I66" s="1307" t="n"/>
      <c r="J66" s="1307" t="n"/>
      <c r="K66" s="1307" t="n"/>
      <c r="L66" s="1307" t="n"/>
      <c r="M66" s="1307" t="n"/>
      <c r="N66" s="1307" t="n"/>
      <c r="O66" s="1307" t="n"/>
      <c r="P66" s="1308" t="n"/>
      <c r="Q66" s="1307" t="n"/>
      <c r="R66" s="1307" t="n"/>
      <c r="S66" s="368" t="n"/>
      <c r="T66" s="368" t="n"/>
      <c r="U66" s="367" t="n"/>
    </row>
    <row r="67" ht="15" customFormat="1" customHeight="1" s="265">
      <c r="A67" s="364" t="n"/>
      <c r="B67" s="365" t="n"/>
      <c r="C67" s="366" t="n"/>
      <c r="D67" s="367" t="n"/>
      <c r="E67" s="367" t="n"/>
      <c r="F67" s="367" t="n"/>
      <c r="G67" s="368" t="n"/>
      <c r="H67" s="368" t="n"/>
      <c r="I67" s="1307" t="n"/>
      <c r="J67" s="1307" t="n"/>
      <c r="K67" s="1307" t="n"/>
      <c r="L67" s="1307" t="n"/>
      <c r="M67" s="1307" t="n"/>
      <c r="N67" s="1307" t="n"/>
      <c r="O67" s="1307" t="n"/>
      <c r="P67" s="1308" t="n"/>
      <c r="Q67" s="1307" t="n"/>
      <c r="R67" s="1307" t="n"/>
      <c r="S67" s="368" t="n"/>
      <c r="T67" s="368" t="n"/>
      <c r="U67" s="367" t="n"/>
    </row>
    <row r="68" ht="15" customFormat="1" customHeight="1" s="265">
      <c r="A68" s="364" t="n"/>
      <c r="B68" s="365" t="n"/>
      <c r="C68" s="366" t="n"/>
      <c r="D68" s="367" t="n"/>
      <c r="E68" s="367" t="n"/>
      <c r="F68" s="367" t="n"/>
      <c r="G68" s="368" t="n"/>
      <c r="H68" s="368" t="n"/>
      <c r="I68" s="1307" t="n"/>
      <c r="J68" s="1307" t="n"/>
      <c r="K68" s="1307" t="n"/>
      <c r="L68" s="1307" t="n"/>
      <c r="M68" s="1307" t="n"/>
      <c r="N68" s="1307" t="n"/>
      <c r="O68" s="1307" t="n"/>
      <c r="P68" s="1308" t="n"/>
      <c r="Q68" s="1307" t="n"/>
      <c r="R68" s="1307" t="n"/>
      <c r="S68" s="368" t="n"/>
      <c r="T68" s="368" t="n"/>
      <c r="U68" s="367" t="n"/>
    </row>
    <row r="69" ht="15" customFormat="1" customHeight="1" s="265">
      <c r="A69" s="364" t="n"/>
      <c r="B69" s="365" t="n"/>
      <c r="C69" s="366" t="n"/>
      <c r="D69" s="367" t="n"/>
      <c r="E69" s="367" t="n"/>
      <c r="F69" s="367" t="n"/>
      <c r="G69" s="368" t="n"/>
      <c r="H69" s="368" t="n"/>
      <c r="I69" s="1307" t="n"/>
      <c r="J69" s="1307" t="n"/>
      <c r="K69" s="1307" t="n"/>
      <c r="L69" s="1307" t="n"/>
      <c r="M69" s="1307" t="n"/>
      <c r="N69" s="1307" t="n"/>
      <c r="O69" s="1307" t="n"/>
      <c r="P69" s="1308" t="n"/>
      <c r="Q69" s="1307" t="n"/>
      <c r="R69" s="1307" t="n"/>
      <c r="S69" s="368" t="n"/>
      <c r="T69" s="368" t="n"/>
      <c r="U69" s="367" t="n"/>
    </row>
    <row r="70" ht="15" customFormat="1" customHeight="1" s="265">
      <c r="A70" s="364" t="n"/>
      <c r="B70" s="365" t="n"/>
      <c r="C70" s="366" t="n"/>
      <c r="D70" s="367" t="n"/>
      <c r="E70" s="367" t="n"/>
      <c r="F70" s="367" t="n"/>
      <c r="G70" s="368" t="n"/>
      <c r="H70" s="368" t="n"/>
      <c r="I70" s="1307" t="n"/>
      <c r="J70" s="1307" t="n"/>
      <c r="K70" s="1307" t="n"/>
      <c r="L70" s="1307" t="n"/>
      <c r="M70" s="1307" t="n"/>
      <c r="N70" s="1307" t="n"/>
      <c r="O70" s="1307" t="n"/>
      <c r="P70" s="1308" t="n"/>
      <c r="Q70" s="1307" t="n"/>
      <c r="R70" s="1307" t="n"/>
      <c r="S70" s="368" t="n"/>
      <c r="T70" s="368" t="n"/>
      <c r="U70" s="367" t="n"/>
    </row>
    <row r="71" ht="15" customFormat="1" customHeight="1" s="265">
      <c r="A71" s="364" t="n"/>
      <c r="B71" s="365" t="n"/>
      <c r="C71" s="366" t="n"/>
      <c r="D71" s="367" t="n"/>
      <c r="E71" s="367" t="n"/>
      <c r="F71" s="367" t="n"/>
      <c r="G71" s="368" t="n"/>
      <c r="H71" s="368" t="n"/>
      <c r="I71" s="1307" t="n"/>
      <c r="J71" s="1307" t="n"/>
      <c r="K71" s="1307" t="n"/>
      <c r="L71" s="1307" t="n"/>
      <c r="M71" s="1307" t="n"/>
      <c r="N71" s="1307" t="n"/>
      <c r="O71" s="1307" t="n"/>
      <c r="P71" s="1308" t="n"/>
      <c r="Q71" s="1307" t="n"/>
      <c r="R71" s="1307" t="n"/>
      <c r="S71" s="368" t="n"/>
      <c r="T71" s="368" t="n"/>
      <c r="U71" s="367" t="n"/>
    </row>
    <row r="72" ht="15" customFormat="1" customHeight="1" s="265">
      <c r="A72" s="364" t="n"/>
      <c r="B72" s="365" t="n"/>
      <c r="C72" s="366" t="n"/>
      <c r="D72" s="367" t="n"/>
      <c r="E72" s="367" t="n"/>
      <c r="F72" s="367" t="n"/>
      <c r="G72" s="368" t="n"/>
      <c r="H72" s="368" t="n"/>
      <c r="I72" s="1307" t="n"/>
      <c r="J72" s="1307" t="n"/>
      <c r="K72" s="1307" t="n"/>
      <c r="L72" s="1307" t="n"/>
      <c r="M72" s="1307" t="n"/>
      <c r="N72" s="1307" t="n"/>
      <c r="O72" s="1307" t="n"/>
      <c r="P72" s="1308" t="n"/>
      <c r="Q72" s="1307" t="n"/>
      <c r="R72" s="1307" t="n"/>
      <c r="S72" s="368" t="n"/>
      <c r="T72" s="368" t="n"/>
      <c r="U72" s="367" t="n"/>
    </row>
    <row r="73" ht="15" customFormat="1" customHeight="1" s="265">
      <c r="A73" s="364" t="n"/>
      <c r="B73" s="365" t="n"/>
      <c r="C73" s="366" t="n"/>
      <c r="D73" s="367" t="n"/>
      <c r="E73" s="367" t="n"/>
      <c r="F73" s="367" t="n"/>
      <c r="G73" s="368" t="n"/>
      <c r="H73" s="368" t="n"/>
      <c r="I73" s="1307" t="n"/>
      <c r="J73" s="1307" t="n"/>
      <c r="K73" s="1307" t="n"/>
      <c r="L73" s="1307" t="n"/>
      <c r="M73" s="1307" t="n"/>
      <c r="N73" s="1307" t="n"/>
      <c r="O73" s="1307" t="n"/>
      <c r="P73" s="1308" t="n"/>
      <c r="Q73" s="1307" t="n"/>
      <c r="R73" s="1307" t="n"/>
      <c r="S73" s="368" t="n"/>
      <c r="T73" s="368" t="n"/>
      <c r="U73" s="367" t="n"/>
    </row>
    <row r="74" ht="15" customFormat="1" customHeight="1" s="265">
      <c r="A74" s="364" t="n"/>
      <c r="B74" s="365" t="n"/>
      <c r="C74" s="366" t="n"/>
      <c r="D74" s="367" t="n"/>
      <c r="E74" s="367" t="n"/>
      <c r="F74" s="367" t="n"/>
      <c r="G74" s="368" t="n"/>
      <c r="H74" s="368" t="n"/>
      <c r="I74" s="1307" t="n"/>
      <c r="J74" s="1307" t="n"/>
      <c r="K74" s="1307" t="n"/>
      <c r="L74" s="1307" t="n"/>
      <c r="M74" s="1307" t="n"/>
      <c r="N74" s="1307" t="n"/>
      <c r="O74" s="1307" t="n"/>
      <c r="P74" s="1308" t="n"/>
      <c r="Q74" s="1307" t="n"/>
      <c r="R74" s="1307" t="n"/>
      <c r="S74" s="368" t="n"/>
      <c r="T74" s="368" t="n"/>
      <c r="U74" s="367" t="n"/>
    </row>
    <row r="75" ht="15" customFormat="1" customHeight="1" s="265">
      <c r="A75" s="364" t="n"/>
      <c r="B75" s="365" t="n"/>
      <c r="C75" s="366" t="n"/>
      <c r="D75" s="367" t="n"/>
      <c r="E75" s="367" t="n"/>
      <c r="F75" s="367" t="n"/>
      <c r="G75" s="368" t="n"/>
      <c r="H75" s="368" t="n"/>
      <c r="I75" s="1307" t="n"/>
      <c r="J75" s="1307" t="n"/>
      <c r="K75" s="1307" t="n"/>
      <c r="L75" s="1307" t="n"/>
      <c r="M75" s="1307" t="n"/>
      <c r="N75" s="1307" t="n"/>
      <c r="O75" s="1307" t="n"/>
      <c r="P75" s="1308" t="n"/>
      <c r="Q75" s="1307" t="n"/>
      <c r="R75" s="1307" t="n"/>
      <c r="S75" s="368" t="n"/>
      <c r="T75" s="368" t="n"/>
      <c r="U75" s="367" t="n"/>
    </row>
    <row r="76" ht="15" customFormat="1" customHeight="1" s="265">
      <c r="A76" s="364" t="n"/>
      <c r="B76" s="365" t="n"/>
      <c r="C76" s="366" t="n"/>
      <c r="D76" s="367" t="n"/>
      <c r="E76" s="367" t="n"/>
      <c r="F76" s="367" t="n"/>
      <c r="G76" s="368" t="n"/>
      <c r="H76" s="368" t="n"/>
      <c r="I76" s="1307" t="n"/>
      <c r="J76" s="1307" t="n"/>
      <c r="K76" s="1307" t="n"/>
      <c r="L76" s="1307" t="n"/>
      <c r="M76" s="1307" t="n"/>
      <c r="N76" s="1307" t="n"/>
      <c r="O76" s="1307" t="n"/>
      <c r="P76" s="1308" t="n"/>
      <c r="Q76" s="1307" t="n"/>
      <c r="R76" s="1307" t="n"/>
      <c r="S76" s="368" t="n"/>
      <c r="T76" s="368" t="n"/>
      <c r="U76" s="367" t="n"/>
    </row>
    <row r="77" ht="15" customFormat="1" customHeight="1" s="265">
      <c r="A77" s="364" t="n"/>
      <c r="B77" s="365" t="n"/>
      <c r="C77" s="366" t="n"/>
      <c r="D77" s="367" t="n"/>
      <c r="E77" s="367" t="n"/>
      <c r="F77" s="367" t="n"/>
      <c r="G77" s="368" t="n"/>
      <c r="H77" s="368" t="n"/>
      <c r="I77" s="1307" t="n"/>
      <c r="J77" s="1307" t="n"/>
      <c r="K77" s="1307" t="n"/>
      <c r="L77" s="1307" t="n"/>
      <c r="M77" s="1307" t="n"/>
      <c r="N77" s="1307" t="n"/>
      <c r="O77" s="1307" t="n"/>
      <c r="P77" s="1308" t="n"/>
      <c r="Q77" s="1307" t="n"/>
      <c r="R77" s="1307" t="n"/>
      <c r="S77" s="368" t="n"/>
      <c r="T77" s="368" t="n"/>
      <c r="U77" s="367" t="n"/>
    </row>
    <row r="78" ht="15" customFormat="1" customHeight="1" s="265">
      <c r="A78" s="364" t="n"/>
      <c r="B78" s="365" t="n"/>
      <c r="C78" s="366" t="n"/>
      <c r="D78" s="367" t="n"/>
      <c r="E78" s="367" t="n"/>
      <c r="F78" s="367" t="n"/>
      <c r="G78" s="368" t="n"/>
      <c r="H78" s="368" t="n"/>
      <c r="I78" s="1307" t="n"/>
      <c r="J78" s="1307" t="n"/>
      <c r="K78" s="1307" t="n"/>
      <c r="L78" s="1307" t="n"/>
      <c r="M78" s="1307" t="n"/>
      <c r="N78" s="1307" t="n"/>
      <c r="O78" s="1307" t="n"/>
      <c r="P78" s="1308" t="n"/>
      <c r="Q78" s="1307" t="n"/>
      <c r="R78" s="1307" t="n"/>
      <c r="S78" s="368" t="n"/>
      <c r="T78" s="368" t="n"/>
      <c r="U78" s="367" t="n"/>
    </row>
    <row r="79" ht="15" customFormat="1" customHeight="1" s="265">
      <c r="A79" s="364" t="n"/>
      <c r="B79" s="365" t="n"/>
      <c r="C79" s="366" t="n"/>
      <c r="D79" s="367" t="n"/>
      <c r="E79" s="367" t="n"/>
      <c r="F79" s="367" t="n"/>
      <c r="G79" s="368" t="n"/>
      <c r="H79" s="368" t="n"/>
      <c r="I79" s="1307" t="n"/>
      <c r="J79" s="1307" t="n"/>
      <c r="K79" s="1307" t="n"/>
      <c r="L79" s="1307" t="n"/>
      <c r="M79" s="1307" t="n"/>
      <c r="N79" s="1307" t="n"/>
      <c r="O79" s="1307" t="n"/>
      <c r="P79" s="1308" t="n"/>
      <c r="Q79" s="1307" t="n"/>
      <c r="R79" s="1307" t="n"/>
      <c r="S79" s="368" t="n"/>
      <c r="T79" s="368" t="n"/>
      <c r="U79" s="367" t="n"/>
    </row>
    <row r="80" ht="15" customFormat="1" customHeight="1" s="265">
      <c r="A80" s="364" t="n"/>
      <c r="B80" s="365" t="n"/>
      <c r="C80" s="366" t="n"/>
      <c r="D80" s="367" t="n"/>
      <c r="E80" s="367" t="n"/>
      <c r="F80" s="367" t="n"/>
      <c r="G80" s="368" t="n"/>
      <c r="H80" s="368" t="n"/>
      <c r="I80" s="1307" t="n"/>
      <c r="J80" s="1307" t="n"/>
      <c r="K80" s="1307" t="n"/>
      <c r="L80" s="1307" t="n"/>
      <c r="M80" s="1307" t="n"/>
      <c r="N80" s="1307" t="n"/>
      <c r="O80" s="1307" t="n"/>
      <c r="P80" s="1308" t="n"/>
      <c r="Q80" s="1307" t="n"/>
      <c r="R80" s="1307" t="n"/>
      <c r="S80" s="368" t="n"/>
      <c r="T80" s="368" t="n"/>
      <c r="U80" s="367" t="n"/>
    </row>
    <row r="81" ht="15" customFormat="1" customHeight="1" s="265">
      <c r="A81" s="364" t="n"/>
      <c r="B81" s="365" t="n"/>
      <c r="C81" s="366" t="n"/>
      <c r="D81" s="367" t="n"/>
      <c r="E81" s="367" t="n"/>
      <c r="F81" s="367" t="n"/>
      <c r="G81" s="368" t="n"/>
      <c r="H81" s="368" t="n"/>
      <c r="I81" s="1307" t="n"/>
      <c r="J81" s="1307" t="n"/>
      <c r="K81" s="1307" t="n"/>
      <c r="L81" s="1307" t="n"/>
      <c r="M81" s="1307" t="n"/>
      <c r="N81" s="1307" t="n"/>
      <c r="O81" s="1307" t="n"/>
      <c r="P81" s="1308" t="n"/>
      <c r="Q81" s="1307" t="n"/>
      <c r="R81" s="1307" t="n"/>
      <c r="S81" s="368" t="n"/>
      <c r="T81" s="368" t="n"/>
      <c r="U81" s="367" t="n"/>
    </row>
    <row r="82" ht="15" customFormat="1" customHeight="1" s="265">
      <c r="A82" s="364" t="n"/>
      <c r="B82" s="365" t="n"/>
      <c r="C82" s="366" t="n"/>
      <c r="D82" s="367" t="n"/>
      <c r="E82" s="367" t="n"/>
      <c r="F82" s="367" t="n"/>
      <c r="G82" s="368" t="n"/>
      <c r="H82" s="368" t="n"/>
      <c r="I82" s="1307" t="n"/>
      <c r="J82" s="1307" t="n"/>
      <c r="K82" s="1307" t="n"/>
      <c r="L82" s="1307" t="n"/>
      <c r="M82" s="1307" t="n"/>
      <c r="N82" s="1307" t="n"/>
      <c r="O82" s="1307" t="n"/>
      <c r="P82" s="1308" t="n"/>
      <c r="Q82" s="1307" t="n"/>
      <c r="R82" s="1307" t="n"/>
      <c r="S82" s="368" t="n"/>
      <c r="T82" s="368" t="n"/>
      <c r="U82" s="367" t="n"/>
    </row>
    <row r="83" ht="15" customFormat="1" customHeight="1" s="265">
      <c r="A83" s="364" t="n"/>
      <c r="B83" s="365" t="n"/>
      <c r="C83" s="366" t="n"/>
      <c r="D83" s="367" t="n"/>
      <c r="E83" s="367" t="n"/>
      <c r="F83" s="367" t="n"/>
      <c r="G83" s="368" t="n"/>
      <c r="H83" s="368" t="n"/>
      <c r="I83" s="1307" t="n"/>
      <c r="J83" s="1307" t="n"/>
      <c r="K83" s="1307" t="n"/>
      <c r="L83" s="1307" t="n"/>
      <c r="M83" s="1307" t="n"/>
      <c r="N83" s="1307" t="n"/>
      <c r="O83" s="1307" t="n"/>
      <c r="P83" s="1308" t="n"/>
      <c r="Q83" s="1307" t="n"/>
      <c r="R83" s="1307" t="n"/>
      <c r="S83" s="368" t="n"/>
      <c r="T83" s="368" t="n"/>
      <c r="U83" s="367" t="n"/>
    </row>
    <row r="84" ht="15" customFormat="1" customHeight="1" s="265">
      <c r="A84" s="364" t="n"/>
      <c r="B84" s="365" t="n"/>
      <c r="C84" s="366" t="n"/>
      <c r="D84" s="367" t="n"/>
      <c r="E84" s="367" t="n"/>
      <c r="F84" s="367" t="n"/>
      <c r="G84" s="368" t="n"/>
      <c r="H84" s="368" t="n"/>
      <c r="I84" s="1307" t="n"/>
      <c r="J84" s="1307" t="n"/>
      <c r="K84" s="1307" t="n"/>
      <c r="L84" s="1307" t="n"/>
      <c r="M84" s="1307" t="n"/>
      <c r="N84" s="1307" t="n"/>
      <c r="O84" s="1307" t="n"/>
      <c r="P84" s="1308" t="n"/>
      <c r="Q84" s="1307" t="n"/>
      <c r="R84" s="1307" t="n"/>
      <c r="S84" s="368" t="n"/>
      <c r="T84" s="368" t="n"/>
      <c r="U84" s="367" t="n"/>
    </row>
    <row r="85" ht="15" customFormat="1" customHeight="1" s="265">
      <c r="A85" s="364" t="n"/>
      <c r="B85" s="365" t="n"/>
      <c r="C85" s="366" t="n"/>
      <c r="D85" s="367" t="n"/>
      <c r="E85" s="367" t="n"/>
      <c r="F85" s="367" t="n"/>
      <c r="G85" s="368" t="n"/>
      <c r="H85" s="368" t="n"/>
      <c r="I85" s="1307" t="n"/>
      <c r="J85" s="1307" t="n"/>
      <c r="K85" s="1307" t="n"/>
      <c r="L85" s="1307" t="n"/>
      <c r="M85" s="1307" t="n"/>
      <c r="N85" s="1307" t="n"/>
      <c r="O85" s="1307" t="n"/>
      <c r="P85" s="1308" t="n"/>
      <c r="Q85" s="1307" t="n"/>
      <c r="R85" s="1307" t="n"/>
      <c r="S85" s="368" t="n"/>
      <c r="T85" s="368" t="n"/>
      <c r="U85" s="367" t="n"/>
    </row>
    <row r="86" ht="15" customFormat="1" customHeight="1" s="265">
      <c r="A86" s="364" t="n"/>
      <c r="B86" s="365" t="n"/>
      <c r="C86" s="366" t="n"/>
      <c r="D86" s="367" t="n"/>
      <c r="E86" s="367" t="n"/>
      <c r="F86" s="367" t="n"/>
      <c r="G86" s="368" t="n"/>
      <c r="H86" s="368" t="n"/>
      <c r="I86" s="1307" t="n"/>
      <c r="J86" s="1307" t="n"/>
      <c r="K86" s="1307" t="n"/>
      <c r="L86" s="1307" t="n"/>
      <c r="M86" s="1307" t="n"/>
      <c r="N86" s="1307" t="n"/>
      <c r="O86" s="1307" t="n"/>
      <c r="P86" s="1308" t="n"/>
      <c r="Q86" s="1307" t="n"/>
      <c r="R86" s="1307" t="n"/>
      <c r="S86" s="368" t="n"/>
      <c r="T86" s="368" t="n"/>
      <c r="U86" s="367" t="n"/>
    </row>
    <row r="87" ht="15" customFormat="1" customHeight="1" s="265">
      <c r="A87" s="364" t="n"/>
      <c r="B87" s="365" t="n"/>
      <c r="C87" s="366" t="n"/>
      <c r="D87" s="367" t="n"/>
      <c r="E87" s="367" t="n"/>
      <c r="F87" s="367" t="n"/>
      <c r="G87" s="368" t="n"/>
      <c r="H87" s="368" t="n"/>
      <c r="I87" s="1307" t="n"/>
      <c r="J87" s="1307" t="n"/>
      <c r="K87" s="1307" t="n"/>
      <c r="L87" s="1307" t="n"/>
      <c r="M87" s="1307" t="n"/>
      <c r="N87" s="1307" t="n"/>
      <c r="O87" s="1307" t="n"/>
      <c r="P87" s="1308" t="n"/>
      <c r="Q87" s="1307" t="n"/>
      <c r="R87" s="1307" t="n"/>
      <c r="S87" s="368" t="n"/>
      <c r="T87" s="368" t="n"/>
      <c r="U87" s="367" t="n"/>
    </row>
    <row r="88" ht="15" customFormat="1" customHeight="1" s="265">
      <c r="A88" s="364" t="n"/>
      <c r="B88" s="365" t="n"/>
      <c r="C88" s="366" t="n"/>
      <c r="D88" s="367" t="n"/>
      <c r="E88" s="367" t="n"/>
      <c r="F88" s="367" t="n"/>
      <c r="G88" s="368" t="n"/>
      <c r="H88" s="368" t="n"/>
      <c r="I88" s="1307" t="n"/>
      <c r="J88" s="1307" t="n"/>
      <c r="K88" s="1307" t="n"/>
      <c r="L88" s="1307" t="n"/>
      <c r="M88" s="1307" t="n"/>
      <c r="N88" s="1307" t="n"/>
      <c r="O88" s="1307" t="n"/>
      <c r="P88" s="1308" t="n"/>
      <c r="Q88" s="1307" t="n"/>
      <c r="R88" s="1307" t="n"/>
      <c r="S88" s="368" t="n"/>
      <c r="T88" s="368" t="n"/>
      <c r="U88" s="367" t="n"/>
    </row>
    <row r="89" ht="15" customFormat="1" customHeight="1" s="265">
      <c r="A89" s="364" t="n"/>
      <c r="B89" s="365" t="n"/>
      <c r="C89" s="366" t="n"/>
      <c r="D89" s="367" t="n"/>
      <c r="E89" s="367" t="n"/>
      <c r="F89" s="367" t="n"/>
      <c r="G89" s="368" t="n"/>
      <c r="H89" s="368" t="n"/>
      <c r="I89" s="1307" t="n"/>
      <c r="J89" s="1307" t="n"/>
      <c r="K89" s="1307" t="n"/>
      <c r="L89" s="1307" t="n"/>
      <c r="M89" s="1307" t="n"/>
      <c r="N89" s="1307" t="n"/>
      <c r="O89" s="1307" t="n"/>
      <c r="P89" s="1308" t="n"/>
      <c r="Q89" s="1307" t="n"/>
      <c r="R89" s="1307" t="n"/>
      <c r="S89" s="368" t="n"/>
      <c r="T89" s="368" t="n"/>
      <c r="U89" s="367" t="n"/>
    </row>
    <row r="90" ht="15" customFormat="1" customHeight="1" s="265">
      <c r="A90" s="364" t="n"/>
      <c r="B90" s="365" t="n"/>
      <c r="C90" s="366" t="n"/>
      <c r="D90" s="367" t="n"/>
      <c r="E90" s="367" t="n"/>
      <c r="F90" s="367" t="n"/>
      <c r="G90" s="368" t="n"/>
      <c r="H90" s="368" t="n"/>
      <c r="I90" s="1307" t="n"/>
      <c r="J90" s="1307" t="n"/>
      <c r="K90" s="1307" t="n"/>
      <c r="L90" s="1307" t="n"/>
      <c r="M90" s="1307" t="n"/>
      <c r="N90" s="1307" t="n"/>
      <c r="O90" s="1307" t="n"/>
      <c r="P90" s="1308" t="n"/>
      <c r="Q90" s="1307" t="n"/>
      <c r="R90" s="1307" t="n"/>
      <c r="S90" s="368" t="n"/>
      <c r="T90" s="368" t="n"/>
      <c r="U90" s="367" t="n"/>
    </row>
    <row r="91" ht="15" customFormat="1" customHeight="1" s="265">
      <c r="A91" s="364" t="n"/>
      <c r="B91" s="365" t="n"/>
      <c r="C91" s="366" t="n"/>
      <c r="D91" s="367" t="n"/>
      <c r="E91" s="367" t="n"/>
      <c r="F91" s="367" t="n"/>
      <c r="G91" s="368" t="n"/>
      <c r="H91" s="368" t="n"/>
      <c r="I91" s="1307" t="n"/>
      <c r="J91" s="1307" t="n"/>
      <c r="K91" s="1307" t="n"/>
      <c r="L91" s="1307" t="n"/>
      <c r="M91" s="1307" t="n"/>
      <c r="N91" s="1307" t="n"/>
      <c r="O91" s="1307" t="n"/>
      <c r="P91" s="1308" t="n"/>
      <c r="Q91" s="1307" t="n"/>
      <c r="R91" s="1307" t="n"/>
      <c r="S91" s="368" t="n"/>
      <c r="T91" s="368" t="n"/>
      <c r="U91" s="367" t="n"/>
    </row>
    <row r="92" ht="15" customFormat="1" customHeight="1" s="265">
      <c r="A92" s="364" t="n"/>
      <c r="B92" s="365" t="n"/>
      <c r="C92" s="366" t="n"/>
      <c r="D92" s="367" t="n"/>
      <c r="E92" s="367" t="n"/>
      <c r="F92" s="367" t="n"/>
      <c r="G92" s="368" t="n"/>
      <c r="H92" s="368" t="n"/>
      <c r="I92" s="1307" t="n"/>
      <c r="J92" s="1307" t="n"/>
      <c r="K92" s="1307" t="n"/>
      <c r="L92" s="1307" t="n"/>
      <c r="M92" s="1307" t="n"/>
      <c r="N92" s="1307" t="n"/>
      <c r="O92" s="1307" t="n"/>
      <c r="P92" s="1308" t="n"/>
      <c r="Q92" s="1307" t="n"/>
      <c r="R92" s="1307" t="n"/>
      <c r="S92" s="368" t="n"/>
      <c r="T92" s="368" t="n"/>
      <c r="U92" s="367" t="n"/>
    </row>
    <row r="93" ht="15" customFormat="1" customHeight="1" s="265">
      <c r="A93" s="364" t="n"/>
      <c r="B93" s="365" t="n"/>
      <c r="C93" s="366" t="n"/>
      <c r="D93" s="367" t="n"/>
      <c r="E93" s="367" t="n"/>
      <c r="F93" s="367" t="n"/>
      <c r="G93" s="368" t="n"/>
      <c r="H93" s="368" t="n"/>
      <c r="I93" s="1307" t="n"/>
      <c r="J93" s="1307" t="n"/>
      <c r="K93" s="1307" t="n"/>
      <c r="L93" s="1307" t="n"/>
      <c r="M93" s="1307" t="n"/>
      <c r="N93" s="1307" t="n"/>
      <c r="O93" s="1307" t="n"/>
      <c r="P93" s="1308" t="n"/>
      <c r="Q93" s="1307" t="n"/>
      <c r="R93" s="1307" t="n"/>
      <c r="S93" s="368" t="n"/>
      <c r="T93" s="368" t="n"/>
      <c r="U93" s="367" t="n"/>
    </row>
    <row r="94" ht="15" customFormat="1" customHeight="1" s="265">
      <c r="A94" s="364" t="n"/>
      <c r="B94" s="365" t="n"/>
      <c r="C94" s="366" t="n"/>
      <c r="D94" s="367" t="n"/>
      <c r="E94" s="367" t="n"/>
      <c r="F94" s="367" t="n"/>
      <c r="G94" s="368" t="n"/>
      <c r="H94" s="368" t="n"/>
      <c r="I94" s="1307" t="n"/>
      <c r="J94" s="1307" t="n"/>
      <c r="K94" s="1307" t="n"/>
      <c r="L94" s="1307" t="n"/>
      <c r="M94" s="1307" t="n"/>
      <c r="N94" s="1307" t="n"/>
      <c r="O94" s="1307" t="n"/>
      <c r="P94" s="1308" t="n"/>
      <c r="Q94" s="1307" t="n"/>
      <c r="R94" s="1307" t="n"/>
      <c r="S94" s="368" t="n"/>
      <c r="T94" s="368" t="n"/>
      <c r="U94" s="367" t="n"/>
    </row>
    <row r="95" ht="15" customFormat="1" customHeight="1" s="265">
      <c r="A95" s="364" t="n"/>
      <c r="B95" s="365" t="n"/>
      <c r="C95" s="366" t="n"/>
      <c r="D95" s="367" t="n"/>
      <c r="E95" s="367" t="n"/>
      <c r="F95" s="367" t="n"/>
      <c r="G95" s="368" t="n"/>
      <c r="H95" s="368" t="n"/>
      <c r="I95" s="1307" t="n"/>
      <c r="J95" s="1307" t="n"/>
      <c r="K95" s="1307" t="n"/>
      <c r="L95" s="1307" t="n"/>
      <c r="M95" s="1307" t="n"/>
      <c r="N95" s="1307" t="n"/>
      <c r="O95" s="1307" t="n"/>
      <c r="P95" s="1308" t="n"/>
      <c r="Q95" s="1307" t="n"/>
      <c r="R95" s="1307" t="n"/>
      <c r="S95" s="368" t="n"/>
      <c r="T95" s="368" t="n"/>
      <c r="U95" s="367" t="n"/>
    </row>
    <row r="96" ht="15" customFormat="1" customHeight="1" s="265">
      <c r="A96" s="364" t="n"/>
      <c r="B96" s="365" t="n"/>
      <c r="C96" s="366" t="n"/>
      <c r="D96" s="367" t="n"/>
      <c r="E96" s="367" t="n"/>
      <c r="F96" s="367" t="n"/>
      <c r="G96" s="368" t="n"/>
      <c r="H96" s="368" t="n"/>
      <c r="I96" s="1307" t="n"/>
      <c r="J96" s="1307" t="n"/>
      <c r="K96" s="1307" t="n"/>
      <c r="L96" s="1307" t="n"/>
      <c r="M96" s="1307" t="n"/>
      <c r="N96" s="1307" t="n"/>
      <c r="O96" s="1307" t="n"/>
      <c r="P96" s="1308" t="n"/>
      <c r="Q96" s="1307" t="n"/>
      <c r="R96" s="1307" t="n"/>
      <c r="S96" s="368" t="n"/>
      <c r="T96" s="368" t="n"/>
      <c r="U96" s="367" t="n"/>
    </row>
    <row r="97" ht="15" customFormat="1" customHeight="1" s="265">
      <c r="A97" s="364" t="n"/>
      <c r="B97" s="365" t="n"/>
      <c r="C97" s="366" t="n"/>
      <c r="D97" s="367" t="n"/>
      <c r="E97" s="367" t="n"/>
      <c r="F97" s="367" t="n"/>
      <c r="G97" s="368" t="n"/>
      <c r="H97" s="368" t="n"/>
      <c r="I97" s="1307" t="n"/>
      <c r="J97" s="1307" t="n"/>
      <c r="K97" s="1307" t="n"/>
      <c r="L97" s="1307" t="n"/>
      <c r="M97" s="1307" t="n"/>
      <c r="N97" s="1307" t="n"/>
      <c r="O97" s="1307" t="n"/>
      <c r="P97" s="1308" t="n"/>
      <c r="Q97" s="1307" t="n"/>
      <c r="R97" s="1307" t="n"/>
      <c r="S97" s="368" t="n"/>
      <c r="T97" s="368" t="n"/>
      <c r="U97" s="367" t="n"/>
    </row>
    <row r="98" ht="15" customFormat="1" customHeight="1" s="265">
      <c r="A98" s="364" t="n"/>
      <c r="B98" s="365" t="n"/>
      <c r="C98" s="366" t="n"/>
      <c r="D98" s="367" t="n"/>
      <c r="E98" s="367" t="n"/>
      <c r="F98" s="367" t="n"/>
      <c r="G98" s="368" t="n"/>
      <c r="H98" s="368" t="n"/>
      <c r="I98" s="1307" t="n"/>
      <c r="J98" s="1307" t="n"/>
      <c r="K98" s="1307" t="n"/>
      <c r="L98" s="1307" t="n"/>
      <c r="M98" s="1307" t="n"/>
      <c r="N98" s="1307" t="n"/>
      <c r="O98" s="1307" t="n"/>
      <c r="P98" s="1308" t="n"/>
      <c r="Q98" s="1307" t="n"/>
      <c r="R98" s="1307" t="n"/>
      <c r="S98" s="368" t="n"/>
      <c r="T98" s="368" t="n"/>
      <c r="U98" s="367" t="n"/>
    </row>
    <row r="99" ht="15" customFormat="1" customHeight="1" s="265">
      <c r="A99" s="364" t="n"/>
      <c r="B99" s="365" t="n"/>
      <c r="C99" s="366" t="n"/>
      <c r="D99" s="367" t="n"/>
      <c r="E99" s="367" t="n"/>
      <c r="F99" s="367" t="n"/>
      <c r="G99" s="368" t="n"/>
      <c r="H99" s="368" t="n"/>
      <c r="I99" s="1307" t="n"/>
      <c r="J99" s="1307" t="n"/>
      <c r="K99" s="1307" t="n"/>
      <c r="L99" s="1307" t="n"/>
      <c r="M99" s="1307" t="n"/>
      <c r="N99" s="1307" t="n"/>
      <c r="O99" s="1307" t="n"/>
      <c r="P99" s="1308" t="n"/>
      <c r="Q99" s="1307" t="n"/>
      <c r="R99" s="1307" t="n"/>
      <c r="S99" s="368" t="n"/>
      <c r="T99" s="368" t="n"/>
      <c r="U99" s="367" t="n"/>
    </row>
    <row r="100" ht="15" customFormat="1" customHeight="1" s="265">
      <c r="A100" s="364" t="n"/>
      <c r="B100" s="365" t="n"/>
      <c r="C100" s="366" t="n"/>
      <c r="D100" s="367" t="n"/>
      <c r="E100" s="367" t="n"/>
      <c r="F100" s="367" t="n"/>
      <c r="G100" s="368" t="n"/>
      <c r="H100" s="368" t="n"/>
      <c r="I100" s="1307" t="n"/>
      <c r="J100" s="1307" t="n"/>
      <c r="K100" s="1307" t="n"/>
      <c r="L100" s="1307" t="n"/>
      <c r="M100" s="1307" t="n"/>
      <c r="N100" s="1307" t="n"/>
      <c r="O100" s="1307" t="n"/>
      <c r="P100" s="1308" t="n"/>
      <c r="Q100" s="1307" t="n"/>
      <c r="R100" s="1307" t="n"/>
      <c r="S100" s="368" t="n"/>
      <c r="T100" s="368" t="n"/>
      <c r="U100" s="367" t="n"/>
    </row>
    <row r="101" ht="15" customFormat="1" customHeight="1" s="265">
      <c r="A101" s="364" t="n"/>
      <c r="B101" s="365" t="n"/>
      <c r="C101" s="366" t="n"/>
      <c r="D101" s="367" t="n"/>
      <c r="E101" s="367" t="n"/>
      <c r="F101" s="367" t="n"/>
      <c r="G101" s="368" t="n"/>
      <c r="H101" s="368" t="n"/>
      <c r="I101" s="1307" t="n"/>
      <c r="J101" s="1307" t="n"/>
      <c r="K101" s="1307" t="n"/>
      <c r="L101" s="1307" t="n"/>
      <c r="M101" s="1307" t="n"/>
      <c r="N101" s="1307" t="n"/>
      <c r="O101" s="1307" t="n"/>
      <c r="P101" s="1308" t="n"/>
      <c r="Q101" s="1307" t="n"/>
      <c r="R101" s="1307" t="n"/>
      <c r="S101" s="368" t="n"/>
      <c r="T101" s="368" t="n"/>
      <c r="U101" s="367" t="n"/>
    </row>
    <row r="102" ht="15" customFormat="1" customHeight="1" s="265">
      <c r="A102" s="364" t="n"/>
      <c r="B102" s="365" t="n"/>
      <c r="C102" s="366" t="n"/>
      <c r="D102" s="367" t="n"/>
      <c r="E102" s="367" t="n"/>
      <c r="F102" s="367" t="n"/>
      <c r="G102" s="368" t="n"/>
      <c r="H102" s="368" t="n"/>
      <c r="I102" s="1307" t="n"/>
      <c r="J102" s="1307" t="n"/>
      <c r="K102" s="1307" t="n"/>
      <c r="L102" s="1307" t="n"/>
      <c r="M102" s="1307" t="n"/>
      <c r="N102" s="1307" t="n"/>
      <c r="O102" s="1307" t="n"/>
      <c r="P102" s="1308" t="n"/>
      <c r="Q102" s="1307" t="n"/>
      <c r="R102" s="1307" t="n"/>
      <c r="S102" s="368" t="n"/>
      <c r="T102" s="368" t="n"/>
      <c r="U102" s="367" t="n"/>
    </row>
    <row r="103" ht="15" customFormat="1" customHeight="1" s="265">
      <c r="A103" s="364" t="n"/>
      <c r="B103" s="365" t="n"/>
      <c r="C103" s="366" t="n"/>
      <c r="D103" s="367" t="n"/>
      <c r="E103" s="367" t="n"/>
      <c r="F103" s="367" t="n"/>
      <c r="G103" s="368" t="n"/>
      <c r="H103" s="368" t="n"/>
      <c r="I103" s="1307" t="n"/>
      <c r="J103" s="1307" t="n"/>
      <c r="K103" s="1307" t="n"/>
      <c r="L103" s="1307" t="n"/>
      <c r="M103" s="1307" t="n"/>
      <c r="N103" s="1307" t="n"/>
      <c r="O103" s="1307" t="n"/>
      <c r="P103" s="1308" t="n"/>
      <c r="Q103" s="1307" t="n"/>
      <c r="R103" s="1307" t="n"/>
      <c r="S103" s="368" t="n"/>
      <c r="T103" s="368" t="n"/>
      <c r="U103" s="367" t="n"/>
    </row>
    <row r="104" ht="15" customFormat="1" customHeight="1" s="265">
      <c r="A104" s="364" t="n"/>
      <c r="B104" s="365" t="n"/>
      <c r="C104" s="366" t="n"/>
      <c r="D104" s="367" t="n"/>
      <c r="E104" s="367" t="n"/>
      <c r="F104" s="367" t="n"/>
      <c r="G104" s="368" t="n"/>
      <c r="H104" s="368" t="n"/>
      <c r="I104" s="1307" t="n"/>
      <c r="J104" s="1307" t="n"/>
      <c r="K104" s="1307" t="n"/>
      <c r="L104" s="1307" t="n"/>
      <c r="M104" s="1307" t="n"/>
      <c r="N104" s="1307" t="n"/>
      <c r="O104" s="1307" t="n"/>
      <c r="P104" s="1308" t="n"/>
      <c r="Q104" s="1307" t="n"/>
      <c r="R104" s="1307" t="n"/>
      <c r="S104" s="368" t="n"/>
      <c r="T104" s="368" t="n"/>
      <c r="U104" s="367" t="n"/>
    </row>
    <row r="105" ht="15" customFormat="1" customHeight="1" s="265">
      <c r="A105" s="364" t="n"/>
      <c r="B105" s="365" t="n"/>
      <c r="C105" s="366" t="n"/>
      <c r="D105" s="367" t="n"/>
      <c r="E105" s="367" t="n"/>
      <c r="F105" s="367" t="n"/>
      <c r="G105" s="368" t="n"/>
      <c r="H105" s="368" t="n"/>
      <c r="I105" s="1307" t="n"/>
      <c r="J105" s="1307" t="n"/>
      <c r="K105" s="1307" t="n"/>
      <c r="L105" s="1307" t="n"/>
      <c r="M105" s="1307" t="n"/>
      <c r="N105" s="1307" t="n"/>
      <c r="O105" s="1307" t="n"/>
      <c r="P105" s="1308" t="n"/>
      <c r="Q105" s="1307" t="n"/>
      <c r="R105" s="1307" t="n"/>
      <c r="S105" s="368" t="n"/>
      <c r="T105" s="368" t="n"/>
      <c r="U105" s="367" t="n"/>
    </row>
    <row r="106" ht="15" customFormat="1" customHeight="1" s="265">
      <c r="A106" s="364" t="n"/>
      <c r="B106" s="365" t="n"/>
      <c r="C106" s="366" t="n"/>
      <c r="D106" s="367" t="n"/>
      <c r="E106" s="367" t="n"/>
      <c r="F106" s="367" t="n"/>
      <c r="G106" s="368" t="n"/>
      <c r="H106" s="368" t="n"/>
      <c r="I106" s="1307" t="n"/>
      <c r="J106" s="1307" t="n"/>
      <c r="K106" s="1307" t="n"/>
      <c r="L106" s="1307" t="n"/>
      <c r="M106" s="1307" t="n"/>
      <c r="N106" s="1307" t="n"/>
      <c r="O106" s="1307" t="n"/>
      <c r="P106" s="1308" t="n"/>
      <c r="Q106" s="1307" t="n"/>
      <c r="R106" s="1307" t="n"/>
      <c r="S106" s="368" t="n"/>
      <c r="T106" s="368" t="n"/>
      <c r="U106" s="367" t="n"/>
    </row>
    <row r="107" ht="15" customFormat="1" customHeight="1" s="265">
      <c r="A107" s="364" t="n"/>
      <c r="B107" s="365" t="n"/>
      <c r="C107" s="366" t="n"/>
      <c r="D107" s="367" t="n"/>
      <c r="E107" s="367" t="n"/>
      <c r="F107" s="367" t="n"/>
      <c r="G107" s="368" t="n"/>
      <c r="H107" s="368" t="n"/>
      <c r="I107" s="1307" t="n"/>
      <c r="J107" s="1307" t="n"/>
      <c r="K107" s="1307" t="n"/>
      <c r="L107" s="1307" t="n"/>
      <c r="M107" s="1307" t="n"/>
      <c r="N107" s="1307" t="n"/>
      <c r="O107" s="1307" t="n"/>
      <c r="P107" s="1308" t="n"/>
      <c r="Q107" s="1307" t="n"/>
      <c r="R107" s="1307" t="n"/>
      <c r="S107" s="368" t="n"/>
      <c r="T107" s="368" t="n"/>
      <c r="U107" s="367" t="n"/>
    </row>
    <row r="108" ht="15" customFormat="1" customHeight="1" s="265">
      <c r="A108" s="364" t="n"/>
      <c r="B108" s="365" t="n"/>
      <c r="C108" s="366" t="n"/>
      <c r="D108" s="367" t="n"/>
      <c r="E108" s="367" t="n"/>
      <c r="F108" s="367" t="n"/>
      <c r="G108" s="368" t="n"/>
      <c r="H108" s="368" t="n"/>
      <c r="I108" s="1307" t="n"/>
      <c r="J108" s="1307" t="n"/>
      <c r="K108" s="1307" t="n"/>
      <c r="L108" s="1307" t="n"/>
      <c r="M108" s="1307" t="n"/>
      <c r="N108" s="1307" t="n"/>
      <c r="O108" s="1307" t="n"/>
      <c r="P108" s="1308" t="n"/>
      <c r="Q108" s="1307" t="n"/>
      <c r="R108" s="1307" t="n"/>
      <c r="S108" s="368" t="n"/>
      <c r="T108" s="368" t="n"/>
      <c r="U108" s="367" t="n"/>
    </row>
    <row r="109" ht="15" customFormat="1" customHeight="1" s="265">
      <c r="A109" s="364" t="n"/>
      <c r="B109" s="365" t="n"/>
      <c r="C109" s="366" t="n"/>
      <c r="D109" s="367" t="n"/>
      <c r="E109" s="367" t="n"/>
      <c r="F109" s="367" t="n"/>
      <c r="G109" s="368" t="n"/>
      <c r="H109" s="368" t="n"/>
      <c r="I109" s="1307" t="n"/>
      <c r="J109" s="1307" t="n"/>
      <c r="K109" s="1307" t="n"/>
      <c r="L109" s="1307" t="n"/>
      <c r="M109" s="1307" t="n"/>
      <c r="N109" s="1307" t="n"/>
      <c r="O109" s="1307" t="n"/>
      <c r="P109" s="1308" t="n"/>
      <c r="Q109" s="1307" t="n"/>
      <c r="R109" s="1307" t="n"/>
      <c r="S109" s="368" t="n"/>
      <c r="T109" s="368" t="n"/>
      <c r="U109" s="367" t="n"/>
    </row>
    <row r="110" ht="15" customFormat="1" customHeight="1" s="265">
      <c r="A110" s="364" t="n"/>
      <c r="B110" s="365" t="n"/>
      <c r="C110" s="366" t="n"/>
      <c r="D110" s="367" t="n"/>
      <c r="E110" s="367" t="n"/>
      <c r="F110" s="367" t="n"/>
      <c r="G110" s="368" t="n"/>
      <c r="H110" s="368" t="n"/>
      <c r="I110" s="1307" t="n"/>
      <c r="J110" s="1307" t="n"/>
      <c r="K110" s="1307" t="n"/>
      <c r="L110" s="1307" t="n"/>
      <c r="M110" s="1307" t="n"/>
      <c r="N110" s="1307" t="n"/>
      <c r="O110" s="1307" t="n"/>
      <c r="P110" s="1308" t="n"/>
      <c r="Q110" s="1307" t="n"/>
      <c r="R110" s="1307" t="n"/>
      <c r="S110" s="368" t="n"/>
      <c r="T110" s="368" t="n"/>
      <c r="U110" s="367" t="n"/>
    </row>
    <row r="111" ht="15" customFormat="1" customHeight="1" s="265">
      <c r="A111" s="364" t="n"/>
      <c r="B111" s="365" t="n"/>
      <c r="C111" s="366" t="n"/>
      <c r="D111" s="367" t="n"/>
      <c r="E111" s="367" t="n"/>
      <c r="F111" s="367" t="n"/>
      <c r="G111" s="368" t="n"/>
      <c r="H111" s="368" t="n"/>
      <c r="I111" s="1307" t="n"/>
      <c r="J111" s="1307" t="n"/>
      <c r="K111" s="1307" t="n"/>
      <c r="L111" s="1307" t="n"/>
      <c r="M111" s="1307" t="n"/>
      <c r="N111" s="1307" t="n"/>
      <c r="O111" s="1307" t="n"/>
      <c r="P111" s="1308" t="n"/>
      <c r="Q111" s="1307" t="n"/>
      <c r="R111" s="1307" t="n"/>
      <c r="S111" s="368" t="n"/>
      <c r="T111" s="368" t="n"/>
      <c r="U111" s="367" t="n"/>
    </row>
    <row r="112" ht="15" customFormat="1" customHeight="1" s="265">
      <c r="A112" s="364" t="n"/>
      <c r="B112" s="365" t="n"/>
      <c r="C112" s="366" t="n"/>
      <c r="D112" s="367" t="n"/>
      <c r="E112" s="367" t="n"/>
      <c r="F112" s="367" t="n"/>
      <c r="G112" s="368" t="n"/>
      <c r="H112" s="368" t="n"/>
      <c r="I112" s="1307" t="n"/>
      <c r="J112" s="1307" t="n"/>
      <c r="K112" s="1307" t="n"/>
      <c r="L112" s="1307" t="n"/>
      <c r="M112" s="1307" t="n"/>
      <c r="N112" s="1307" t="n"/>
      <c r="O112" s="1307" t="n"/>
      <c r="P112" s="1308" t="n"/>
      <c r="Q112" s="1307" t="n"/>
      <c r="R112" s="1307" t="n"/>
      <c r="S112" s="368" t="n"/>
      <c r="T112" s="368" t="n"/>
      <c r="U112" s="367" t="n"/>
    </row>
    <row r="113" ht="15" customFormat="1" customHeight="1" s="265">
      <c r="A113" s="364" t="n"/>
      <c r="B113" s="365" t="n"/>
      <c r="C113" s="366" t="n"/>
      <c r="D113" s="367" t="n"/>
      <c r="E113" s="367" t="n"/>
      <c r="F113" s="367" t="n"/>
      <c r="G113" s="368" t="n"/>
      <c r="H113" s="368" t="n"/>
      <c r="I113" s="1307" t="n"/>
      <c r="J113" s="1307" t="n"/>
      <c r="K113" s="1307" t="n"/>
      <c r="L113" s="1307" t="n"/>
      <c r="M113" s="1307" t="n"/>
      <c r="N113" s="1307" t="n"/>
      <c r="O113" s="1307" t="n"/>
      <c r="P113" s="1308" t="n"/>
      <c r="Q113" s="1307" t="n"/>
      <c r="R113" s="1307" t="n"/>
      <c r="S113" s="368" t="n"/>
      <c r="T113" s="368" t="n"/>
      <c r="U113" s="367" t="n"/>
    </row>
    <row r="114" ht="15" customFormat="1" customHeight="1" s="265">
      <c r="A114" s="364" t="n"/>
      <c r="B114" s="365" t="n"/>
      <c r="C114" s="366" t="n"/>
      <c r="D114" s="367" t="n"/>
      <c r="E114" s="367" t="n"/>
      <c r="F114" s="367" t="n"/>
      <c r="G114" s="368" t="n"/>
      <c r="H114" s="368" t="n"/>
      <c r="I114" s="1307" t="n"/>
      <c r="J114" s="1307" t="n"/>
      <c r="K114" s="1307" t="n"/>
      <c r="L114" s="1307" t="n"/>
      <c r="M114" s="1307" t="n"/>
      <c r="N114" s="1307" t="n"/>
      <c r="O114" s="1307" t="n"/>
      <c r="P114" s="1308" t="n"/>
      <c r="Q114" s="1307" t="n"/>
      <c r="R114" s="1307" t="n"/>
      <c r="S114" s="368" t="n"/>
      <c r="T114" s="368" t="n"/>
      <c r="U114" s="367" t="n"/>
    </row>
    <row r="115" ht="15" customFormat="1" customHeight="1" s="265">
      <c r="A115" s="364" t="n"/>
      <c r="B115" s="365" t="n"/>
      <c r="C115" s="366" t="n"/>
      <c r="D115" s="367" t="n"/>
      <c r="E115" s="367" t="n"/>
      <c r="F115" s="367" t="n"/>
      <c r="G115" s="368" t="n"/>
      <c r="H115" s="368" t="n"/>
      <c r="I115" s="1307" t="n"/>
      <c r="J115" s="1307" t="n"/>
      <c r="K115" s="1307" t="n"/>
      <c r="L115" s="1307" t="n"/>
      <c r="M115" s="1307" t="n"/>
      <c r="N115" s="1307" t="n"/>
      <c r="O115" s="1307" t="n"/>
      <c r="P115" s="1308" t="n"/>
      <c r="Q115" s="1307" t="n"/>
      <c r="R115" s="1307" t="n"/>
      <c r="S115" s="368" t="n"/>
      <c r="T115" s="368" t="n"/>
      <c r="U115" s="367" t="n"/>
    </row>
    <row r="116" ht="15" customFormat="1" customHeight="1" s="265">
      <c r="A116" s="364" t="n"/>
      <c r="B116" s="365" t="n"/>
      <c r="C116" s="366" t="n"/>
      <c r="D116" s="367" t="n"/>
      <c r="E116" s="367" t="n"/>
      <c r="F116" s="367" t="n"/>
      <c r="G116" s="368" t="n"/>
      <c r="H116" s="368" t="n"/>
      <c r="I116" s="1307" t="n"/>
      <c r="J116" s="1307" t="n"/>
      <c r="K116" s="1307" t="n"/>
      <c r="L116" s="1307" t="n"/>
      <c r="M116" s="1307" t="n"/>
      <c r="N116" s="1307" t="n"/>
      <c r="O116" s="1307" t="n"/>
      <c r="P116" s="1308" t="n"/>
      <c r="Q116" s="1307" t="n"/>
      <c r="R116" s="1307" t="n"/>
      <c r="S116" s="368" t="n"/>
      <c r="T116" s="368" t="n"/>
      <c r="U116" s="367" t="n"/>
    </row>
    <row r="117" ht="15" customFormat="1" customHeight="1" s="265">
      <c r="A117" s="364" t="n"/>
      <c r="B117" s="365" t="n"/>
      <c r="C117" s="366" t="n"/>
      <c r="D117" s="367" t="n"/>
      <c r="E117" s="367" t="n"/>
      <c r="F117" s="367" t="n"/>
      <c r="G117" s="368" t="n"/>
      <c r="H117" s="368" t="n"/>
      <c r="I117" s="1307" t="n"/>
      <c r="J117" s="1307" t="n"/>
      <c r="K117" s="1307" t="n"/>
      <c r="L117" s="1307" t="n"/>
      <c r="M117" s="1307" t="n"/>
      <c r="N117" s="1307" t="n"/>
      <c r="O117" s="1307" t="n"/>
      <c r="P117" s="1308" t="n"/>
      <c r="Q117" s="1307" t="n"/>
      <c r="R117" s="1307" t="n"/>
      <c r="S117" s="368" t="n"/>
      <c r="T117" s="368" t="n"/>
      <c r="U117" s="367" t="n"/>
    </row>
    <row r="118" ht="15" customFormat="1" customHeight="1" s="265">
      <c r="A118" s="364" t="n"/>
      <c r="B118" s="365" t="n"/>
      <c r="C118" s="366" t="n"/>
      <c r="D118" s="367" t="n"/>
      <c r="E118" s="367" t="n"/>
      <c r="F118" s="367" t="n"/>
      <c r="G118" s="368" t="n"/>
      <c r="H118" s="368" t="n"/>
      <c r="I118" s="1307" t="n"/>
      <c r="J118" s="1307" t="n"/>
      <c r="K118" s="1307" t="n"/>
      <c r="L118" s="1307" t="n"/>
      <c r="M118" s="1307" t="n"/>
      <c r="N118" s="1307" t="n"/>
      <c r="O118" s="1307" t="n"/>
      <c r="P118" s="1308" t="n"/>
      <c r="Q118" s="1307" t="n"/>
      <c r="R118" s="1307" t="n"/>
      <c r="S118" s="368" t="n"/>
      <c r="T118" s="368" t="n"/>
      <c r="U118" s="367" t="n"/>
    </row>
    <row r="119" ht="15" customFormat="1" customHeight="1" s="265">
      <c r="A119" s="364" t="n"/>
      <c r="B119" s="365" t="n"/>
      <c r="C119" s="366" t="n"/>
      <c r="D119" s="367" t="n"/>
      <c r="E119" s="367" t="n"/>
      <c r="F119" s="367" t="n"/>
      <c r="G119" s="368" t="n"/>
      <c r="H119" s="368" t="n"/>
      <c r="I119" s="1307" t="n"/>
      <c r="J119" s="1307" t="n"/>
      <c r="K119" s="1307" t="n"/>
      <c r="L119" s="1307" t="n"/>
      <c r="M119" s="1307" t="n"/>
      <c r="N119" s="1307" t="n"/>
      <c r="O119" s="1307" t="n"/>
      <c r="P119" s="1308" t="n"/>
      <c r="Q119" s="1307" t="n"/>
      <c r="R119" s="1307" t="n"/>
      <c r="S119" s="368" t="n"/>
      <c r="T119" s="368" t="n"/>
      <c r="U119" s="367" t="n"/>
    </row>
    <row r="120" ht="15" customFormat="1" customHeight="1" s="265">
      <c r="A120" s="364" t="n"/>
      <c r="B120" s="365" t="n"/>
      <c r="C120" s="366" t="n"/>
      <c r="D120" s="367" t="n"/>
      <c r="E120" s="367" t="n"/>
      <c r="F120" s="367" t="n"/>
      <c r="G120" s="368" t="n"/>
      <c r="H120" s="368" t="n"/>
      <c r="I120" s="1307" t="n"/>
      <c r="J120" s="1307" t="n"/>
      <c r="K120" s="1307" t="n"/>
      <c r="L120" s="1307" t="n"/>
      <c r="M120" s="1307" t="n"/>
      <c r="N120" s="1307" t="n"/>
      <c r="O120" s="1307" t="n"/>
      <c r="P120" s="1308" t="n"/>
      <c r="Q120" s="1307" t="n"/>
      <c r="R120" s="1307" t="n"/>
      <c r="S120" s="368" t="n"/>
      <c r="T120" s="368" t="n"/>
      <c r="U120" s="367" t="n"/>
    </row>
    <row r="121" ht="15" customFormat="1" customHeight="1" s="265">
      <c r="A121" s="364" t="n"/>
      <c r="B121" s="365" t="n"/>
      <c r="C121" s="366" t="n"/>
      <c r="D121" s="367" t="n"/>
      <c r="E121" s="367" t="n"/>
      <c r="F121" s="367" t="n"/>
      <c r="G121" s="368" t="n"/>
      <c r="H121" s="368" t="n"/>
      <c r="I121" s="1307" t="n"/>
      <c r="J121" s="1307" t="n"/>
      <c r="K121" s="1307" t="n"/>
      <c r="L121" s="1307" t="n"/>
      <c r="M121" s="1307" t="n"/>
      <c r="N121" s="1307" t="n"/>
      <c r="O121" s="1307" t="n"/>
      <c r="P121" s="1308" t="n"/>
      <c r="Q121" s="1307" t="n"/>
      <c r="R121" s="1307" t="n"/>
      <c r="S121" s="368" t="n"/>
      <c r="T121" s="368" t="n"/>
      <c r="U121" s="367" t="n"/>
    </row>
    <row r="122" ht="15" customFormat="1" customHeight="1" s="265">
      <c r="A122" s="364" t="n"/>
      <c r="B122" s="365" t="n"/>
      <c r="C122" s="366" t="n"/>
      <c r="D122" s="367" t="n"/>
      <c r="E122" s="367" t="n"/>
      <c r="F122" s="367" t="n"/>
      <c r="G122" s="368" t="n"/>
      <c r="H122" s="368" t="n"/>
      <c r="I122" s="1307" t="n"/>
      <c r="J122" s="1307" t="n"/>
      <c r="K122" s="1307" t="n"/>
      <c r="L122" s="1307" t="n"/>
      <c r="M122" s="1307" t="n"/>
      <c r="N122" s="1307" t="n"/>
      <c r="O122" s="1307" t="n"/>
      <c r="P122" s="1308" t="n"/>
      <c r="Q122" s="1307" t="n"/>
      <c r="R122" s="1307" t="n"/>
      <c r="S122" s="368" t="n"/>
      <c r="T122" s="368" t="n"/>
      <c r="U122" s="367" t="n"/>
    </row>
    <row r="123" ht="15" customFormat="1" customHeight="1" s="265">
      <c r="A123" s="364" t="n"/>
      <c r="B123" s="365" t="n"/>
      <c r="C123" s="366" t="n"/>
      <c r="D123" s="367" t="n"/>
      <c r="E123" s="367" t="n"/>
      <c r="F123" s="367" t="n"/>
      <c r="G123" s="368" t="n"/>
      <c r="H123" s="368" t="n"/>
      <c r="I123" s="1307" t="n"/>
      <c r="J123" s="1307" t="n"/>
      <c r="K123" s="1307" t="n"/>
      <c r="L123" s="1307" t="n"/>
      <c r="M123" s="1307" t="n"/>
      <c r="N123" s="1307" t="n"/>
      <c r="O123" s="1307" t="n"/>
      <c r="P123" s="1308" t="n"/>
      <c r="Q123" s="1307" t="n"/>
      <c r="R123" s="1307" t="n"/>
      <c r="S123" s="368" t="n"/>
      <c r="T123" s="368" t="n"/>
      <c r="U123" s="367" t="n"/>
    </row>
    <row r="124" ht="15" customFormat="1" customHeight="1" s="265">
      <c r="A124" s="364" t="n"/>
      <c r="B124" s="365" t="n"/>
      <c r="C124" s="366" t="n"/>
      <c r="D124" s="367" t="n"/>
      <c r="E124" s="367" t="n"/>
      <c r="F124" s="367" t="n"/>
      <c r="G124" s="368" t="n"/>
      <c r="H124" s="368" t="n"/>
      <c r="I124" s="1307" t="n"/>
      <c r="J124" s="1307" t="n"/>
      <c r="K124" s="1307" t="n"/>
      <c r="L124" s="1307" t="n"/>
      <c r="M124" s="1307" t="n"/>
      <c r="N124" s="1307" t="n"/>
      <c r="O124" s="1307" t="n"/>
      <c r="P124" s="1308" t="n"/>
      <c r="Q124" s="1307" t="n"/>
      <c r="R124" s="1307" t="n"/>
      <c r="S124" s="368" t="n"/>
      <c r="T124" s="368" t="n"/>
      <c r="U124" s="367" t="n"/>
    </row>
    <row r="125" ht="15" customFormat="1" customHeight="1" s="265">
      <c r="A125" s="364" t="n"/>
      <c r="B125" s="365" t="n"/>
      <c r="C125" s="366" t="n"/>
      <c r="D125" s="367" t="n"/>
      <c r="E125" s="367" t="n"/>
      <c r="F125" s="367" t="n"/>
      <c r="G125" s="368" t="n"/>
      <c r="H125" s="368" t="n"/>
      <c r="I125" s="1307" t="n"/>
      <c r="J125" s="1307" t="n"/>
      <c r="K125" s="1307" t="n"/>
      <c r="L125" s="1307" t="n"/>
      <c r="M125" s="1307" t="n"/>
      <c r="N125" s="1307" t="n"/>
      <c r="O125" s="1307" t="n"/>
      <c r="P125" s="1308" t="n"/>
      <c r="Q125" s="1307" t="n"/>
      <c r="R125" s="1307" t="n"/>
      <c r="S125" s="368" t="n"/>
      <c r="T125" s="368" t="n"/>
      <c r="U125" s="367" t="n"/>
    </row>
    <row r="126" ht="15" customFormat="1" customHeight="1" s="265">
      <c r="A126" s="364" t="n"/>
      <c r="B126" s="365" t="n"/>
      <c r="C126" s="366" t="n"/>
      <c r="D126" s="367" t="n"/>
      <c r="E126" s="367" t="n"/>
      <c r="F126" s="367" t="n"/>
      <c r="G126" s="368" t="n"/>
      <c r="H126" s="368" t="n"/>
      <c r="I126" s="1307" t="n"/>
      <c r="J126" s="1307" t="n"/>
      <c r="K126" s="1307" t="n"/>
      <c r="L126" s="1307" t="n"/>
      <c r="M126" s="1307" t="n"/>
      <c r="N126" s="1307" t="n"/>
      <c r="O126" s="1307" t="n"/>
      <c r="P126" s="1308" t="n"/>
      <c r="Q126" s="1307" t="n"/>
      <c r="R126" s="1307" t="n"/>
      <c r="S126" s="368" t="n"/>
      <c r="T126" s="368" t="n"/>
      <c r="U126" s="367" t="n"/>
    </row>
    <row r="127" ht="15" customFormat="1" customHeight="1" s="265">
      <c r="A127" s="364" t="n"/>
      <c r="B127" s="365" t="n"/>
      <c r="C127" s="366" t="n"/>
      <c r="D127" s="367" t="n"/>
      <c r="E127" s="367" t="n"/>
      <c r="F127" s="367" t="n"/>
      <c r="G127" s="368" t="n"/>
      <c r="H127" s="368" t="n"/>
      <c r="I127" s="1307" t="n"/>
      <c r="J127" s="1307" t="n"/>
      <c r="K127" s="1307" t="n"/>
      <c r="L127" s="1307" t="n"/>
      <c r="M127" s="1307" t="n"/>
      <c r="N127" s="1307" t="n"/>
      <c r="O127" s="1307" t="n"/>
      <c r="P127" s="1308" t="n"/>
      <c r="Q127" s="1307" t="n"/>
      <c r="R127" s="1307" t="n"/>
      <c r="S127" s="368" t="n"/>
      <c r="T127" s="368" t="n"/>
      <c r="U127" s="367" t="n"/>
    </row>
    <row r="128" ht="15" customFormat="1" customHeight="1" s="265">
      <c r="A128" s="364" t="n"/>
      <c r="B128" s="365" t="n"/>
      <c r="C128" s="366" t="n"/>
      <c r="D128" s="367" t="n"/>
      <c r="E128" s="367" t="n"/>
      <c r="F128" s="367" t="n"/>
      <c r="G128" s="368" t="n"/>
      <c r="H128" s="368" t="n"/>
      <c r="I128" s="1307" t="n"/>
      <c r="J128" s="1307" t="n"/>
      <c r="K128" s="1307" t="n"/>
      <c r="L128" s="1307" t="n"/>
      <c r="M128" s="1307" t="n"/>
      <c r="N128" s="1307" t="n"/>
      <c r="O128" s="1307" t="n"/>
      <c r="P128" s="1308" t="n"/>
      <c r="Q128" s="1307" t="n"/>
      <c r="R128" s="1307" t="n"/>
      <c r="S128" s="368" t="n"/>
      <c r="T128" s="368" t="n"/>
      <c r="U128" s="367" t="n"/>
    </row>
    <row r="129" ht="15" customFormat="1" customHeight="1" s="265">
      <c r="A129" s="364" t="n"/>
      <c r="B129" s="365" t="n"/>
      <c r="C129" s="366" t="n"/>
      <c r="D129" s="367" t="n"/>
      <c r="E129" s="367" t="n"/>
      <c r="F129" s="367" t="n"/>
      <c r="G129" s="368" t="n"/>
      <c r="H129" s="368" t="n"/>
      <c r="I129" s="1307" t="n"/>
      <c r="J129" s="1307" t="n"/>
      <c r="K129" s="1307" t="n"/>
      <c r="L129" s="1307" t="n"/>
      <c r="M129" s="1307" t="n"/>
      <c r="N129" s="1307" t="n"/>
      <c r="O129" s="1307" t="n"/>
      <c r="P129" s="1308" t="n"/>
      <c r="Q129" s="1307" t="n"/>
      <c r="R129" s="1307" t="n"/>
      <c r="S129" s="368" t="n"/>
      <c r="T129" s="368" t="n"/>
      <c r="U129" s="367" t="n"/>
    </row>
    <row r="130" ht="15" customFormat="1" customHeight="1" s="265">
      <c r="A130" s="364" t="n"/>
      <c r="B130" s="365" t="n"/>
      <c r="C130" s="366" t="n"/>
      <c r="D130" s="367" t="n"/>
      <c r="E130" s="367" t="n"/>
      <c r="F130" s="367" t="n"/>
      <c r="G130" s="368" t="n"/>
      <c r="H130" s="368" t="n"/>
      <c r="I130" s="1307" t="n"/>
      <c r="J130" s="1307" t="n"/>
      <c r="K130" s="1307" t="n"/>
      <c r="L130" s="1307" t="n"/>
      <c r="M130" s="1307" t="n"/>
      <c r="N130" s="1307" t="n"/>
      <c r="O130" s="1307" t="n"/>
      <c r="P130" s="1308" t="n"/>
      <c r="Q130" s="1307" t="n"/>
      <c r="R130" s="1307" t="n"/>
      <c r="S130" s="368" t="n"/>
      <c r="T130" s="368" t="n"/>
      <c r="U130" s="367" t="n"/>
    </row>
    <row r="131" ht="15" customFormat="1" customHeight="1" s="265">
      <c r="A131" s="364" t="n"/>
      <c r="B131" s="365" t="n"/>
      <c r="C131" s="366" t="n"/>
      <c r="D131" s="367" t="n"/>
      <c r="E131" s="367" t="n"/>
      <c r="F131" s="367" t="n"/>
      <c r="G131" s="368" t="n"/>
      <c r="H131" s="368" t="n"/>
      <c r="I131" s="1307" t="n"/>
      <c r="J131" s="1307" t="n"/>
      <c r="K131" s="1307" t="n"/>
      <c r="L131" s="1307" t="n"/>
      <c r="M131" s="1307" t="n"/>
      <c r="N131" s="1307" t="n"/>
      <c r="O131" s="1307" t="n"/>
      <c r="P131" s="1308" t="n"/>
      <c r="Q131" s="1307" t="n"/>
      <c r="R131" s="1307" t="n"/>
      <c r="S131" s="368" t="n"/>
      <c r="T131" s="368" t="n"/>
      <c r="U131" s="367" t="n"/>
    </row>
    <row r="132" ht="15" customFormat="1" customHeight="1" s="265">
      <c r="A132" s="364" t="n"/>
      <c r="B132" s="365" t="n"/>
      <c r="C132" s="366" t="n"/>
      <c r="D132" s="367" t="n"/>
      <c r="E132" s="367" t="n"/>
      <c r="F132" s="367" t="n"/>
      <c r="G132" s="368" t="n"/>
      <c r="H132" s="368" t="n"/>
      <c r="I132" s="1307" t="n"/>
      <c r="J132" s="1307" t="n"/>
      <c r="K132" s="1307" t="n"/>
      <c r="L132" s="1307" t="n"/>
      <c r="M132" s="1307" t="n"/>
      <c r="N132" s="1307" t="n"/>
      <c r="O132" s="1307" t="n"/>
      <c r="P132" s="1308" t="n"/>
      <c r="Q132" s="1307" t="n"/>
      <c r="R132" s="1307" t="n"/>
      <c r="S132" s="368" t="n"/>
      <c r="T132" s="368" t="n"/>
      <c r="U132" s="367" t="n"/>
    </row>
    <row r="133" ht="15" customFormat="1" customHeight="1" s="265">
      <c r="A133" s="364" t="n"/>
      <c r="B133" s="365" t="n"/>
      <c r="C133" s="366" t="n"/>
      <c r="D133" s="367" t="n"/>
      <c r="E133" s="367" t="n"/>
      <c r="F133" s="367" t="n"/>
      <c r="G133" s="368" t="n"/>
      <c r="H133" s="368" t="n"/>
      <c r="I133" s="1307" t="n"/>
      <c r="J133" s="1307" t="n"/>
      <c r="K133" s="1307" t="n"/>
      <c r="L133" s="1307" t="n"/>
      <c r="M133" s="1307" t="n"/>
      <c r="N133" s="1307" t="n"/>
      <c r="O133" s="1307" t="n"/>
      <c r="P133" s="1308" t="n"/>
      <c r="Q133" s="1307" t="n"/>
      <c r="R133" s="1307" t="n"/>
      <c r="S133" s="368" t="n"/>
      <c r="T133" s="368" t="n"/>
      <c r="U133" s="367" t="n"/>
    </row>
    <row r="134" ht="15" customFormat="1" customHeight="1" s="265">
      <c r="A134" s="364" t="n"/>
      <c r="B134" s="365" t="n"/>
      <c r="C134" s="366" t="n"/>
      <c r="D134" s="367" t="n"/>
      <c r="E134" s="367" t="n"/>
      <c r="F134" s="367" t="n"/>
      <c r="G134" s="368" t="n"/>
      <c r="H134" s="368" t="n"/>
      <c r="I134" s="1307" t="n"/>
      <c r="J134" s="1307" t="n"/>
      <c r="K134" s="1307" t="n"/>
      <c r="L134" s="1307" t="n"/>
      <c r="M134" s="1307" t="n"/>
      <c r="N134" s="1307" t="n"/>
      <c r="O134" s="1307" t="n"/>
      <c r="P134" s="1308" t="n"/>
      <c r="Q134" s="1307" t="n"/>
      <c r="R134" s="1307" t="n"/>
      <c r="S134" s="368" t="n"/>
      <c r="T134" s="368" t="n"/>
      <c r="U134" s="367" t="n"/>
    </row>
    <row r="135" ht="15" customFormat="1" customHeight="1" s="265">
      <c r="A135" s="364" t="n"/>
      <c r="B135" s="365" t="n"/>
      <c r="C135" s="366" t="n"/>
      <c r="D135" s="367" t="n"/>
      <c r="E135" s="367" t="n"/>
      <c r="F135" s="367" t="n"/>
      <c r="G135" s="368" t="n"/>
      <c r="H135" s="368" t="n"/>
      <c r="I135" s="1307" t="n"/>
      <c r="J135" s="1307" t="n"/>
      <c r="K135" s="1307" t="n"/>
      <c r="L135" s="1307" t="n"/>
      <c r="M135" s="1307" t="n"/>
      <c r="N135" s="1307" t="n"/>
      <c r="O135" s="1307" t="n"/>
      <c r="P135" s="1308" t="n"/>
      <c r="Q135" s="1307" t="n"/>
      <c r="R135" s="1307" t="n"/>
      <c r="S135" s="368" t="n"/>
      <c r="T135" s="368" t="n"/>
      <c r="U135" s="367" t="n"/>
    </row>
    <row r="136" ht="15" customFormat="1" customHeight="1" s="265">
      <c r="A136" s="364" t="n"/>
      <c r="B136" s="365" t="n"/>
      <c r="C136" s="366" t="n"/>
      <c r="D136" s="367" t="n"/>
      <c r="E136" s="367" t="n"/>
      <c r="F136" s="367" t="n"/>
      <c r="G136" s="368" t="n"/>
      <c r="H136" s="368" t="n"/>
      <c r="I136" s="1307" t="n"/>
      <c r="J136" s="1307" t="n"/>
      <c r="K136" s="1307" t="n"/>
      <c r="L136" s="1307" t="n"/>
      <c r="M136" s="1307" t="n"/>
      <c r="N136" s="1307" t="n"/>
      <c r="O136" s="1307" t="n"/>
      <c r="P136" s="1308" t="n"/>
      <c r="Q136" s="1307" t="n"/>
      <c r="R136" s="1307" t="n"/>
      <c r="S136" s="368" t="n"/>
      <c r="T136" s="368" t="n"/>
      <c r="U136" s="367" t="n"/>
    </row>
    <row r="137" ht="15" customFormat="1" customHeight="1" s="265">
      <c r="A137" s="364" t="n"/>
      <c r="B137" s="365" t="n"/>
      <c r="C137" s="366" t="n"/>
      <c r="D137" s="367" t="n"/>
      <c r="E137" s="367" t="n"/>
      <c r="F137" s="367" t="n"/>
      <c r="G137" s="368" t="n"/>
      <c r="H137" s="368" t="n"/>
      <c r="I137" s="1307" t="n"/>
      <c r="J137" s="1307" t="n"/>
      <c r="K137" s="1307" t="n"/>
      <c r="L137" s="1307" t="n"/>
      <c r="M137" s="1307" t="n"/>
      <c r="N137" s="1307" t="n"/>
      <c r="O137" s="1307" t="n"/>
      <c r="P137" s="1308" t="n"/>
      <c r="Q137" s="1307" t="n"/>
      <c r="R137" s="1307" t="n"/>
      <c r="S137" s="368" t="n"/>
      <c r="T137" s="368" t="n"/>
      <c r="U137" s="367" t="n"/>
    </row>
    <row r="138" ht="15" customFormat="1" customHeight="1" s="265">
      <c r="A138" s="364" t="n"/>
      <c r="B138" s="365" t="n"/>
      <c r="C138" s="366" t="n"/>
      <c r="D138" s="367" t="n"/>
      <c r="E138" s="367" t="n"/>
      <c r="F138" s="367" t="n"/>
      <c r="G138" s="368" t="n"/>
      <c r="H138" s="368" t="n"/>
      <c r="I138" s="1307" t="n"/>
      <c r="J138" s="1307" t="n"/>
      <c r="K138" s="1307" t="n"/>
      <c r="L138" s="1307" t="n"/>
      <c r="M138" s="1307" t="n"/>
      <c r="N138" s="1307" t="n"/>
      <c r="O138" s="1307" t="n"/>
      <c r="P138" s="1308" t="n"/>
      <c r="Q138" s="1307" t="n"/>
      <c r="R138" s="1307" t="n"/>
      <c r="S138" s="368" t="n"/>
      <c r="T138" s="368" t="n"/>
      <c r="U138" s="367" t="n"/>
    </row>
    <row r="139" ht="15" customFormat="1" customHeight="1" s="265">
      <c r="A139" s="364" t="n"/>
      <c r="B139" s="365" t="n"/>
      <c r="C139" s="366" t="n"/>
      <c r="D139" s="367" t="n"/>
      <c r="E139" s="367" t="n"/>
      <c r="F139" s="367" t="n"/>
      <c r="G139" s="368" t="n"/>
      <c r="H139" s="368" t="n"/>
      <c r="I139" s="1307" t="n"/>
      <c r="J139" s="1307" t="n"/>
      <c r="K139" s="1307" t="n"/>
      <c r="L139" s="1307" t="n"/>
      <c r="M139" s="1307" t="n"/>
      <c r="N139" s="1307" t="n"/>
      <c r="O139" s="1307" t="n"/>
      <c r="P139" s="1308" t="n"/>
      <c r="Q139" s="1307" t="n"/>
      <c r="R139" s="1307" t="n"/>
      <c r="S139" s="368" t="n"/>
      <c r="T139" s="368" t="n"/>
      <c r="U139" s="367" t="n"/>
    </row>
    <row r="140" ht="15" customFormat="1" customHeight="1" s="265">
      <c r="A140" s="364" t="n"/>
      <c r="B140" s="365" t="n"/>
      <c r="C140" s="366" t="n"/>
      <c r="D140" s="367" t="n"/>
      <c r="E140" s="367" t="n"/>
      <c r="F140" s="367" t="n"/>
      <c r="G140" s="368" t="n"/>
      <c r="H140" s="368" t="n"/>
      <c r="I140" s="1307" t="n"/>
      <c r="J140" s="1307" t="n"/>
      <c r="K140" s="1307" t="n"/>
      <c r="L140" s="1307" t="n"/>
      <c r="M140" s="1307" t="n"/>
      <c r="N140" s="1307" t="n"/>
      <c r="O140" s="1307" t="n"/>
      <c r="P140" s="1308" t="n"/>
      <c r="Q140" s="1307" t="n"/>
      <c r="R140" s="1307" t="n"/>
      <c r="S140" s="368" t="n"/>
      <c r="T140" s="368" t="n"/>
      <c r="U140" s="367" t="n"/>
    </row>
    <row r="141" ht="15" customFormat="1" customHeight="1" s="265">
      <c r="A141" s="364" t="n"/>
      <c r="B141" s="365" t="n"/>
      <c r="C141" s="366" t="n"/>
      <c r="D141" s="367" t="n"/>
      <c r="E141" s="367" t="n"/>
      <c r="F141" s="367" t="n"/>
      <c r="G141" s="368" t="n"/>
      <c r="H141" s="368" t="n"/>
      <c r="I141" s="1307" t="n"/>
      <c r="J141" s="1307" t="n"/>
      <c r="K141" s="1307" t="n"/>
      <c r="L141" s="1307" t="n"/>
      <c r="M141" s="1307" t="n"/>
      <c r="N141" s="1307" t="n"/>
      <c r="O141" s="1307" t="n"/>
      <c r="P141" s="1308" t="n"/>
      <c r="Q141" s="1307" t="n"/>
      <c r="R141" s="1307" t="n"/>
      <c r="S141" s="368" t="n"/>
      <c r="T141" s="368" t="n"/>
      <c r="U141" s="367" t="n"/>
    </row>
    <row r="142" ht="15" customFormat="1" customHeight="1" s="265">
      <c r="A142" s="364" t="n"/>
      <c r="B142" s="365" t="n"/>
      <c r="C142" s="366" t="n"/>
      <c r="D142" s="367" t="n"/>
      <c r="E142" s="367" t="n"/>
      <c r="F142" s="367" t="n"/>
      <c r="G142" s="368" t="n"/>
      <c r="H142" s="368" t="n"/>
      <c r="I142" s="1307" t="n"/>
      <c r="J142" s="1307" t="n"/>
      <c r="K142" s="1307" t="n"/>
      <c r="L142" s="1307" t="n"/>
      <c r="M142" s="1307" t="n"/>
      <c r="N142" s="1307" t="n"/>
      <c r="O142" s="1307" t="n"/>
      <c r="P142" s="1308" t="n"/>
      <c r="Q142" s="1307" t="n"/>
      <c r="R142" s="1307" t="n"/>
      <c r="S142" s="368" t="n"/>
      <c r="T142" s="368" t="n"/>
      <c r="U142" s="367" t="n"/>
    </row>
    <row r="143" ht="15" customFormat="1" customHeight="1" s="265">
      <c r="A143" s="364" t="n"/>
      <c r="B143" s="365" t="n"/>
      <c r="C143" s="366" t="n"/>
      <c r="D143" s="367" t="n"/>
      <c r="E143" s="367" t="n"/>
      <c r="F143" s="367" t="n"/>
      <c r="G143" s="368" t="n"/>
      <c r="H143" s="368" t="n"/>
      <c r="I143" s="1307" t="n"/>
      <c r="J143" s="1307" t="n"/>
      <c r="K143" s="1307" t="n"/>
      <c r="L143" s="1307" t="n"/>
      <c r="M143" s="1307" t="n"/>
      <c r="N143" s="1307" t="n"/>
      <c r="O143" s="1307" t="n"/>
      <c r="P143" s="1308" t="n"/>
      <c r="Q143" s="1307" t="n"/>
      <c r="R143" s="1307" t="n"/>
      <c r="S143" s="368" t="n"/>
      <c r="T143" s="368" t="n"/>
      <c r="U143" s="367" t="n"/>
    </row>
    <row r="144" ht="15" customFormat="1" customHeight="1" s="265">
      <c r="A144" s="364" t="n"/>
      <c r="B144" s="365" t="n"/>
      <c r="C144" s="366" t="n"/>
      <c r="D144" s="367" t="n"/>
      <c r="E144" s="367" t="n"/>
      <c r="F144" s="367" t="n"/>
      <c r="G144" s="368" t="n"/>
      <c r="H144" s="368" t="n"/>
      <c r="I144" s="1307" t="n"/>
      <c r="J144" s="1307" t="n"/>
      <c r="K144" s="1307" t="n"/>
      <c r="L144" s="1307" t="n"/>
      <c r="M144" s="1307" t="n"/>
      <c r="N144" s="1307" t="n"/>
      <c r="O144" s="1307" t="n"/>
      <c r="P144" s="1308" t="n"/>
      <c r="Q144" s="1307" t="n"/>
      <c r="R144" s="1307" t="n"/>
      <c r="S144" s="368" t="n"/>
      <c r="T144" s="368" t="n"/>
      <c r="U144" s="367" t="n"/>
    </row>
    <row r="145" ht="15" customFormat="1" customHeight="1" s="265">
      <c r="A145" s="364" t="n"/>
      <c r="B145" s="365" t="n"/>
      <c r="C145" s="366" t="n"/>
      <c r="D145" s="367" t="n"/>
      <c r="E145" s="367" t="n"/>
      <c r="F145" s="367" t="n"/>
      <c r="G145" s="368" t="n"/>
      <c r="H145" s="368" t="n"/>
      <c r="I145" s="1307" t="n"/>
      <c r="J145" s="1307" t="n"/>
      <c r="K145" s="1307" t="n"/>
      <c r="L145" s="1307" t="n"/>
      <c r="M145" s="1307" t="n"/>
      <c r="N145" s="1307" t="n"/>
      <c r="O145" s="1307" t="n"/>
      <c r="P145" s="1308" t="n"/>
      <c r="Q145" s="1307" t="n"/>
      <c r="R145" s="1307" t="n"/>
      <c r="S145" s="368" t="n"/>
      <c r="T145" s="368" t="n"/>
      <c r="U145" s="367" t="n"/>
    </row>
    <row r="146">
      <c r="A146" s="226" t="n"/>
      <c r="U146" s="497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topLeftCell="A152" zoomScale="89" zoomScaleNormal="89" workbookViewId="0">
      <selection activeCell="H175" sqref="H175"/>
    </sheetView>
  </sheetViews>
  <sheetFormatPr baseColWidth="10" defaultColWidth="8.88671875" defaultRowHeight="14.4"/>
  <cols>
    <col width="15.77734375" customWidth="1" style="1062" min="1" max="1"/>
    <col width="26" customWidth="1" style="1062" min="2" max="2"/>
    <col width="25.77734375" customWidth="1" style="1062" min="3" max="3"/>
    <col width="40" customWidth="1" style="1062" min="4" max="4"/>
    <col width="15.77734375" customWidth="1" style="600" min="5" max="5"/>
    <col width="15.77734375" customWidth="1" style="1062" min="6" max="8"/>
  </cols>
  <sheetData>
    <row r="1" ht="40.05" customFormat="1" customHeight="1" s="665">
      <c r="A1" s="672" t="n"/>
      <c r="C1" s="585" t="inlineStr">
        <is>
          <t>CATÁLOGO MAESTRO DE ACTIVIDADES</t>
        </is>
      </c>
    </row>
    <row r="2" ht="4.95" customFormat="1" customHeight="1" s="665">
      <c r="C2" s="685" t="n"/>
      <c r="D2" s="685" t="n"/>
      <c r="E2" s="685" t="n"/>
      <c r="F2" s="685" t="n"/>
      <c r="G2" s="685" t="n"/>
      <c r="H2" s="685" t="n"/>
    </row>
    <row r="3" ht="15" customHeight="1" s="1062">
      <c r="C3" s="594" t="n"/>
      <c r="E3" s="554" t="n"/>
      <c r="F3" s="664" t="inlineStr">
        <is>
          <t>CONTROL DOCUMENTAL</t>
        </is>
      </c>
    </row>
    <row r="4" ht="15" customHeight="1" s="1062">
      <c r="C4" s="594" t="inlineStr">
        <is>
          <t>REFORMAS Y REMODELACIONES</t>
        </is>
      </c>
      <c r="E4" s="554" t="n"/>
      <c r="F4" s="262" t="inlineStr">
        <is>
          <t>Código</t>
        </is>
      </c>
      <c r="G4" s="667" t="inlineStr">
        <is>
          <t>RYR-CO-002</t>
        </is>
      </c>
    </row>
    <row r="5" ht="15" customHeight="1" s="1062">
      <c r="C5" s="670" t="inlineStr">
        <is>
          <t>DISEÑAMOS, RENOVAMOS Y CONSTRUIMOS ESPACIOS QUE INSPIRAN</t>
        </is>
      </c>
      <c r="E5" s="554" t="n"/>
      <c r="F5" s="260" t="inlineStr">
        <is>
          <t>Versión</t>
        </is>
      </c>
      <c r="G5" s="667" t="n">
        <v>1</v>
      </c>
    </row>
    <row r="6" ht="15" customHeight="1" s="1062">
      <c r="C6" s="670" t="n"/>
      <c r="E6" s="554" t="n"/>
      <c r="F6" s="260" t="inlineStr">
        <is>
          <t>Fecha de Emisión</t>
        </is>
      </c>
      <c r="G6" s="667" t="inlineStr">
        <is>
          <t>10/09/2026</t>
        </is>
      </c>
    </row>
    <row r="7" ht="15" customHeight="1" s="1062">
      <c r="C7" s="670" t="n"/>
      <c r="E7" s="554" t="n"/>
      <c r="F7" s="261" t="inlineStr">
        <is>
          <t>Página</t>
        </is>
      </c>
      <c r="G7" s="667" t="inlineStr">
        <is>
          <t>1 de 1</t>
        </is>
      </c>
    </row>
    <row r="8" ht="15" customFormat="1" customHeight="1" s="669">
      <c r="A8" s="668" t="inlineStr">
        <is>
          <t>CATÁLOGO MAESTRO DE ACTIVIDADES — REFORMAS Y REMODELACIONES</t>
        </is>
      </c>
      <c r="I8" s="628" t="n"/>
    </row>
    <row r="9" ht="15" customFormat="1" customHeight="1" s="666">
      <c r="A9" s="266" t="n"/>
      <c r="B9" s="266" t="n"/>
      <c r="C9" s="266" t="n"/>
      <c r="D9" s="266" t="n"/>
      <c r="E9" s="267" t="n"/>
      <c r="F9" s="266" t="n"/>
    </row>
    <row r="10" ht="15" customFormat="1" customHeight="1" s="669">
      <c r="A10" s="671" t="inlineStr">
        <is>
          <t>CÓD. ACTIVIDAD</t>
        </is>
      </c>
      <c r="B10" s="671" t="inlineStr">
        <is>
          <t>SUBCAPÍTULO</t>
        </is>
      </c>
      <c r="C10" s="671" t="inlineStr">
        <is>
          <t>GRUPO</t>
        </is>
      </c>
      <c r="D10" s="671" t="inlineStr">
        <is>
          <t>ACTIVIDAD ESPECÍFICA</t>
        </is>
      </c>
      <c r="E10" s="671" t="inlineStr">
        <is>
          <t>UNIDAD</t>
        </is>
      </c>
      <c r="F10" s="671" t="inlineStr">
        <is>
          <t>MÉTODO SUGERIDO</t>
        </is>
      </c>
    </row>
    <row r="11" ht="15" customFormat="1" customHeight="1" s="268">
      <c r="A11" s="1309" t="inlineStr">
        <is>
          <t>01  |  PRELIMINARES</t>
        </is>
      </c>
      <c r="B11" s="545" t="n"/>
      <c r="C11" s="545" t="n"/>
      <c r="D11" s="545" t="n"/>
      <c r="E11" s="545" t="n"/>
      <c r="F11" s="545" t="n"/>
      <c r="G11" s="545" t="n"/>
      <c r="H11" s="1023" t="n"/>
    </row>
    <row r="12" ht="15" customFormat="1" customHeight="1" s="268">
      <c r="A12" s="500" t="inlineStr">
        <is>
          <t>01.01.01</t>
        </is>
      </c>
      <c r="B12" s="501" t="inlineStr">
        <is>
          <t>Preliminares generales</t>
        </is>
      </c>
      <c r="C12" s="501" t="inlineStr">
        <is>
          <t>Localización y replanteo</t>
        </is>
      </c>
      <c r="D12" s="501" t="inlineStr">
        <is>
          <t>Replanteo general de ejes y niveles</t>
        </is>
      </c>
      <c r="E12" s="502" t="inlineStr">
        <is>
          <t>ml</t>
        </is>
      </c>
      <c r="F12" s="501" t="inlineStr">
        <is>
          <t>Longitud × N° elementos × repeticiones − deducciones</t>
        </is>
      </c>
      <c r="G12" s="662" t="n"/>
      <c r="H12" s="663" t="n"/>
    </row>
    <row r="13" ht="15" customFormat="1" customHeight="1" s="268">
      <c r="A13" s="500" t="inlineStr">
        <is>
          <t>01.01.02</t>
        </is>
      </c>
      <c r="B13" s="501" t="inlineStr">
        <is>
          <t>Preliminares generales</t>
        </is>
      </c>
      <c r="C13" s="501" t="inlineStr">
        <is>
          <t>Cerramiento provisional</t>
        </is>
      </c>
      <c r="D13" s="501" t="inlineStr">
        <is>
          <t>Cerramiento provisional de obra</t>
        </is>
      </c>
      <c r="E13" s="502" t="inlineStr">
        <is>
          <t>ml</t>
        </is>
      </c>
      <c r="F13" s="501" t="inlineStr">
        <is>
          <t>Longitud × N° elementos × repeticiones − deducciones</t>
        </is>
      </c>
      <c r="G13" s="662" t="n"/>
      <c r="H13" s="663" t="n"/>
    </row>
    <row r="14" ht="15" customFormat="1" customHeight="1" s="268">
      <c r="A14" s="500" t="inlineStr">
        <is>
          <t>01.01.03</t>
        </is>
      </c>
      <c r="B14" s="501" t="inlineStr">
        <is>
          <t>Preliminares generales</t>
        </is>
      </c>
      <c r="C14" s="501" t="inlineStr">
        <is>
          <t>Campamento</t>
        </is>
      </c>
      <c r="D14" s="501" t="inlineStr">
        <is>
          <t>Instalación de campamento y oficinas provisionales</t>
        </is>
      </c>
      <c r="E14" s="502" t="inlineStr">
        <is>
          <t>m²</t>
        </is>
      </c>
      <c r="F14" s="501" t="inlineStr">
        <is>
          <t>Largo × Ancho × N° elementos × repeticiones − deducciones</t>
        </is>
      </c>
      <c r="G14" s="662" t="n"/>
      <c r="H14" s="663" t="n"/>
    </row>
    <row r="15" ht="15" customFormat="1" customHeight="1" s="268">
      <c r="A15" s="500" t="inlineStr">
        <is>
          <t>01.01.04</t>
        </is>
      </c>
      <c r="B15" s="501" t="inlineStr">
        <is>
          <t>Preliminares generales</t>
        </is>
      </c>
      <c r="C15" s="501" t="inlineStr">
        <is>
          <t>Almacenamiento</t>
        </is>
      </c>
      <c r="D15" s="501" t="inlineStr">
        <is>
          <t>Adecuación de área de almacenamiento</t>
        </is>
      </c>
      <c r="E15" s="502" t="inlineStr">
        <is>
          <t>m²</t>
        </is>
      </c>
      <c r="F15" s="501" t="inlineStr">
        <is>
          <t>Largo × Ancho × N° elementos × repeticiones − deducciones</t>
        </is>
      </c>
      <c r="G15" s="662" t="n"/>
      <c r="H15" s="663" t="n"/>
    </row>
    <row r="16" ht="15" customFormat="1" customHeight="1" s="268">
      <c r="A16" s="500" t="inlineStr">
        <is>
          <t>01.01.05</t>
        </is>
      </c>
      <c r="B16" s="501" t="inlineStr">
        <is>
          <t>Preliminares generales</t>
        </is>
      </c>
      <c r="C16" s="501" t="inlineStr">
        <is>
          <t>Señalización</t>
        </is>
      </c>
      <c r="D16" s="501" t="inlineStr">
        <is>
          <t>Señalización preventiva e informativa de obra</t>
        </is>
      </c>
      <c r="E16" s="502" t="inlineStr">
        <is>
          <t>und</t>
        </is>
      </c>
      <c r="F16" s="501" t="inlineStr">
        <is>
          <t>N° elementos × repeticiones − deducciones</t>
        </is>
      </c>
      <c r="G16" s="662" t="n"/>
      <c r="H16" s="663" t="n"/>
    </row>
    <row r="17" ht="15" customFormat="1" customHeight="1" s="268">
      <c r="A17" s="500" t="inlineStr">
        <is>
          <t>01.01.06</t>
        </is>
      </c>
      <c r="B17" s="501" t="inlineStr">
        <is>
          <t>Preliminares generales</t>
        </is>
      </c>
      <c r="C17" s="501" t="inlineStr">
        <is>
          <t>Servicios provisionales</t>
        </is>
      </c>
      <c r="D17" s="501" t="inlineStr">
        <is>
          <t>Instalaciones provisionales de agua y energía</t>
        </is>
      </c>
      <c r="E17" s="502" t="inlineStr">
        <is>
          <t>gl</t>
        </is>
      </c>
      <c r="F17" s="501" t="inlineStr">
        <is>
          <t>Según alcance contractual / presupuesto</t>
        </is>
      </c>
      <c r="G17" s="662" t="n"/>
      <c r="H17" s="663" t="n"/>
    </row>
    <row r="18" ht="15" customFormat="1" customHeight="1" s="268">
      <c r="A18" s="500" t="inlineStr">
        <is>
          <t>01.01.07</t>
        </is>
      </c>
      <c r="B18" s="501" t="inlineStr">
        <is>
          <t>Preliminares generales</t>
        </is>
      </c>
      <c r="C18" s="501" t="inlineStr">
        <is>
          <t>Protecciones</t>
        </is>
      </c>
      <c r="D18" s="501" t="inlineStr">
        <is>
          <t>Protección de elementos existentes</t>
        </is>
      </c>
      <c r="E18" s="502" t="inlineStr">
        <is>
          <t>m²</t>
        </is>
      </c>
      <c r="F18" s="501" t="inlineStr">
        <is>
          <t>Largo × Ancho × N° elementos × repeticiones − deducciones</t>
        </is>
      </c>
      <c r="G18" s="662" t="n"/>
      <c r="H18" s="663" t="n"/>
    </row>
    <row r="19" ht="15" customFormat="1" customHeight="1" s="268">
      <c r="A19" s="500" t="inlineStr">
        <is>
          <t>01.01.08</t>
        </is>
      </c>
      <c r="B19" s="501" t="inlineStr">
        <is>
          <t>Preliminares generales</t>
        </is>
      </c>
      <c r="C19" s="501" t="inlineStr">
        <is>
          <t>Desmonte</t>
        </is>
      </c>
      <c r="D19" s="501" t="inlineStr">
        <is>
          <t>Desmonte y limpieza inicial</t>
        </is>
      </c>
      <c r="E19" s="502" t="inlineStr">
        <is>
          <t>m²</t>
        </is>
      </c>
      <c r="F19" s="501" t="inlineStr">
        <is>
          <t>Largo × Ancho × N° elementos × repeticiones − deducciones</t>
        </is>
      </c>
      <c r="G19" s="662" t="n"/>
      <c r="H19" s="663" t="n"/>
    </row>
    <row r="20" ht="15" customFormat="1" customHeight="1" s="268">
      <c r="A20" s="500" t="inlineStr">
        <is>
          <t>01.01.09</t>
        </is>
      </c>
      <c r="B20" s="501" t="inlineStr">
        <is>
          <t>Preliminares generales</t>
        </is>
      </c>
      <c r="C20" s="501" t="inlineStr">
        <is>
          <t>Demoliciones</t>
        </is>
      </c>
      <c r="D20" s="501" t="inlineStr">
        <is>
          <t>Demoliciones preliminares</t>
        </is>
      </c>
      <c r="E20" s="502" t="inlineStr">
        <is>
          <t>m³</t>
        </is>
      </c>
      <c r="F20" s="501" t="inlineStr">
        <is>
          <t>Largo × Ancho × Alto/Prof. × N° elementos × repeticiones − deducciones</t>
        </is>
      </c>
      <c r="G20" s="662" t="n"/>
      <c r="H20" s="663" t="n"/>
    </row>
    <row r="21" ht="15" customFormat="1" customHeight="1" s="268">
      <c r="A21" s="1309" t="inlineStr">
        <is>
          <t>02  |  MOVIMIENTO DE TIERRAS</t>
        </is>
      </c>
      <c r="B21" s="545" t="n"/>
      <c r="C21" s="545" t="n"/>
      <c r="D21" s="545" t="n"/>
      <c r="E21" s="545" t="n"/>
      <c r="F21" s="545" t="n"/>
      <c r="G21" s="545" t="n"/>
      <c r="H21" s="1023" t="n"/>
    </row>
    <row r="22" ht="15" customFormat="1" customHeight="1" s="268">
      <c r="A22" s="500" t="inlineStr">
        <is>
          <t>02.01.01</t>
        </is>
      </c>
      <c r="B22" s="501" t="inlineStr">
        <is>
          <t>Excavaciones</t>
        </is>
      </c>
      <c r="C22" s="501" t="inlineStr">
        <is>
          <t>Excavación manual</t>
        </is>
      </c>
      <c r="D22" s="501" t="inlineStr">
        <is>
          <t>Excavación manual en material común</t>
        </is>
      </c>
      <c r="E22" s="502" t="inlineStr">
        <is>
          <t>m³</t>
        </is>
      </c>
      <c r="F22" s="501" t="inlineStr">
        <is>
          <t>Largo × Ancho × Alto/Prof. × N° elementos × repeticiones − deducciones</t>
        </is>
      </c>
      <c r="G22" s="662" t="n"/>
      <c r="H22" s="663" t="n"/>
    </row>
    <row r="23" ht="15" customFormat="1" customHeight="1" s="268">
      <c r="A23" s="500" t="inlineStr">
        <is>
          <t>02.01.02</t>
        </is>
      </c>
      <c r="B23" s="501" t="inlineStr">
        <is>
          <t>Excavaciones</t>
        </is>
      </c>
      <c r="C23" s="501" t="inlineStr">
        <is>
          <t>Excavación mecánica</t>
        </is>
      </c>
      <c r="D23" s="501" t="inlineStr">
        <is>
          <t>Excavación mecánica</t>
        </is>
      </c>
      <c r="E23" s="502" t="inlineStr">
        <is>
          <t>m³</t>
        </is>
      </c>
      <c r="F23" s="501" t="inlineStr">
        <is>
          <t>Largo × Ancho × Alto/Prof. × N° elementos × repeticiones − deducciones</t>
        </is>
      </c>
      <c r="G23" s="662" t="n"/>
      <c r="H23" s="663" t="n"/>
    </row>
    <row r="24" ht="15" customFormat="1" customHeight="1" s="268">
      <c r="A24" s="500" t="inlineStr">
        <is>
          <t>02.01.03</t>
        </is>
      </c>
      <c r="B24" s="501" t="inlineStr">
        <is>
          <t>Excavaciones</t>
        </is>
      </c>
      <c r="C24" s="501" t="inlineStr">
        <is>
          <t>Excavación en roca</t>
        </is>
      </c>
      <c r="D24" s="501" t="inlineStr">
        <is>
          <t>Excavación en roca</t>
        </is>
      </c>
      <c r="E24" s="502" t="inlineStr">
        <is>
          <t>m³</t>
        </is>
      </c>
      <c r="F24" s="501" t="inlineStr">
        <is>
          <t>Largo × Ancho × Alto/Prof. × N° elementos × repeticiones − deducciones</t>
        </is>
      </c>
      <c r="G24" s="662" t="n"/>
      <c r="H24" s="663" t="n"/>
    </row>
    <row r="25" ht="15" customFormat="1" customHeight="1" s="268">
      <c r="A25" s="500" t="inlineStr">
        <is>
          <t>02.01.04</t>
        </is>
      </c>
      <c r="B25" s="501" t="inlineStr">
        <is>
          <t>Excavaciones</t>
        </is>
      </c>
      <c r="C25" s="501" t="inlineStr">
        <is>
          <t>Perfilado</t>
        </is>
      </c>
      <c r="D25" s="501" t="inlineStr">
        <is>
          <t>Perfilado y conformación de excavaciones</t>
        </is>
      </c>
      <c r="E25" s="502" t="inlineStr">
        <is>
          <t>m²</t>
        </is>
      </c>
      <c r="F25" s="501" t="inlineStr">
        <is>
          <t>Largo × Ancho × N° elementos × repeticiones − deducciones</t>
        </is>
      </c>
      <c r="G25" s="662" t="n"/>
      <c r="H25" s="663" t="n"/>
    </row>
    <row r="26" ht="15" customFormat="1" customHeight="1" s="268">
      <c r="A26" s="500" t="inlineStr">
        <is>
          <t>02.02.01</t>
        </is>
      </c>
      <c r="B26" s="501" t="inlineStr">
        <is>
          <t>Rellenos</t>
        </is>
      </c>
      <c r="C26" s="501" t="inlineStr">
        <is>
          <t>Relleno seleccionado</t>
        </is>
      </c>
      <c r="D26" s="501" t="inlineStr">
        <is>
          <t>Relleno con material seleccionado compactado</t>
        </is>
      </c>
      <c r="E26" s="502" t="inlineStr">
        <is>
          <t>m³</t>
        </is>
      </c>
      <c r="F26" s="501" t="inlineStr">
        <is>
          <t>Largo × Ancho × Alto/Prof. × N° elementos × repeticiones − deducciones</t>
        </is>
      </c>
      <c r="G26" s="662" t="n"/>
      <c r="H26" s="663" t="n"/>
    </row>
    <row r="27" ht="15" customFormat="1" customHeight="1" s="268">
      <c r="A27" s="500" t="inlineStr">
        <is>
          <t>02.02.02</t>
        </is>
      </c>
      <c r="B27" s="501" t="inlineStr">
        <is>
          <t>Rellenos</t>
        </is>
      </c>
      <c r="C27" s="501" t="inlineStr">
        <is>
          <t>Relleno material excavación</t>
        </is>
      </c>
      <c r="D27" s="501" t="inlineStr">
        <is>
          <t>Relleno con material proveniente de excavación</t>
        </is>
      </c>
      <c r="E27" s="502" t="inlineStr">
        <is>
          <t>m³</t>
        </is>
      </c>
      <c r="F27" s="501" t="inlineStr">
        <is>
          <t>Largo × Ancho × Alto/Prof. × N° elementos × repeticiones − deducciones</t>
        </is>
      </c>
      <c r="G27" s="662" t="n"/>
      <c r="H27" s="663" t="n"/>
    </row>
    <row r="28" ht="15" customFormat="1" customHeight="1" s="268">
      <c r="A28" s="500" t="inlineStr">
        <is>
          <t>02.02.03</t>
        </is>
      </c>
      <c r="B28" s="501" t="inlineStr">
        <is>
          <t>Rellenos</t>
        </is>
      </c>
      <c r="C28" s="501" t="inlineStr">
        <is>
          <t>Subbase</t>
        </is>
      </c>
      <c r="D28" s="501" t="inlineStr">
        <is>
          <t>Suministro, extendido y compactación de subbase</t>
        </is>
      </c>
      <c r="E28" s="502" t="inlineStr">
        <is>
          <t>m³</t>
        </is>
      </c>
      <c r="F28" s="501" t="inlineStr">
        <is>
          <t>Largo × Ancho × Alto/Prof. × N° elementos × repeticiones − deducciones</t>
        </is>
      </c>
      <c r="G28" s="662" t="n"/>
      <c r="H28" s="663" t="n"/>
    </row>
    <row r="29" ht="15" customFormat="1" customHeight="1" s="268">
      <c r="A29" s="500" t="inlineStr">
        <is>
          <t>02.02.04</t>
        </is>
      </c>
      <c r="B29" s="501" t="inlineStr">
        <is>
          <t>Rellenos</t>
        </is>
      </c>
      <c r="C29" s="501" t="inlineStr">
        <is>
          <t>Base granular</t>
        </is>
      </c>
      <c r="D29" s="501" t="inlineStr">
        <is>
          <t>Suministro, extendido y compactación de base granular</t>
        </is>
      </c>
      <c r="E29" s="502" t="inlineStr">
        <is>
          <t>m³</t>
        </is>
      </c>
      <c r="F29" s="501" t="inlineStr">
        <is>
          <t>Largo × Ancho × Alto/Prof. × N° elementos × repeticiones − deducciones</t>
        </is>
      </c>
      <c r="G29" s="662" t="n"/>
      <c r="H29" s="663" t="n"/>
    </row>
    <row r="30" ht="15" customFormat="1" customHeight="1" s="268">
      <c r="A30" s="500" t="inlineStr">
        <is>
          <t>02.03.01</t>
        </is>
      </c>
      <c r="B30" s="501" t="inlineStr">
        <is>
          <t>Retiro</t>
        </is>
      </c>
      <c r="C30" s="501" t="inlineStr">
        <is>
          <t>Cargue</t>
        </is>
      </c>
      <c r="D30" s="501" t="inlineStr">
        <is>
          <t>Cargue de material sobrante</t>
        </is>
      </c>
      <c r="E30" s="502" t="inlineStr">
        <is>
          <t>m³</t>
        </is>
      </c>
      <c r="F30" s="501" t="inlineStr">
        <is>
          <t>Largo × Ancho × Alto/Prof. × N° elementos × repeticiones − deducciones</t>
        </is>
      </c>
      <c r="G30" s="662" t="n"/>
      <c r="H30" s="663" t="n"/>
    </row>
    <row r="31" ht="15" customFormat="1" customHeight="1" s="268">
      <c r="A31" s="500" t="inlineStr">
        <is>
          <t>02.03.02</t>
        </is>
      </c>
      <c r="B31" s="501" t="inlineStr">
        <is>
          <t>Retiro</t>
        </is>
      </c>
      <c r="C31" s="501" t="inlineStr">
        <is>
          <t>Transporte</t>
        </is>
      </c>
      <c r="D31" s="501" t="inlineStr">
        <is>
          <t>Transporte de material sobrante</t>
        </is>
      </c>
      <c r="E31" s="502" t="inlineStr">
        <is>
          <t>m³</t>
        </is>
      </c>
      <c r="F31" s="501" t="inlineStr">
        <is>
          <t>Largo × Ancho × Alto/Prof. × N° elementos × repeticiones − deducciones</t>
        </is>
      </c>
      <c r="G31" s="662" t="n"/>
      <c r="H31" s="663" t="n"/>
    </row>
    <row r="32" ht="15" customFormat="1" customHeight="1" s="268">
      <c r="A32" s="500" t="inlineStr">
        <is>
          <t>02.03.03</t>
        </is>
      </c>
      <c r="B32" s="501" t="inlineStr">
        <is>
          <t>Retiro</t>
        </is>
      </c>
      <c r="C32" s="501" t="inlineStr">
        <is>
          <t>Disposición</t>
        </is>
      </c>
      <c r="D32" s="501" t="inlineStr">
        <is>
          <t>Disposición final de sobrantes</t>
        </is>
      </c>
      <c r="E32" s="502" t="inlineStr">
        <is>
          <t>m³</t>
        </is>
      </c>
      <c r="F32" s="501" t="inlineStr">
        <is>
          <t>Largo × Ancho × Alto/Prof. × N° elementos × repeticiones − deducciones</t>
        </is>
      </c>
      <c r="G32" s="662" t="n"/>
      <c r="H32" s="663" t="n"/>
    </row>
    <row r="33" ht="15" customFormat="1" customHeight="1" s="268">
      <c r="A33" s="1309" t="inlineStr">
        <is>
          <t>03  |  CIMENTACIONES</t>
        </is>
      </c>
      <c r="B33" s="545" t="n"/>
      <c r="C33" s="545" t="n"/>
      <c r="D33" s="545" t="n"/>
      <c r="E33" s="545" t="n"/>
      <c r="F33" s="545" t="n"/>
      <c r="G33" s="545" t="n"/>
      <c r="H33" s="1023" t="n"/>
    </row>
    <row r="34" ht="15" customFormat="1" customHeight="1" s="268">
      <c r="A34" s="500" t="inlineStr">
        <is>
          <t>03.01.01</t>
        </is>
      </c>
      <c r="B34" s="501" t="inlineStr">
        <is>
          <t>Concreto</t>
        </is>
      </c>
      <c r="C34" s="501" t="inlineStr">
        <is>
          <t>Solados</t>
        </is>
      </c>
      <c r="D34" s="501" t="inlineStr">
        <is>
          <t>Concreto de limpieza / solado</t>
        </is>
      </c>
      <c r="E34" s="502" t="inlineStr">
        <is>
          <t>m³</t>
        </is>
      </c>
      <c r="F34" s="501" t="inlineStr">
        <is>
          <t>Largo × Ancho × Alto/Prof. × N° elementos × repeticiones − deducciones</t>
        </is>
      </c>
      <c r="G34" s="662" t="n"/>
      <c r="H34" s="663" t="n"/>
    </row>
    <row r="35" ht="15" customFormat="1" customHeight="1" s="268">
      <c r="A35" s="500" t="inlineStr">
        <is>
          <t>03.01.02</t>
        </is>
      </c>
      <c r="B35" s="501" t="inlineStr">
        <is>
          <t>Concreto</t>
        </is>
      </c>
      <c r="C35" s="501" t="inlineStr">
        <is>
          <t>Zapatas</t>
        </is>
      </c>
      <c r="D35" s="501" t="inlineStr">
        <is>
          <t>Concreto para zapatas</t>
        </is>
      </c>
      <c r="E35" s="502" t="inlineStr">
        <is>
          <t>m³</t>
        </is>
      </c>
      <c r="F35" s="501" t="inlineStr">
        <is>
          <t>Largo × Ancho × Alto/Prof. × N° elementos × repeticiones − deducciones</t>
        </is>
      </c>
      <c r="G35" s="662" t="n"/>
      <c r="H35" s="663" t="n"/>
    </row>
    <row r="36" ht="15" customFormat="1" customHeight="1" s="268">
      <c r="A36" s="500" t="inlineStr">
        <is>
          <t>03.01.03</t>
        </is>
      </c>
      <c r="B36" s="501" t="inlineStr">
        <is>
          <t>Concreto</t>
        </is>
      </c>
      <c r="C36" s="501" t="inlineStr">
        <is>
          <t>Vigas de cimentación</t>
        </is>
      </c>
      <c r="D36" s="501" t="inlineStr">
        <is>
          <t>Concreto para vigas de cimentación</t>
        </is>
      </c>
      <c r="E36" s="502" t="inlineStr">
        <is>
          <t>m³</t>
        </is>
      </c>
      <c r="F36" s="501" t="inlineStr">
        <is>
          <t>Largo × Ancho × Alto/Prof. × N° elementos × repeticiones − deducciones</t>
        </is>
      </c>
      <c r="G36" s="662" t="n"/>
      <c r="H36" s="663" t="n"/>
    </row>
    <row r="37" ht="15" customFormat="1" customHeight="1" s="268">
      <c r="A37" s="500" t="inlineStr">
        <is>
          <t>03.01.04</t>
        </is>
      </c>
      <c r="B37" s="501" t="inlineStr">
        <is>
          <t>Concreto</t>
        </is>
      </c>
      <c r="C37" s="501" t="inlineStr">
        <is>
          <t>Losas de cimentación</t>
        </is>
      </c>
      <c r="D37" s="501" t="inlineStr">
        <is>
          <t>Concreto para losas de cimentación</t>
        </is>
      </c>
      <c r="E37" s="502" t="inlineStr">
        <is>
          <t>m³</t>
        </is>
      </c>
      <c r="F37" s="501" t="inlineStr">
        <is>
          <t>Largo × Ancho × Alto/Prof. × N° elementos × repeticiones − deducciones</t>
        </is>
      </c>
      <c r="G37" s="662" t="n"/>
      <c r="H37" s="663" t="n"/>
    </row>
    <row r="38" ht="15" customFormat="1" customHeight="1" s="268">
      <c r="A38" s="500" t="inlineStr">
        <is>
          <t>03.01.05</t>
        </is>
      </c>
      <c r="B38" s="501" t="inlineStr">
        <is>
          <t>Concreto</t>
        </is>
      </c>
      <c r="C38" s="501" t="inlineStr">
        <is>
          <t>Pedestales</t>
        </is>
      </c>
      <c r="D38" s="501" t="inlineStr">
        <is>
          <t>Concreto para pedestales</t>
        </is>
      </c>
      <c r="E38" s="502" t="inlineStr">
        <is>
          <t>m³</t>
        </is>
      </c>
      <c r="F38" s="501" t="inlineStr">
        <is>
          <t>Largo × Ancho × Alto/Prof. × N° elementos × repeticiones − deducciones</t>
        </is>
      </c>
      <c r="G38" s="662" t="n"/>
      <c r="H38" s="663" t="n"/>
    </row>
    <row r="39" ht="15" customFormat="1" customHeight="1" s="268">
      <c r="A39" s="500" t="inlineStr">
        <is>
          <t>03.02.01</t>
        </is>
      </c>
      <c r="B39" s="501" t="inlineStr">
        <is>
          <t>Acero</t>
        </is>
      </c>
      <c r="C39" s="501" t="inlineStr">
        <is>
          <t>Acero de refuerzo</t>
        </is>
      </c>
      <c r="D39" s="501" t="inlineStr">
        <is>
          <t>Acero de refuerzo en cimentación</t>
        </is>
      </c>
      <c r="E39" s="502" t="inlineStr">
        <is>
          <t>kg</t>
        </is>
      </c>
      <c r="F39" s="501" t="inlineStr">
        <is>
          <t>Peso/despiece × N° elementos × repeticiones</t>
        </is>
      </c>
      <c r="G39" s="662" t="n"/>
      <c r="H39" s="663" t="n"/>
    </row>
    <row r="40" ht="15" customFormat="1" customHeight="1" s="268">
      <c r="A40" s="500" t="inlineStr">
        <is>
          <t>03.03.01</t>
        </is>
      </c>
      <c r="B40" s="501" t="inlineStr">
        <is>
          <t>Formaleta</t>
        </is>
      </c>
      <c r="C40" s="501" t="inlineStr">
        <is>
          <t>Formaleta cimentación</t>
        </is>
      </c>
      <c r="D40" s="501" t="inlineStr">
        <is>
          <t>Formaleta para elementos de cimentación</t>
        </is>
      </c>
      <c r="E40" s="502" t="inlineStr">
        <is>
          <t>m²</t>
        </is>
      </c>
      <c r="F40" s="501" t="inlineStr">
        <is>
          <t>Largo × Ancho × N° elementos × repeticiones − deducciones</t>
        </is>
      </c>
      <c r="G40" s="662" t="n"/>
      <c r="H40" s="663" t="n"/>
    </row>
    <row r="41" ht="15" customFormat="1" customHeight="1" s="268">
      <c r="A41" s="661" t="inlineStr">
        <is>
          <t>04  |  ESTRUCTURA</t>
        </is>
      </c>
      <c r="B41" s="545" t="n"/>
      <c r="C41" s="545" t="n"/>
      <c r="D41" s="545" t="n"/>
      <c r="E41" s="545" t="n"/>
      <c r="F41" s="545" t="n"/>
      <c r="G41" s="505" t="n"/>
      <c r="H41" s="506" t="n"/>
    </row>
    <row r="42" ht="15" customFormat="1" customHeight="1" s="268">
      <c r="A42" s="500" t="inlineStr">
        <is>
          <t>04.01.01</t>
        </is>
      </c>
      <c r="B42" s="501" t="inlineStr">
        <is>
          <t>Concreto</t>
        </is>
      </c>
      <c r="C42" s="501" t="inlineStr">
        <is>
          <t>Columnas</t>
        </is>
      </c>
      <c r="D42" s="501" t="inlineStr">
        <is>
          <t>Concreto para columnas</t>
        </is>
      </c>
      <c r="E42" s="502" t="inlineStr">
        <is>
          <t>m³</t>
        </is>
      </c>
      <c r="F42" s="501" t="inlineStr">
        <is>
          <t>Largo × Ancho × Alto/Prof. × N° elementos × repeticiones − deducciones</t>
        </is>
      </c>
      <c r="G42" s="662" t="n"/>
      <c r="H42" s="663" t="n"/>
    </row>
    <row r="43" ht="15" customFormat="1" customHeight="1" s="268">
      <c r="A43" s="500" t="inlineStr">
        <is>
          <t>04.01.02</t>
        </is>
      </c>
      <c r="B43" s="501" t="inlineStr">
        <is>
          <t>Concreto</t>
        </is>
      </c>
      <c r="C43" s="501" t="inlineStr">
        <is>
          <t>Vigas</t>
        </is>
      </c>
      <c r="D43" s="501" t="inlineStr">
        <is>
          <t>Concreto para vigas</t>
        </is>
      </c>
      <c r="E43" s="502" t="inlineStr">
        <is>
          <t>m³</t>
        </is>
      </c>
      <c r="F43" s="501" t="inlineStr">
        <is>
          <t>Largo × Ancho × Alto/Prof. × N° elementos × repeticiones − deducciones</t>
        </is>
      </c>
      <c r="G43" s="662" t="n"/>
      <c r="H43" s="663" t="n"/>
    </row>
    <row r="44" ht="15" customFormat="1" customHeight="1" s="268">
      <c r="A44" s="500" t="inlineStr">
        <is>
          <t>04.01.03</t>
        </is>
      </c>
      <c r="B44" s="501" t="inlineStr">
        <is>
          <t>Concreto</t>
        </is>
      </c>
      <c r="C44" s="501" t="inlineStr">
        <is>
          <t>Losas</t>
        </is>
      </c>
      <c r="D44" s="501" t="inlineStr">
        <is>
          <t>Concreto para losas</t>
        </is>
      </c>
      <c r="E44" s="502" t="inlineStr">
        <is>
          <t>m³</t>
        </is>
      </c>
      <c r="F44" s="501" t="inlineStr">
        <is>
          <t>Largo × Ancho × Alto/Prof. × N° elementos × repeticiones − deducciones</t>
        </is>
      </c>
      <c r="G44" s="662" t="n"/>
      <c r="H44" s="663" t="n"/>
    </row>
    <row r="45" ht="15" customFormat="1" customHeight="1" s="268">
      <c r="A45" s="500" t="inlineStr">
        <is>
          <t>04.01.04</t>
        </is>
      </c>
      <c r="B45" s="501" t="inlineStr">
        <is>
          <t>Concreto</t>
        </is>
      </c>
      <c r="C45" s="501" t="inlineStr">
        <is>
          <t>Escaleras</t>
        </is>
      </c>
      <c r="D45" s="501" t="inlineStr">
        <is>
          <t>Concreto para escaleras</t>
        </is>
      </c>
      <c r="E45" s="502" t="inlineStr">
        <is>
          <t>m³</t>
        </is>
      </c>
      <c r="F45" s="501" t="inlineStr">
        <is>
          <t>Largo × Ancho × Alto/Prof. × N° elementos × repeticiones − deducciones</t>
        </is>
      </c>
      <c r="G45" s="662" t="n"/>
      <c r="H45" s="663" t="n"/>
    </row>
    <row r="46" ht="15" customFormat="1" customHeight="1" s="268">
      <c r="A46" s="500" t="inlineStr">
        <is>
          <t>04.01.05</t>
        </is>
      </c>
      <c r="B46" s="501" t="inlineStr">
        <is>
          <t>Concreto</t>
        </is>
      </c>
      <c r="C46" s="501" t="inlineStr">
        <is>
          <t>Muros estructurales</t>
        </is>
      </c>
      <c r="D46" s="501" t="inlineStr">
        <is>
          <t>Concreto para muros estructurales</t>
        </is>
      </c>
      <c r="E46" s="502" t="inlineStr">
        <is>
          <t>m³</t>
        </is>
      </c>
      <c r="F46" s="501" t="inlineStr">
        <is>
          <t>Largo × Ancho × Alto/Prof. × N° elementos × repeticiones − deducciones</t>
        </is>
      </c>
      <c r="G46" s="662" t="n"/>
      <c r="H46" s="663" t="n"/>
    </row>
    <row r="47" ht="15" customFormat="1" customHeight="1" s="268">
      <c r="A47" s="500" t="inlineStr">
        <is>
          <t>04.02.01</t>
        </is>
      </c>
      <c r="B47" s="501" t="inlineStr">
        <is>
          <t>Acero</t>
        </is>
      </c>
      <c r="C47" s="501" t="inlineStr">
        <is>
          <t>Acero columnas</t>
        </is>
      </c>
      <c r="D47" s="501" t="inlineStr">
        <is>
          <t>Acero de refuerzo de columnas</t>
        </is>
      </c>
      <c r="E47" s="502" t="inlineStr">
        <is>
          <t>kg</t>
        </is>
      </c>
      <c r="F47" s="501" t="inlineStr">
        <is>
          <t>Peso/despiece × N° elementos × repeticiones</t>
        </is>
      </c>
      <c r="G47" s="662" t="n"/>
      <c r="H47" s="663" t="n"/>
    </row>
    <row r="48" ht="15" customFormat="1" customHeight="1" s="268">
      <c r="A48" s="500" t="inlineStr">
        <is>
          <t>04.02.02</t>
        </is>
      </c>
      <c r="B48" s="501" t="inlineStr">
        <is>
          <t>Acero</t>
        </is>
      </c>
      <c r="C48" s="501" t="inlineStr">
        <is>
          <t>Acero vigas</t>
        </is>
      </c>
      <c r="D48" s="501" t="inlineStr">
        <is>
          <t>Acero de refuerzo de vigas</t>
        </is>
      </c>
      <c r="E48" s="502" t="inlineStr">
        <is>
          <t>kg</t>
        </is>
      </c>
      <c r="F48" s="501" t="inlineStr">
        <is>
          <t>Peso/despiece × N° elementos × repeticiones</t>
        </is>
      </c>
      <c r="G48" s="662" t="n"/>
      <c r="H48" s="663" t="n"/>
    </row>
    <row r="49" ht="15" customFormat="1" customHeight="1" s="268">
      <c r="A49" s="500" t="inlineStr">
        <is>
          <t>04.02.03</t>
        </is>
      </c>
      <c r="B49" s="501" t="inlineStr">
        <is>
          <t>Acero</t>
        </is>
      </c>
      <c r="C49" s="501" t="inlineStr">
        <is>
          <t>Acero losas</t>
        </is>
      </c>
      <c r="D49" s="501" t="inlineStr">
        <is>
          <t>Acero de refuerzo de losas</t>
        </is>
      </c>
      <c r="E49" s="502" t="inlineStr">
        <is>
          <t>kg</t>
        </is>
      </c>
      <c r="F49" s="501" t="inlineStr">
        <is>
          <t>Peso/despiece × N° elementos × repeticiones</t>
        </is>
      </c>
      <c r="G49" s="662" t="n"/>
      <c r="H49" s="663" t="n"/>
    </row>
    <row r="50" ht="15" customFormat="1" customHeight="1" s="268">
      <c r="A50" s="500" t="inlineStr">
        <is>
          <t>04.03.01</t>
        </is>
      </c>
      <c r="B50" s="501" t="inlineStr">
        <is>
          <t>Formaleta</t>
        </is>
      </c>
      <c r="C50" s="501" t="inlineStr">
        <is>
          <t>Formaleta columnas</t>
        </is>
      </c>
      <c r="D50" s="501" t="inlineStr">
        <is>
          <t>Formaleta de columnas</t>
        </is>
      </c>
      <c r="E50" s="502" t="inlineStr">
        <is>
          <t>m²</t>
        </is>
      </c>
      <c r="F50" s="501" t="inlineStr">
        <is>
          <t>Largo × Ancho × N° elementos × repeticiones − deducciones</t>
        </is>
      </c>
      <c r="G50" s="662" t="n"/>
      <c r="H50" s="663" t="n"/>
    </row>
    <row r="51" ht="15" customFormat="1" customHeight="1" s="268">
      <c r="A51" s="500" t="inlineStr">
        <is>
          <t>04.03.02</t>
        </is>
      </c>
      <c r="B51" s="501" t="inlineStr">
        <is>
          <t>Formaleta</t>
        </is>
      </c>
      <c r="C51" s="501" t="inlineStr">
        <is>
          <t>Formaleta vigas</t>
        </is>
      </c>
      <c r="D51" s="501" t="inlineStr">
        <is>
          <t>Formaleta de vigas</t>
        </is>
      </c>
      <c r="E51" s="502" t="inlineStr">
        <is>
          <t>m²</t>
        </is>
      </c>
      <c r="F51" s="501" t="inlineStr">
        <is>
          <t>Largo × Ancho × N° elementos × repeticiones − deducciones</t>
        </is>
      </c>
      <c r="G51" s="662" t="n"/>
      <c r="H51" s="663" t="n"/>
    </row>
    <row r="52" ht="15" customFormat="1" customHeight="1" s="268">
      <c r="A52" s="500" t="inlineStr">
        <is>
          <t>04.03.03</t>
        </is>
      </c>
      <c r="B52" s="501" t="inlineStr">
        <is>
          <t>Formaleta</t>
        </is>
      </c>
      <c r="C52" s="501" t="inlineStr">
        <is>
          <t>Formaleta losas</t>
        </is>
      </c>
      <c r="D52" s="501" t="inlineStr">
        <is>
          <t>Formaleta de losas</t>
        </is>
      </c>
      <c r="E52" s="502" t="inlineStr">
        <is>
          <t>m²</t>
        </is>
      </c>
      <c r="F52" s="501" t="inlineStr">
        <is>
          <t>Largo × Ancho × N° elementos × repeticiones − deducciones</t>
        </is>
      </c>
      <c r="G52" s="662" t="n"/>
      <c r="H52" s="663" t="n"/>
    </row>
    <row r="53" ht="15" customFormat="1" customHeight="1" s="268">
      <c r="A53" s="500" t="inlineStr">
        <is>
          <t>04.03.04</t>
        </is>
      </c>
      <c r="B53" s="501" t="inlineStr">
        <is>
          <t>Formaleta</t>
        </is>
      </c>
      <c r="C53" s="501" t="inlineStr">
        <is>
          <t>Formaleta escaleras</t>
        </is>
      </c>
      <c r="D53" s="501" t="inlineStr">
        <is>
          <t>Formaleta de escaleras</t>
        </is>
      </c>
      <c r="E53" s="502" t="inlineStr">
        <is>
          <t>m²</t>
        </is>
      </c>
      <c r="F53" s="501" t="inlineStr">
        <is>
          <t>Largo × Ancho × N° elementos × repeticiones − deducciones</t>
        </is>
      </c>
      <c r="G53" s="662" t="n"/>
      <c r="H53" s="663" t="n"/>
    </row>
    <row r="54" ht="15" customFormat="1" customHeight="1" s="268">
      <c r="A54" s="500" t="inlineStr">
        <is>
          <t>04.04.01</t>
        </is>
      </c>
      <c r="B54" s="501" t="inlineStr">
        <is>
          <t>Estructura metálica</t>
        </is>
      </c>
      <c r="C54" s="501" t="inlineStr">
        <is>
          <t>Perfiles metálicos</t>
        </is>
      </c>
      <c r="D54" s="501" t="inlineStr">
        <is>
          <t>Suministro y montaje de perfiles metálicos</t>
        </is>
      </c>
      <c r="E54" s="502" t="inlineStr">
        <is>
          <t>kg</t>
        </is>
      </c>
      <c r="F54" s="501" t="inlineStr">
        <is>
          <t>Peso/despiece × N° elementos × repeticiones</t>
        </is>
      </c>
      <c r="G54" s="662" t="n"/>
      <c r="H54" s="663" t="n"/>
    </row>
    <row r="55" ht="15" customFormat="1" customHeight="1" s="268">
      <c r="A55" s="500" t="inlineStr">
        <is>
          <t>04.04.02</t>
        </is>
      </c>
      <c r="B55" s="501" t="inlineStr">
        <is>
          <t>Estructura metálica</t>
        </is>
      </c>
      <c r="C55" s="501" t="inlineStr">
        <is>
          <t>Placas y conexiones</t>
        </is>
      </c>
      <c r="D55" s="501" t="inlineStr">
        <is>
          <t>Placas, pernos y conexiones metálicas</t>
        </is>
      </c>
      <c r="E55" s="502" t="inlineStr">
        <is>
          <t>kg</t>
        </is>
      </c>
      <c r="F55" s="501" t="inlineStr">
        <is>
          <t>Peso/despiece × N° elementos × repeticiones</t>
        </is>
      </c>
      <c r="G55" s="662" t="n"/>
      <c r="H55" s="663" t="n"/>
    </row>
    <row r="56" ht="15" customFormat="1" customHeight="1" s="268">
      <c r="A56" s="1309" t="inlineStr">
        <is>
          <t>05  |  MAMPOSTERÍA</t>
        </is>
      </c>
      <c r="B56" s="545" t="n"/>
      <c r="C56" s="545" t="n"/>
      <c r="D56" s="545" t="n"/>
      <c r="E56" s="545" t="n"/>
      <c r="F56" s="545" t="n"/>
      <c r="G56" s="545" t="n"/>
      <c r="H56" s="1023" t="n"/>
    </row>
    <row r="57" ht="15" customFormat="1" customHeight="1" s="268">
      <c r="A57" s="500" t="inlineStr">
        <is>
          <t>05.01.01</t>
        </is>
      </c>
      <c r="B57" s="501" t="inlineStr">
        <is>
          <t>Muros</t>
        </is>
      </c>
      <c r="C57" s="501" t="inlineStr">
        <is>
          <t>Bloque</t>
        </is>
      </c>
      <c r="D57" s="501" t="inlineStr">
        <is>
          <t>Mampostería en bloque de concreto</t>
        </is>
      </c>
      <c r="E57" s="502" t="inlineStr">
        <is>
          <t>m²</t>
        </is>
      </c>
      <c r="F57" s="501" t="inlineStr">
        <is>
          <t>Largo × Ancho × N° elementos × repeticiones − deducciones</t>
        </is>
      </c>
      <c r="G57" s="662" t="n"/>
      <c r="H57" s="663" t="n"/>
    </row>
    <row r="58" ht="15" customFormat="1" customHeight="1" s="268">
      <c r="A58" s="500" t="inlineStr">
        <is>
          <t>05.01.02</t>
        </is>
      </c>
      <c r="B58" s="501" t="inlineStr">
        <is>
          <t>Muros</t>
        </is>
      </c>
      <c r="C58" s="501" t="inlineStr">
        <is>
          <t>Ladrillo</t>
        </is>
      </c>
      <c r="D58" s="501" t="inlineStr">
        <is>
          <t>Mampostería en ladrillo</t>
        </is>
      </c>
      <c r="E58" s="502" t="inlineStr">
        <is>
          <t>m²</t>
        </is>
      </c>
      <c r="F58" s="501" t="inlineStr">
        <is>
          <t>Largo × Ancho × N° elementos × repeticiones − deducciones</t>
        </is>
      </c>
      <c r="G58" s="662" t="n"/>
      <c r="H58" s="663" t="n"/>
    </row>
    <row r="59" ht="15" customFormat="1" customHeight="1" s="268">
      <c r="A59" s="500" t="inlineStr">
        <is>
          <t>05.01.03</t>
        </is>
      </c>
      <c r="B59" s="501" t="inlineStr">
        <is>
          <t>Muros</t>
        </is>
      </c>
      <c r="C59" s="501" t="inlineStr">
        <is>
          <t>Ladrillo estructural</t>
        </is>
      </c>
      <c r="D59" s="501" t="inlineStr">
        <is>
          <t>Mampostería estructural</t>
        </is>
      </c>
      <c r="E59" s="502" t="inlineStr">
        <is>
          <t>m²</t>
        </is>
      </c>
      <c r="F59" s="501" t="inlineStr">
        <is>
          <t>Largo × Ancho × N° elementos × repeticiones − deducciones</t>
        </is>
      </c>
      <c r="G59" s="662" t="n"/>
      <c r="H59" s="663" t="n"/>
    </row>
    <row r="60" ht="15" customFormat="1" customHeight="1" s="268">
      <c r="A60" s="500" t="inlineStr">
        <is>
          <t>05.01.04</t>
        </is>
      </c>
      <c r="B60" s="501" t="inlineStr">
        <is>
          <t>Muros</t>
        </is>
      </c>
      <c r="C60" s="501" t="inlineStr">
        <is>
          <t>Divisiones livianas</t>
        </is>
      </c>
      <c r="D60" s="501" t="inlineStr">
        <is>
          <t>Muros en sistema liviano / drywall</t>
        </is>
      </c>
      <c r="E60" s="502" t="inlineStr">
        <is>
          <t>m²</t>
        </is>
      </c>
      <c r="F60" s="501" t="inlineStr">
        <is>
          <t>Largo × Ancho × N° elementos × repeticiones − deducciones</t>
        </is>
      </c>
      <c r="G60" s="662" t="n"/>
      <c r="H60" s="663" t="n"/>
    </row>
    <row r="61" ht="15" customFormat="1" customHeight="1" s="268">
      <c r="A61" s="500" t="inlineStr">
        <is>
          <t>05.02.01</t>
        </is>
      </c>
      <c r="B61" s="501" t="inlineStr">
        <is>
          <t>Complementarios</t>
        </is>
      </c>
      <c r="C61" s="501" t="inlineStr">
        <is>
          <t>Dinteles</t>
        </is>
      </c>
      <c r="D61" s="501" t="inlineStr">
        <is>
          <t>Dinteles sobre vanos</t>
        </is>
      </c>
      <c r="E61" s="502" t="inlineStr">
        <is>
          <t>ml</t>
        </is>
      </c>
      <c r="F61" s="501" t="inlineStr">
        <is>
          <t>Longitud × N° elementos × repeticiones − deducciones</t>
        </is>
      </c>
      <c r="G61" s="662" t="n"/>
      <c r="H61" s="663" t="n"/>
    </row>
    <row r="62" ht="15" customFormat="1" customHeight="1" s="268">
      <c r="A62" s="500" t="inlineStr">
        <is>
          <t>05.02.02</t>
        </is>
      </c>
      <c r="B62" s="501" t="inlineStr">
        <is>
          <t>Complementarios</t>
        </is>
      </c>
      <c r="C62" s="501" t="inlineStr">
        <is>
          <t>Alfajías</t>
        </is>
      </c>
      <c r="D62" s="501" t="inlineStr">
        <is>
          <t>Alfajías y remates</t>
        </is>
      </c>
      <c r="E62" s="502" t="inlineStr">
        <is>
          <t>ml</t>
        </is>
      </c>
      <c r="F62" s="501" t="inlineStr">
        <is>
          <t>Longitud × N° elementos × repeticiones − deducciones</t>
        </is>
      </c>
      <c r="G62" s="662" t="n"/>
      <c r="H62" s="663" t="n"/>
    </row>
    <row r="63" ht="15" customFormat="1" customHeight="1" s="268">
      <c r="A63" s="500" t="inlineStr">
        <is>
          <t>05.02.03</t>
        </is>
      </c>
      <c r="B63" s="501" t="inlineStr">
        <is>
          <t>Complementarios</t>
        </is>
      </c>
      <c r="C63" s="501" t="inlineStr">
        <is>
          <t>Anclajes</t>
        </is>
      </c>
      <c r="D63" s="501" t="inlineStr">
        <is>
          <t>Anclajes y refuerzos de mampostería</t>
        </is>
      </c>
      <c r="E63" s="502" t="inlineStr">
        <is>
          <t>und</t>
        </is>
      </c>
      <c r="F63" s="501" t="inlineStr">
        <is>
          <t>N° elementos × repeticiones − deducciones</t>
        </is>
      </c>
      <c r="G63" s="662" t="n"/>
      <c r="H63" s="663" t="n"/>
    </row>
    <row r="64" ht="15" customFormat="1" customHeight="1" s="268">
      <c r="A64" s="1309" t="inlineStr">
        <is>
          <t>06  |  CUBIERTAS</t>
        </is>
      </c>
      <c r="B64" s="545" t="n"/>
      <c r="C64" s="545" t="n"/>
      <c r="D64" s="545" t="n"/>
      <c r="E64" s="545" t="n"/>
      <c r="F64" s="545" t="n"/>
      <c r="G64" s="545" t="n"/>
      <c r="H64" s="1023" t="n"/>
    </row>
    <row r="65" ht="15" customFormat="1" customHeight="1" s="268">
      <c r="A65" s="500" t="inlineStr">
        <is>
          <t>06.01.01</t>
        </is>
      </c>
      <c r="B65" s="501" t="inlineStr">
        <is>
          <t>Estructura</t>
        </is>
      </c>
      <c r="C65" s="501" t="inlineStr">
        <is>
          <t>Estructura cubierta</t>
        </is>
      </c>
      <c r="D65" s="501" t="inlineStr">
        <is>
          <t>Estructura metálica o de madera para cubierta</t>
        </is>
      </c>
      <c r="E65" s="502" t="inlineStr">
        <is>
          <t>kg</t>
        </is>
      </c>
      <c r="F65" s="501" t="inlineStr">
        <is>
          <t>Peso/despiece × N° elementos × repeticiones</t>
        </is>
      </c>
      <c r="G65" s="662" t="n"/>
      <c r="H65" s="663" t="n"/>
    </row>
    <row r="66" ht="15" customFormat="1" customHeight="1" s="268">
      <c r="A66" s="500" t="inlineStr">
        <is>
          <t>06.01.02</t>
        </is>
      </c>
      <c r="B66" s="501" t="inlineStr">
        <is>
          <t>Estructura</t>
        </is>
      </c>
      <c r="C66" s="501" t="inlineStr">
        <is>
          <t>Cerchas</t>
        </is>
      </c>
      <c r="D66" s="501" t="inlineStr">
        <is>
          <t>Cerchas y elementos estructurales</t>
        </is>
      </c>
      <c r="E66" s="502" t="inlineStr">
        <is>
          <t>kg</t>
        </is>
      </c>
      <c r="F66" s="501" t="inlineStr">
        <is>
          <t>Peso/despiece × N° elementos × repeticiones</t>
        </is>
      </c>
      <c r="G66" s="662" t="n"/>
      <c r="H66" s="663" t="n"/>
    </row>
    <row r="67" ht="15" customFormat="1" customHeight="1" s="268">
      <c r="A67" s="500" t="inlineStr">
        <is>
          <t>06.02.01</t>
        </is>
      </c>
      <c r="B67" s="501" t="inlineStr">
        <is>
          <t>Cubierta</t>
        </is>
      </c>
      <c r="C67" s="501" t="inlineStr">
        <is>
          <t>Teja</t>
        </is>
      </c>
      <c r="D67" s="501" t="inlineStr">
        <is>
          <t>Suministro e instalación de teja</t>
        </is>
      </c>
      <c r="E67" s="502" t="inlineStr">
        <is>
          <t>m²</t>
        </is>
      </c>
      <c r="F67" s="501" t="inlineStr">
        <is>
          <t>Largo × Ancho × N° elementos × repeticiones − deducciones</t>
        </is>
      </c>
      <c r="G67" s="662" t="n"/>
      <c r="H67" s="663" t="n"/>
    </row>
    <row r="68" ht="15" customFormat="1" customHeight="1" s="268">
      <c r="A68" s="500" t="inlineStr">
        <is>
          <t>06.02.02</t>
        </is>
      </c>
      <c r="B68" s="501" t="inlineStr">
        <is>
          <t>Cubierta</t>
        </is>
      </c>
      <c r="C68" s="501" t="inlineStr">
        <is>
          <t>Impermeabilización cubierta</t>
        </is>
      </c>
      <c r="D68" s="501" t="inlineStr">
        <is>
          <t>Impermeabilización de cubierta</t>
        </is>
      </c>
      <c r="E68" s="502" t="inlineStr">
        <is>
          <t>m²</t>
        </is>
      </c>
      <c r="F68" s="501" t="inlineStr">
        <is>
          <t>Largo × Ancho × N° elementos × repeticiones − deducciones</t>
        </is>
      </c>
      <c r="G68" s="662" t="n"/>
      <c r="H68" s="663" t="n"/>
    </row>
    <row r="69" ht="15" customFormat="1" customHeight="1" s="268">
      <c r="A69" s="500" t="inlineStr">
        <is>
          <t>06.02.03</t>
        </is>
      </c>
      <c r="B69" s="501" t="inlineStr">
        <is>
          <t>Cubierta</t>
        </is>
      </c>
      <c r="C69" s="501" t="inlineStr">
        <is>
          <t>Aislamiento</t>
        </is>
      </c>
      <c r="D69" s="501" t="inlineStr">
        <is>
          <t>Aislamiento térmico/acústico</t>
        </is>
      </c>
      <c r="E69" s="502" t="inlineStr">
        <is>
          <t>m²</t>
        </is>
      </c>
      <c r="F69" s="501" t="inlineStr">
        <is>
          <t>Largo × Ancho × N° elementos × repeticiones − deducciones</t>
        </is>
      </c>
      <c r="G69" s="662" t="n"/>
      <c r="H69" s="663" t="n"/>
    </row>
    <row r="70" ht="15" customFormat="1" customHeight="1" s="268">
      <c r="A70" s="500" t="inlineStr">
        <is>
          <t>06.03.01</t>
        </is>
      </c>
      <c r="B70" s="501" t="inlineStr">
        <is>
          <t>Canales</t>
        </is>
      </c>
      <c r="C70" s="501" t="inlineStr">
        <is>
          <t>Canales</t>
        </is>
      </c>
      <c r="D70" s="501" t="inlineStr">
        <is>
          <t>Canales de aguas lluvias</t>
        </is>
      </c>
      <c r="E70" s="502" t="inlineStr">
        <is>
          <t>ml</t>
        </is>
      </c>
      <c r="F70" s="501" t="inlineStr">
        <is>
          <t>Longitud × N° elementos × repeticiones − deducciones</t>
        </is>
      </c>
      <c r="G70" s="662" t="n"/>
      <c r="H70" s="663" t="n"/>
    </row>
    <row r="71" ht="15" customFormat="1" customHeight="1" s="268">
      <c r="A71" s="500" t="inlineStr">
        <is>
          <t>06.03.02</t>
        </is>
      </c>
      <c r="B71" s="501" t="inlineStr">
        <is>
          <t>Canales</t>
        </is>
      </c>
      <c r="C71" s="501" t="inlineStr">
        <is>
          <t>Bajantes</t>
        </is>
      </c>
      <c r="D71" s="501" t="inlineStr">
        <is>
          <t>Bajantes de aguas lluvias</t>
        </is>
      </c>
      <c r="E71" s="502" t="inlineStr">
        <is>
          <t>ml</t>
        </is>
      </c>
      <c r="F71" s="501" t="inlineStr">
        <is>
          <t>Longitud × N° elementos × repeticiones − deducciones</t>
        </is>
      </c>
      <c r="G71" s="662" t="n"/>
      <c r="H71" s="663" t="n"/>
    </row>
    <row r="72" ht="15" customFormat="1" customHeight="1" s="268">
      <c r="A72" s="1309" t="inlineStr">
        <is>
          <t>07  |  IMPERMEABILIZACIONES</t>
        </is>
      </c>
      <c r="B72" s="545" t="n"/>
      <c r="C72" s="545" t="n"/>
      <c r="D72" s="545" t="n"/>
      <c r="E72" s="545" t="n"/>
      <c r="F72" s="545" t="n"/>
      <c r="G72" s="545" t="n"/>
      <c r="H72" s="1023" t="n"/>
    </row>
    <row r="73" ht="15" customFormat="1" customHeight="1" s="268">
      <c r="A73" s="500" t="inlineStr">
        <is>
          <t>07.01.01</t>
        </is>
      </c>
      <c r="B73" s="501" t="inlineStr">
        <is>
          <t>Superficies</t>
        </is>
      </c>
      <c r="C73" s="501" t="inlineStr">
        <is>
          <t>Impermeabilización losas</t>
        </is>
      </c>
      <c r="D73" s="501" t="inlineStr">
        <is>
          <t>Impermeabilización de losas y terrazas</t>
        </is>
      </c>
      <c r="E73" s="502" t="inlineStr">
        <is>
          <t>m²</t>
        </is>
      </c>
      <c r="F73" s="501" t="inlineStr">
        <is>
          <t>Largo × Ancho × N° elementos × repeticiones − deducciones</t>
        </is>
      </c>
      <c r="G73" s="662" t="n"/>
      <c r="H73" s="663" t="n"/>
    </row>
    <row r="74" ht="15" customFormat="1" customHeight="1" s="268">
      <c r="A74" s="500" t="inlineStr">
        <is>
          <t>07.01.02</t>
        </is>
      </c>
      <c r="B74" s="501" t="inlineStr">
        <is>
          <t>Superficies</t>
        </is>
      </c>
      <c r="C74" s="501" t="inlineStr">
        <is>
          <t>Impermeabilización muros</t>
        </is>
      </c>
      <c r="D74" s="501" t="inlineStr">
        <is>
          <t>Impermeabilización de muros</t>
        </is>
      </c>
      <c r="E74" s="502" t="inlineStr">
        <is>
          <t>m²</t>
        </is>
      </c>
      <c r="F74" s="501" t="inlineStr">
        <is>
          <t>Largo × Ancho × N° elementos × repeticiones − deducciones</t>
        </is>
      </c>
      <c r="G74" s="662" t="n"/>
      <c r="H74" s="663" t="n"/>
    </row>
    <row r="75" ht="15" customFormat="1" customHeight="1" s="268">
      <c r="A75" s="500" t="inlineStr">
        <is>
          <t>07.01.03</t>
        </is>
      </c>
      <c r="B75" s="501" t="inlineStr">
        <is>
          <t>Superficies</t>
        </is>
      </c>
      <c r="C75" s="501" t="inlineStr">
        <is>
          <t>Impermeabilización baños</t>
        </is>
      </c>
      <c r="D75" s="501" t="inlineStr">
        <is>
          <t>Impermeabilización de zonas húmedas</t>
        </is>
      </c>
      <c r="E75" s="502" t="inlineStr">
        <is>
          <t>m²</t>
        </is>
      </c>
      <c r="F75" s="501" t="inlineStr">
        <is>
          <t>Largo × Ancho × N° elementos × repeticiones − deducciones</t>
        </is>
      </c>
      <c r="G75" s="662" t="n"/>
      <c r="H75" s="663" t="n"/>
    </row>
    <row r="76" ht="15" customFormat="1" customHeight="1" s="268">
      <c r="A76" s="1309" t="inlineStr">
        <is>
          <t>08  |  PAÑETES Y REVOQUES</t>
        </is>
      </c>
      <c r="B76" s="545" t="n"/>
      <c r="C76" s="545" t="n"/>
      <c r="D76" s="545" t="n"/>
      <c r="E76" s="545" t="n"/>
      <c r="F76" s="545" t="n"/>
      <c r="G76" s="545" t="n"/>
      <c r="H76" s="1023" t="n"/>
    </row>
    <row r="77" ht="15" customFormat="1" customHeight="1" s="268">
      <c r="A77" s="500" t="inlineStr">
        <is>
          <t>08.01.01</t>
        </is>
      </c>
      <c r="B77" s="501" t="inlineStr">
        <is>
          <t>Pañetes</t>
        </is>
      </c>
      <c r="C77" s="501" t="inlineStr">
        <is>
          <t>Pañete interior</t>
        </is>
      </c>
      <c r="D77" s="501" t="inlineStr">
        <is>
          <t>Pañete / revoque interior</t>
        </is>
      </c>
      <c r="E77" s="502" t="inlineStr">
        <is>
          <t>m²</t>
        </is>
      </c>
      <c r="F77" s="501" t="inlineStr">
        <is>
          <t>Largo × Ancho × N° elementos × repeticiones − deducciones</t>
        </is>
      </c>
      <c r="G77" s="662" t="n"/>
      <c r="H77" s="663" t="n"/>
    </row>
    <row r="78" ht="15" customFormat="1" customHeight="1" s="268">
      <c r="A78" s="500" t="inlineStr">
        <is>
          <t>08.01.02</t>
        </is>
      </c>
      <c r="B78" s="501" t="inlineStr">
        <is>
          <t>Pañetes</t>
        </is>
      </c>
      <c r="C78" s="501" t="inlineStr">
        <is>
          <t>Pañete exterior</t>
        </is>
      </c>
      <c r="D78" s="501" t="inlineStr">
        <is>
          <t>Pañete / revoque exterior</t>
        </is>
      </c>
      <c r="E78" s="502" t="inlineStr">
        <is>
          <t>m²</t>
        </is>
      </c>
      <c r="F78" s="501" t="inlineStr">
        <is>
          <t>Largo × Ancho × N° elementos × repeticiones − deducciones</t>
        </is>
      </c>
      <c r="G78" s="662" t="n"/>
      <c r="H78" s="663" t="n"/>
    </row>
    <row r="79" ht="15" customFormat="1" customHeight="1" s="268">
      <c r="A79" s="500" t="inlineStr">
        <is>
          <t>08.01.03</t>
        </is>
      </c>
      <c r="B79" s="501" t="inlineStr">
        <is>
          <t>Pañetes</t>
        </is>
      </c>
      <c r="C79" s="501" t="inlineStr">
        <is>
          <t>Pañete impermeable</t>
        </is>
      </c>
      <c r="D79" s="501" t="inlineStr">
        <is>
          <t>Pañete impermeabilizado</t>
        </is>
      </c>
      <c r="E79" s="502" t="inlineStr">
        <is>
          <t>m²</t>
        </is>
      </c>
      <c r="F79" s="501" t="inlineStr">
        <is>
          <t>Largo × Ancho × N° elementos × repeticiones − deducciones</t>
        </is>
      </c>
      <c r="G79" s="662" t="n"/>
      <c r="H79" s="663" t="n"/>
    </row>
    <row r="80" ht="15" customFormat="1" customHeight="1" s="268">
      <c r="A80" s="500" t="inlineStr">
        <is>
          <t>08.01.04</t>
        </is>
      </c>
      <c r="B80" s="501" t="inlineStr">
        <is>
          <t>Pañetes</t>
        </is>
      </c>
      <c r="C80" s="501" t="inlineStr">
        <is>
          <t>Estuco</t>
        </is>
      </c>
      <c r="D80" s="501" t="inlineStr">
        <is>
          <t>Estuco plástico o tradicional</t>
        </is>
      </c>
      <c r="E80" s="502" t="inlineStr">
        <is>
          <t>m²</t>
        </is>
      </c>
      <c r="F80" s="501" t="inlineStr">
        <is>
          <t>Largo × Ancho × N° elementos × repeticiones − deducciones</t>
        </is>
      </c>
      <c r="G80" s="662" t="n"/>
      <c r="H80" s="663" t="n"/>
    </row>
    <row r="81" ht="15" customFormat="1" customHeight="1" s="268">
      <c r="A81" s="1309" t="inlineStr">
        <is>
          <t>09  |  PISOS Y ENCHAPES</t>
        </is>
      </c>
      <c r="B81" s="545" t="n"/>
      <c r="C81" s="545" t="n"/>
      <c r="D81" s="545" t="n"/>
      <c r="E81" s="545" t="n"/>
      <c r="F81" s="545" t="n"/>
      <c r="G81" s="545" t="n"/>
      <c r="H81" s="1023" t="n"/>
    </row>
    <row r="82" ht="15" customFormat="1" customHeight="1" s="268">
      <c r="A82" s="500" t="inlineStr">
        <is>
          <t>09.01.01</t>
        </is>
      </c>
      <c r="B82" s="501" t="inlineStr">
        <is>
          <t>Pisos</t>
        </is>
      </c>
      <c r="C82" s="501" t="inlineStr">
        <is>
          <t>Mortero nivelación</t>
        </is>
      </c>
      <c r="D82" s="501" t="inlineStr">
        <is>
          <t>Mortero de nivelación</t>
        </is>
      </c>
      <c r="E82" s="502" t="inlineStr">
        <is>
          <t>m²</t>
        </is>
      </c>
      <c r="F82" s="501" t="inlineStr">
        <is>
          <t>Largo × Ancho × N° elementos × repeticiones − deducciones</t>
        </is>
      </c>
      <c r="G82" s="662" t="n"/>
      <c r="H82" s="663" t="n"/>
    </row>
    <row r="83" ht="15" customFormat="1" customHeight="1" s="268">
      <c r="A83" s="500" t="inlineStr">
        <is>
          <t>09.01.02</t>
        </is>
      </c>
      <c r="B83" s="501" t="inlineStr">
        <is>
          <t>Pisos</t>
        </is>
      </c>
      <c r="C83" s="501" t="inlineStr">
        <is>
          <t>Cerámica piso</t>
        </is>
      </c>
      <c r="D83" s="501" t="inlineStr">
        <is>
          <t>Piso cerámico</t>
        </is>
      </c>
      <c r="E83" s="502" t="inlineStr">
        <is>
          <t>m²</t>
        </is>
      </c>
      <c r="F83" s="501" t="inlineStr">
        <is>
          <t>Largo × Ancho × N° elementos × repeticiones − deducciones</t>
        </is>
      </c>
      <c r="G83" s="662" t="n"/>
      <c r="H83" s="663" t="n"/>
    </row>
    <row r="84" ht="15" customFormat="1" customHeight="1" s="268">
      <c r="A84" s="500" t="inlineStr">
        <is>
          <t>09.01.03</t>
        </is>
      </c>
      <c r="B84" s="501" t="inlineStr">
        <is>
          <t>Pisos</t>
        </is>
      </c>
      <c r="C84" s="501" t="inlineStr">
        <is>
          <t>Porcelanato</t>
        </is>
      </c>
      <c r="D84" s="501" t="inlineStr">
        <is>
          <t>Piso en porcelanato</t>
        </is>
      </c>
      <c r="E84" s="502" t="inlineStr">
        <is>
          <t>m²</t>
        </is>
      </c>
      <c r="F84" s="501" t="inlineStr">
        <is>
          <t>Largo × Ancho × N° elementos × repeticiones − deducciones</t>
        </is>
      </c>
      <c r="G84" s="662" t="n"/>
      <c r="H84" s="663" t="n"/>
    </row>
    <row r="85" ht="15" customFormat="1" customHeight="1" s="268">
      <c r="A85" s="500" t="inlineStr">
        <is>
          <t>09.01.04</t>
        </is>
      </c>
      <c r="B85" s="501" t="inlineStr">
        <is>
          <t>Pisos</t>
        </is>
      </c>
      <c r="C85" s="501" t="inlineStr">
        <is>
          <t>Piso vinílico</t>
        </is>
      </c>
      <c r="D85" s="501" t="inlineStr">
        <is>
          <t>Piso vinílico</t>
        </is>
      </c>
      <c r="E85" s="502" t="inlineStr">
        <is>
          <t>m²</t>
        </is>
      </c>
      <c r="F85" s="501" t="inlineStr">
        <is>
          <t>Largo × Ancho × N° elementos × repeticiones − deducciones</t>
        </is>
      </c>
      <c r="G85" s="662" t="n"/>
      <c r="H85" s="663" t="n"/>
    </row>
    <row r="86" ht="15" customFormat="1" customHeight="1" s="268">
      <c r="A86" s="500" t="inlineStr">
        <is>
          <t>09.01.05</t>
        </is>
      </c>
      <c r="B86" s="501" t="inlineStr">
        <is>
          <t>Pisos</t>
        </is>
      </c>
      <c r="C86" s="501" t="inlineStr">
        <is>
          <t>Piso laminado</t>
        </is>
      </c>
      <c r="D86" s="501" t="inlineStr">
        <is>
          <t>Piso laminado</t>
        </is>
      </c>
      <c r="E86" s="502" t="inlineStr">
        <is>
          <t>m²</t>
        </is>
      </c>
      <c r="F86" s="501" t="inlineStr">
        <is>
          <t>Largo × Ancho × N° elementos × repeticiones − deducciones</t>
        </is>
      </c>
      <c r="G86" s="662" t="n"/>
      <c r="H86" s="663" t="n"/>
    </row>
    <row r="87" ht="15" customFormat="1" customHeight="1" s="268">
      <c r="A87" s="500" t="inlineStr">
        <is>
          <t>09.02.01</t>
        </is>
      </c>
      <c r="B87" s="501" t="inlineStr">
        <is>
          <t>Enchapes</t>
        </is>
      </c>
      <c r="C87" s="501" t="inlineStr">
        <is>
          <t>Enchape muro</t>
        </is>
      </c>
      <c r="D87" s="501" t="inlineStr">
        <is>
          <t>Enchape cerámico en muros</t>
        </is>
      </c>
      <c r="E87" s="502" t="inlineStr">
        <is>
          <t>m²</t>
        </is>
      </c>
      <c r="F87" s="501" t="inlineStr">
        <is>
          <t>Largo × Ancho × N° elementos × repeticiones − deducciones</t>
        </is>
      </c>
      <c r="G87" s="662" t="n"/>
      <c r="H87" s="663" t="n"/>
    </row>
    <row r="88" ht="15" customFormat="1" customHeight="1" s="268">
      <c r="A88" s="500" t="inlineStr">
        <is>
          <t>09.02.02</t>
        </is>
      </c>
      <c r="B88" s="501" t="inlineStr">
        <is>
          <t>Enchapes</t>
        </is>
      </c>
      <c r="C88" s="501" t="inlineStr">
        <is>
          <t>Guardaescoba</t>
        </is>
      </c>
      <c r="D88" s="501" t="inlineStr">
        <is>
          <t>Guardaescoba</t>
        </is>
      </c>
      <c r="E88" s="502" t="inlineStr">
        <is>
          <t>ml</t>
        </is>
      </c>
      <c r="F88" s="501" t="inlineStr">
        <is>
          <t>Longitud × N° elementos × repeticiones − deducciones</t>
        </is>
      </c>
      <c r="G88" s="662" t="n"/>
      <c r="H88" s="663" t="n"/>
    </row>
    <row r="89" ht="15" customFormat="1" customHeight="1" s="268">
      <c r="A89" s="500" t="inlineStr">
        <is>
          <t>09.02.03</t>
        </is>
      </c>
      <c r="B89" s="501" t="inlineStr">
        <is>
          <t>Enchapes</t>
        </is>
      </c>
      <c r="C89" s="501" t="inlineStr">
        <is>
          <t>Juntas</t>
        </is>
      </c>
      <c r="D89" s="501" t="inlineStr">
        <is>
          <t>Juntas de dilatación / construcción</t>
        </is>
      </c>
      <c r="E89" s="502" t="inlineStr">
        <is>
          <t>ml</t>
        </is>
      </c>
      <c r="F89" s="501" t="inlineStr">
        <is>
          <t>Longitud × N° elementos × repeticiones − deducciones</t>
        </is>
      </c>
      <c r="G89" s="662" t="n"/>
      <c r="H89" s="663" t="n"/>
    </row>
    <row r="90" ht="15" customFormat="1" customHeight="1" s="268">
      <c r="A90" s="1309" t="inlineStr">
        <is>
          <t>10  |  PINTURA</t>
        </is>
      </c>
      <c r="B90" s="545" t="n"/>
      <c r="C90" s="545" t="n"/>
      <c r="D90" s="545" t="n"/>
      <c r="E90" s="545" t="n"/>
      <c r="F90" s="545" t="n"/>
      <c r="G90" s="545" t="n"/>
      <c r="H90" s="1023" t="n"/>
    </row>
    <row r="91" ht="15" customFormat="1" customHeight="1" s="268">
      <c r="A91" s="500" t="inlineStr">
        <is>
          <t>10.01.01</t>
        </is>
      </c>
      <c r="B91" s="501" t="inlineStr">
        <is>
          <t>Pintura</t>
        </is>
      </c>
      <c r="C91" s="501" t="inlineStr">
        <is>
          <t>Vinilo interior</t>
        </is>
      </c>
      <c r="D91" s="501" t="inlineStr">
        <is>
          <t>Pintura vinílica interior</t>
        </is>
      </c>
      <c r="E91" s="502" t="inlineStr">
        <is>
          <t>m²</t>
        </is>
      </c>
      <c r="F91" s="501" t="inlineStr">
        <is>
          <t>Largo × Ancho × N° elementos × repeticiones − deducciones</t>
        </is>
      </c>
      <c r="G91" s="662" t="n"/>
      <c r="H91" s="663" t="n"/>
    </row>
    <row r="92" ht="15" customFormat="1" customHeight="1" s="268">
      <c r="A92" s="500" t="inlineStr">
        <is>
          <t>10.01.02</t>
        </is>
      </c>
      <c r="B92" s="501" t="inlineStr">
        <is>
          <t>Pintura</t>
        </is>
      </c>
      <c r="C92" s="501" t="inlineStr">
        <is>
          <t>Vinilo exterior</t>
        </is>
      </c>
      <c r="D92" s="501" t="inlineStr">
        <is>
          <t>Pintura exterior</t>
        </is>
      </c>
      <c r="E92" s="502" t="inlineStr">
        <is>
          <t>m²</t>
        </is>
      </c>
      <c r="F92" s="501" t="inlineStr">
        <is>
          <t>Largo × Ancho × N° elementos × repeticiones − deducciones</t>
        </is>
      </c>
      <c r="G92" s="662" t="n"/>
      <c r="H92" s="663" t="n"/>
    </row>
    <row r="93" ht="15" customFormat="1" customHeight="1" s="268">
      <c r="A93" s="500" t="inlineStr">
        <is>
          <t>10.01.03</t>
        </is>
      </c>
      <c r="B93" s="501" t="inlineStr">
        <is>
          <t>Pintura</t>
        </is>
      </c>
      <c r="C93" s="501" t="inlineStr">
        <is>
          <t>Esmalte</t>
        </is>
      </c>
      <c r="D93" s="501" t="inlineStr">
        <is>
          <t>Pintura esmalte en superficies metálicas/madera</t>
        </is>
      </c>
      <c r="E93" s="502" t="inlineStr">
        <is>
          <t>m²</t>
        </is>
      </c>
      <c r="F93" s="501" t="inlineStr">
        <is>
          <t>Largo × Ancho × N° elementos × repeticiones − deducciones</t>
        </is>
      </c>
      <c r="G93" s="662" t="n"/>
      <c r="H93" s="663" t="n"/>
    </row>
    <row r="94" ht="15" customFormat="1" customHeight="1" s="268">
      <c r="A94" s="500" t="inlineStr">
        <is>
          <t>10.01.04</t>
        </is>
      </c>
      <c r="B94" s="501" t="inlineStr">
        <is>
          <t>Pintura</t>
        </is>
      </c>
      <c r="C94" s="501" t="inlineStr">
        <is>
          <t>Anticorrosivo</t>
        </is>
      </c>
      <c r="D94" s="501" t="inlineStr">
        <is>
          <t>Pintura anticorrosiva</t>
        </is>
      </c>
      <c r="E94" s="502" t="inlineStr">
        <is>
          <t>m²</t>
        </is>
      </c>
      <c r="F94" s="501" t="inlineStr">
        <is>
          <t>Largo × Ancho × N° elementos × repeticiones − deducciones</t>
        </is>
      </c>
      <c r="G94" s="662" t="n"/>
      <c r="H94" s="663" t="n"/>
    </row>
    <row r="95" ht="15" customFormat="1" customHeight="1" s="268">
      <c r="A95" s="500" t="inlineStr">
        <is>
          <t>10.01.05</t>
        </is>
      </c>
      <c r="B95" s="501" t="inlineStr">
        <is>
          <t>Pintura</t>
        </is>
      </c>
      <c r="C95" s="501" t="inlineStr">
        <is>
          <t>Sellador</t>
        </is>
      </c>
      <c r="D95" s="501" t="inlineStr">
        <is>
          <t>Sellador / imprimante</t>
        </is>
      </c>
      <c r="E95" s="502" t="inlineStr">
        <is>
          <t>m²</t>
        </is>
      </c>
      <c r="F95" s="501" t="inlineStr">
        <is>
          <t>Largo × Ancho × N° elementos × repeticiones − deducciones</t>
        </is>
      </c>
      <c r="G95" s="662" t="n"/>
      <c r="H95" s="663" t="n"/>
    </row>
    <row r="96" ht="15" customFormat="1" customHeight="1" s="268">
      <c r="A96" s="1309" t="inlineStr">
        <is>
          <t>11  |  CARPINTERÍA</t>
        </is>
      </c>
      <c r="B96" s="545" t="n"/>
      <c r="C96" s="545" t="n"/>
      <c r="D96" s="545" t="n"/>
      <c r="E96" s="545" t="n"/>
      <c r="F96" s="545" t="n"/>
      <c r="G96" s="545" t="n"/>
      <c r="H96" s="1023" t="n"/>
    </row>
    <row r="97" ht="15" customFormat="1" customHeight="1" s="268">
      <c r="A97" s="500" t="inlineStr">
        <is>
          <t>11.01.01</t>
        </is>
      </c>
      <c r="B97" s="501" t="inlineStr">
        <is>
          <t>Madera</t>
        </is>
      </c>
      <c r="C97" s="501" t="inlineStr">
        <is>
          <t>Puertas madera</t>
        </is>
      </c>
      <c r="D97" s="501" t="inlineStr">
        <is>
          <t>Puertas de madera</t>
        </is>
      </c>
      <c r="E97" s="502" t="inlineStr">
        <is>
          <t>und</t>
        </is>
      </c>
      <c r="F97" s="501" t="inlineStr">
        <is>
          <t>N° elementos × repeticiones − deducciones</t>
        </is>
      </c>
      <c r="G97" s="662" t="n"/>
      <c r="H97" s="663" t="n"/>
    </row>
    <row r="98" ht="15" customFormat="1" customHeight="1" s="268">
      <c r="A98" s="500" t="inlineStr">
        <is>
          <t>11.01.02</t>
        </is>
      </c>
      <c r="B98" s="501" t="inlineStr">
        <is>
          <t>Madera</t>
        </is>
      </c>
      <c r="C98" s="501" t="inlineStr">
        <is>
          <t>Muebles</t>
        </is>
      </c>
      <c r="D98" s="501" t="inlineStr">
        <is>
          <t>Muebles fijos de madera</t>
        </is>
      </c>
      <c r="E98" s="502" t="inlineStr">
        <is>
          <t>ml</t>
        </is>
      </c>
      <c r="F98" s="501" t="inlineStr">
        <is>
          <t>Longitud × N° elementos × repeticiones − deducciones</t>
        </is>
      </c>
      <c r="G98" s="662" t="n"/>
      <c r="H98" s="663" t="n"/>
    </row>
    <row r="99" ht="15" customFormat="1" customHeight="1" s="268">
      <c r="A99" s="500" t="inlineStr">
        <is>
          <t>11.02.01</t>
        </is>
      </c>
      <c r="B99" s="501" t="inlineStr">
        <is>
          <t>Metálica</t>
        </is>
      </c>
      <c r="C99" s="501" t="inlineStr">
        <is>
          <t>Puertas metálicas</t>
        </is>
      </c>
      <c r="D99" s="501" t="inlineStr">
        <is>
          <t>Puertas metálicas</t>
        </is>
      </c>
      <c r="E99" s="502" t="inlineStr">
        <is>
          <t>und</t>
        </is>
      </c>
      <c r="F99" s="501" t="inlineStr">
        <is>
          <t>N° elementos × repeticiones − deducciones</t>
        </is>
      </c>
      <c r="G99" s="662" t="n"/>
      <c r="H99" s="663" t="n"/>
    </row>
    <row r="100" ht="15" customFormat="1" customHeight="1" s="268">
      <c r="A100" s="500" t="inlineStr">
        <is>
          <t>11.02.02</t>
        </is>
      </c>
      <c r="B100" s="501" t="inlineStr">
        <is>
          <t>Metálica</t>
        </is>
      </c>
      <c r="C100" s="501" t="inlineStr">
        <is>
          <t>Barandas</t>
        </is>
      </c>
      <c r="D100" s="501" t="inlineStr">
        <is>
          <t>Barandas metálicas</t>
        </is>
      </c>
      <c r="E100" s="502" t="inlineStr">
        <is>
          <t>ml</t>
        </is>
      </c>
      <c r="F100" s="501" t="inlineStr">
        <is>
          <t>Longitud × N° elementos × repeticiones − deducciones</t>
        </is>
      </c>
      <c r="G100" s="662" t="n"/>
      <c r="H100" s="663" t="n"/>
    </row>
    <row r="101" ht="15" customFormat="1" customHeight="1" s="268">
      <c r="A101" s="500" t="inlineStr">
        <is>
          <t>11.02.03</t>
        </is>
      </c>
      <c r="B101" s="501" t="inlineStr">
        <is>
          <t>Metálica</t>
        </is>
      </c>
      <c r="C101" s="501" t="inlineStr">
        <is>
          <t>Pasamanos</t>
        </is>
      </c>
      <c r="D101" s="501" t="inlineStr">
        <is>
          <t>Pasamanos</t>
        </is>
      </c>
      <c r="E101" s="502" t="inlineStr">
        <is>
          <t>ml</t>
        </is>
      </c>
      <c r="F101" s="501" t="inlineStr">
        <is>
          <t>Longitud × N° elementos × repeticiones − deducciones</t>
        </is>
      </c>
      <c r="G101" s="662" t="n"/>
      <c r="H101" s="663" t="n"/>
    </row>
    <row r="102" ht="15" customFormat="1" customHeight="1" s="268">
      <c r="A102" s="500" t="inlineStr">
        <is>
          <t>11.03.01</t>
        </is>
      </c>
      <c r="B102" s="501" t="inlineStr">
        <is>
          <t>Aluminio</t>
        </is>
      </c>
      <c r="C102" s="501" t="inlineStr">
        <is>
          <t>Ventanas</t>
        </is>
      </c>
      <c r="D102" s="501" t="inlineStr">
        <is>
          <t>Ventanas de aluminio</t>
        </is>
      </c>
      <c r="E102" s="502" t="inlineStr">
        <is>
          <t>m²</t>
        </is>
      </c>
      <c r="F102" s="501" t="inlineStr">
        <is>
          <t>Largo × Ancho × N° elementos × repeticiones − deducciones</t>
        </is>
      </c>
      <c r="G102" s="662" t="n"/>
      <c r="H102" s="663" t="n"/>
    </row>
    <row r="103" ht="15" customFormat="1" customHeight="1" s="268">
      <c r="A103" s="500" t="inlineStr">
        <is>
          <t>11.03.02</t>
        </is>
      </c>
      <c r="B103" s="501" t="inlineStr">
        <is>
          <t>Aluminio</t>
        </is>
      </c>
      <c r="C103" s="501" t="inlineStr">
        <is>
          <t>Divisiones</t>
        </is>
      </c>
      <c r="D103" s="501" t="inlineStr">
        <is>
          <t>Divisiones de aluminio</t>
        </is>
      </c>
      <c r="E103" s="502" t="inlineStr">
        <is>
          <t>m²</t>
        </is>
      </c>
      <c r="F103" s="501" t="inlineStr">
        <is>
          <t>Largo × Ancho × N° elementos × repeticiones − deducciones</t>
        </is>
      </c>
      <c r="G103" s="662" t="n"/>
      <c r="H103" s="663" t="n"/>
    </row>
    <row r="104" ht="15" customFormat="1" customHeight="1" s="268">
      <c r="A104" s="1309" t="inlineStr">
        <is>
          <t>12  |  VIDRIOS</t>
        </is>
      </c>
      <c r="B104" s="545" t="n"/>
      <c r="C104" s="545" t="n"/>
      <c r="D104" s="545" t="n"/>
      <c r="E104" s="545" t="n"/>
      <c r="F104" s="545" t="n"/>
      <c r="G104" s="545" t="n"/>
      <c r="H104" s="1023" t="n"/>
    </row>
    <row r="105" ht="15" customFormat="1" customHeight="1" s="268">
      <c r="A105" s="500" t="inlineStr">
        <is>
          <t>12.01.01</t>
        </is>
      </c>
      <c r="B105" s="501" t="inlineStr">
        <is>
          <t>Vidriería</t>
        </is>
      </c>
      <c r="C105" s="501" t="inlineStr">
        <is>
          <t>Vidrio templado</t>
        </is>
      </c>
      <c r="D105" s="501" t="inlineStr">
        <is>
          <t>Vidrio templado</t>
        </is>
      </c>
      <c r="E105" s="502" t="inlineStr">
        <is>
          <t>m²</t>
        </is>
      </c>
      <c r="F105" s="501" t="inlineStr">
        <is>
          <t>Largo × Ancho × N° elementos × repeticiones − deducciones</t>
        </is>
      </c>
      <c r="G105" s="662" t="n"/>
      <c r="H105" s="663" t="n"/>
    </row>
    <row r="106" ht="15" customFormat="1" customHeight="1" s="268">
      <c r="A106" s="500" t="inlineStr">
        <is>
          <t>12.01.02</t>
        </is>
      </c>
      <c r="B106" s="501" t="inlineStr">
        <is>
          <t>Vidriería</t>
        </is>
      </c>
      <c r="C106" s="501" t="inlineStr">
        <is>
          <t>Vidrio laminado</t>
        </is>
      </c>
      <c r="D106" s="501" t="inlineStr">
        <is>
          <t>Vidrio laminado</t>
        </is>
      </c>
      <c r="E106" s="502" t="inlineStr">
        <is>
          <t>m²</t>
        </is>
      </c>
      <c r="F106" s="501" t="inlineStr">
        <is>
          <t>Largo × Ancho × N° elementos × repeticiones − deducciones</t>
        </is>
      </c>
      <c r="G106" s="662" t="n"/>
      <c r="H106" s="663" t="n"/>
    </row>
    <row r="107" ht="15" customFormat="1" customHeight="1" s="268">
      <c r="A107" s="500" t="inlineStr">
        <is>
          <t>12.01.03</t>
        </is>
      </c>
      <c r="B107" s="501" t="inlineStr">
        <is>
          <t>Vidriería</t>
        </is>
      </c>
      <c r="C107" s="501" t="inlineStr">
        <is>
          <t>Espejos</t>
        </is>
      </c>
      <c r="D107" s="501" t="inlineStr">
        <is>
          <t>Espejos</t>
        </is>
      </c>
      <c r="E107" s="502" t="inlineStr">
        <is>
          <t>m²</t>
        </is>
      </c>
      <c r="F107" s="501" t="inlineStr">
        <is>
          <t>Largo × Ancho × N° elementos × repeticiones − deducciones</t>
        </is>
      </c>
      <c r="G107" s="662" t="n"/>
      <c r="H107" s="663" t="n"/>
    </row>
    <row r="108" ht="15" customFormat="1" customHeight="1" s="268">
      <c r="A108" s="500" t="inlineStr">
        <is>
          <t>12.01.04</t>
        </is>
      </c>
      <c r="B108" s="501" t="inlineStr">
        <is>
          <t>Vidriería</t>
        </is>
      </c>
      <c r="C108" s="501" t="inlineStr">
        <is>
          <t>Sellos</t>
        </is>
      </c>
      <c r="D108" s="501" t="inlineStr">
        <is>
          <t>Sellos y silicona</t>
        </is>
      </c>
      <c r="E108" s="502" t="inlineStr">
        <is>
          <t>ml</t>
        </is>
      </c>
      <c r="F108" s="501" t="inlineStr">
        <is>
          <t>Longitud × N° elementos × repeticiones − deducciones</t>
        </is>
      </c>
      <c r="G108" s="662" t="n"/>
      <c r="H108" s="663" t="n"/>
    </row>
    <row r="109" ht="15" customFormat="1" customHeight="1" s="268">
      <c r="A109" s="1309" t="inlineStr">
        <is>
          <t>13  |  INSTALACIONES HIDROSANITARIAS</t>
        </is>
      </c>
      <c r="B109" s="545" t="n"/>
      <c r="C109" s="545" t="n"/>
      <c r="D109" s="545" t="n"/>
      <c r="E109" s="545" t="n"/>
      <c r="F109" s="545" t="n"/>
      <c r="G109" s="545" t="n"/>
      <c r="H109" s="1023" t="n"/>
    </row>
    <row r="110" ht="15" customFormat="1" customHeight="1" s="268">
      <c r="A110" s="500" t="inlineStr">
        <is>
          <t>13.01.01</t>
        </is>
      </c>
      <c r="B110" s="501" t="inlineStr">
        <is>
          <t>Agua potable</t>
        </is>
      </c>
      <c r="C110" s="501" t="inlineStr">
        <is>
          <t>Red agua fría</t>
        </is>
      </c>
      <c r="D110" s="501" t="inlineStr">
        <is>
          <t>Tubería de agua fría</t>
        </is>
      </c>
      <c r="E110" s="502" t="inlineStr">
        <is>
          <t>ml</t>
        </is>
      </c>
      <c r="F110" s="501" t="inlineStr">
        <is>
          <t>Longitud × N° elementos × repeticiones − deducciones</t>
        </is>
      </c>
      <c r="G110" s="662" t="n"/>
      <c r="H110" s="663" t="n"/>
    </row>
    <row r="111" ht="15" customFormat="1" customHeight="1" s="268">
      <c r="A111" s="500" t="inlineStr">
        <is>
          <t>13.01.02</t>
        </is>
      </c>
      <c r="B111" s="501" t="inlineStr">
        <is>
          <t>Agua potable</t>
        </is>
      </c>
      <c r="C111" s="501" t="inlineStr">
        <is>
          <t>Red agua caliente</t>
        </is>
      </c>
      <c r="D111" s="501" t="inlineStr">
        <is>
          <t>Tubería de agua caliente</t>
        </is>
      </c>
      <c r="E111" s="502" t="inlineStr">
        <is>
          <t>ml</t>
        </is>
      </c>
      <c r="F111" s="501" t="inlineStr">
        <is>
          <t>Longitud × N° elementos × repeticiones − deducciones</t>
        </is>
      </c>
      <c r="G111" s="662" t="n"/>
      <c r="H111" s="663" t="n"/>
    </row>
    <row r="112" ht="15" customFormat="1" customHeight="1" s="268">
      <c r="A112" s="500" t="inlineStr">
        <is>
          <t>13.01.03</t>
        </is>
      </c>
      <c r="B112" s="501" t="inlineStr">
        <is>
          <t>Agua potable</t>
        </is>
      </c>
      <c r="C112" s="501" t="inlineStr">
        <is>
          <t>Válvulas</t>
        </is>
      </c>
      <c r="D112" s="501" t="inlineStr">
        <is>
          <t>Válvulas y accesorios</t>
        </is>
      </c>
      <c r="E112" s="502" t="inlineStr">
        <is>
          <t>und</t>
        </is>
      </c>
      <c r="F112" s="501" t="inlineStr">
        <is>
          <t>N° elementos × repeticiones − deducciones</t>
        </is>
      </c>
      <c r="G112" s="662" t="n"/>
      <c r="H112" s="663" t="n"/>
    </row>
    <row r="113" ht="15" customFormat="1" customHeight="1" s="268">
      <c r="A113" s="500" t="inlineStr">
        <is>
          <t>13.02.01</t>
        </is>
      </c>
      <c r="B113" s="501" t="inlineStr">
        <is>
          <t>Desagües</t>
        </is>
      </c>
      <c r="C113" s="501" t="inlineStr">
        <is>
          <t>Red sanitaria</t>
        </is>
      </c>
      <c r="D113" s="501" t="inlineStr">
        <is>
          <t>Tubería sanitaria</t>
        </is>
      </c>
      <c r="E113" s="502" t="inlineStr">
        <is>
          <t>ml</t>
        </is>
      </c>
      <c r="F113" s="501" t="inlineStr">
        <is>
          <t>Longitud × N° elementos × repeticiones − deducciones</t>
        </is>
      </c>
      <c r="G113" s="662" t="n"/>
      <c r="H113" s="663" t="n"/>
    </row>
    <row r="114" ht="15" customFormat="1" customHeight="1" s="268">
      <c r="A114" s="500" t="inlineStr">
        <is>
          <t>13.02.02</t>
        </is>
      </c>
      <c r="B114" s="501" t="inlineStr">
        <is>
          <t>Desagües</t>
        </is>
      </c>
      <c r="C114" s="501" t="inlineStr">
        <is>
          <t>Red lluvias</t>
        </is>
      </c>
      <c r="D114" s="501" t="inlineStr">
        <is>
          <t>Tubería de aguas lluvias</t>
        </is>
      </c>
      <c r="E114" s="502" t="inlineStr">
        <is>
          <t>ml</t>
        </is>
      </c>
      <c r="F114" s="501" t="inlineStr">
        <is>
          <t>Longitud × N° elementos × repeticiones − deducciones</t>
        </is>
      </c>
      <c r="G114" s="662" t="n"/>
      <c r="H114" s="663" t="n"/>
    </row>
    <row r="115" ht="15" customFormat="1" customHeight="1" s="268">
      <c r="A115" s="500" t="inlineStr">
        <is>
          <t>13.02.03</t>
        </is>
      </c>
      <c r="B115" s="501" t="inlineStr">
        <is>
          <t>Desagües</t>
        </is>
      </c>
      <c r="C115" s="501" t="inlineStr">
        <is>
          <t>Cajas inspección</t>
        </is>
      </c>
      <c r="D115" s="501" t="inlineStr">
        <is>
          <t>Cajas de inspección</t>
        </is>
      </c>
      <c r="E115" s="502" t="inlineStr">
        <is>
          <t>und</t>
        </is>
      </c>
      <c r="F115" s="501" t="inlineStr">
        <is>
          <t>N° elementos × repeticiones − deducciones</t>
        </is>
      </c>
      <c r="G115" s="662" t="n"/>
      <c r="H115" s="663" t="n"/>
    </row>
    <row r="116" ht="15" customFormat="1" customHeight="1" s="268">
      <c r="A116" s="500" t="inlineStr">
        <is>
          <t>13.03.01</t>
        </is>
      </c>
      <c r="B116" s="501" t="inlineStr">
        <is>
          <t>Aparatos</t>
        </is>
      </c>
      <c r="C116" s="501" t="inlineStr">
        <is>
          <t>Sanitarios</t>
        </is>
      </c>
      <c r="D116" s="501" t="inlineStr">
        <is>
          <t>Aparatos sanitarios</t>
        </is>
      </c>
      <c r="E116" s="502" t="inlineStr">
        <is>
          <t>und</t>
        </is>
      </c>
      <c r="F116" s="501" t="inlineStr">
        <is>
          <t>N° elementos × repeticiones − deducciones</t>
        </is>
      </c>
      <c r="G116" s="662" t="n"/>
      <c r="H116" s="663" t="n"/>
    </row>
    <row r="117" ht="15" customFormat="1" customHeight="1" s="268">
      <c r="A117" s="500" t="inlineStr">
        <is>
          <t>13.03.02</t>
        </is>
      </c>
      <c r="B117" s="501" t="inlineStr">
        <is>
          <t>Aparatos</t>
        </is>
      </c>
      <c r="C117" s="501" t="inlineStr">
        <is>
          <t>Lavamanos</t>
        </is>
      </c>
      <c r="D117" s="501" t="inlineStr">
        <is>
          <t>Lavamanos</t>
        </is>
      </c>
      <c r="E117" s="502" t="inlineStr">
        <is>
          <t>und</t>
        </is>
      </c>
      <c r="F117" s="501" t="inlineStr">
        <is>
          <t>N° elementos × repeticiones − deducciones</t>
        </is>
      </c>
      <c r="G117" s="662" t="n"/>
      <c r="H117" s="663" t="n"/>
    </row>
    <row r="118" ht="15" customFormat="1" customHeight="1" s="268">
      <c r="A118" s="500" t="inlineStr">
        <is>
          <t>13.03.03</t>
        </is>
      </c>
      <c r="B118" s="501" t="inlineStr">
        <is>
          <t>Aparatos</t>
        </is>
      </c>
      <c r="C118" s="501" t="inlineStr">
        <is>
          <t>Griferías</t>
        </is>
      </c>
      <c r="D118" s="501" t="inlineStr">
        <is>
          <t>Griferías</t>
        </is>
      </c>
      <c r="E118" s="502" t="inlineStr">
        <is>
          <t>und</t>
        </is>
      </c>
      <c r="F118" s="501" t="inlineStr">
        <is>
          <t>N° elementos × repeticiones − deducciones</t>
        </is>
      </c>
      <c r="G118" s="662" t="n"/>
      <c r="H118" s="663" t="n"/>
    </row>
    <row r="119" ht="15" customFormat="1" customHeight="1" s="268">
      <c r="A119" s="500" t="inlineStr">
        <is>
          <t>13.03.04</t>
        </is>
      </c>
      <c r="B119" s="501" t="inlineStr">
        <is>
          <t>Aparatos</t>
        </is>
      </c>
      <c r="C119" s="501" t="inlineStr">
        <is>
          <t>Duchas</t>
        </is>
      </c>
      <c r="D119" s="501" t="inlineStr">
        <is>
          <t>Duchas</t>
        </is>
      </c>
      <c r="E119" s="502" t="inlineStr">
        <is>
          <t>und</t>
        </is>
      </c>
      <c r="F119" s="501" t="inlineStr">
        <is>
          <t>N° elementos × repeticiones − deducciones</t>
        </is>
      </c>
      <c r="G119" s="662" t="n"/>
      <c r="H119" s="663" t="n"/>
    </row>
    <row r="120" ht="15" customFormat="1" customHeight="1" s="268">
      <c r="A120" s="500" t="inlineStr">
        <is>
          <t>13.04.01</t>
        </is>
      </c>
      <c r="B120" s="501" t="inlineStr">
        <is>
          <t>Pruebas</t>
        </is>
      </c>
      <c r="C120" s="501" t="inlineStr">
        <is>
          <t>Prueba hidráulica</t>
        </is>
      </c>
      <c r="D120" s="501" t="inlineStr">
        <is>
          <t>Pruebas hidráulicas y de estanqueidad</t>
        </is>
      </c>
      <c r="E120" s="502" t="inlineStr">
        <is>
          <t>gl</t>
        </is>
      </c>
      <c r="F120" s="501" t="inlineStr">
        <is>
          <t>Según alcance contractual / presupuesto</t>
        </is>
      </c>
      <c r="G120" s="662" t="n"/>
      <c r="H120" s="663" t="n"/>
    </row>
    <row r="121" ht="15" customFormat="1" customHeight="1" s="268">
      <c r="A121" s="1309" t="inlineStr">
        <is>
          <t>14  |  INSTALACIONES ELÉCTRICAS</t>
        </is>
      </c>
      <c r="B121" s="545" t="n"/>
      <c r="C121" s="545" t="n"/>
      <c r="D121" s="545" t="n"/>
      <c r="E121" s="545" t="n"/>
      <c r="F121" s="545" t="n"/>
      <c r="G121" s="545" t="n"/>
      <c r="H121" s="1023" t="n"/>
    </row>
    <row r="122" ht="15" customFormat="1" customHeight="1" s="268">
      <c r="A122" s="500" t="inlineStr">
        <is>
          <t>14.01.01</t>
        </is>
      </c>
      <c r="B122" s="501" t="inlineStr">
        <is>
          <t>Canalizaciones</t>
        </is>
      </c>
      <c r="C122" s="501" t="inlineStr">
        <is>
          <t>Tubería eléctrica</t>
        </is>
      </c>
      <c r="D122" s="501" t="inlineStr">
        <is>
          <t>Tubería/conduit eléctrica</t>
        </is>
      </c>
      <c r="E122" s="502" t="inlineStr">
        <is>
          <t>ml</t>
        </is>
      </c>
      <c r="F122" s="501" t="inlineStr">
        <is>
          <t>Longitud × N° elementos × repeticiones − deducciones</t>
        </is>
      </c>
      <c r="G122" s="662" t="n"/>
      <c r="H122" s="663" t="n"/>
    </row>
    <row r="123" ht="15" customFormat="1" customHeight="1" s="268">
      <c r="A123" s="500" t="inlineStr">
        <is>
          <t>14.01.02</t>
        </is>
      </c>
      <c r="B123" s="501" t="inlineStr">
        <is>
          <t>Canalizaciones</t>
        </is>
      </c>
      <c r="C123" s="501" t="inlineStr">
        <is>
          <t>Bandejas</t>
        </is>
      </c>
      <c r="D123" s="501" t="inlineStr">
        <is>
          <t>Bandejas portacables</t>
        </is>
      </c>
      <c r="E123" s="502" t="inlineStr">
        <is>
          <t>ml</t>
        </is>
      </c>
      <c r="F123" s="501" t="inlineStr">
        <is>
          <t>Longitud × N° elementos × repeticiones − deducciones</t>
        </is>
      </c>
      <c r="G123" s="662" t="n"/>
      <c r="H123" s="663" t="n"/>
    </row>
    <row r="124" ht="15" customFormat="1" customHeight="1" s="268">
      <c r="A124" s="500" t="inlineStr">
        <is>
          <t>14.01.03</t>
        </is>
      </c>
      <c r="B124" s="501" t="inlineStr">
        <is>
          <t>Canalizaciones</t>
        </is>
      </c>
      <c r="C124" s="501" t="inlineStr">
        <is>
          <t>Cajas</t>
        </is>
      </c>
      <c r="D124" s="501" t="inlineStr">
        <is>
          <t>Cajas eléctricas</t>
        </is>
      </c>
      <c r="E124" s="502" t="inlineStr">
        <is>
          <t>und</t>
        </is>
      </c>
      <c r="F124" s="501" t="inlineStr">
        <is>
          <t>N° elementos × repeticiones − deducciones</t>
        </is>
      </c>
      <c r="G124" s="662" t="n"/>
      <c r="H124" s="663" t="n"/>
    </row>
    <row r="125" ht="15" customFormat="1" customHeight="1" s="268">
      <c r="A125" s="500" t="inlineStr">
        <is>
          <t>14.02.01</t>
        </is>
      </c>
      <c r="B125" s="501" t="inlineStr">
        <is>
          <t>Cableado</t>
        </is>
      </c>
      <c r="C125" s="501" t="inlineStr">
        <is>
          <t>Cableado fuerza</t>
        </is>
      </c>
      <c r="D125" s="501" t="inlineStr">
        <is>
          <t>Cableado de fuerza</t>
        </is>
      </c>
      <c r="E125" s="502" t="inlineStr">
        <is>
          <t>ml</t>
        </is>
      </c>
      <c r="F125" s="501" t="inlineStr">
        <is>
          <t>Longitud × N° elementos × repeticiones − deducciones</t>
        </is>
      </c>
      <c r="G125" s="662" t="n"/>
      <c r="H125" s="663" t="n"/>
    </row>
    <row r="126" ht="15" customFormat="1" customHeight="1" s="268">
      <c r="A126" s="500" t="inlineStr">
        <is>
          <t>14.02.02</t>
        </is>
      </c>
      <c r="B126" s="501" t="inlineStr">
        <is>
          <t>Cableado</t>
        </is>
      </c>
      <c r="C126" s="501" t="inlineStr">
        <is>
          <t>Cableado iluminación</t>
        </is>
      </c>
      <c r="D126" s="501" t="inlineStr">
        <is>
          <t>Cableado de iluminación</t>
        </is>
      </c>
      <c r="E126" s="502" t="inlineStr">
        <is>
          <t>ml</t>
        </is>
      </c>
      <c r="F126" s="501" t="inlineStr">
        <is>
          <t>Longitud × N° elementos × repeticiones − deducciones</t>
        </is>
      </c>
      <c r="G126" s="662" t="n"/>
      <c r="H126" s="663" t="n"/>
    </row>
    <row r="127" ht="15" customFormat="1" customHeight="1" s="268">
      <c r="A127" s="500" t="inlineStr">
        <is>
          <t>14.02.03</t>
        </is>
      </c>
      <c r="B127" s="501" t="inlineStr">
        <is>
          <t>Cableado</t>
        </is>
      </c>
      <c r="C127" s="501" t="inlineStr">
        <is>
          <t>Tableros</t>
        </is>
      </c>
      <c r="D127" s="501" t="inlineStr">
        <is>
          <t>Tableros eléctricos</t>
        </is>
      </c>
      <c r="E127" s="502" t="inlineStr">
        <is>
          <t>und</t>
        </is>
      </c>
      <c r="F127" s="501" t="inlineStr">
        <is>
          <t>N° elementos × repeticiones − deducciones</t>
        </is>
      </c>
      <c r="G127" s="662" t="n"/>
      <c r="H127" s="663" t="n"/>
    </row>
    <row r="128" ht="15" customFormat="1" customHeight="1" s="268">
      <c r="A128" s="500" t="inlineStr">
        <is>
          <t>14.03.01</t>
        </is>
      </c>
      <c r="B128" s="501" t="inlineStr">
        <is>
          <t>Aparatos</t>
        </is>
      </c>
      <c r="C128" s="501" t="inlineStr">
        <is>
          <t>Tomacorrientes</t>
        </is>
      </c>
      <c r="D128" s="501" t="inlineStr">
        <is>
          <t>Tomacorrientes</t>
        </is>
      </c>
      <c r="E128" s="502" t="inlineStr">
        <is>
          <t>und</t>
        </is>
      </c>
      <c r="F128" s="501" t="inlineStr">
        <is>
          <t>N° elementos × repeticiones − deducciones</t>
        </is>
      </c>
      <c r="G128" s="662" t="n"/>
      <c r="H128" s="663" t="n"/>
    </row>
    <row r="129" ht="15" customFormat="1" customHeight="1" s="268">
      <c r="A129" s="500" t="inlineStr">
        <is>
          <t>14.03.02</t>
        </is>
      </c>
      <c r="B129" s="501" t="inlineStr">
        <is>
          <t>Aparatos</t>
        </is>
      </c>
      <c r="C129" s="501" t="inlineStr">
        <is>
          <t>Interruptores</t>
        </is>
      </c>
      <c r="D129" s="501" t="inlineStr">
        <is>
          <t>Interruptores</t>
        </is>
      </c>
      <c r="E129" s="502" t="inlineStr">
        <is>
          <t>und</t>
        </is>
      </c>
      <c r="F129" s="501" t="inlineStr">
        <is>
          <t>N° elementos × repeticiones − deducciones</t>
        </is>
      </c>
      <c r="G129" s="662" t="n"/>
      <c r="H129" s="663" t="n"/>
    </row>
    <row r="130" ht="15" customFormat="1" customHeight="1" s="268">
      <c r="A130" s="500" t="inlineStr">
        <is>
          <t>14.03.03</t>
        </is>
      </c>
      <c r="B130" s="501" t="inlineStr">
        <is>
          <t>Aparatos</t>
        </is>
      </c>
      <c r="C130" s="501" t="inlineStr">
        <is>
          <t>Luminarias</t>
        </is>
      </c>
      <c r="D130" s="501" t="inlineStr">
        <is>
          <t>Luminarias</t>
        </is>
      </c>
      <c r="E130" s="502" t="inlineStr">
        <is>
          <t>und</t>
        </is>
      </c>
      <c r="F130" s="501" t="inlineStr">
        <is>
          <t>N° elementos × repeticiones − deducciones</t>
        </is>
      </c>
      <c r="G130" s="662" t="n"/>
      <c r="H130" s="663" t="n"/>
    </row>
    <row r="131" ht="15" customFormat="1" customHeight="1" s="268">
      <c r="A131" s="500" t="inlineStr">
        <is>
          <t>14.04.01</t>
        </is>
      </c>
      <c r="B131" s="501" t="inlineStr">
        <is>
          <t>Puesta a tierra</t>
        </is>
      </c>
      <c r="C131" s="501" t="inlineStr">
        <is>
          <t>Sistema puesta a tierra</t>
        </is>
      </c>
      <c r="D131" s="501" t="inlineStr">
        <is>
          <t>Sistema de puesta a tierra</t>
        </is>
      </c>
      <c r="E131" s="502" t="inlineStr">
        <is>
          <t>gl</t>
        </is>
      </c>
      <c r="F131" s="501" t="inlineStr">
        <is>
          <t>Según alcance contractual / presupuesto</t>
        </is>
      </c>
      <c r="G131" s="662" t="n"/>
      <c r="H131" s="663" t="n"/>
    </row>
    <row r="132" ht="15" customFormat="1" customHeight="1" s="268">
      <c r="A132" s="500" t="inlineStr">
        <is>
          <t>14.05.01</t>
        </is>
      </c>
      <c r="B132" s="501" t="inlineStr">
        <is>
          <t>Pruebas</t>
        </is>
      </c>
      <c r="C132" s="501" t="inlineStr">
        <is>
          <t>Pruebas eléctricas</t>
        </is>
      </c>
      <c r="D132" s="501" t="inlineStr">
        <is>
          <t>Pruebas y certificaciones</t>
        </is>
      </c>
      <c r="E132" s="502" t="inlineStr">
        <is>
          <t>gl</t>
        </is>
      </c>
      <c r="F132" s="501" t="inlineStr">
        <is>
          <t>Según alcance contractual / presupuesto</t>
        </is>
      </c>
      <c r="G132" s="662" t="n"/>
      <c r="H132" s="663" t="n"/>
    </row>
    <row r="133" ht="15" customFormat="1" customHeight="1" s="268">
      <c r="A133" s="1309" t="inlineStr">
        <is>
          <t>15  |  COMUNICACIONES Y SEGURIDAD</t>
        </is>
      </c>
      <c r="B133" s="545" t="n"/>
      <c r="C133" s="545" t="n"/>
      <c r="D133" s="545" t="n"/>
      <c r="E133" s="545" t="n"/>
      <c r="F133" s="545" t="n"/>
      <c r="G133" s="545" t="n"/>
      <c r="H133" s="1023" t="n"/>
    </row>
    <row r="134" ht="15" customFormat="1" customHeight="1" s="268">
      <c r="A134" s="500" t="inlineStr">
        <is>
          <t>15.01.01</t>
        </is>
      </c>
      <c r="B134" s="501" t="inlineStr">
        <is>
          <t>Datos</t>
        </is>
      </c>
      <c r="C134" s="501" t="inlineStr">
        <is>
          <t>Red de datos</t>
        </is>
      </c>
      <c r="D134" s="501" t="inlineStr">
        <is>
          <t>Cableado estructurado de datos</t>
        </is>
      </c>
      <c r="E134" s="502" t="inlineStr">
        <is>
          <t>ml</t>
        </is>
      </c>
      <c r="F134" s="501" t="inlineStr">
        <is>
          <t>Longitud × N° elementos × repeticiones − deducciones</t>
        </is>
      </c>
      <c r="G134" s="662" t="n"/>
      <c r="H134" s="663" t="n"/>
    </row>
    <row r="135" ht="15" customFormat="1" customHeight="1" s="268">
      <c r="A135" s="500" t="inlineStr">
        <is>
          <t>15.01.02</t>
        </is>
      </c>
      <c r="B135" s="501" t="inlineStr">
        <is>
          <t>Datos</t>
        </is>
      </c>
      <c r="C135" s="501" t="inlineStr">
        <is>
          <t>Rack</t>
        </is>
      </c>
      <c r="D135" s="501" t="inlineStr">
        <is>
          <t>Rack de comunicaciones</t>
        </is>
      </c>
      <c r="E135" s="502" t="inlineStr">
        <is>
          <t>und</t>
        </is>
      </c>
      <c r="F135" s="501" t="inlineStr">
        <is>
          <t>N° elementos × repeticiones − deducciones</t>
        </is>
      </c>
      <c r="G135" s="662" t="n"/>
      <c r="H135" s="663" t="n"/>
    </row>
    <row r="136" ht="15" customFormat="1" customHeight="1" s="268">
      <c r="A136" s="500" t="inlineStr">
        <is>
          <t>15.02.01</t>
        </is>
      </c>
      <c r="B136" s="501" t="inlineStr">
        <is>
          <t>Seguridad</t>
        </is>
      </c>
      <c r="C136" s="501" t="inlineStr">
        <is>
          <t>CCTV</t>
        </is>
      </c>
      <c r="D136" s="501" t="inlineStr">
        <is>
          <t>Cámaras y sistema CCTV</t>
        </is>
      </c>
      <c r="E136" s="502" t="inlineStr">
        <is>
          <t>und</t>
        </is>
      </c>
      <c r="F136" s="501" t="inlineStr">
        <is>
          <t>N° elementos × repeticiones − deducciones</t>
        </is>
      </c>
      <c r="G136" s="662" t="n"/>
      <c r="H136" s="663" t="n"/>
    </row>
    <row r="137" ht="15" customFormat="1" customHeight="1" s="268">
      <c r="A137" s="500" t="inlineStr">
        <is>
          <t>15.02.02</t>
        </is>
      </c>
      <c r="B137" s="501" t="inlineStr">
        <is>
          <t>Seguridad</t>
        </is>
      </c>
      <c r="C137" s="501" t="inlineStr">
        <is>
          <t>Control acceso</t>
        </is>
      </c>
      <c r="D137" s="501" t="inlineStr">
        <is>
          <t>Control de acceso</t>
        </is>
      </c>
      <c r="E137" s="502" t="inlineStr">
        <is>
          <t>und</t>
        </is>
      </c>
      <c r="F137" s="501" t="inlineStr">
        <is>
          <t>N° elementos × repeticiones − deducciones</t>
        </is>
      </c>
      <c r="G137" s="662" t="n"/>
      <c r="H137" s="663" t="n"/>
    </row>
    <row r="138" ht="15" customFormat="1" customHeight="1" s="268">
      <c r="A138" s="500" t="inlineStr">
        <is>
          <t>15.02.03</t>
        </is>
      </c>
      <c r="B138" s="501" t="inlineStr">
        <is>
          <t>Seguridad</t>
        </is>
      </c>
      <c r="C138" s="501" t="inlineStr">
        <is>
          <t>Citofonía</t>
        </is>
      </c>
      <c r="D138" s="501" t="inlineStr">
        <is>
          <t>Sistema de citofonía</t>
        </is>
      </c>
      <c r="E138" s="502" t="inlineStr">
        <is>
          <t>und</t>
        </is>
      </c>
      <c r="F138" s="501" t="inlineStr">
        <is>
          <t>N° elementos × repeticiones − deducciones</t>
        </is>
      </c>
      <c r="G138" s="662" t="n"/>
      <c r="H138" s="663" t="n"/>
    </row>
    <row r="139" ht="15" customFormat="1" customHeight="1" s="268">
      <c r="A139" s="500" t="inlineStr">
        <is>
          <t>15.03.01</t>
        </is>
      </c>
      <c r="B139" s="501" t="inlineStr">
        <is>
          <t>Detección</t>
        </is>
      </c>
      <c r="C139" s="501" t="inlineStr">
        <is>
          <t>Detección incendios</t>
        </is>
      </c>
      <c r="D139" s="501" t="inlineStr">
        <is>
          <t>Sistema de detección de incendios</t>
        </is>
      </c>
      <c r="E139" s="502" t="inlineStr">
        <is>
          <t>gl</t>
        </is>
      </c>
      <c r="F139" s="501" t="inlineStr">
        <is>
          <t>Según alcance contractual / presupuesto</t>
        </is>
      </c>
      <c r="G139" s="662" t="n"/>
      <c r="H139" s="663" t="n"/>
    </row>
    <row r="140" ht="15" customFormat="1" customHeight="1" s="268">
      <c r="A140" s="1309" t="inlineStr">
        <is>
          <t>16  |  CLIMATIZACIÓN Y VENTILACIÓN</t>
        </is>
      </c>
      <c r="B140" s="545" t="n"/>
      <c r="C140" s="545" t="n"/>
      <c r="D140" s="545" t="n"/>
      <c r="E140" s="545" t="n"/>
      <c r="F140" s="545" t="n"/>
      <c r="G140" s="545" t="n"/>
      <c r="H140" s="1023" t="n"/>
    </row>
    <row r="141" ht="15" customFormat="1" customHeight="1" s="268">
      <c r="A141" s="500" t="inlineStr">
        <is>
          <t>16.01.01</t>
        </is>
      </c>
      <c r="B141" s="501" t="inlineStr">
        <is>
          <t>HVAC</t>
        </is>
      </c>
      <c r="C141" s="501" t="inlineStr">
        <is>
          <t>Equipos</t>
        </is>
      </c>
      <c r="D141" s="501" t="inlineStr">
        <is>
          <t>Equipos de aire acondicionado</t>
        </is>
      </c>
      <c r="E141" s="502" t="inlineStr">
        <is>
          <t>und</t>
        </is>
      </c>
      <c r="F141" s="501" t="inlineStr">
        <is>
          <t>N° elementos × repeticiones − deducciones</t>
        </is>
      </c>
      <c r="G141" s="662" t="n"/>
      <c r="H141" s="663" t="n"/>
    </row>
    <row r="142" ht="15" customFormat="1" customHeight="1" s="268">
      <c r="A142" s="500" t="inlineStr">
        <is>
          <t>16.01.02</t>
        </is>
      </c>
      <c r="B142" s="501" t="inlineStr">
        <is>
          <t>HVAC</t>
        </is>
      </c>
      <c r="C142" s="501" t="inlineStr">
        <is>
          <t>Ductos</t>
        </is>
      </c>
      <c r="D142" s="501" t="inlineStr">
        <is>
          <t>Ductos de ventilación</t>
        </is>
      </c>
      <c r="E142" s="502" t="inlineStr">
        <is>
          <t>m²</t>
        </is>
      </c>
      <c r="F142" s="501" t="inlineStr">
        <is>
          <t>Largo × Ancho × N° elementos × repeticiones − deducciones</t>
        </is>
      </c>
      <c r="G142" s="662" t="n"/>
      <c r="H142" s="663" t="n"/>
    </row>
    <row r="143" ht="15" customFormat="1" customHeight="1" s="268">
      <c r="A143" s="500" t="inlineStr">
        <is>
          <t>16.01.03</t>
        </is>
      </c>
      <c r="B143" s="501" t="inlineStr">
        <is>
          <t>HVAC</t>
        </is>
      </c>
      <c r="C143" s="501" t="inlineStr">
        <is>
          <t>Tubería refrigerante</t>
        </is>
      </c>
      <c r="D143" s="501" t="inlineStr">
        <is>
          <t>Tubería de refrigerante</t>
        </is>
      </c>
      <c r="E143" s="502" t="inlineStr">
        <is>
          <t>ml</t>
        </is>
      </c>
      <c r="F143" s="501" t="inlineStr">
        <is>
          <t>Longitud × N° elementos × repeticiones − deducciones</t>
        </is>
      </c>
      <c r="G143" s="662" t="n"/>
      <c r="H143" s="663" t="n"/>
    </row>
    <row r="144" ht="15" customFormat="1" customHeight="1" s="268">
      <c r="A144" s="500" t="inlineStr">
        <is>
          <t>16.01.04</t>
        </is>
      </c>
      <c r="B144" s="501" t="inlineStr">
        <is>
          <t>HVAC</t>
        </is>
      </c>
      <c r="C144" s="501" t="inlineStr">
        <is>
          <t>Rejillas</t>
        </is>
      </c>
      <c r="D144" s="501" t="inlineStr">
        <is>
          <t>Rejillas y difusores</t>
        </is>
      </c>
      <c r="E144" s="502" t="inlineStr">
        <is>
          <t>und</t>
        </is>
      </c>
      <c r="F144" s="501" t="inlineStr">
        <is>
          <t>N° elementos × repeticiones − deducciones</t>
        </is>
      </c>
      <c r="G144" s="662" t="n"/>
      <c r="H144" s="663" t="n"/>
    </row>
    <row r="145" ht="15" customFormat="1" customHeight="1" s="268">
      <c r="A145" s="1309" t="inlineStr">
        <is>
          <t>17  |  GAS</t>
        </is>
      </c>
      <c r="B145" s="545" t="n"/>
      <c r="C145" s="545" t="n"/>
      <c r="D145" s="545" t="n"/>
      <c r="E145" s="545" t="n"/>
      <c r="F145" s="545" t="n"/>
      <c r="G145" s="545" t="n"/>
      <c r="H145" s="1023" t="n"/>
    </row>
    <row r="146" ht="15" customFormat="1" customHeight="1" s="268">
      <c r="A146" s="500" t="inlineStr">
        <is>
          <t>17.01.01</t>
        </is>
      </c>
      <c r="B146" s="501" t="inlineStr">
        <is>
          <t>Red de gas</t>
        </is>
      </c>
      <c r="C146" s="501" t="inlineStr">
        <is>
          <t>Tubería gas</t>
        </is>
      </c>
      <c r="D146" s="501" t="inlineStr">
        <is>
          <t>Red interna de gas</t>
        </is>
      </c>
      <c r="E146" s="502" t="inlineStr">
        <is>
          <t>ml</t>
        </is>
      </c>
      <c r="F146" s="501" t="inlineStr">
        <is>
          <t>Longitud × N° elementos × repeticiones − deducciones</t>
        </is>
      </c>
      <c r="G146" s="662" t="n"/>
      <c r="H146" s="663" t="n"/>
    </row>
    <row r="147" ht="15" customFormat="1" customHeight="1" s="268">
      <c r="A147" s="500" t="inlineStr">
        <is>
          <t>17.01.02</t>
        </is>
      </c>
      <c r="B147" s="501" t="inlineStr">
        <is>
          <t>Red de gas</t>
        </is>
      </c>
      <c r="C147" s="501" t="inlineStr">
        <is>
          <t>Válvulas gas</t>
        </is>
      </c>
      <c r="D147" s="501" t="inlineStr">
        <is>
          <t>Válvulas y accesorios</t>
        </is>
      </c>
      <c r="E147" s="502" t="inlineStr">
        <is>
          <t>und</t>
        </is>
      </c>
      <c r="F147" s="501" t="inlineStr">
        <is>
          <t>N° elementos × repeticiones − deducciones</t>
        </is>
      </c>
      <c r="G147" s="662" t="n"/>
      <c r="H147" s="663" t="n"/>
    </row>
    <row r="148" ht="15" customFormat="1" customHeight="1" s="268">
      <c r="A148" s="500" t="inlineStr">
        <is>
          <t>17.01.03</t>
        </is>
      </c>
      <c r="B148" s="501" t="inlineStr">
        <is>
          <t>Red de gas</t>
        </is>
      </c>
      <c r="C148" s="501" t="inlineStr">
        <is>
          <t>Pruebas gas</t>
        </is>
      </c>
      <c r="D148" s="501" t="inlineStr">
        <is>
          <t>Pruebas y certificación</t>
        </is>
      </c>
      <c r="E148" s="502" t="inlineStr">
        <is>
          <t>gl</t>
        </is>
      </c>
      <c r="F148" s="501" t="inlineStr">
        <is>
          <t>Según alcance contractual / presupuesto</t>
        </is>
      </c>
      <c r="G148" s="662" t="n"/>
      <c r="H148" s="663" t="n"/>
    </row>
    <row r="149" ht="15" customFormat="1" customHeight="1" s="268">
      <c r="A149" s="1309" t="inlineStr">
        <is>
          <t>18  |  URBANISMO Y EXTERIORES</t>
        </is>
      </c>
      <c r="B149" s="545" t="n"/>
      <c r="C149" s="545" t="n"/>
      <c r="D149" s="545" t="n"/>
      <c r="E149" s="545" t="n"/>
      <c r="F149" s="545" t="n"/>
      <c r="G149" s="545" t="n"/>
      <c r="H149" s="1023" t="n"/>
    </row>
    <row r="150" ht="15" customFormat="1" customHeight="1" s="268">
      <c r="A150" s="500" t="inlineStr">
        <is>
          <t>18.01.01</t>
        </is>
      </c>
      <c r="B150" s="501" t="inlineStr">
        <is>
          <t>Pavimentos</t>
        </is>
      </c>
      <c r="C150" s="501" t="inlineStr">
        <is>
          <t>Andenes</t>
        </is>
      </c>
      <c r="D150" s="501" t="inlineStr">
        <is>
          <t>Construcción de andenes</t>
        </is>
      </c>
      <c r="E150" s="502" t="inlineStr">
        <is>
          <t>m²</t>
        </is>
      </c>
      <c r="F150" s="501" t="inlineStr">
        <is>
          <t>Largo × Ancho × N° elementos × repeticiones − deducciones</t>
        </is>
      </c>
      <c r="G150" s="662" t="n"/>
      <c r="H150" s="663" t="n"/>
    </row>
    <row r="151" ht="15" customFormat="1" customHeight="1" s="268">
      <c r="A151" s="500" t="inlineStr">
        <is>
          <t>18.01.02</t>
        </is>
      </c>
      <c r="B151" s="501" t="inlineStr">
        <is>
          <t>Pavimentos</t>
        </is>
      </c>
      <c r="C151" s="501" t="inlineStr">
        <is>
          <t>Placa concreto</t>
        </is>
      </c>
      <c r="D151" s="501" t="inlineStr">
        <is>
          <t>Placas de concreto exteriores</t>
        </is>
      </c>
      <c r="E151" s="502" t="inlineStr">
        <is>
          <t>m³</t>
        </is>
      </c>
      <c r="F151" s="501" t="inlineStr">
        <is>
          <t>Largo × Ancho × Alto/Prof. × N° elementos × repeticiones − deducciones</t>
        </is>
      </c>
      <c r="G151" s="662" t="n"/>
      <c r="H151" s="663" t="n"/>
    </row>
    <row r="152" ht="15" customFormat="1" customHeight="1" s="268">
      <c r="A152" s="500" t="inlineStr">
        <is>
          <t>18.01.03</t>
        </is>
      </c>
      <c r="B152" s="501" t="inlineStr">
        <is>
          <t>Pavimentos</t>
        </is>
      </c>
      <c r="C152" s="501" t="inlineStr">
        <is>
          <t>Adoquín</t>
        </is>
      </c>
      <c r="D152" s="501" t="inlineStr">
        <is>
          <t>Pavimento en adoquín</t>
        </is>
      </c>
      <c r="E152" s="502" t="inlineStr">
        <is>
          <t>m²</t>
        </is>
      </c>
      <c r="F152" s="501" t="inlineStr">
        <is>
          <t>Largo × Ancho × N° elementos × repeticiones − deducciones</t>
        </is>
      </c>
      <c r="G152" s="662" t="n"/>
      <c r="H152" s="663" t="n"/>
    </row>
    <row r="153" ht="15" customFormat="1" customHeight="1" s="268">
      <c r="A153" s="500" t="inlineStr">
        <is>
          <t>18.02.01</t>
        </is>
      </c>
      <c r="B153" s="501" t="inlineStr">
        <is>
          <t>Bordillos</t>
        </is>
      </c>
      <c r="C153" s="501" t="inlineStr">
        <is>
          <t>Sardineles</t>
        </is>
      </c>
      <c r="D153" s="501" t="inlineStr">
        <is>
          <t>Sardineles y bordillos</t>
        </is>
      </c>
      <c r="E153" s="502" t="inlineStr">
        <is>
          <t>ml</t>
        </is>
      </c>
      <c r="F153" s="501" t="inlineStr">
        <is>
          <t>Longitud × N° elementos × repeticiones − deducciones</t>
        </is>
      </c>
      <c r="G153" s="662" t="n"/>
      <c r="H153" s="663" t="n"/>
    </row>
    <row r="154" ht="15" customFormat="1" customHeight="1" s="268">
      <c r="A154" s="500" t="inlineStr">
        <is>
          <t>18.03.01</t>
        </is>
      </c>
      <c r="B154" s="501" t="inlineStr">
        <is>
          <t>Drenajes</t>
        </is>
      </c>
      <c r="C154" s="501" t="inlineStr">
        <is>
          <t>Sumideros</t>
        </is>
      </c>
      <c r="D154" s="501" t="inlineStr">
        <is>
          <t>Sumideros exteriores</t>
        </is>
      </c>
      <c r="E154" s="502" t="inlineStr">
        <is>
          <t>und</t>
        </is>
      </c>
      <c r="F154" s="501" t="inlineStr">
        <is>
          <t>N° elementos × repeticiones − deducciones</t>
        </is>
      </c>
      <c r="G154" s="662" t="n"/>
      <c r="H154" s="663" t="n"/>
    </row>
    <row r="155" ht="15" customFormat="1" customHeight="1" s="268">
      <c r="A155" s="500" t="inlineStr">
        <is>
          <t>18.04.01</t>
        </is>
      </c>
      <c r="B155" s="501" t="inlineStr">
        <is>
          <t>Paisajismo</t>
        </is>
      </c>
      <c r="C155" s="501" t="inlineStr">
        <is>
          <t>Tierra vegetal</t>
        </is>
      </c>
      <c r="D155" s="501" t="inlineStr">
        <is>
          <t>Suministro y extendido de tierra vegetal</t>
        </is>
      </c>
      <c r="E155" s="502" t="inlineStr">
        <is>
          <t>m³</t>
        </is>
      </c>
      <c r="F155" s="501" t="inlineStr">
        <is>
          <t>Largo × Ancho × Alto/Prof. × N° elementos × repeticiones − deducciones</t>
        </is>
      </c>
      <c r="G155" s="662" t="n"/>
      <c r="H155" s="663" t="n"/>
    </row>
    <row r="156" ht="15" customFormat="1" customHeight="1" s="268">
      <c r="A156" s="500" t="inlineStr">
        <is>
          <t>18.04.02</t>
        </is>
      </c>
      <c r="B156" s="501" t="inlineStr">
        <is>
          <t>Paisajismo</t>
        </is>
      </c>
      <c r="C156" s="501" t="inlineStr">
        <is>
          <t>Jardinería</t>
        </is>
      </c>
      <c r="D156" s="501" t="inlineStr">
        <is>
          <t>Siembra y jardinería</t>
        </is>
      </c>
      <c r="E156" s="502" t="inlineStr">
        <is>
          <t>m²</t>
        </is>
      </c>
      <c r="F156" s="501" t="inlineStr">
        <is>
          <t>Largo × Ancho × N° elementos × repeticiones − deducciones</t>
        </is>
      </c>
      <c r="G156" s="662" t="n"/>
      <c r="H156" s="663" t="n"/>
    </row>
    <row r="157" ht="15" customFormat="1" customHeight="1" s="268">
      <c r="A157" s="1309" t="inlineStr">
        <is>
          <t>19  |  OBRAS COMPLEMENTARIAS</t>
        </is>
      </c>
      <c r="B157" s="545" t="n"/>
      <c r="C157" s="545" t="n"/>
      <c r="D157" s="545" t="n"/>
      <c r="E157" s="545" t="n"/>
      <c r="F157" s="545" t="n"/>
      <c r="G157" s="545" t="n"/>
      <c r="H157" s="1023" t="n"/>
    </row>
    <row r="158" ht="15" customFormat="1" customHeight="1" s="268">
      <c r="A158" s="500" t="inlineStr">
        <is>
          <t>19.01.01</t>
        </is>
      </c>
      <c r="B158" s="501" t="inlineStr">
        <is>
          <t>Metálicas</t>
        </is>
      </c>
      <c r="C158" s="501" t="inlineStr">
        <is>
          <t>Rejas</t>
        </is>
      </c>
      <c r="D158" s="501" t="inlineStr">
        <is>
          <t>Rejas metálicas</t>
        </is>
      </c>
      <c r="E158" s="502" t="inlineStr">
        <is>
          <t>m²</t>
        </is>
      </c>
      <c r="F158" s="501" t="inlineStr">
        <is>
          <t>Largo × Ancho × N° elementos × repeticiones − deducciones</t>
        </is>
      </c>
      <c r="G158" s="662" t="n"/>
      <c r="H158" s="663" t="n"/>
    </row>
    <row r="159" ht="15" customFormat="1" customHeight="1" s="268">
      <c r="A159" s="500" t="inlineStr">
        <is>
          <t>19.01.02</t>
        </is>
      </c>
      <c r="B159" s="501" t="inlineStr">
        <is>
          <t>Metálicas</t>
        </is>
      </c>
      <c r="C159" s="501" t="inlineStr">
        <is>
          <t>Escaleras metálicas</t>
        </is>
      </c>
      <c r="D159" s="501" t="inlineStr">
        <is>
          <t>Escaleras metálicas</t>
        </is>
      </c>
      <c r="E159" s="502" t="inlineStr">
        <is>
          <t>kg</t>
        </is>
      </c>
      <c r="F159" s="501" t="inlineStr">
        <is>
          <t>Peso/despiece × N° elementos × repeticiones</t>
        </is>
      </c>
      <c r="G159" s="662" t="n"/>
      <c r="H159" s="663" t="n"/>
    </row>
    <row r="160" ht="15" customFormat="1" customHeight="1" s="268">
      <c r="A160" s="500" t="inlineStr">
        <is>
          <t>19.01.03</t>
        </is>
      </c>
      <c r="B160" s="501" t="inlineStr">
        <is>
          <t>Metálicas</t>
        </is>
      </c>
      <c r="C160" s="501" t="inlineStr">
        <is>
          <t>Estructuras especiales</t>
        </is>
      </c>
      <c r="D160" s="501" t="inlineStr">
        <is>
          <t>Elementos metálicos especiales</t>
        </is>
      </c>
      <c r="E160" s="502" t="inlineStr">
        <is>
          <t>kg</t>
        </is>
      </c>
      <c r="F160" s="501" t="inlineStr">
        <is>
          <t>Peso/despiece × N° elementos × repeticiones</t>
        </is>
      </c>
      <c r="G160" s="662" t="n"/>
      <c r="H160" s="663" t="n"/>
    </row>
    <row r="161" ht="15" customFormat="1" customHeight="1" s="268">
      <c r="A161" s="500" t="inlineStr">
        <is>
          <t>19.02.01</t>
        </is>
      </c>
      <c r="B161" s="501" t="inlineStr">
        <is>
          <t>Mobiliario</t>
        </is>
      </c>
      <c r="C161" s="501" t="inlineStr">
        <is>
          <t>Mobiliario fijo</t>
        </is>
      </c>
      <c r="D161" s="501" t="inlineStr">
        <is>
          <t>Mobiliario fijo de obra</t>
        </is>
      </c>
      <c r="E161" s="502" t="inlineStr">
        <is>
          <t>und</t>
        </is>
      </c>
      <c r="F161" s="501" t="inlineStr">
        <is>
          <t>N° elementos × repeticiones − deducciones</t>
        </is>
      </c>
      <c r="G161" s="662" t="n"/>
      <c r="H161" s="663" t="n"/>
    </row>
    <row r="162" ht="15" customFormat="1" customHeight="1" s="268">
      <c r="A162" s="1309" t="inlineStr">
        <is>
          <t>20  |  ASEO, ENTREGA Y CIERRE</t>
        </is>
      </c>
      <c r="B162" s="545" t="n"/>
      <c r="C162" s="545" t="n"/>
      <c r="D162" s="545" t="n"/>
      <c r="E162" s="545" t="n"/>
      <c r="F162" s="545" t="n"/>
      <c r="G162" s="545" t="n"/>
      <c r="H162" s="1023" t="n"/>
    </row>
    <row r="163" ht="15" customFormat="1" customHeight="1" s="268">
      <c r="A163" s="500" t="inlineStr">
        <is>
          <t>20.01.01</t>
        </is>
      </c>
      <c r="B163" s="501" t="inlineStr">
        <is>
          <t>Limpieza</t>
        </is>
      </c>
      <c r="C163" s="501" t="inlineStr">
        <is>
          <t>Limpieza general</t>
        </is>
      </c>
      <c r="D163" s="501" t="inlineStr">
        <is>
          <t>Limpieza gruesa y fina de obra</t>
        </is>
      </c>
      <c r="E163" s="502" t="inlineStr">
        <is>
          <t>m²</t>
        </is>
      </c>
      <c r="F163" s="501" t="inlineStr">
        <is>
          <t>Largo × Ancho × N° elementos × repeticiones − deducciones</t>
        </is>
      </c>
      <c r="G163" s="662" t="n"/>
      <c r="H163" s="663" t="n"/>
    </row>
    <row r="164" ht="15" customFormat="1" customHeight="1" s="268">
      <c r="A164" s="500" t="inlineStr">
        <is>
          <t>20.01.02</t>
        </is>
      </c>
      <c r="B164" s="501" t="inlineStr">
        <is>
          <t>Limpieza</t>
        </is>
      </c>
      <c r="C164" s="501" t="inlineStr">
        <is>
          <t>Limpieza final</t>
        </is>
      </c>
      <c r="D164" s="501" t="inlineStr">
        <is>
          <t>Limpieza final para entrega</t>
        </is>
      </c>
      <c r="E164" s="502" t="inlineStr">
        <is>
          <t>m²</t>
        </is>
      </c>
      <c r="F164" s="501" t="inlineStr">
        <is>
          <t>Largo × Ancho × N° elementos × repeticiones − deducciones</t>
        </is>
      </c>
      <c r="G164" s="662" t="n"/>
      <c r="H164" s="663" t="n"/>
    </row>
    <row r="165" ht="15" customFormat="1" customHeight="1" s="268">
      <c r="A165" s="500" t="inlineStr">
        <is>
          <t>20.02.01</t>
        </is>
      </c>
      <c r="B165" s="501" t="inlineStr">
        <is>
          <t>Pruebas</t>
        </is>
      </c>
      <c r="C165" s="501" t="inlineStr">
        <is>
          <t>Puesta en marcha</t>
        </is>
      </c>
      <c r="D165" s="501" t="inlineStr">
        <is>
          <t>Pruebas, puesta en marcha y ajustes</t>
        </is>
      </c>
      <c r="E165" s="502" t="inlineStr">
        <is>
          <t>gl</t>
        </is>
      </c>
      <c r="F165" s="501" t="inlineStr">
        <is>
          <t>Según alcance contractual / presupuesto</t>
        </is>
      </c>
      <c r="G165" s="662" t="n"/>
      <c r="H165" s="663" t="n"/>
    </row>
    <row r="166" ht="15" customFormat="1" customHeight="1" s="268">
      <c r="A166" s="500" t="inlineStr">
        <is>
          <t>20.02.01</t>
        </is>
      </c>
      <c r="B166" s="501" t="inlineStr">
        <is>
          <t>Documentación</t>
        </is>
      </c>
      <c r="C166" s="501" t="inlineStr">
        <is>
          <t>Planos récord</t>
        </is>
      </c>
      <c r="D166" s="501" t="inlineStr">
        <is>
          <t>Actualización de planos récord / as-built</t>
        </is>
      </c>
      <c r="E166" s="502" t="inlineStr">
        <is>
          <t>gl</t>
        </is>
      </c>
      <c r="F166" s="501" t="inlineStr">
        <is>
          <t>Según alcance contractual / presupuesto</t>
        </is>
      </c>
      <c r="G166" s="662" t="n"/>
      <c r="H166" s="663" t="n"/>
    </row>
    <row r="167" ht="12" customFormat="1" customHeight="1" s="268">
      <c r="A167" s="500" t="inlineStr">
        <is>
          <t>20.02.02</t>
        </is>
      </c>
      <c r="B167" s="501" t="inlineStr">
        <is>
          <t>Entrega</t>
        </is>
      </c>
      <c r="C167" s="501" t="inlineStr">
        <is>
          <t>Entrega final</t>
        </is>
      </c>
      <c r="D167" s="501" t="inlineStr">
        <is>
          <t>Entrega, manuales y acta de recibo</t>
        </is>
      </c>
      <c r="E167" s="502" t="inlineStr">
        <is>
          <t>gl</t>
        </is>
      </c>
      <c r="F167" s="501" t="inlineStr">
        <is>
          <t>Según alcance contractual / presupuesto</t>
        </is>
      </c>
      <c r="G167" s="662" t="n"/>
      <c r="H167" s="663" t="n"/>
    </row>
    <row r="168" ht="15" customFormat="1" customHeight="1" s="268">
      <c r="A168" s="1309" t="inlineStr">
        <is>
          <t>21  |  ASCENSORES</t>
        </is>
      </c>
      <c r="B168" s="545" t="n"/>
      <c r="C168" s="545" t="n"/>
      <c r="D168" s="545" t="n"/>
      <c r="E168" s="545" t="n"/>
      <c r="F168" s="545" t="n"/>
      <c r="G168" s="545" t="n"/>
      <c r="H168" s="1023" t="n"/>
    </row>
    <row r="169" ht="12" customFormat="1" customHeight="1" s="268">
      <c r="A169" s="500" t="inlineStr">
        <is>
          <t>21.01.01</t>
        </is>
      </c>
      <c r="B169" s="501" t="inlineStr">
        <is>
          <t>Equipos de transporte vertical</t>
        </is>
      </c>
      <c r="C169" s="501" t="inlineStr">
        <is>
          <t>Ascensores</t>
        </is>
      </c>
      <c r="D169" s="501" t="inlineStr">
        <is>
          <t>Suministro e instalación de ascensor eléctrico</t>
        </is>
      </c>
      <c r="E169" s="502" t="inlineStr">
        <is>
          <t>und</t>
        </is>
      </c>
      <c r="F169" s="501" t="inlineStr">
        <is>
          <t>Según ficha técnica del fabricante</t>
        </is>
      </c>
      <c r="G169" s="662" t="n"/>
      <c r="H169" s="663" t="n"/>
    </row>
    <row r="170" ht="15" customFormat="1" customHeight="1" s="268">
      <c r="A170" s="1309" t="inlineStr">
        <is>
          <t>22  |  GESTIÓN, DISEÑO Y ADMINISTRACIÓN</t>
        </is>
      </c>
      <c r="B170" s="545" t="n"/>
      <c r="C170" s="545" t="n"/>
      <c r="D170" s="545" t="n"/>
      <c r="E170" s="545" t="n"/>
      <c r="F170" s="545" t="n"/>
      <c r="G170" s="545" t="n"/>
      <c r="H170" s="1023" t="n"/>
    </row>
    <row r="171" ht="12" customFormat="1" customHeight="1" s="268">
      <c r="A171" s="500" t="inlineStr">
        <is>
          <t>22.01.01</t>
        </is>
      </c>
      <c r="B171" s="501" t="inlineStr">
        <is>
          <t>Estudios y diseños</t>
        </is>
      </c>
      <c r="C171" s="501" t="inlineStr">
        <is>
          <t>Estudios técnicos</t>
        </is>
      </c>
      <c r="D171" s="501" t="inlineStr">
        <is>
          <t>Estudio de suelos y geotecnia</t>
        </is>
      </c>
      <c r="E171" s="502" t="inlineStr">
        <is>
          <t>gl</t>
        </is>
      </c>
      <c r="F171" s="501" t="inlineStr">
        <is>
          <t>Según alcance contractual</t>
        </is>
      </c>
      <c r="G171" s="662" t="n"/>
      <c r="H171" s="663" t="n"/>
    </row>
    <row r="172" ht="12" customFormat="1" customHeight="1" s="268">
      <c r="A172" s="500" t="inlineStr">
        <is>
          <t>22.01.02</t>
        </is>
      </c>
      <c r="B172" s="501" t="inlineStr">
        <is>
          <t>Estudios y diseños</t>
        </is>
      </c>
      <c r="C172" s="501" t="inlineStr">
        <is>
          <t>Diseños</t>
        </is>
      </c>
      <c r="D172" s="501" t="inlineStr">
        <is>
          <t>Diseños arquitectónicos, estructurales, hidrosanitarios y eléctricos</t>
        </is>
      </c>
      <c r="E172" s="502" t="inlineStr">
        <is>
          <t>gl</t>
        </is>
      </c>
      <c r="F172" s="501" t="inlineStr">
        <is>
          <t>Según alcance contractual</t>
        </is>
      </c>
      <c r="G172" s="662" t="n"/>
      <c r="H172" s="663" t="n"/>
    </row>
    <row r="173" ht="12" customFormat="1" customHeight="1" s="268">
      <c r="A173" s="500" t="inlineStr">
        <is>
          <t>22.02.01</t>
        </is>
      </c>
      <c r="B173" s="501" t="inlineStr">
        <is>
          <t>Trámites y pólizas</t>
        </is>
      </c>
      <c r="C173" s="501" t="inlineStr">
        <is>
          <t>Trámites</t>
        </is>
      </c>
      <c r="D173" s="501" t="inlineStr">
        <is>
          <t>Licencia de construcción y trámites de curaduría urbana</t>
        </is>
      </c>
      <c r="E173" s="502" t="inlineStr">
        <is>
          <t>gl</t>
        </is>
      </c>
      <c r="F173" s="501" t="inlineStr">
        <is>
          <t>Según alcance contractual</t>
        </is>
      </c>
      <c r="G173" s="662" t="n"/>
      <c r="H173" s="663" t="n"/>
    </row>
    <row r="174" ht="12" customFormat="1" customHeight="1" s="268">
      <c r="A174" s="500" t="inlineStr">
        <is>
          <t>22.02.02</t>
        </is>
      </c>
      <c r="B174" s="501" t="inlineStr">
        <is>
          <t>Trámites y pólizas</t>
        </is>
      </c>
      <c r="C174" s="501" t="inlineStr">
        <is>
          <t>Pólizas</t>
        </is>
      </c>
      <c r="D174" s="501" t="inlineStr">
        <is>
          <t>Póliza de estabilidad de obra y seguros de construcción (todo riesgo)</t>
        </is>
      </c>
      <c r="E174" s="502" t="inlineStr">
        <is>
          <t>gl</t>
        </is>
      </c>
      <c r="F174" s="501" t="inlineStr">
        <is>
          <t>Según alcance contractual</t>
        </is>
      </c>
      <c r="G174" s="662" t="n"/>
      <c r="H174" s="663" t="n"/>
    </row>
    <row r="175">
      <c r="A175" s="226" t="inlineStr">
        <is>
          <t>REV. 10/09/2026</t>
        </is>
      </c>
      <c r="H175" s="497">
        <f>G4</f>
        <v/>
      </c>
    </row>
    <row r="176">
      <c r="A176" s="245" t="n"/>
    </row>
  </sheetData>
  <mergeCells count="37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:B7"/>
    <mergeCell ref="A133:H133"/>
    <mergeCell ref="C7:E7"/>
    <mergeCell ref="A149:H149"/>
    <mergeCell ref="A145:H145"/>
    <mergeCell ref="A56:H56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13" sqref="I13"/>
    </sheetView>
  </sheetViews>
  <sheetFormatPr baseColWidth="10" defaultColWidth="8.88671875" defaultRowHeight="14.4"/>
  <cols>
    <col width="15.77734375" customWidth="1" style="1062" min="1" max="2"/>
    <col width="25.77734375" customWidth="1" style="1062" min="3" max="3"/>
    <col width="12" customWidth="1" style="1062" min="4" max="4"/>
    <col width="14" customWidth="1" style="1062" min="5" max="5"/>
    <col width="48" customWidth="1" style="1062" min="7" max="7"/>
    <col width="20" customWidth="1" style="1062" min="8" max="8"/>
    <col width="38" customWidth="1" style="1062" min="9" max="9"/>
  </cols>
  <sheetData>
    <row r="1" ht="40.05" customHeight="1" s="1062">
      <c r="A1" s="677" t="n"/>
      <c r="D1" s="679" t="inlineStr">
        <is>
          <t>REGISTRO DE PLANOS Y REVISIONES</t>
        </is>
      </c>
    </row>
    <row r="2" ht="4.95" customHeight="1" s="1062">
      <c r="D2" s="675" t="n"/>
    </row>
    <row r="3" ht="15" customHeight="1" s="1062">
      <c r="D3" s="676" t="n"/>
      <c r="H3" s="673" t="inlineStr">
        <is>
          <t>CONTROL DOCUMENTAL</t>
        </is>
      </c>
      <c r="I3" s="674" t="n"/>
    </row>
    <row r="4" ht="15" customHeight="1" s="1062">
      <c r="D4" s="594" t="inlineStr">
        <is>
          <t>REFORMAS Y REMODELACIONES</t>
        </is>
      </c>
      <c r="G4" s="554" t="n"/>
      <c r="H4" s="347" t="inlineStr">
        <is>
          <t>Código</t>
        </is>
      </c>
      <c r="I4" s="348" t="inlineStr">
        <is>
          <t>RYR-CO-003</t>
        </is>
      </c>
    </row>
    <row r="5" ht="15" customHeight="1" s="1062">
      <c r="D5" s="670" t="inlineStr">
        <is>
          <t>DISEÑAMOS, RENOVAMOS Y CONSTRUIMOS ESPACIOS QUE INSPIRAN</t>
        </is>
      </c>
      <c r="G5" s="554" t="n"/>
      <c r="H5" s="275" t="inlineStr">
        <is>
          <t>Versión</t>
        </is>
      </c>
      <c r="I5" s="272" t="n">
        <v>1</v>
      </c>
    </row>
    <row r="6" ht="15" customHeight="1" s="1062">
      <c r="D6" s="678" t="n"/>
      <c r="H6" s="275" t="inlineStr">
        <is>
          <t>Fecha de Emisión</t>
        </is>
      </c>
      <c r="I6" s="272" t="inlineStr">
        <is>
          <t>10/09/2026</t>
        </is>
      </c>
    </row>
    <row r="7">
      <c r="A7" s="601" t="n"/>
      <c r="B7" s="601" t="n"/>
      <c r="C7" s="601" t="n"/>
      <c r="D7" s="601" t="n"/>
      <c r="E7" s="601" t="n"/>
      <c r="F7" s="601" t="n"/>
      <c r="G7" s="601" t="n"/>
      <c r="H7" s="273" t="inlineStr">
        <is>
          <t xml:space="preserve">Página </t>
        </is>
      </c>
      <c r="I7" s="274" t="inlineStr">
        <is>
          <t>1 de 1</t>
        </is>
      </c>
    </row>
    <row r="8" ht="15" customFormat="1" customHeight="1" s="600">
      <c r="A8" s="278" t="inlineStr">
        <is>
          <t>Código plano</t>
        </is>
      </c>
      <c r="B8" s="278" t="inlineStr">
        <is>
          <t>Disciplina</t>
        </is>
      </c>
      <c r="C8" s="278" t="inlineStr">
        <is>
          <t>Título</t>
        </is>
      </c>
      <c r="D8" s="278" t="inlineStr">
        <is>
          <t>Revisión</t>
        </is>
      </c>
      <c r="E8" s="278" t="inlineStr">
        <is>
          <t>Fecha</t>
        </is>
      </c>
      <c r="F8" s="278" t="inlineStr">
        <is>
          <t>Estado</t>
        </is>
      </c>
      <c r="G8" s="278" t="inlineStr">
        <is>
          <t>Actividades relacionadas</t>
        </is>
      </c>
      <c r="H8" s="278" t="inlineStr">
        <is>
          <t>Responsable</t>
        </is>
      </c>
      <c r="I8" s="278" t="inlineStr">
        <is>
          <t>Observaciones</t>
        </is>
      </c>
    </row>
    <row r="9" customFormat="1" s="665">
      <c r="A9" s="282" t="inlineStr">
        <is>
          <t>ARQ-001</t>
        </is>
      </c>
      <c r="B9" s="283" t="inlineStr">
        <is>
          <t>Arquitectura</t>
        </is>
      </c>
      <c r="C9" s="279" t="inlineStr">
        <is>
          <t>Planta general</t>
        </is>
      </c>
      <c r="D9" s="280" t="inlineStr">
        <is>
          <t>R01</t>
        </is>
      </c>
      <c r="E9" s="1310" t="n">
        <v>46266</v>
      </c>
      <c r="F9" s="280" t="inlineStr">
        <is>
          <t>Vigente</t>
        </is>
      </c>
      <c r="G9" s="279" t="inlineStr">
        <is>
          <t>Preliminares / mampostería / acabados</t>
        </is>
      </c>
      <c r="H9" s="279" t="inlineStr">
        <is>
          <t>Ing. Residente</t>
        </is>
      </c>
      <c r="I9" s="281" t="n"/>
    </row>
    <row r="10" customFormat="1" s="665">
      <c r="A10" s="282" t="inlineStr">
        <is>
          <t>EST-101</t>
        </is>
      </c>
      <c r="B10" s="283" t="inlineStr">
        <is>
          <t>Estructural</t>
        </is>
      </c>
      <c r="C10" s="279" t="inlineStr">
        <is>
          <t>Cimentación</t>
        </is>
      </c>
      <c r="D10" s="280" t="inlineStr">
        <is>
          <t>R02</t>
        </is>
      </c>
      <c r="E10" s="1310" t="n">
        <v>46254</v>
      </c>
      <c r="F10" s="280" t="inlineStr">
        <is>
          <t>Vigente</t>
        </is>
      </c>
      <c r="G10" s="279" t="inlineStr">
        <is>
          <t>Cimentaciones / estructura</t>
        </is>
      </c>
      <c r="H10" s="279" t="inlineStr">
        <is>
          <t>Ing. Residente</t>
        </is>
      </c>
      <c r="I10" s="281" t="n"/>
    </row>
    <row r="11" customFormat="1" s="665">
      <c r="A11" s="282" t="inlineStr">
        <is>
          <t>HID-201</t>
        </is>
      </c>
      <c r="B11" s="283" t="inlineStr">
        <is>
          <t>Hidrosanitaria</t>
        </is>
      </c>
      <c r="C11" s="279" t="inlineStr">
        <is>
          <t>Redes hidrosanitarias</t>
        </is>
      </c>
      <c r="D11" s="280" t="inlineStr">
        <is>
          <t>R01</t>
        </is>
      </c>
      <c r="E11" s="1310" t="n">
        <v>46262</v>
      </c>
      <c r="F11" s="280" t="inlineStr">
        <is>
          <t>Vigente</t>
        </is>
      </c>
      <c r="G11" s="279" t="inlineStr">
        <is>
          <t>Instalaciones hidrosanitarias</t>
        </is>
      </c>
      <c r="H11" s="279" t="inlineStr">
        <is>
          <t>Ing. Residente</t>
        </is>
      </c>
      <c r="I11" s="281" t="n"/>
    </row>
    <row r="12" customFormat="1" s="665">
      <c r="A12" s="282" t="inlineStr">
        <is>
          <t>ELE-301</t>
        </is>
      </c>
      <c r="B12" s="283" t="inlineStr">
        <is>
          <t>Eléctrica</t>
        </is>
      </c>
      <c r="C12" s="279" t="inlineStr">
        <is>
          <t>Fuerza e iluminación</t>
        </is>
      </c>
      <c r="D12" s="280" t="inlineStr">
        <is>
          <t>R01</t>
        </is>
      </c>
      <c r="E12" s="1310" t="n">
        <v>46267</v>
      </c>
      <c r="F12" s="280" t="inlineStr">
        <is>
          <t>Vigente</t>
        </is>
      </c>
      <c r="G12" s="279" t="inlineStr">
        <is>
          <t>Instalaciones eléctricas</t>
        </is>
      </c>
      <c r="H12" s="279" t="inlineStr">
        <is>
          <t>Ing. Residente</t>
        </is>
      </c>
      <c r="I12" s="281" t="n"/>
    </row>
    <row r="13">
      <c r="A13" s="277" t="inlineStr">
        <is>
          <t>REV. 10/09/2026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507">
        <f>I4</f>
        <v/>
      </c>
    </row>
    <row r="14">
      <c r="A14" s="276" t="n"/>
      <c r="B14" s="276" t="n"/>
      <c r="C14" s="276" t="n"/>
      <c r="D14" s="276" t="n"/>
      <c r="E14" s="276" t="n"/>
      <c r="F14" s="276" t="n"/>
      <c r="G14" s="276" t="n"/>
      <c r="H14" s="276" t="n"/>
      <c r="I14" s="276" t="n"/>
    </row>
    <row r="15">
      <c r="A15" s="276" t="n"/>
      <c r="B15" s="276" t="n"/>
      <c r="C15" s="276" t="n"/>
      <c r="D15" s="276" t="n"/>
      <c r="E15" s="276" t="n"/>
      <c r="F15" s="276" t="n"/>
      <c r="G15" s="276" t="n"/>
      <c r="H15" s="276" t="n"/>
      <c r="I15" s="276" t="n"/>
    </row>
    <row r="16">
      <c r="A16" s="276" t="n"/>
      <c r="B16" s="276" t="n"/>
      <c r="C16" s="276" t="n"/>
      <c r="D16" s="276" t="n"/>
      <c r="E16" s="276" t="n"/>
      <c r="F16" s="276" t="n"/>
      <c r="G16" s="276" t="n"/>
      <c r="H16" s="276" t="n"/>
      <c r="I16" s="276" t="n"/>
    </row>
    <row r="17">
      <c r="A17" s="276" t="n"/>
      <c r="B17" s="276" t="n"/>
      <c r="C17" s="276" t="n"/>
      <c r="D17" s="276" t="n"/>
      <c r="E17" s="276" t="n"/>
      <c r="F17" s="276" t="n"/>
      <c r="G17" s="276" t="n"/>
      <c r="H17" s="276" t="n"/>
      <c r="I17" s="276" t="n"/>
    </row>
    <row r="18">
      <c r="A18" s="276" t="n"/>
      <c r="B18" s="276" t="n"/>
      <c r="C18" s="276" t="n"/>
      <c r="D18" s="276" t="n"/>
      <c r="E18" s="276" t="n"/>
      <c r="F18" s="276" t="n"/>
      <c r="G18" s="276" t="n"/>
      <c r="H18" s="276" t="n"/>
      <c r="I18" s="276" t="n"/>
    </row>
    <row r="19">
      <c r="A19" s="276" t="n"/>
      <c r="B19" s="276" t="n"/>
      <c r="C19" s="276" t="n"/>
      <c r="D19" s="276" t="n"/>
      <c r="E19" s="276" t="n"/>
      <c r="F19" s="276" t="n"/>
      <c r="G19" s="276" t="n"/>
      <c r="H19" s="276" t="n"/>
      <c r="I19" s="276" t="n"/>
    </row>
    <row r="20">
      <c r="A20" s="276" t="n"/>
      <c r="B20" s="276" t="n"/>
      <c r="C20" s="276" t="n"/>
      <c r="D20" s="276" t="n"/>
      <c r="E20" s="276" t="n"/>
      <c r="F20" s="276" t="n"/>
      <c r="G20" s="276" t="n"/>
      <c r="H20" s="276" t="n"/>
      <c r="I20" s="276" t="n"/>
    </row>
    <row r="21">
      <c r="A21" s="276" t="n"/>
      <c r="B21" s="276" t="n"/>
      <c r="C21" s="276" t="n"/>
      <c r="D21" s="276" t="n"/>
      <c r="E21" s="276" t="n"/>
      <c r="F21" s="276" t="n"/>
      <c r="G21" s="276" t="n"/>
      <c r="H21" s="276" t="n"/>
      <c r="I21" s="276" t="n"/>
    </row>
    <row r="22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</row>
    <row r="23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</row>
    <row r="24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</row>
    <row r="25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</row>
    <row r="26">
      <c r="A26" s="355" t="n"/>
      <c r="B26" s="355" t="n"/>
      <c r="C26" s="355" t="n"/>
      <c r="D26" s="355" t="n"/>
      <c r="E26" s="355" t="n"/>
      <c r="F26" s="355" t="n"/>
      <c r="G26" s="355" t="n"/>
      <c r="H26" s="355" t="n"/>
      <c r="I26" s="355" t="n"/>
    </row>
    <row r="27">
      <c r="A27" s="355" t="n"/>
      <c r="B27" s="355" t="n"/>
      <c r="C27" s="355" t="n"/>
      <c r="D27" s="355" t="n"/>
      <c r="E27" s="355" t="n"/>
      <c r="F27" s="355" t="n"/>
      <c r="G27" s="355" t="n"/>
      <c r="H27" s="355" t="n"/>
      <c r="I27" s="355" t="n"/>
    </row>
    <row r="28">
      <c r="A28" s="355" t="n"/>
      <c r="B28" s="355" t="n"/>
      <c r="C28" s="355" t="n"/>
      <c r="D28" s="355" t="n"/>
      <c r="E28" s="355" t="n"/>
      <c r="F28" s="355" t="n"/>
      <c r="G28" s="355" t="n"/>
      <c r="H28" s="355" t="n"/>
      <c r="I28" s="355" t="n"/>
    </row>
    <row r="29">
      <c r="A29" s="355" t="n"/>
      <c r="B29" s="355" t="n"/>
      <c r="C29" s="355" t="n"/>
      <c r="D29" s="355" t="n"/>
      <c r="E29" s="355" t="n"/>
      <c r="F29" s="355" t="n"/>
      <c r="G29" s="355" t="n"/>
      <c r="H29" s="355" t="n"/>
      <c r="I29" s="355" t="n"/>
    </row>
    <row r="30">
      <c r="A30" s="355" t="n"/>
      <c r="B30" s="355" t="n"/>
      <c r="C30" s="355" t="n"/>
      <c r="D30" s="355" t="n"/>
      <c r="E30" s="355" t="n"/>
      <c r="F30" s="355" t="n"/>
      <c r="G30" s="355" t="n"/>
      <c r="H30" s="355" t="n"/>
      <c r="I30" s="355" t="n"/>
    </row>
    <row r="31">
      <c r="A31" s="355" t="n"/>
      <c r="B31" s="355" t="n"/>
      <c r="C31" s="355" t="n"/>
      <c r="D31" s="355" t="n"/>
      <c r="E31" s="355" t="n"/>
      <c r="F31" s="355" t="n"/>
      <c r="G31" s="355" t="n"/>
      <c r="H31" s="355" t="n"/>
      <c r="I31" s="355" t="n"/>
    </row>
    <row r="32">
      <c r="A32" s="355" t="n"/>
      <c r="B32" s="355" t="n"/>
      <c r="C32" s="355" t="n"/>
      <c r="D32" s="355" t="n"/>
      <c r="E32" s="355" t="n"/>
      <c r="F32" s="355" t="n"/>
      <c r="G32" s="355" t="n"/>
      <c r="H32" s="355" t="n"/>
      <c r="I32" s="355" t="n"/>
    </row>
    <row r="33">
      <c r="A33" s="355" t="n"/>
      <c r="B33" s="355" t="n"/>
      <c r="C33" s="355" t="n"/>
      <c r="D33" s="355" t="n"/>
      <c r="E33" s="355" t="n"/>
      <c r="F33" s="355" t="n"/>
      <c r="G33" s="355" t="n"/>
      <c r="H33" s="355" t="n"/>
      <c r="I33" s="355" t="n"/>
    </row>
    <row r="34">
      <c r="A34" s="355" t="n"/>
      <c r="B34" s="355" t="n"/>
      <c r="C34" s="355" t="n"/>
      <c r="D34" s="355" t="n"/>
      <c r="E34" s="355" t="n"/>
      <c r="F34" s="355" t="n"/>
      <c r="G34" s="355" t="n"/>
      <c r="H34" s="355" t="n"/>
      <c r="I34" s="355" t="n"/>
    </row>
  </sheetData>
  <mergeCells count="8">
    <mergeCell ref="H3:I3"/>
    <mergeCell ref="D2:I2"/>
    <mergeCell ref="D3:G3"/>
    <mergeCell ref="A1:C7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N14" sqref="N14"/>
    </sheetView>
  </sheetViews>
  <sheetFormatPr baseColWidth="10" defaultColWidth="8.88671875" defaultRowHeight="14.4"/>
  <cols>
    <col width="18" customWidth="1" style="1062" min="1" max="1"/>
    <col width="15.77734375" customWidth="1" style="1062" min="11" max="13"/>
  </cols>
  <sheetData>
    <row r="1" ht="40.05" customHeight="1" s="1062">
      <c r="A1" s="285" t="n"/>
      <c r="B1" s="285" t="n"/>
      <c r="C1" s="285" t="n"/>
      <c r="D1" s="683" t="n"/>
      <c r="E1" s="585" t="inlineStr">
        <is>
          <t>INSTRUCTIVO DE USO</t>
        </is>
      </c>
    </row>
    <row r="2" ht="4.95" customHeight="1" s="1062">
      <c r="A2" s="285" t="n"/>
      <c r="B2" s="285" t="n"/>
      <c r="C2" s="285" t="n"/>
      <c r="E2" s="685" t="n"/>
    </row>
    <row r="3" ht="15" customHeight="1" s="1062">
      <c r="A3" s="285" t="n"/>
      <c r="B3" s="285" t="n"/>
      <c r="C3" s="285" t="n"/>
      <c r="E3" s="600" t="n"/>
      <c r="K3" s="684" t="inlineStr">
        <is>
          <t>CONTROL DOCUMENTAL</t>
        </is>
      </c>
    </row>
    <row r="4" ht="15" customHeight="1" s="1062">
      <c r="A4" s="285" t="n"/>
      <c r="B4" s="285" t="n"/>
      <c r="C4" s="285" t="n"/>
      <c r="E4" s="288" t="inlineStr">
        <is>
          <t>REFORMAS Y REMODELACIONES</t>
        </is>
      </c>
      <c r="F4" s="288" t="n"/>
      <c r="G4" s="288" t="n"/>
      <c r="H4" s="288" t="n"/>
      <c r="I4" s="288" t="n"/>
      <c r="J4" s="286" t="n"/>
      <c r="K4" s="284" t="inlineStr">
        <is>
          <t>Código</t>
        </is>
      </c>
      <c r="L4" s="682" t="inlineStr">
        <is>
          <t>RYR-CO-004</t>
        </is>
      </c>
    </row>
    <row r="5" ht="15" customHeight="1" s="1062">
      <c r="A5" s="285" t="n"/>
      <c r="B5" s="285" t="n"/>
      <c r="C5" s="285" t="n"/>
      <c r="E5" s="289" t="inlineStr">
        <is>
          <t>DISEÑAMOS, RENOVAMOS Y CONSTRUIMOS ESPACIOS QUE INSPIRAN</t>
        </is>
      </c>
      <c r="F5" s="289" t="n"/>
      <c r="G5" s="289" t="n"/>
      <c r="H5" s="289" t="n"/>
      <c r="I5" s="289" t="n"/>
      <c r="J5" s="287" t="n"/>
      <c r="K5" s="284" t="inlineStr">
        <is>
          <t>Versión</t>
        </is>
      </c>
      <c r="L5" s="682" t="n">
        <v>1</v>
      </c>
    </row>
    <row r="6" ht="14.4" customHeight="1" s="1062">
      <c r="A6" s="285" t="n"/>
      <c r="B6" s="285" t="n"/>
      <c r="C6" s="285" t="n"/>
      <c r="E6" s="600" t="n"/>
      <c r="K6" s="284" t="inlineStr">
        <is>
          <t>Fecha de Emisión</t>
        </is>
      </c>
      <c r="L6" s="682" t="inlineStr">
        <is>
          <t>10/09/2026</t>
        </is>
      </c>
    </row>
    <row r="7" ht="15" customHeight="1" s="1062">
      <c r="A7" s="285" t="n"/>
      <c r="B7" s="285" t="n"/>
      <c r="C7" s="285" t="n"/>
      <c r="K7" s="284" t="inlineStr">
        <is>
          <t>Página</t>
        </is>
      </c>
      <c r="L7" s="682" t="inlineStr">
        <is>
          <t>1 de 1</t>
        </is>
      </c>
    </row>
    <row r="8" ht="19.95" customHeight="1" s="1062">
      <c r="A8" s="686" t="inlineStr">
        <is>
          <t>REFORMAS Y REMODELACIONES — INSTRUCTIVO DE CANTIDADES</t>
        </is>
      </c>
    </row>
    <row r="9" ht="15" customHeight="1" s="1062">
      <c r="A9" s="680" t="inlineStr">
        <is>
          <t>1. IDENTIFICAR</t>
        </is>
      </c>
    </row>
    <row r="10" ht="15" customHeight="1" s="1062">
      <c r="A10" s="681" t="inlineStr">
        <is>
          <t>Use el código y actividad específica del catálogo; defina ubicación/frente y plano/revisión.</t>
        </is>
      </c>
    </row>
    <row r="11" ht="15" customHeight="1" s="1062"/>
    <row r="12" ht="15" customHeight="1" s="1062">
      <c r="A12" s="680" t="inlineStr">
        <is>
          <t>2. MEDIR</t>
        </is>
      </c>
    </row>
    <row r="13" ht="15" customHeight="1" s="1062">
      <c r="A13" s="681" t="inlineStr">
        <is>
          <t>Ingrese solo las dimensiones aplicables a la actividad: largo, ancho, alto/profundidad, espesor y número de elementos.</t>
        </is>
      </c>
    </row>
    <row r="14" ht="15" customHeight="1" s="1062"/>
    <row r="15" ht="15" customHeight="1" s="1062">
      <c r="A15" s="680" t="inlineStr">
        <is>
          <t>3. REPETIR</t>
        </is>
      </c>
    </row>
    <row r="16" ht="15" customHeight="1" s="1062">
      <c r="A16" s="681" t="inlineStr">
        <is>
          <t>Use N° de elementos para componentes repetitivos y Repeticiones para módulos o conjuntos.</t>
        </is>
      </c>
    </row>
    <row r="17" ht="15" customHeight="1" s="1062"/>
    <row r="18" ht="15" customHeight="1" s="1062">
      <c r="A18" s="680" t="inlineStr">
        <is>
          <t>4. DEDUCIR</t>
        </is>
      </c>
    </row>
    <row r="19" ht="15" customHeight="1" s="1062">
      <c r="A19" s="681" t="inlineStr">
        <is>
          <t>Registre vanos, vacíos u otros descuentos en Deducción y explique el criterio.</t>
        </is>
      </c>
    </row>
    <row r="20" ht="15" customHeight="1" s="1062"/>
    <row r="21" ht="15" customHeight="1" s="1062">
      <c r="A21" s="680" t="inlineStr">
        <is>
          <t>5. DESPERDICIO</t>
        </is>
      </c>
    </row>
    <row r="22" ht="15" customHeight="1" s="1062">
      <c r="A22" s="681" t="inlineStr">
        <is>
          <t>Ingrese el porcentaje como decimal (5% = 0,05) solo si está técnicamente o contractualmente sustentado.</t>
        </is>
      </c>
    </row>
    <row r="23" ht="15" customHeight="1" s="1062"/>
    <row r="24" ht="15" customHeight="1" s="1062">
      <c r="A24" s="680" t="inlineStr">
        <is>
          <t>6. TRAZABILIDAD</t>
        </is>
      </c>
    </row>
    <row r="25" ht="15" customHeight="1" s="1062">
      <c r="A25" s="681" t="inlineStr">
        <is>
          <t>Toda cantidad debe poder rastrearse a plano, detalle, especificación, medición de campo o documento contractual.</t>
        </is>
      </c>
    </row>
    <row r="26" ht="15" customHeight="1" s="1062"/>
    <row r="27">
      <c r="A27" s="680" t="inlineStr">
        <is>
          <t>7. VALIDAR</t>
        </is>
      </c>
    </row>
    <row r="28" ht="14.4" customHeight="1" s="1062">
      <c r="A28" s="681" t="inlineStr">
        <is>
          <t>Compare contra presupuesto, APU, planos y medición de campo; documente diferencias.</t>
        </is>
      </c>
    </row>
    <row r="29"/>
    <row r="30">
      <c r="A30" s="680" t="inlineStr">
        <is>
          <t>8. APROBAR</t>
        </is>
      </c>
    </row>
    <row r="31" ht="14.4" customHeight="1" s="1062">
      <c r="A31" s="681" t="inlineStr">
        <is>
          <t>Cambie el Estado a Aprobada solo después de la revisión técnica.</t>
        </is>
      </c>
    </row>
    <row r="32"/>
    <row r="33">
      <c r="A33" s="225" t="inlineStr">
        <is>
          <t>REV. 10/09/2026</t>
        </is>
      </c>
      <c r="B33" s="225" t="n"/>
      <c r="C33" s="225" t="n"/>
      <c r="D33" s="225" t="n"/>
      <c r="E33" s="225" t="n"/>
      <c r="F33" s="225" t="n"/>
      <c r="G33" s="225" t="n"/>
      <c r="H33" s="225" t="n"/>
      <c r="I33" s="225" t="n"/>
      <c r="J33" s="225" t="n"/>
      <c r="K33" s="225" t="n"/>
      <c r="L33" s="225" t="n"/>
      <c r="M33" s="224">
        <f>L4</f>
        <v/>
      </c>
    </row>
  </sheetData>
  <mergeCells count="35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D1:D7"/>
    <mergeCell ref="L4:M4"/>
    <mergeCell ref="K3:M3"/>
    <mergeCell ref="A25:M25"/>
    <mergeCell ref="E3:J3"/>
    <mergeCell ref="A16:M16"/>
    <mergeCell ref="E6:J7"/>
    <mergeCell ref="L6:M6"/>
    <mergeCell ref="A27:M27"/>
    <mergeCell ref="A12:M12"/>
    <mergeCell ref="A18:M18"/>
    <mergeCell ref="A26:M26"/>
    <mergeCell ref="A21:M2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2026-09-17T20:16:21Z</dcterms:modified>
  <cp:lastModifiedBy>Hugo Fernando Hurtado Ruiz</cp:lastModifiedBy>
  <cp:revision>1</cp:revision>
  <cp:lastPrinted>2026-09-14T01:27:33Z</cp:lastPrinted>
</cp:coreProperties>
</file>