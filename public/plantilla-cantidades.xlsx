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Obra'!$A$8:$AA$169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  <numFmt numFmtId="173" formatCode="&quot;$ &quot;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  <font>
      <name val="Calibri"/>
      <color rgb="FF0000FF"/>
      <sz val="11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  <border>
      <left/>
      <right/>
      <top style="thin">
        <color theme="0"/>
      </top>
      <bottom style="thin">
        <color theme="0" tint="-0.249946592608417"/>
      </bottom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70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73" fontId="75" fillId="0" borderId="29" applyAlignment="1" pivotButton="0" quotePrefix="0" xfId="0">
      <alignment vertical="center"/>
    </xf>
    <xf numFmtId="4" fontId="167" fillId="0" borderId="0" pivotButton="0" quotePrefix="0" xfId="0"/>
    <xf numFmtId="173" fontId="167" fillId="0" borderId="0" pivotButton="0" quotePrefix="0" xfId="0"/>
    <xf numFmtId="173" fontId="62" fillId="0" borderId="65" applyAlignment="1" pivotButton="0" quotePrefix="0" xfId="0">
      <alignment vertical="center"/>
    </xf>
    <xf numFmtId="173" fontId="49" fillId="3" borderId="65" applyAlignment="1" pivotButton="0" quotePrefix="0" xfId="0">
      <alignment vertical="center"/>
    </xf>
    <xf numFmtId="173" fontId="0" fillId="0" borderId="0" pivotButton="0" quotePrefix="0" xfId="0"/>
    <xf numFmtId="173" fontId="55" fillId="35" borderId="65" applyAlignment="1" pivotButton="0" quotePrefix="0" xfId="0">
      <alignment vertical="center"/>
    </xf>
    <xf numFmtId="173" fontId="63" fillId="26" borderId="65" applyAlignment="1" pivotButton="0" quotePrefix="0" xfId="0">
      <alignment vertical="center"/>
    </xf>
    <xf numFmtId="173" fontId="66" fillId="20" borderId="65" applyAlignment="1" pivotButton="0" quotePrefix="0" xfId="0">
      <alignment vertical="center"/>
    </xf>
    <xf numFmtId="173" fontId="87" fillId="0" borderId="91" pivotButton="0" quotePrefix="0" xfId="0"/>
    <xf numFmtId="173" fontId="87" fillId="0" borderId="117" pivotButton="0" quotePrefix="0" xfId="0"/>
    <xf numFmtId="173" fontId="62" fillId="0" borderId="153" pivotButton="0" quotePrefix="0" xfId="0"/>
    <xf numFmtId="173" fontId="62" fillId="0" borderId="195" pivotButton="0" quotePrefix="0" xfId="0"/>
    <xf numFmtId="173" fontId="62" fillId="0" borderId="276" pivotButton="0" quotePrefix="0" xfId="0"/>
    <xf numFmtId="173" fontId="49" fillId="3" borderId="153" pivotButton="0" quotePrefix="0" xfId="0"/>
    <xf numFmtId="173" fontId="49" fillId="3" borderId="195" pivotButton="0" quotePrefix="0" xfId="0"/>
    <xf numFmtId="173" fontId="46" fillId="0" borderId="151" pivotButton="0" quotePrefix="0" xfId="0"/>
    <xf numFmtId="173" fontId="55" fillId="20" borderId="155" applyAlignment="1" pivotButton="0" quotePrefix="0" xfId="0">
      <alignment vertical="center"/>
    </xf>
    <xf numFmtId="173" fontId="87" fillId="0" borderId="0" applyAlignment="1" pivotButton="0" quotePrefix="0" xfId="0">
      <alignment vertical="center"/>
    </xf>
    <xf numFmtId="0" fontId="0" fillId="0" borderId="422" pivotButton="0" quotePrefix="0" xfId="0"/>
    <xf numFmtId="0" fontId="0" fillId="0" borderId="278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AB169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3" customWidth="1" style="550" min="10" max="10"/>
    <col width="13" customWidth="1" style="550" min="11" max="11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13" customWidth="1" style="615" min="21" max="21"/>
    <col width="20" customWidth="1" style="550" min="22" max="22"/>
    <col width="18" customWidth="1" style="550" min="23" max="23"/>
    <col width="12" customWidth="1" style="550" min="24" max="24"/>
    <col width="18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L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5" t="n"/>
      <c r="K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1468" t="n"/>
      <c r="K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730" t="n"/>
      <c r="K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730" t="n"/>
      <c r="K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759" t="n"/>
      <c r="K7" s="628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  <c r="Z7" s="633" t="n"/>
      <c r="AA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Peso (kg) - solo acero</t>
        </is>
      </c>
      <c r="K8" s="279" t="inlineStr">
        <is>
          <t>Largo</t>
        </is>
      </c>
      <c r="L8" s="279" t="inlineStr">
        <is>
          <t>Ancho</t>
        </is>
      </c>
      <c r="M8" s="279" t="inlineStr">
        <is>
          <t>Alto / Prof.</t>
        </is>
      </c>
      <c r="N8" s="279" t="inlineStr">
        <is>
          <t>Espesor</t>
        </is>
      </c>
      <c r="O8" s="279" t="inlineStr">
        <is>
          <t>N° elementos</t>
        </is>
      </c>
      <c r="P8" s="279" t="inlineStr">
        <is>
          <t>Repeticiones</t>
        </is>
      </c>
      <c r="Q8" s="279" t="inlineStr">
        <is>
          <t>Factor de desperdicio</t>
        </is>
      </c>
      <c r="R8" s="279" t="inlineStr">
        <is>
          <t>Deducción</t>
        </is>
      </c>
      <c r="S8" s="279" t="inlineStr">
        <is>
          <t>Desperdicio %</t>
        </is>
      </c>
      <c r="T8" s="279" t="inlineStr">
        <is>
          <t>Cantidad neta</t>
        </is>
      </c>
      <c r="U8" s="279" t="inlineStr">
        <is>
          <t>Cantidad final</t>
        </is>
      </c>
      <c r="V8" s="279" t="inlineStr">
        <is>
          <t>Fórmula / criterio</t>
        </is>
      </c>
      <c r="W8" s="279" t="inlineStr">
        <is>
          <t>Observación técnica</t>
        </is>
      </c>
      <c r="X8" s="279" t="inlineStr">
        <is>
          <t>Responsable</t>
        </is>
      </c>
      <c r="Y8" s="279" t="inlineStr">
        <is>
          <t>Cargo</t>
        </is>
      </c>
      <c r="Z8" s="279" t="inlineStr">
        <is>
          <t>Fecha</t>
        </is>
      </c>
      <c r="AA8" s="279" t="inlineStr">
        <is>
          <t>Estado</t>
        </is>
      </c>
      <c r="AB8" s="279" t="n"/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69" t="n"/>
      <c r="K9" s="1438" t="n">
        <v>0</v>
      </c>
      <c r="L9" s="1438" t="n">
        <v>0</v>
      </c>
      <c r="M9" s="1438" t="n">
        <v>0</v>
      </c>
      <c r="N9" s="1438" t="n">
        <v>0</v>
      </c>
      <c r="O9" s="1438" t="n">
        <v>1</v>
      </c>
      <c r="P9" s="1438" t="n">
        <v>1</v>
      </c>
      <c r="Q9" s="1438" t="n">
        <v>1</v>
      </c>
      <c r="R9" s="1438" t="n">
        <v>0</v>
      </c>
      <c r="S9" s="1303" t="n">
        <v>0</v>
      </c>
      <c r="T9" s="1438">
        <f>IF(I9="","",ROUND(IF(OR(I9="m²",I9="m2"),K9*IF(L9=0,1,L9)*IF(O9=0,1,O9)*IF(P9=0,1,P9)*Q9-R9,IF(OR(I9="m³",I9="m3"),K9*L9*M9*IF(O9=0,1,O9)*IF(P9=0,1,P9)*Q9-R9,IF(OR(I9="ml",I9="ML"),K9*IF(O9=0,1,O9)*IF(P9=0,1,P9)*Q9-R9,IF(OR(I9="und",I9="UND"),IF(O9=0,1,O9)*IF(P9=0,1,P9)*Q9-R9,IF(I9="kg",K9*IF(O9=0,1,O9)*IF(P9=0,1,P9)*Q9-R9,IF(OR(I9="gl",I9="GL",I9="gb",I9="GB",I9="Gl",I9="Gb"),IF(O9=0,1,O9)*IF(P9=0,1,P9)*Q9-R9,0)))))),3))</f>
        <v/>
      </c>
      <c r="U9" s="1438">
        <f>IF(T9="","",ROUND(T9*(1+S9),3))</f>
        <v/>
      </c>
      <c r="V9" s="283" t="inlineStr">
        <is>
          <t>ml</t>
        </is>
      </c>
      <c r="W9" s="285" t="n"/>
      <c r="X9" s="285" t="n"/>
      <c r="Y9" s="1469" t="n"/>
      <c r="Z9" s="1304" t="n"/>
      <c r="AA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69" t="n"/>
      <c r="K10" s="1438" t="n">
        <v>0</v>
      </c>
      <c r="L10" s="1438" t="n">
        <v>0</v>
      </c>
      <c r="M10" s="1438" t="n">
        <v>0</v>
      </c>
      <c r="N10" s="1438" t="n">
        <v>0</v>
      </c>
      <c r="O10" s="1438" t="n">
        <v>1</v>
      </c>
      <c r="P10" s="1438" t="n">
        <v>1</v>
      </c>
      <c r="Q10" s="1438" t="n">
        <v>1</v>
      </c>
      <c r="R10" s="1438" t="n">
        <v>0</v>
      </c>
      <c r="S10" s="1303" t="n">
        <v>0</v>
      </c>
      <c r="T10" s="1438">
        <f>IF(I10="","",ROUND(IF(OR(I10="m²",I10="m2"),K10*IF(L10=0,1,L10)*IF(O10=0,1,O10)*IF(P10=0,1,P10)*Q10-R10,IF(OR(I10="m³",I10="m3"),K10*L10*M10*IF(O10=0,1,O10)*IF(P10=0,1,P10)*Q10-R10,IF(OR(I10="ml",I10="ML"),K10*IF(O10=0,1,O10)*IF(P10=0,1,P10)*Q10-R10,IF(OR(I10="und",I10="UND"),IF(O10=0,1,O10)*IF(P10=0,1,P10)*Q10-R10,IF(I10="kg",K10*IF(O10=0,1,O10)*IF(P10=0,1,P10)*Q10-R10,IF(OR(I10="gl",I10="GL",I10="gb",I10="GB",I10="Gl",I10="Gb"),IF(O10=0,1,O10)*IF(P10=0,1,P10)*Q10-R10,0)))))),3))</f>
        <v/>
      </c>
      <c r="U10" s="1438">
        <f>IF(T10="","",ROUND(T10*(1+S10),3))</f>
        <v/>
      </c>
      <c r="V10" s="283" t="inlineStr">
        <is>
          <t>ml</t>
        </is>
      </c>
      <c r="W10" s="285" t="n"/>
      <c r="X10" s="285" t="n"/>
      <c r="Y10" s="1469" t="n"/>
      <c r="Z10" s="1304" t="n"/>
      <c r="AA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69" t="n"/>
      <c r="K11" s="1438" t="n">
        <v>0</v>
      </c>
      <c r="L11" s="1438" t="n">
        <v>0</v>
      </c>
      <c r="M11" s="1438" t="n">
        <v>0</v>
      </c>
      <c r="N11" s="1438" t="n">
        <v>0</v>
      </c>
      <c r="O11" s="1438" t="n">
        <v>1</v>
      </c>
      <c r="P11" s="1438" t="n">
        <v>1</v>
      </c>
      <c r="Q11" s="1438" t="n">
        <v>1</v>
      </c>
      <c r="R11" s="1438" t="n">
        <v>0</v>
      </c>
      <c r="S11" s="1303" t="n">
        <v>0</v>
      </c>
      <c r="T11" s="1438">
        <f>IF(I11="","",ROUND(IF(OR(I11="m²",I11="m2"),K11*IF(L11=0,1,L11)*IF(O11=0,1,O11)*IF(P11=0,1,P11)*Q11-R11,IF(OR(I11="m³",I11="m3"),K11*L11*M11*IF(O11=0,1,O11)*IF(P11=0,1,P11)*Q11-R11,IF(OR(I11="ml",I11="ML"),K11*IF(O11=0,1,O11)*IF(P11=0,1,P11)*Q11-R11,IF(OR(I11="und",I11="UND"),IF(O11=0,1,O11)*IF(P11=0,1,P11)*Q11-R11,IF(I11="kg",K11*IF(O11=0,1,O11)*IF(P11=0,1,P11)*Q11-R11,IF(OR(I11="gl",I11="GL",I11="gb",I11="GB",I11="Gl",I11="Gb"),IF(O11=0,1,O11)*IF(P11=0,1,P11)*Q11-R11,0)))))),3))</f>
        <v/>
      </c>
      <c r="U11" s="1438">
        <f>IF(T11="","",ROUND(T11*(1+S11),3))</f>
        <v/>
      </c>
      <c r="V11" s="283" t="inlineStr">
        <is>
          <t>m²</t>
        </is>
      </c>
      <c r="W11" s="285" t="n"/>
      <c r="X11" s="285" t="n"/>
      <c r="Y11" s="1469" t="n"/>
      <c r="Z11" s="1304" t="n"/>
      <c r="AA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69" t="n"/>
      <c r="K12" s="1438" t="n">
        <v>0</v>
      </c>
      <c r="L12" s="1438" t="n">
        <v>0</v>
      </c>
      <c r="M12" s="1438" t="n">
        <v>0</v>
      </c>
      <c r="N12" s="1438" t="n">
        <v>0</v>
      </c>
      <c r="O12" s="1438" t="n">
        <v>1</v>
      </c>
      <c r="P12" s="1438" t="n">
        <v>1</v>
      </c>
      <c r="Q12" s="1438" t="n">
        <v>1</v>
      </c>
      <c r="R12" s="1438" t="n">
        <v>0</v>
      </c>
      <c r="S12" s="1303" t="n">
        <v>0</v>
      </c>
      <c r="T12" s="1438">
        <f>IF(I12="","",ROUND(IF(OR(I12="m²",I12="m2"),K12*IF(L12=0,1,L12)*IF(O12=0,1,O12)*IF(P12=0,1,P12)*Q12-R12,IF(OR(I12="m³",I12="m3"),K12*L12*M12*IF(O12=0,1,O12)*IF(P12=0,1,P12)*Q12-R12,IF(OR(I12="ml",I12="ML"),K12*IF(O12=0,1,O12)*IF(P12=0,1,P12)*Q12-R12,IF(OR(I12="und",I12="UND"),IF(O12=0,1,O12)*IF(P12=0,1,P12)*Q12-R12,IF(I12="kg",K12*IF(O12=0,1,O12)*IF(P12=0,1,P12)*Q12-R12,IF(OR(I12="gl",I12="GL",I12="gb",I12="GB",I12="Gl",I12="Gb"),IF(O12=0,1,O12)*IF(P12=0,1,P12)*Q12-R12,0)))))),3))</f>
        <v/>
      </c>
      <c r="U12" s="1438">
        <f>IF(T12="","",ROUND(T12*(1+S12),3))</f>
        <v/>
      </c>
      <c r="V12" s="283" t="inlineStr">
        <is>
          <t>m²</t>
        </is>
      </c>
      <c r="W12" s="285" t="n"/>
      <c r="X12" s="285" t="n"/>
      <c r="Y12" s="1469" t="n"/>
      <c r="Z12" s="1304" t="n"/>
      <c r="AA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69" t="n"/>
      <c r="K13" s="1438" t="n">
        <v>0</v>
      </c>
      <c r="L13" s="1438" t="n">
        <v>0</v>
      </c>
      <c r="M13" s="1438" t="n">
        <v>0</v>
      </c>
      <c r="N13" s="1438" t="n">
        <v>0</v>
      </c>
      <c r="O13" s="1438" t="n">
        <v>1</v>
      </c>
      <c r="P13" s="1438" t="n">
        <v>1</v>
      </c>
      <c r="Q13" s="1438" t="n">
        <v>1</v>
      </c>
      <c r="R13" s="1438" t="n">
        <v>0</v>
      </c>
      <c r="S13" s="1303" t="n">
        <v>0</v>
      </c>
      <c r="T13" s="1438">
        <f>IF(I13="","",ROUND(IF(OR(I13="m²",I13="m2"),K13*IF(L13=0,1,L13)*IF(O13=0,1,O13)*IF(P13=0,1,P13)*Q13-R13,IF(OR(I13="m³",I13="m3"),K13*L13*M13*IF(O13=0,1,O13)*IF(P13=0,1,P13)*Q13-R13,IF(OR(I13="ml",I13="ML"),K13*IF(O13=0,1,O13)*IF(P13=0,1,P13)*Q13-R13,IF(OR(I13="und",I13="UND"),IF(O13=0,1,O13)*IF(P13=0,1,P13)*Q13-R13,IF(I13="kg",K13*IF(O13=0,1,O13)*IF(P13=0,1,P13)*Q13-R13,IF(OR(I13="gl",I13="GL",I13="gb",I13="GB",I13="Gl",I13="Gb"),IF(O13=0,1,O13)*IF(P13=0,1,P13)*Q13-R13,0)))))),3))</f>
        <v/>
      </c>
      <c r="U13" s="1438">
        <f>IF(T13="","",ROUND(T13*(1+S13),3))</f>
        <v/>
      </c>
      <c r="V13" s="283" t="inlineStr">
        <is>
          <t>und</t>
        </is>
      </c>
      <c r="W13" s="285" t="n"/>
      <c r="X13" s="285" t="n"/>
      <c r="Y13" s="1469" t="n"/>
      <c r="Z13" s="1304" t="n"/>
      <c r="AA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69" t="n"/>
      <c r="K14" s="1438" t="n">
        <v>0</v>
      </c>
      <c r="L14" s="1438" t="n">
        <v>0</v>
      </c>
      <c r="M14" s="1438" t="n">
        <v>0</v>
      </c>
      <c r="N14" s="1438" t="n">
        <v>0</v>
      </c>
      <c r="O14" s="1438" t="n">
        <v>1</v>
      </c>
      <c r="P14" s="1438" t="n">
        <v>1</v>
      </c>
      <c r="Q14" s="1438" t="n">
        <v>1</v>
      </c>
      <c r="R14" s="1438" t="n">
        <v>0</v>
      </c>
      <c r="S14" s="1303" t="n">
        <v>0</v>
      </c>
      <c r="T14" s="1438">
        <f>IF(I14="","",ROUND(IF(OR(I14="m²",I14="m2"),K14*IF(L14=0,1,L14)*IF(O14=0,1,O14)*IF(P14=0,1,P14)*Q14-R14,IF(OR(I14="m³",I14="m3"),K14*L14*M14*IF(O14=0,1,O14)*IF(P14=0,1,P14)*Q14-R14,IF(OR(I14="ml",I14="ML"),K14*IF(O14=0,1,O14)*IF(P14=0,1,P14)*Q14-R14,IF(OR(I14="und",I14="UND"),IF(O14=0,1,O14)*IF(P14=0,1,P14)*Q14-R14,IF(I14="kg",K14*IF(O14=0,1,O14)*IF(P14=0,1,P14)*Q14-R14,IF(OR(I14="gl",I14="GL",I14="gb",I14="GB",I14="Gl",I14="Gb"),IF(O14=0,1,O14)*IF(P14=0,1,P14)*Q14-R14,0)))))),3))</f>
        <v/>
      </c>
      <c r="U14" s="1438">
        <f>IF(T14="","",ROUND(T14*(1+S14),3))</f>
        <v/>
      </c>
      <c r="V14" s="283" t="inlineStr">
        <is>
          <t>gl</t>
        </is>
      </c>
      <c r="W14" s="285" t="n"/>
      <c r="X14" s="285" t="n"/>
      <c r="Y14" s="1469" t="n"/>
      <c r="Z14" s="1304" t="n"/>
      <c r="AA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69" t="n"/>
      <c r="K15" s="1438" t="n">
        <v>0</v>
      </c>
      <c r="L15" s="1438" t="n">
        <v>0</v>
      </c>
      <c r="M15" s="1438" t="n">
        <v>0</v>
      </c>
      <c r="N15" s="1438" t="n">
        <v>0</v>
      </c>
      <c r="O15" s="1438" t="n">
        <v>1</v>
      </c>
      <c r="P15" s="1438" t="n">
        <v>1</v>
      </c>
      <c r="Q15" s="1438" t="n">
        <v>1</v>
      </c>
      <c r="R15" s="1438" t="n">
        <v>0</v>
      </c>
      <c r="S15" s="1303" t="n">
        <v>0</v>
      </c>
      <c r="T15" s="1438">
        <f>IF(I15="","",ROUND(IF(OR(I15="m²",I15="m2"),K15*IF(L15=0,1,L15)*IF(O15=0,1,O15)*IF(P15=0,1,P15)*Q15-R15,IF(OR(I15="m³",I15="m3"),K15*L15*M15*IF(O15=0,1,O15)*IF(P15=0,1,P15)*Q15-R15,IF(OR(I15="ml",I15="ML"),K15*IF(O15=0,1,O15)*IF(P15=0,1,P15)*Q15-R15,IF(OR(I15="und",I15="UND"),IF(O15=0,1,O15)*IF(P15=0,1,P15)*Q15-R15,IF(I15="kg",K15*IF(O15=0,1,O15)*IF(P15=0,1,P15)*Q15-R15,IF(OR(I15="gl",I15="GL",I15="gb",I15="GB",I15="Gl",I15="Gb"),IF(O15=0,1,O15)*IF(P15=0,1,P15)*Q15-R15,0)))))),3))</f>
        <v/>
      </c>
      <c r="U15" s="1438">
        <f>IF(T15="","",ROUND(T15*(1+S15),3))</f>
        <v/>
      </c>
      <c r="V15" s="283" t="inlineStr">
        <is>
          <t>m²</t>
        </is>
      </c>
      <c r="W15" s="285" t="n"/>
      <c r="X15" s="285" t="n"/>
      <c r="Y15" s="1469" t="n"/>
      <c r="Z15" s="1304" t="n"/>
      <c r="AA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69" t="n"/>
      <c r="K16" s="1438" t="n">
        <v>0</v>
      </c>
      <c r="L16" s="1438" t="n">
        <v>0</v>
      </c>
      <c r="M16" s="1438" t="n">
        <v>0</v>
      </c>
      <c r="N16" s="1438" t="n">
        <v>0</v>
      </c>
      <c r="O16" s="1438" t="n">
        <v>1</v>
      </c>
      <c r="P16" s="1438" t="n">
        <v>1</v>
      </c>
      <c r="Q16" s="1438" t="n">
        <v>1</v>
      </c>
      <c r="R16" s="1438" t="n">
        <v>0</v>
      </c>
      <c r="S16" s="1303" t="n">
        <v>0</v>
      </c>
      <c r="T16" s="1438">
        <f>IF(I16="","",ROUND(IF(OR(I16="m²",I16="m2"),K16*IF(L16=0,1,L16)*IF(O16=0,1,O16)*IF(P16=0,1,P16)*Q16-R16,IF(OR(I16="m³",I16="m3"),K16*L16*M16*IF(O16=0,1,O16)*IF(P16=0,1,P16)*Q16-R16,IF(OR(I16="ml",I16="ML"),K16*IF(O16=0,1,O16)*IF(P16=0,1,P16)*Q16-R16,IF(OR(I16="und",I16="UND"),IF(O16=0,1,O16)*IF(P16=0,1,P16)*Q16-R16,IF(I16="kg",K16*IF(O16=0,1,O16)*IF(P16=0,1,P16)*Q16-R16,IF(OR(I16="gl",I16="GL",I16="gb",I16="GB",I16="Gl",I16="Gb"),IF(O16=0,1,O16)*IF(P16=0,1,P16)*Q16-R16,0)))))),3))</f>
        <v/>
      </c>
      <c r="U16" s="1438">
        <f>IF(T16="","",ROUND(T16*(1+S16),3))</f>
        <v/>
      </c>
      <c r="V16" s="283" t="inlineStr">
        <is>
          <t>m²</t>
        </is>
      </c>
      <c r="W16" s="285" t="n"/>
      <c r="X16" s="285" t="n"/>
      <c r="Y16" s="1469" t="n"/>
      <c r="Z16" s="1304" t="n"/>
      <c r="AA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69" t="n"/>
      <c r="K17" s="1438" t="n">
        <v>0</v>
      </c>
      <c r="L17" s="1438" t="n">
        <v>0</v>
      </c>
      <c r="M17" s="1438" t="n">
        <v>0</v>
      </c>
      <c r="N17" s="1438" t="n">
        <v>0</v>
      </c>
      <c r="O17" s="1438" t="n">
        <v>1</v>
      </c>
      <c r="P17" s="1438" t="n">
        <v>1</v>
      </c>
      <c r="Q17" s="1438" t="n">
        <v>1</v>
      </c>
      <c r="R17" s="1438" t="n">
        <v>0</v>
      </c>
      <c r="S17" s="1303" t="n">
        <v>0</v>
      </c>
      <c r="T17" s="1438">
        <f>IF(I17="","",ROUND(IF(OR(I17="m²",I17="m2"),K17*IF(L17=0,1,L17)*IF(O17=0,1,O17)*IF(P17=0,1,P17)*Q17-R17,IF(OR(I17="m³",I17="m3"),K17*L17*M17*IF(O17=0,1,O17)*IF(P17=0,1,P17)*Q17-R17,IF(OR(I17="ml",I17="ML"),K17*IF(O17=0,1,O17)*IF(P17=0,1,P17)*Q17-R17,IF(OR(I17="und",I17="UND"),IF(O17=0,1,O17)*IF(P17=0,1,P17)*Q17-R17,IF(I17="kg",K17*IF(O17=0,1,O17)*IF(P17=0,1,P17)*Q17-R17,IF(OR(I17="gl",I17="GL",I17="gb",I17="GB",I17="Gl",I17="Gb"),IF(O17=0,1,O17)*IF(P17=0,1,P17)*Q17-R17,0)))))),3))</f>
        <v/>
      </c>
      <c r="U17" s="1438">
        <f>IF(T17="","",ROUND(T17*(1+S17),3))</f>
        <v/>
      </c>
      <c r="V17" s="283" t="inlineStr">
        <is>
          <t>m³</t>
        </is>
      </c>
      <c r="W17" s="285" t="n"/>
      <c r="X17" s="285" t="n"/>
      <c r="Y17" s="1469" t="n"/>
      <c r="Z17" s="1304" t="n"/>
      <c r="AA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69" t="n"/>
      <c r="K18" s="1438" t="n">
        <v>0</v>
      </c>
      <c r="L18" s="1438" t="n">
        <v>0</v>
      </c>
      <c r="M18" s="1438" t="n">
        <v>0</v>
      </c>
      <c r="N18" s="1438" t="n">
        <v>0</v>
      </c>
      <c r="O18" s="1438" t="n">
        <v>1</v>
      </c>
      <c r="P18" s="1438" t="n">
        <v>1</v>
      </c>
      <c r="Q18" s="1438" t="n">
        <v>1</v>
      </c>
      <c r="R18" s="1438" t="n">
        <v>0</v>
      </c>
      <c r="S18" s="1303" t="n">
        <v>0</v>
      </c>
      <c r="T18" s="1438">
        <f>IF(I18="","",ROUND(IF(OR(I18="m²",I18="m2"),K18*IF(L18=0,1,L18)*IF(O18=0,1,O18)*IF(P18=0,1,P18)*Q18-R18,IF(OR(I18="m³",I18="m3"),K18*L18*M18*IF(O18=0,1,O18)*IF(P18=0,1,P18)*Q18-R18,IF(OR(I18="ml",I18="ML"),K18*IF(O18=0,1,O18)*IF(P18=0,1,P18)*Q18-R18,IF(OR(I18="und",I18="UND"),IF(O18=0,1,O18)*IF(P18=0,1,P18)*Q18-R18,IF(I18="kg",K18*IF(O18=0,1,O18)*IF(P18=0,1,P18)*Q18-R18,IF(OR(I18="gl",I18="GL",I18="gb",I18="GB",I18="Gl",I18="Gb"),IF(O18=0,1,O18)*IF(P18=0,1,P18)*Q18-R18,0)))))),3))</f>
        <v/>
      </c>
      <c r="U18" s="1438">
        <f>IF(T18="","",ROUND(T18*(1+S18),3))</f>
        <v/>
      </c>
      <c r="V18" s="283" t="inlineStr">
        <is>
          <t>m³</t>
        </is>
      </c>
      <c r="W18" s="285" t="n"/>
      <c r="X18" s="285" t="n"/>
      <c r="Y18" s="1469" t="n"/>
      <c r="Z18" s="1304" t="n"/>
      <c r="AA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69" t="n"/>
      <c r="K19" s="1438" t="n">
        <v>0</v>
      </c>
      <c r="L19" s="1438" t="n">
        <v>0</v>
      </c>
      <c r="M19" s="1438" t="n">
        <v>0</v>
      </c>
      <c r="N19" s="1438" t="n">
        <v>0</v>
      </c>
      <c r="O19" s="1438" t="n">
        <v>1</v>
      </c>
      <c r="P19" s="1438" t="n">
        <v>1</v>
      </c>
      <c r="Q19" s="1438" t="n">
        <v>1</v>
      </c>
      <c r="R19" s="1438" t="n">
        <v>0</v>
      </c>
      <c r="S19" s="1303" t="n">
        <v>0</v>
      </c>
      <c r="T19" s="1438">
        <f>IF(I19="","",ROUND(IF(OR(I19="m²",I19="m2"),K19*IF(L19=0,1,L19)*IF(O19=0,1,O19)*IF(P19=0,1,P19)*Q19-R19,IF(OR(I19="m³",I19="m3"),K19*L19*M19*IF(O19=0,1,O19)*IF(P19=0,1,P19)*Q19-R19,IF(OR(I19="ml",I19="ML"),K19*IF(O19=0,1,O19)*IF(P19=0,1,P19)*Q19-R19,IF(OR(I19="und",I19="UND"),IF(O19=0,1,O19)*IF(P19=0,1,P19)*Q19-R19,IF(I19="kg",K19*IF(O19=0,1,O19)*IF(P19=0,1,P19)*Q19-R19,IF(OR(I19="gl",I19="GL",I19="gb",I19="GB",I19="Gl",I19="Gb"),IF(O19=0,1,O19)*IF(P19=0,1,P19)*Q19-R19,0)))))),3))</f>
        <v/>
      </c>
      <c r="U19" s="1438">
        <f>IF(T19="","",ROUND(T19*(1+S19),3))</f>
        <v/>
      </c>
      <c r="V19" s="283" t="inlineStr">
        <is>
          <t>m³</t>
        </is>
      </c>
      <c r="W19" s="285" t="n"/>
      <c r="X19" s="285" t="n"/>
      <c r="Y19" s="1469" t="n"/>
      <c r="Z19" s="1304" t="n"/>
      <c r="AA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69" t="n"/>
      <c r="K20" s="1438" t="n">
        <v>0</v>
      </c>
      <c r="L20" s="1438" t="n">
        <v>0</v>
      </c>
      <c r="M20" s="1438" t="n">
        <v>0</v>
      </c>
      <c r="N20" s="1438" t="n">
        <v>0</v>
      </c>
      <c r="O20" s="1438" t="n">
        <v>1</v>
      </c>
      <c r="P20" s="1438" t="n">
        <v>1</v>
      </c>
      <c r="Q20" s="1438" t="n">
        <v>1</v>
      </c>
      <c r="R20" s="1438" t="n">
        <v>0</v>
      </c>
      <c r="S20" s="1303" t="n">
        <v>0</v>
      </c>
      <c r="T20" s="1438">
        <f>IF(I20="","",ROUND(IF(OR(I20="m²",I20="m2"),K20*IF(L20=0,1,L20)*IF(O20=0,1,O20)*IF(P20=0,1,P20)*Q20-R20,IF(OR(I20="m³",I20="m3"),K20*L20*M20*IF(O20=0,1,O20)*IF(P20=0,1,P20)*Q20-R20,IF(OR(I20="ml",I20="ML"),K20*IF(O20=0,1,O20)*IF(P20=0,1,P20)*Q20-R20,IF(OR(I20="und",I20="UND"),IF(O20=0,1,O20)*IF(P20=0,1,P20)*Q20-R20,IF(I20="kg",K20*IF(O20=0,1,O20)*IF(P20=0,1,P20)*Q20-R20,IF(OR(I20="gl",I20="GL",I20="gb",I20="GB",I20="Gl",I20="Gb"),IF(O20=0,1,O20)*IF(P20=0,1,P20)*Q20-R20,0)))))),3))</f>
        <v/>
      </c>
      <c r="U20" s="1438">
        <f>IF(T20="","",ROUND(T20*(1+S20),3))</f>
        <v/>
      </c>
      <c r="V20" s="283" t="inlineStr">
        <is>
          <t>m³</t>
        </is>
      </c>
      <c r="W20" s="285" t="n"/>
      <c r="X20" s="285" t="n"/>
      <c r="Y20" s="1469" t="n"/>
      <c r="Z20" s="1304" t="n"/>
      <c r="AA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69" t="n"/>
      <c r="K21" s="1438" t="n">
        <v>0</v>
      </c>
      <c r="L21" s="1438" t="n">
        <v>0</v>
      </c>
      <c r="M21" s="1438" t="n">
        <v>0</v>
      </c>
      <c r="N21" s="1438" t="n">
        <v>0</v>
      </c>
      <c r="O21" s="1438" t="n">
        <v>1</v>
      </c>
      <c r="P21" s="1438" t="n">
        <v>1</v>
      </c>
      <c r="Q21" s="1438" t="n">
        <v>1</v>
      </c>
      <c r="R21" s="1438" t="n">
        <v>0</v>
      </c>
      <c r="S21" s="1303" t="n">
        <v>0</v>
      </c>
      <c r="T21" s="1438">
        <f>IF(I21="","",ROUND(IF(OR(I21="m²",I21="m2"),K21*IF(L21=0,1,L21)*IF(O21=0,1,O21)*IF(P21=0,1,P21)*Q21-R21,IF(OR(I21="m³",I21="m3"),K21*L21*M21*IF(O21=0,1,O21)*IF(P21=0,1,P21)*Q21-R21,IF(OR(I21="ml",I21="ML"),K21*IF(O21=0,1,O21)*IF(P21=0,1,P21)*Q21-R21,IF(OR(I21="und",I21="UND"),IF(O21=0,1,O21)*IF(P21=0,1,P21)*Q21-R21,IF(I21="kg",K21*IF(O21=0,1,O21)*IF(P21=0,1,P21)*Q21-R21,IF(OR(I21="gl",I21="GL",I21="gb",I21="GB",I21="Gl",I21="Gb"),IF(O21=0,1,O21)*IF(P21=0,1,P21)*Q21-R21,0)))))),3))</f>
        <v/>
      </c>
      <c r="U21" s="1438">
        <f>IF(T21="","",ROUND(T21*(1+S21),3))</f>
        <v/>
      </c>
      <c r="V21" s="283" t="inlineStr">
        <is>
          <t>m²</t>
        </is>
      </c>
      <c r="W21" s="285" t="n"/>
      <c r="X21" s="285" t="n"/>
      <c r="Y21" s="1469" t="n"/>
      <c r="Z21" s="1304" t="n"/>
      <c r="AA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69" t="n"/>
      <c r="K22" s="1438" t="n">
        <v>0</v>
      </c>
      <c r="L22" s="1438" t="n">
        <v>0</v>
      </c>
      <c r="M22" s="1438" t="n">
        <v>0</v>
      </c>
      <c r="N22" s="1438" t="n">
        <v>0</v>
      </c>
      <c r="O22" s="1438" t="n">
        <v>1</v>
      </c>
      <c r="P22" s="1438" t="n">
        <v>1</v>
      </c>
      <c r="Q22" s="1438" t="n">
        <v>1</v>
      </c>
      <c r="R22" s="1438" t="n">
        <v>0</v>
      </c>
      <c r="S22" s="1303" t="n">
        <v>0</v>
      </c>
      <c r="T22" s="1438">
        <f>IF(I22="","",ROUND(IF(OR(I22="m²",I22="m2"),K22*IF(L22=0,1,L22)*IF(O22=0,1,O22)*IF(P22=0,1,P22)*Q22-R22,IF(OR(I22="m³",I22="m3"),K22*L22*M22*IF(O22=0,1,O22)*IF(P22=0,1,P22)*Q22-R22,IF(OR(I22="ml",I22="ML"),K22*IF(O22=0,1,O22)*IF(P22=0,1,P22)*Q22-R22,IF(OR(I22="und",I22="UND"),IF(O22=0,1,O22)*IF(P22=0,1,P22)*Q22-R22,IF(I22="kg",K22*IF(O22=0,1,O22)*IF(P22=0,1,P22)*Q22-R22,IF(OR(I22="gl",I22="GL",I22="gb",I22="GB",I22="Gl",I22="Gb"),IF(O22=0,1,O22)*IF(P22=0,1,P22)*Q22-R22,0)))))),3))</f>
        <v/>
      </c>
      <c r="U22" s="1438">
        <f>IF(T22="","",ROUND(T22*(1+S22),3))</f>
        <v/>
      </c>
      <c r="V22" s="283" t="inlineStr">
        <is>
          <t>m³</t>
        </is>
      </c>
      <c r="W22" s="285" t="n"/>
      <c r="X22" s="285" t="n"/>
      <c r="Y22" s="1469" t="n"/>
      <c r="Z22" s="1304" t="n"/>
      <c r="AA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69" t="n"/>
      <c r="K23" s="1438" t="n">
        <v>0</v>
      </c>
      <c r="L23" s="1438" t="n">
        <v>0</v>
      </c>
      <c r="M23" s="1438" t="n">
        <v>0</v>
      </c>
      <c r="N23" s="1438" t="n">
        <v>0</v>
      </c>
      <c r="O23" s="1438" t="n">
        <v>1</v>
      </c>
      <c r="P23" s="1438" t="n">
        <v>1</v>
      </c>
      <c r="Q23" s="1438" t="n">
        <v>1</v>
      </c>
      <c r="R23" s="1438" t="n">
        <v>0</v>
      </c>
      <c r="S23" s="1303" t="n">
        <v>0</v>
      </c>
      <c r="T23" s="1438">
        <f>IF(I23="","",ROUND(IF(OR(I23="m²",I23="m2"),K23*IF(L23=0,1,L23)*IF(O23=0,1,O23)*IF(P23=0,1,P23)*Q23-R23,IF(OR(I23="m³",I23="m3"),K23*L23*M23*IF(O23=0,1,O23)*IF(P23=0,1,P23)*Q23-R23,IF(OR(I23="ml",I23="ML"),K23*IF(O23=0,1,O23)*IF(P23=0,1,P23)*Q23-R23,IF(OR(I23="und",I23="UND"),IF(O23=0,1,O23)*IF(P23=0,1,P23)*Q23-R23,IF(I23="kg",K23*IF(O23=0,1,O23)*IF(P23=0,1,P23)*Q23-R23,IF(OR(I23="gl",I23="GL",I23="gb",I23="GB",I23="Gl",I23="Gb"),IF(O23=0,1,O23)*IF(P23=0,1,P23)*Q23-R23,0)))))),3))</f>
        <v/>
      </c>
      <c r="U23" s="1438">
        <f>IF(T23="","",ROUND(T23*(1+S23),3))</f>
        <v/>
      </c>
      <c r="V23" s="283" t="inlineStr">
        <is>
          <t>m³</t>
        </is>
      </c>
      <c r="W23" s="285" t="n"/>
      <c r="X23" s="285" t="n"/>
      <c r="Y23" s="1469" t="n"/>
      <c r="Z23" s="1304" t="n"/>
      <c r="AA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69" t="n"/>
      <c r="K24" s="1438" t="n">
        <v>0</v>
      </c>
      <c r="L24" s="1438" t="n">
        <v>0</v>
      </c>
      <c r="M24" s="1438" t="n">
        <v>0</v>
      </c>
      <c r="N24" s="1438" t="n">
        <v>0</v>
      </c>
      <c r="O24" s="1438" t="n">
        <v>1</v>
      </c>
      <c r="P24" s="1438" t="n">
        <v>1</v>
      </c>
      <c r="Q24" s="1438" t="n">
        <v>1</v>
      </c>
      <c r="R24" s="1438" t="n">
        <v>0</v>
      </c>
      <c r="S24" s="1303" t="n">
        <v>0</v>
      </c>
      <c r="T24" s="1438">
        <f>IF(I24="","",ROUND(IF(OR(I24="m²",I24="m2"),K24*IF(L24=0,1,L24)*IF(O24=0,1,O24)*IF(P24=0,1,P24)*Q24-R24,IF(OR(I24="m³",I24="m3"),K24*L24*M24*IF(O24=0,1,O24)*IF(P24=0,1,P24)*Q24-R24,IF(OR(I24="ml",I24="ML"),K24*IF(O24=0,1,O24)*IF(P24=0,1,P24)*Q24-R24,IF(OR(I24="und",I24="UND"),IF(O24=0,1,O24)*IF(P24=0,1,P24)*Q24-R24,IF(I24="kg",K24*IF(O24=0,1,O24)*IF(P24=0,1,P24)*Q24-R24,IF(OR(I24="gl",I24="GL",I24="gb",I24="GB",I24="Gl",I24="Gb"),IF(O24=0,1,O24)*IF(P24=0,1,P24)*Q24-R24,0)))))),3))</f>
        <v/>
      </c>
      <c r="U24" s="1438">
        <f>IF(T24="","",ROUND(T24*(1+S24),3))</f>
        <v/>
      </c>
      <c r="V24" s="283" t="inlineStr">
        <is>
          <t>m³</t>
        </is>
      </c>
      <c r="W24" s="285" t="n"/>
      <c r="X24" s="285" t="n"/>
      <c r="Y24" s="1469" t="n"/>
      <c r="Z24" s="1304" t="n"/>
      <c r="AA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69" t="n"/>
      <c r="K25" s="1438" t="n">
        <v>0</v>
      </c>
      <c r="L25" s="1438" t="n">
        <v>0</v>
      </c>
      <c r="M25" s="1438" t="n">
        <v>0</v>
      </c>
      <c r="N25" s="1438" t="n">
        <v>0</v>
      </c>
      <c r="O25" s="1438" t="n">
        <v>1</v>
      </c>
      <c r="P25" s="1438" t="n">
        <v>1</v>
      </c>
      <c r="Q25" s="1438" t="n">
        <v>1</v>
      </c>
      <c r="R25" s="1438" t="n">
        <v>0</v>
      </c>
      <c r="S25" s="1303" t="n">
        <v>0</v>
      </c>
      <c r="T25" s="1438">
        <f>IF(I25="","",ROUND(IF(OR(I25="m²",I25="m2"),K25*IF(L25=0,1,L25)*IF(O25=0,1,O25)*IF(P25=0,1,P25)*Q25-R25,IF(OR(I25="m³",I25="m3"),K25*L25*M25*IF(O25=0,1,O25)*IF(P25=0,1,P25)*Q25-R25,IF(OR(I25="ml",I25="ML"),K25*IF(O25=0,1,O25)*IF(P25=0,1,P25)*Q25-R25,IF(OR(I25="und",I25="UND"),IF(O25=0,1,O25)*IF(P25=0,1,P25)*Q25-R25,IF(I25="kg",K25*IF(O25=0,1,O25)*IF(P25=0,1,P25)*Q25-R25,IF(OR(I25="gl",I25="GL",I25="gb",I25="GB",I25="Gl",I25="Gb"),IF(O25=0,1,O25)*IF(P25=0,1,P25)*Q25-R25,0)))))),3))</f>
        <v/>
      </c>
      <c r="U25" s="1438">
        <f>IF(T25="","",ROUND(T25*(1+S25),3))</f>
        <v/>
      </c>
      <c r="V25" s="283" t="inlineStr">
        <is>
          <t>m³</t>
        </is>
      </c>
      <c r="W25" s="285" t="n"/>
      <c r="X25" s="285" t="n"/>
      <c r="Y25" s="1469" t="n"/>
      <c r="Z25" s="1304" t="n"/>
      <c r="AA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69" t="n"/>
      <c r="K26" s="1438" t="n">
        <v>0</v>
      </c>
      <c r="L26" s="1438" t="n">
        <v>0</v>
      </c>
      <c r="M26" s="1438" t="n">
        <v>0</v>
      </c>
      <c r="N26" s="1438" t="n">
        <v>0</v>
      </c>
      <c r="O26" s="1438" t="n">
        <v>1</v>
      </c>
      <c r="P26" s="1438" t="n">
        <v>1</v>
      </c>
      <c r="Q26" s="1438" t="n">
        <v>1</v>
      </c>
      <c r="R26" s="1438" t="n">
        <v>0</v>
      </c>
      <c r="S26" s="1303" t="n">
        <v>0</v>
      </c>
      <c r="T26" s="1438">
        <f>IF(I26="","",ROUND(IF(OR(I26="m²",I26="m2"),K26*IF(L26=0,1,L26)*IF(O26=0,1,O26)*IF(P26=0,1,P26)*Q26-R26,IF(OR(I26="m³",I26="m3"),K26*L26*M26*IF(O26=0,1,O26)*IF(P26=0,1,P26)*Q26-R26,IF(OR(I26="ml",I26="ML"),K26*IF(O26=0,1,O26)*IF(P26=0,1,P26)*Q26-R26,IF(OR(I26="und",I26="UND"),IF(O26=0,1,O26)*IF(P26=0,1,P26)*Q26-R26,IF(I26="kg",K26*IF(O26=0,1,O26)*IF(P26=0,1,P26)*Q26-R26,IF(OR(I26="gl",I26="GL",I26="gb",I26="GB",I26="Gl",I26="Gb"),IF(O26=0,1,O26)*IF(P26=0,1,P26)*Q26-R26,0)))))),3))</f>
        <v/>
      </c>
      <c r="U26" s="1438">
        <f>IF(T26="","",ROUND(T26*(1+S26),3))</f>
        <v/>
      </c>
      <c r="V26" s="283" t="inlineStr">
        <is>
          <t>m³</t>
        </is>
      </c>
      <c r="W26" s="285" t="n"/>
      <c r="X26" s="285" t="n"/>
      <c r="Y26" s="1469" t="n"/>
      <c r="Z26" s="1304" t="n"/>
      <c r="AA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69" t="n"/>
      <c r="K27" s="1438" t="n">
        <v>0</v>
      </c>
      <c r="L27" s="1438" t="n">
        <v>0</v>
      </c>
      <c r="M27" s="1438" t="n">
        <v>0</v>
      </c>
      <c r="N27" s="1438" t="n">
        <v>0</v>
      </c>
      <c r="O27" s="1438" t="n">
        <v>1</v>
      </c>
      <c r="P27" s="1438" t="n">
        <v>1</v>
      </c>
      <c r="Q27" s="1438" t="n">
        <v>1</v>
      </c>
      <c r="R27" s="1438" t="n">
        <v>0</v>
      </c>
      <c r="S27" s="1303" t="n">
        <v>0</v>
      </c>
      <c r="T27" s="1438">
        <f>IF(I27="","",ROUND(IF(OR(I27="m²",I27="m2"),K27*IF(L27=0,1,L27)*IF(O27=0,1,O27)*IF(P27=0,1,P27)*Q27-R27,IF(OR(I27="m³",I27="m3"),K27*L27*M27*IF(O27=0,1,O27)*IF(P27=0,1,P27)*Q27-R27,IF(OR(I27="ml",I27="ML"),K27*IF(O27=0,1,O27)*IF(P27=0,1,P27)*Q27-R27,IF(OR(I27="und",I27="UND"),IF(O27=0,1,O27)*IF(P27=0,1,P27)*Q27-R27,IF(I27="kg",K27*IF(O27=0,1,O27)*IF(P27=0,1,P27)*Q27-R27,IF(OR(I27="gl",I27="GL",I27="gb",I27="GB",I27="Gl",I27="Gb"),IF(O27=0,1,O27)*IF(P27=0,1,P27)*Q27-R27,0)))))),3))</f>
        <v/>
      </c>
      <c r="U27" s="1438">
        <f>IF(T27="","",ROUND(T27*(1+S27),3))</f>
        <v/>
      </c>
      <c r="V27" s="283" t="inlineStr">
        <is>
          <t>m³</t>
        </is>
      </c>
      <c r="W27" s="285" t="n"/>
      <c r="X27" s="285" t="n"/>
      <c r="Y27" s="1469" t="n"/>
      <c r="Z27" s="1304" t="n"/>
      <c r="AA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69" t="n"/>
      <c r="K28" s="1438" t="n">
        <v>0</v>
      </c>
      <c r="L28" s="1438" t="n">
        <v>0</v>
      </c>
      <c r="M28" s="1438" t="n">
        <v>0</v>
      </c>
      <c r="N28" s="1438" t="n">
        <v>0</v>
      </c>
      <c r="O28" s="1438" t="n">
        <v>1</v>
      </c>
      <c r="P28" s="1438" t="n">
        <v>1</v>
      </c>
      <c r="Q28" s="1438" t="n">
        <v>1</v>
      </c>
      <c r="R28" s="1438" t="n">
        <v>0</v>
      </c>
      <c r="S28" s="1303" t="n">
        <v>0</v>
      </c>
      <c r="T28" s="1438">
        <f>IF(I28="","",ROUND(IF(OR(I28="m²",I28="m2"),K28*IF(L28=0,1,L28)*IF(O28=0,1,O28)*IF(P28=0,1,P28)*Q28-R28,IF(OR(I28="m³",I28="m3"),K28*L28*M28*IF(O28=0,1,O28)*IF(P28=0,1,P28)*Q28-R28,IF(OR(I28="ml",I28="ML"),K28*IF(O28=0,1,O28)*IF(P28=0,1,P28)*Q28-R28,IF(OR(I28="und",I28="UND"),IF(O28=0,1,O28)*IF(P28=0,1,P28)*Q28-R28,IF(I28="kg",K28*IF(O28=0,1,O28)*IF(P28=0,1,P28)*Q28-R28,IF(OR(I28="gl",I28="GL",I28="gb",I28="GB",I28="Gl",I28="Gb"),IF(O28=0,1,O28)*IF(P28=0,1,P28)*Q28-R28,0)))))),3))</f>
        <v/>
      </c>
      <c r="U28" s="1438">
        <f>IF(T28="","",ROUND(T28*(1+S28),3))</f>
        <v/>
      </c>
      <c r="V28" s="283" t="inlineStr">
        <is>
          <t>m³</t>
        </is>
      </c>
      <c r="W28" s="285" t="n"/>
      <c r="X28" s="285" t="n"/>
      <c r="Y28" s="1469" t="n"/>
      <c r="Z28" s="1304" t="n"/>
      <c r="AA28" s="285" t="inlineStr">
        <is>
          <t>Pendiente</t>
        </is>
      </c>
    </row>
    <row r="29">
      <c r="A29" s="280" t="inlineStr">
        <is>
          <t>MQ-011</t>
        </is>
      </c>
      <c r="B29" s="281" t="inlineStr">
        <is>
          <t>CIMENTACIONES</t>
        </is>
      </c>
      <c r="C29" s="282" t="n"/>
      <c r="D29" s="283" t="n"/>
      <c r="E29" s="284" t="inlineStr">
        <is>
          <t>Concreto de f'c = 175 kg/cm² (2500 PSI), incluye vaciado y vibrado</t>
        </is>
      </c>
      <c r="F29" s="285" t="n"/>
      <c r="G29" s="285" t="n"/>
      <c r="H29" s="285" t="n"/>
      <c r="I29" s="283" t="inlineStr">
        <is>
          <t>m3</t>
        </is>
      </c>
      <c r="J29" s="1469" t="n"/>
      <c r="K29" s="1438" t="n"/>
      <c r="L29" s="1438" t="n"/>
      <c r="M29" s="1438" t="n"/>
      <c r="N29" s="1438" t="n"/>
      <c r="O29" s="1438" t="n"/>
      <c r="P29" s="1438" t="n"/>
      <c r="Q29" s="1438" t="n"/>
      <c r="R29" s="1438" t="n"/>
      <c r="S29" s="1303" t="n"/>
      <c r="T29" s="1438">
        <f>IF(I29="","",ROUND(IF(OR(I29="m²",I29="m2"),K29*IF(L29=0,1,L29)*IF(O29=0,1,O29)*IF(P29=0,1,P29)*Q29-R29,IF(OR(I29="m³",I29="m3"),K29*L29*M29*IF(O29=0,1,O29)*IF(P29=0,1,P29)*Q29-R29,IF(OR(I29="ml",I29="ML"),K29*IF(O29=0,1,O29)*IF(P29=0,1,P29)*Q29-R29,IF(OR(I29="und",I29="UND"),IF(O29=0,1,O29)*IF(P29=0,1,P29)*Q29-R29,IF(I29="kg",K29*IF(O29=0,1,O29)*IF(P29=0,1,P29)*Q29-R29,IF(OR(I29="gl",I29="GL",I29="gb",I29="GB",I29="Gl",I29="Gb"),IF(O29=0,1,O29)*IF(P29=0,1,P29)*Q29-R29,0)))))),3))</f>
        <v/>
      </c>
      <c r="U29" s="1438" t="n"/>
      <c r="V29" s="283" t="n"/>
      <c r="W29" s="285" t="n"/>
      <c r="X29" s="285" t="n"/>
      <c r="Y29" s="1469" t="n"/>
      <c r="Z29" s="1304" t="n"/>
    </row>
    <row r="30">
      <c r="A30" s="280" t="inlineStr">
        <is>
          <t>MQ-012</t>
        </is>
      </c>
      <c r="B30" s="281" t="inlineStr">
        <is>
          <t>CIMENTACIONES</t>
        </is>
      </c>
      <c r="C30" s="282" t="n"/>
      <c r="D30" s="283" t="n"/>
      <c r="E30" s="284" t="inlineStr">
        <is>
          <t>Concreto ciclópeo, incluye vaciado y vibrado</t>
        </is>
      </c>
      <c r="F30" s="285" t="n"/>
      <c r="G30" s="285" t="n"/>
      <c r="H30" s="285" t="n"/>
      <c r="I30" s="283" t="inlineStr">
        <is>
          <t>m3</t>
        </is>
      </c>
      <c r="J30" s="1469" t="n"/>
      <c r="K30" s="1438" t="n"/>
      <c r="L30" s="1438" t="n"/>
      <c r="M30" s="1438" t="n"/>
      <c r="N30" s="1438" t="n"/>
      <c r="O30" s="1438" t="n"/>
      <c r="P30" s="1438" t="n"/>
      <c r="Q30" s="1438" t="n"/>
      <c r="R30" s="1438" t="n"/>
      <c r="S30" s="1303" t="n"/>
      <c r="T30" s="1438">
        <f>IF(I30="","",ROUND(IF(OR(I30="m²",I30="m2"),K30*IF(L30=0,1,L30)*IF(O30=0,1,O30)*IF(P30=0,1,P30)*Q30-R30,IF(OR(I30="m³",I30="m3"),K30*L30*M30*IF(O30=0,1,O30)*IF(P30=0,1,P30)*Q30-R30,IF(OR(I30="ml",I30="ML"),K30*IF(O30=0,1,O30)*IF(P30=0,1,P30)*Q30-R30,IF(OR(I30="und",I30="UND"),IF(O30=0,1,O30)*IF(P30=0,1,P30)*Q30-R30,IF(I30="kg",K30*IF(O30=0,1,O30)*IF(P30=0,1,P30)*Q30-R30,IF(OR(I30="gl",I30="GL",I30="gb",I30="GB",I30="Gl",I30="Gb"),IF(O30=0,1,O30)*IF(P30=0,1,P30)*Q30-R30,0)))))),3))</f>
        <v/>
      </c>
      <c r="U30" s="1438" t="n"/>
      <c r="V30" s="283" t="n"/>
      <c r="W30" s="285" t="n"/>
      <c r="X30" s="285" t="n"/>
      <c r="Y30" s="1469" t="n"/>
      <c r="Z30" s="1304" t="n"/>
    </row>
    <row r="31">
      <c r="A31" s="280" t="inlineStr">
        <is>
          <t>MQ-013</t>
        </is>
      </c>
      <c r="B31" s="281" t="inlineStr">
        <is>
          <t>CIMENTACIONES</t>
        </is>
      </c>
      <c r="C31" s="282" t="n"/>
      <c r="D31" s="283" t="n"/>
      <c r="E31" s="284" t="inlineStr">
        <is>
          <t>Concreto de f'c = 210 kg/cm² (3000 PSI), incluye vaciado y vibrado — Cimentaciones</t>
        </is>
      </c>
      <c r="F31" s="285" t="n"/>
      <c r="G31" s="285" t="n"/>
      <c r="H31" s="285" t="n"/>
      <c r="I31" s="283" t="inlineStr">
        <is>
          <t>m3</t>
        </is>
      </c>
      <c r="J31" s="1469" t="n"/>
      <c r="K31" s="1438" t="n"/>
      <c r="L31" s="1438" t="n"/>
      <c r="M31" s="1438" t="n"/>
      <c r="N31" s="1438" t="n"/>
      <c r="O31" s="1438" t="n"/>
      <c r="P31" s="1438" t="n"/>
      <c r="Q31" s="1438" t="n"/>
      <c r="R31" s="1438" t="n"/>
      <c r="S31" s="1303" t="n"/>
      <c r="T31" s="1438">
        <f>IF(I31="","",ROUND(IF(OR(I31="m²",I31="m2"),K31*IF(L31=0,1,L31)*IF(O31=0,1,O31)*IF(P31=0,1,P31)*Q31-R31,IF(OR(I31="m³",I31="m3"),K31*L31*M31*IF(O31=0,1,O31)*IF(P31=0,1,P31)*Q31-R31,IF(OR(I31="ml",I31="ML"),K31*IF(O31=0,1,O31)*IF(P31=0,1,P31)*Q31-R31,IF(OR(I31="und",I31="UND"),IF(O31=0,1,O31)*IF(P31=0,1,P31)*Q31-R31,IF(I31="kg",K31*IF(O31=0,1,O31)*IF(P31=0,1,P31)*Q31-R31,IF(OR(I31="gl",I31="GL",I31="gb",I31="GB",I31="Gl",I31="Gb"),IF(O31=0,1,O31)*IF(P31=0,1,P31)*Q31-R31,0)))))),3))</f>
        <v/>
      </c>
      <c r="U31" s="1438" t="n"/>
      <c r="V31" s="283" t="n"/>
      <c r="W31" s="285" t="n"/>
      <c r="X31" s="285" t="n"/>
      <c r="Y31" s="1469" t="n"/>
      <c r="Z31" s="1304" t="n"/>
    </row>
    <row r="32">
      <c r="A32" s="280" t="inlineStr">
        <is>
          <t>MQ-014</t>
        </is>
      </c>
      <c r="B32" s="281" t="inlineStr">
        <is>
          <t>CIMENTACIONES</t>
        </is>
      </c>
      <c r="C32" s="282" t="n"/>
      <c r="D32" s="283" t="n"/>
      <c r="E32" s="284" t="inlineStr">
        <is>
          <t>Concreto de f'c = 280 kg/cm² (4000 PSI), incluye vaciado y vibrado — Cimentaciones</t>
        </is>
      </c>
      <c r="F32" s="285" t="n"/>
      <c r="G32" s="285" t="n"/>
      <c r="H32" s="285" t="n"/>
      <c r="I32" s="283" t="inlineStr">
        <is>
          <t>m3</t>
        </is>
      </c>
      <c r="J32" s="1469" t="n"/>
      <c r="K32" s="1438" t="n"/>
      <c r="L32" s="1438" t="n"/>
      <c r="M32" s="1438" t="n"/>
      <c r="N32" s="1438" t="n"/>
      <c r="O32" s="1438" t="n"/>
      <c r="P32" s="1438" t="n"/>
      <c r="Q32" s="1438" t="n"/>
      <c r="R32" s="1438" t="n"/>
      <c r="S32" s="1303" t="n"/>
      <c r="T32" s="1438">
        <f>IF(I32="","",ROUND(IF(OR(I32="m²",I32="m2"),K32*IF(L32=0,1,L32)*IF(O32=0,1,O32)*IF(P32=0,1,P32)*Q32-R32,IF(OR(I32="m³",I32="m3"),K32*L32*M32*IF(O32=0,1,O32)*IF(P32=0,1,P32)*Q32-R32,IF(OR(I32="ml",I32="ML"),K32*IF(O32=0,1,O32)*IF(P32=0,1,P32)*Q32-R32,IF(OR(I32="und",I32="UND"),IF(O32=0,1,O32)*IF(P32=0,1,P32)*Q32-R32,IF(I32="kg",K32*IF(O32=0,1,O32)*IF(P32=0,1,P32)*Q32-R32,IF(OR(I32="gl",I32="GL",I32="gb",I32="GB",I32="Gl",I32="Gb"),IF(O32=0,1,O32)*IF(P32=0,1,P32)*Q32-R32,0)))))),3))</f>
        <v/>
      </c>
      <c r="U32" s="1438" t="n"/>
      <c r="V32" s="283" t="n"/>
      <c r="W32" s="285" t="n"/>
      <c r="X32" s="285" t="n"/>
      <c r="Y32" s="1469" t="n"/>
      <c r="Z32" s="1304" t="n"/>
    </row>
    <row r="33">
      <c r="A33" s="280" t="inlineStr">
        <is>
          <t>MQ-015</t>
        </is>
      </c>
      <c r="B33" s="281" t="inlineStr">
        <is>
          <t>CIMENTACIONES</t>
        </is>
      </c>
      <c r="C33" s="282" t="n"/>
      <c r="D33" s="283" t="n"/>
      <c r="E33" s="284" t="inlineStr">
        <is>
          <t>Concreto de f'c = 350 kg/cm² (5000 PSI), incluye vaciado y vibrado — Cimentaciones</t>
        </is>
      </c>
      <c r="F33" s="285" t="n"/>
      <c r="G33" s="285" t="n"/>
      <c r="H33" s="285" t="n"/>
      <c r="I33" s="283" t="inlineStr">
        <is>
          <t>m3</t>
        </is>
      </c>
      <c r="J33" s="1469" t="n"/>
      <c r="K33" s="1438" t="n"/>
      <c r="L33" s="1438" t="n"/>
      <c r="M33" s="1438" t="n"/>
      <c r="N33" s="1438" t="n"/>
      <c r="O33" s="1438" t="n"/>
      <c r="P33" s="1438" t="n"/>
      <c r="Q33" s="1438" t="n"/>
      <c r="R33" s="1438" t="n"/>
      <c r="S33" s="1303" t="n"/>
      <c r="T33" s="1438">
        <f>IF(I33="","",ROUND(IF(OR(I33="m²",I33="m2"),K33*IF(L33=0,1,L33)*IF(O33=0,1,O33)*IF(P33=0,1,P33)*Q33-R33,IF(OR(I33="m³",I33="m3"),K33*L33*M33*IF(O33=0,1,O33)*IF(P33=0,1,P33)*Q33-R33,IF(OR(I33="ml",I33="ML"),K33*IF(O33=0,1,O33)*IF(P33=0,1,P33)*Q33-R33,IF(OR(I33="und",I33="UND"),IF(O33=0,1,O33)*IF(P33=0,1,P33)*Q33-R33,IF(I33="kg",K33*IF(O33=0,1,O33)*IF(P33=0,1,P33)*Q33-R33,IF(OR(I33="gl",I33="GL",I33="gb",I33="GB",I33="Gl",I33="Gb"),IF(O33=0,1,O33)*IF(P33=0,1,P33)*Q33-R33,0)))))),3))</f>
        <v/>
      </c>
      <c r="U33" s="1438" t="n"/>
      <c r="V33" s="283" t="n"/>
      <c r="W33" s="285" t="n"/>
      <c r="X33" s="285" t="n"/>
      <c r="Y33" s="1469" t="n"/>
      <c r="Z33" s="1304" t="n"/>
    </row>
    <row r="34">
      <c r="A34" s="280" t="inlineStr">
        <is>
          <t>MQ-016</t>
        </is>
      </c>
      <c r="B34" s="281" t="inlineStr">
        <is>
          <t>CIMENTACIONES</t>
        </is>
      </c>
      <c r="C34" s="282" t="n"/>
      <c r="D34" s="283" t="n"/>
      <c r="E34" s="284" t="inlineStr">
        <is>
          <t>Suministro, figurado y amarre de acero de refuerzo 60.000 PSI — Cimentaciones</t>
        </is>
      </c>
      <c r="F34" s="285" t="n"/>
      <c r="G34" s="285" t="n"/>
      <c r="H34" s="285" t="n"/>
      <c r="I34" s="283" t="inlineStr">
        <is>
          <t>kg</t>
        </is>
      </c>
      <c r="J34" s="1469" t="n"/>
      <c r="K34" s="1438" t="n"/>
      <c r="L34" s="1438" t="n"/>
      <c r="M34" s="1438" t="n"/>
      <c r="N34" s="1438" t="n"/>
      <c r="O34" s="1438" t="n"/>
      <c r="P34" s="1438" t="n"/>
      <c r="Q34" s="1438" t="n"/>
      <c r="R34" s="1438" t="n"/>
      <c r="S34" s="1303" t="n"/>
      <c r="T34" s="1438">
        <f>IF(I34="","",ROUND(IF(OR(I34="m²",I34="m2"),K34*IF(L34=0,1,L34)*IF(O34=0,1,O34)*IF(P34=0,1,P34)*Q34-R34,IF(OR(I34="m³",I34="m3"),K34*L34*M34*IF(O34=0,1,O34)*IF(P34=0,1,P34)*Q34-R34,IF(OR(I34="ml",I34="ML"),K34*IF(O34=0,1,O34)*IF(P34=0,1,P34)*Q34-R34,IF(OR(I34="und",I34="UND"),IF(O34=0,1,O34)*IF(P34=0,1,P34)*Q34-R34,IF(I34="kg",K34*IF(O34=0,1,O34)*IF(P34=0,1,P34)*Q34-R34,IF(OR(I34="gl",I34="GL",I34="gb",I34="GB",I34="Gl",I34="Gb"),IF(O34=0,1,O34)*IF(P34=0,1,P34)*Q34-R34,0)))))),3))</f>
        <v/>
      </c>
      <c r="U34" s="1438" t="n"/>
      <c r="V34" s="283" t="n"/>
      <c r="W34" s="285" t="n"/>
      <c r="X34" s="285" t="n"/>
      <c r="Y34" s="1469" t="n"/>
      <c r="Z34" s="1304" t="n"/>
    </row>
    <row r="35">
      <c r="A35" s="280" t="inlineStr">
        <is>
          <t>MQ-017</t>
        </is>
      </c>
      <c r="B35" s="281" t="inlineStr">
        <is>
          <t>CIMENTACIONES</t>
        </is>
      </c>
      <c r="C35" s="282" t="n"/>
      <c r="D35" s="283" t="n"/>
      <c r="E35" s="284" t="inlineStr">
        <is>
          <t>Suministro, figurado y amarre de acero de refuerzo 37.000 PSI — Cimentaciones</t>
        </is>
      </c>
      <c r="F35" s="285" t="n"/>
      <c r="G35" s="285" t="n"/>
      <c r="H35" s="285" t="n"/>
      <c r="I35" s="283" t="inlineStr">
        <is>
          <t>kg</t>
        </is>
      </c>
      <c r="J35" s="1469" t="n"/>
      <c r="K35" s="1438" t="n"/>
      <c r="L35" s="1438" t="n"/>
      <c r="M35" s="1438" t="n"/>
      <c r="N35" s="1438" t="n"/>
      <c r="O35" s="1438" t="n"/>
      <c r="P35" s="1438" t="n"/>
      <c r="Q35" s="1438" t="n"/>
      <c r="R35" s="1438" t="n"/>
      <c r="S35" s="1303" t="n"/>
      <c r="T35" s="1438">
        <f>IF(I35="","",ROUND(IF(OR(I35="m²",I35="m2"),K35*IF(L35=0,1,L35)*IF(O35=0,1,O35)*IF(P35=0,1,P35)*Q35-R35,IF(OR(I35="m³",I35="m3"),K35*L35*M35*IF(O35=0,1,O35)*IF(P35=0,1,P35)*Q35-R35,IF(OR(I35="ml",I35="ML"),K35*IF(O35=0,1,O35)*IF(P35=0,1,P35)*Q35-R35,IF(OR(I35="und",I35="UND"),IF(O35=0,1,O35)*IF(P35=0,1,P35)*Q35-R35,IF(I35="kg",K35*IF(O35=0,1,O35)*IF(P35=0,1,P35)*Q35-R35,IF(OR(I35="gl",I35="GL",I35="gb",I35="GB",I35="Gl",I35="Gb"),IF(O35=0,1,O35)*IF(P35=0,1,P35)*Q35-R35,0)))))),3))</f>
        <v/>
      </c>
      <c r="U35" s="1438" t="n"/>
      <c r="V35" s="283" t="n"/>
      <c r="W35" s="285" t="n"/>
      <c r="X35" s="285" t="n"/>
      <c r="Y35" s="1469" t="n"/>
      <c r="Z35" s="1304" t="n"/>
    </row>
    <row r="36" ht="15" customFormat="1" customHeight="1" s="685">
      <c r="A36" s="280" t="inlineStr">
        <is>
          <t>MQ-027</t>
        </is>
      </c>
      <c r="B36" s="281" t="inlineStr">
        <is>
          <t>CIMENTACIONES</t>
        </is>
      </c>
      <c r="C36" s="282" t="inlineStr">
        <is>
          <t>Formaleta</t>
        </is>
      </c>
      <c r="D36" s="283" t="inlineStr">
        <is>
          <t>03.03.01</t>
        </is>
      </c>
      <c r="E36" s="284" t="inlineStr">
        <is>
          <t>Formaleta para elementos de cimentación</t>
        </is>
      </c>
      <c r="F36" s="285" t="n"/>
      <c r="G36" s="285" t="n"/>
      <c r="H36" s="285" t="n"/>
      <c r="I36" s="283" t="inlineStr">
        <is>
          <t>m²</t>
        </is>
      </c>
      <c r="J36" s="1469" t="n"/>
      <c r="K36" s="1438" t="n">
        <v>0</v>
      </c>
      <c r="L36" s="1438" t="n">
        <v>0</v>
      </c>
      <c r="M36" s="1438" t="n">
        <v>0</v>
      </c>
      <c r="N36" s="1438" t="n">
        <v>0</v>
      </c>
      <c r="O36" s="1438" t="n">
        <v>1</v>
      </c>
      <c r="P36" s="1438" t="n">
        <v>1</v>
      </c>
      <c r="Q36" s="1438" t="n">
        <v>1</v>
      </c>
      <c r="R36" s="1438" t="n">
        <v>0</v>
      </c>
      <c r="S36" s="1303" t="n">
        <v>0</v>
      </c>
      <c r="T36" s="1438">
        <f>IF(I36="","",ROUND(IF(OR(I36="m²",I36="m2"),K36*IF(L36=0,1,L36)*IF(O36=0,1,O36)*IF(P36=0,1,P36)*Q36-R36,IF(OR(I36="m³",I36="m3"),K36*L36*M36*IF(O36=0,1,O36)*IF(P36=0,1,P36)*Q36-R36,IF(OR(I36="ml",I36="ML"),K36*IF(O36=0,1,O36)*IF(P36=0,1,P36)*Q36-R36,IF(OR(I36="und",I36="UND"),IF(O36=0,1,O36)*IF(P36=0,1,P36)*Q36-R36,IF(I36="kg",K36*IF(O36=0,1,O36)*IF(P36=0,1,P36)*Q36-R36,IF(OR(I36="gl",I36="GL",I36="gb",I36="GB",I36="Gl",I36="Gb"),IF(O36=0,1,O36)*IF(P36=0,1,P36)*Q36-R36,0)))))),3))</f>
        <v/>
      </c>
      <c r="U36" s="1438">
        <f>IF(T36="","",ROUND(T36*(1+S36),3))</f>
        <v/>
      </c>
      <c r="V36" s="283" t="inlineStr">
        <is>
          <t>m²</t>
        </is>
      </c>
      <c r="W36" s="285" t="n"/>
      <c r="X36" s="285" t="n"/>
      <c r="Y36" s="1469" t="n"/>
      <c r="Z36" s="1304" t="n"/>
      <c r="AA36" s="285" t="inlineStr">
        <is>
          <t>Pendiente</t>
        </is>
      </c>
    </row>
    <row r="37">
      <c r="A37" s="280" t="inlineStr">
        <is>
          <t>MQ-018</t>
        </is>
      </c>
      <c r="B37" s="281" t="inlineStr">
        <is>
          <t>ESTRUCTURA</t>
        </is>
      </c>
      <c r="C37" s="282" t="n"/>
      <c r="D37" s="283" t="n"/>
      <c r="E37" s="284" t="inlineStr">
        <is>
          <t>Concreto de f'c = 210 kg/cm² (3000 PSI), incluye vaciado y vibrado — Estructura</t>
        </is>
      </c>
      <c r="F37" s="285" t="n"/>
      <c r="G37" s="285" t="n"/>
      <c r="H37" s="285" t="n"/>
      <c r="I37" s="283" t="inlineStr">
        <is>
          <t>m3</t>
        </is>
      </c>
      <c r="J37" s="1469" t="n"/>
      <c r="K37" s="1438" t="n"/>
      <c r="L37" s="1438" t="n"/>
      <c r="M37" s="1438" t="n"/>
      <c r="N37" s="1438" t="n"/>
      <c r="O37" s="1438" t="n"/>
      <c r="P37" s="1438" t="n"/>
      <c r="Q37" s="1438" t="n"/>
      <c r="R37" s="1438" t="n"/>
      <c r="S37" s="1303" t="n"/>
      <c r="T37" s="1438">
        <f>IF(I37="","",ROUND(IF(OR(I37="m²",I37="m2"),K37*IF(L37=0,1,L37)*IF(O37=0,1,O37)*IF(P37=0,1,P37)*Q37-R37,IF(OR(I37="m³",I37="m3"),K37*L37*M37*IF(O37=0,1,O37)*IF(P37=0,1,P37)*Q37-R37,IF(OR(I37="ml",I37="ML"),K37*IF(O37=0,1,O37)*IF(P37=0,1,P37)*Q37-R37,IF(OR(I37="und",I37="UND"),IF(O37=0,1,O37)*IF(P37=0,1,P37)*Q37-R37,IF(I37="kg",K37*IF(O37=0,1,O37)*IF(P37=0,1,P37)*Q37-R37,IF(OR(I37="gl",I37="GL",I37="gb",I37="GB",I37="Gl",I37="Gb"),IF(O37=0,1,O37)*IF(P37=0,1,P37)*Q37-R37,0)))))),3))</f>
        <v/>
      </c>
      <c r="U37" s="1438" t="n"/>
      <c r="V37" s="283" t="n"/>
      <c r="W37" s="285" t="n"/>
      <c r="X37" s="285" t="n"/>
      <c r="Y37" s="1469" t="n"/>
      <c r="Z37" s="1304" t="n"/>
    </row>
    <row r="38">
      <c r="A38" s="280" t="inlineStr">
        <is>
          <t>MQ-019</t>
        </is>
      </c>
      <c r="B38" s="281" t="inlineStr">
        <is>
          <t>ESTRUCTURA</t>
        </is>
      </c>
      <c r="C38" s="282" t="n"/>
      <c r="D38" s="283" t="n"/>
      <c r="E38" s="284" t="inlineStr">
        <is>
          <t>Concreto de f'c = 280 kg/cm² (4000 PSI), incluye vaciado y vibrado — Estructura</t>
        </is>
      </c>
      <c r="F38" s="285" t="n"/>
      <c r="G38" s="285" t="n"/>
      <c r="H38" s="285" t="n"/>
      <c r="I38" s="283" t="inlineStr">
        <is>
          <t>m3</t>
        </is>
      </c>
      <c r="J38" s="1469" t="n"/>
      <c r="K38" s="1438" t="n"/>
      <c r="L38" s="1438" t="n"/>
      <c r="M38" s="1438" t="n"/>
      <c r="N38" s="1438" t="n"/>
      <c r="O38" s="1438" t="n"/>
      <c r="P38" s="1438" t="n"/>
      <c r="Q38" s="1438" t="n"/>
      <c r="R38" s="1438" t="n"/>
      <c r="S38" s="1303" t="n"/>
      <c r="T38" s="1438">
        <f>IF(I38="","",ROUND(IF(OR(I38="m²",I38="m2"),K38*IF(L38=0,1,L38)*IF(O38=0,1,O38)*IF(P38=0,1,P38)*Q38-R38,IF(OR(I38="m³",I38="m3"),K38*L38*M38*IF(O38=0,1,O38)*IF(P38=0,1,P38)*Q38-R38,IF(OR(I38="ml",I38="ML"),K38*IF(O38=0,1,O38)*IF(P38=0,1,P38)*Q38-R38,IF(OR(I38="und",I38="UND"),IF(O38=0,1,O38)*IF(P38=0,1,P38)*Q38-R38,IF(I38="kg",K38*IF(O38=0,1,O38)*IF(P38=0,1,P38)*Q38-R38,IF(OR(I38="gl",I38="GL",I38="gb",I38="GB",I38="Gl",I38="Gb"),IF(O38=0,1,O38)*IF(P38=0,1,P38)*Q38-R38,0)))))),3))</f>
        <v/>
      </c>
      <c r="U38" s="1438" t="n"/>
      <c r="V38" s="283" t="n"/>
      <c r="W38" s="285" t="n"/>
      <c r="X38" s="285" t="n"/>
      <c r="Y38" s="1469" t="n"/>
      <c r="Z38" s="1304" t="n"/>
    </row>
    <row r="39">
      <c r="A39" s="280" t="inlineStr">
        <is>
          <t>MQ-020</t>
        </is>
      </c>
      <c r="B39" s="281" t="inlineStr">
        <is>
          <t>ESTRUCTURA</t>
        </is>
      </c>
      <c r="C39" s="282" t="n"/>
      <c r="D39" s="283" t="n"/>
      <c r="E39" s="284" t="inlineStr">
        <is>
          <t>Concreto de f'c = 350 kg/cm² (5000 PSI), incluye vaciado y vibrado — Estructura</t>
        </is>
      </c>
      <c r="F39" s="285" t="n"/>
      <c r="G39" s="285" t="n"/>
      <c r="H39" s="285" t="n"/>
      <c r="I39" s="283" t="inlineStr">
        <is>
          <t>m3</t>
        </is>
      </c>
      <c r="J39" s="1469" t="n"/>
      <c r="K39" s="1438" t="n"/>
      <c r="L39" s="1438" t="n"/>
      <c r="M39" s="1438" t="n"/>
      <c r="N39" s="1438" t="n"/>
      <c r="O39" s="1438" t="n"/>
      <c r="P39" s="1438" t="n"/>
      <c r="Q39" s="1438" t="n"/>
      <c r="R39" s="1438" t="n"/>
      <c r="S39" s="1303" t="n"/>
      <c r="T39" s="1438">
        <f>IF(I39="","",ROUND(IF(OR(I39="m²",I39="m2"),K39*IF(L39=0,1,L39)*IF(O39=0,1,O39)*IF(P39=0,1,P39)*Q39-R39,IF(OR(I39="m³",I39="m3"),K39*L39*M39*IF(O39=0,1,O39)*IF(P39=0,1,P39)*Q39-R39,IF(OR(I39="ml",I39="ML"),K39*IF(O39=0,1,O39)*IF(P39=0,1,P39)*Q39-R39,IF(OR(I39="und",I39="UND"),IF(O39=0,1,O39)*IF(P39=0,1,P39)*Q39-R39,IF(I39="kg",K39*IF(O39=0,1,O39)*IF(P39=0,1,P39)*Q39-R39,IF(OR(I39="gl",I39="GL",I39="gb",I39="GB",I39="Gl",I39="Gb"),IF(O39=0,1,O39)*IF(P39=0,1,P39)*Q39-R39,0)))))),3))</f>
        <v/>
      </c>
      <c r="U39" s="1438" t="n"/>
      <c r="V39" s="283" t="n"/>
      <c r="W39" s="285" t="n"/>
      <c r="X39" s="285" t="n"/>
      <c r="Y39" s="1469" t="n"/>
      <c r="Z39" s="1304" t="n"/>
    </row>
    <row r="40">
      <c r="A40" s="280" t="inlineStr">
        <is>
          <t>MQ-021</t>
        </is>
      </c>
      <c r="B40" s="281" t="inlineStr">
        <is>
          <t>ESTRUCTURA</t>
        </is>
      </c>
      <c r="C40" s="282" t="n"/>
      <c r="D40" s="283" t="n"/>
      <c r="E40" s="284" t="inlineStr">
        <is>
          <t>Concreto de f'c = 420 kg/cm² (6000 PSI), incluye vaciado y vibrado</t>
        </is>
      </c>
      <c r="F40" s="285" t="n"/>
      <c r="G40" s="285" t="n"/>
      <c r="H40" s="285" t="n"/>
      <c r="I40" s="283" t="inlineStr">
        <is>
          <t>m3</t>
        </is>
      </c>
      <c r="J40" s="1469" t="n"/>
      <c r="K40" s="1438" t="n"/>
      <c r="L40" s="1438" t="n"/>
      <c r="M40" s="1438" t="n"/>
      <c r="N40" s="1438" t="n"/>
      <c r="O40" s="1438" t="n"/>
      <c r="P40" s="1438" t="n"/>
      <c r="Q40" s="1438" t="n"/>
      <c r="R40" s="1438" t="n"/>
      <c r="S40" s="1303" t="n"/>
      <c r="T40" s="1438">
        <f>IF(I40="","",ROUND(IF(OR(I40="m²",I40="m2"),K40*IF(L40=0,1,L40)*IF(O40=0,1,O40)*IF(P40=0,1,P40)*Q40-R40,IF(OR(I40="m³",I40="m3"),K40*L40*M40*IF(O40=0,1,O40)*IF(P40=0,1,P40)*Q40-R40,IF(OR(I40="ml",I40="ML"),K40*IF(O40=0,1,O40)*IF(P40=0,1,P40)*Q40-R40,IF(OR(I40="und",I40="UND"),IF(O40=0,1,O40)*IF(P40=0,1,P40)*Q40-R40,IF(I40="kg",K40*IF(O40=0,1,O40)*IF(P40=0,1,P40)*Q40-R40,IF(OR(I40="gl",I40="GL",I40="gb",I40="GB",I40="Gl",I40="Gb"),IF(O40=0,1,O40)*IF(P40=0,1,P40)*Q40-R40,0)))))),3))</f>
        <v/>
      </c>
      <c r="U40" s="1438" t="n"/>
      <c r="V40" s="283" t="n"/>
      <c r="W40" s="285" t="n"/>
      <c r="X40" s="285" t="n"/>
      <c r="Y40" s="1469" t="n"/>
      <c r="Z40" s="1304" t="n"/>
    </row>
    <row r="41">
      <c r="A41" s="280" t="inlineStr">
        <is>
          <t>MQ-022</t>
        </is>
      </c>
      <c r="B41" s="281" t="inlineStr">
        <is>
          <t>ESTRUCTURA</t>
        </is>
      </c>
      <c r="C41" s="282" t="n"/>
      <c r="D41" s="283" t="n"/>
      <c r="E41" s="284" t="inlineStr">
        <is>
          <t>Suministro, figurado y amarre de acero de refuerzo 60.000 PSI — Estructura</t>
        </is>
      </c>
      <c r="F41" s="285" t="n"/>
      <c r="G41" s="285" t="n"/>
      <c r="H41" s="285" t="n"/>
      <c r="I41" s="283" t="inlineStr">
        <is>
          <t>kg</t>
        </is>
      </c>
      <c r="J41" s="1469" t="n"/>
      <c r="K41" s="1438" t="n"/>
      <c r="L41" s="1438" t="n"/>
      <c r="M41" s="1438" t="n"/>
      <c r="N41" s="1438" t="n"/>
      <c r="O41" s="1438" t="n"/>
      <c r="P41" s="1438" t="n"/>
      <c r="Q41" s="1438" t="n"/>
      <c r="R41" s="1438" t="n"/>
      <c r="S41" s="1303" t="n"/>
      <c r="T41" s="1438">
        <f>IF(I41="","",ROUND(IF(OR(I41="m²",I41="m2"),K41*IF(L41=0,1,L41)*IF(O41=0,1,O41)*IF(P41=0,1,P41)*Q41-R41,IF(OR(I41="m³",I41="m3"),K41*L41*M41*IF(O41=0,1,O41)*IF(P41=0,1,P41)*Q41-R41,IF(OR(I41="ml",I41="ML"),K41*IF(O41=0,1,O41)*IF(P41=0,1,P41)*Q41-R41,IF(OR(I41="und",I41="UND"),IF(O41=0,1,O41)*IF(P41=0,1,P41)*Q41-R41,IF(I41="kg",K41*IF(O41=0,1,O41)*IF(P41=0,1,P41)*Q41-R41,IF(OR(I41="gl",I41="GL",I41="gb",I41="GB",I41="Gl",I41="Gb"),IF(O41=0,1,O41)*IF(P41=0,1,P41)*Q41-R41,0)))))),3))</f>
        <v/>
      </c>
      <c r="U41" s="1438" t="n"/>
      <c r="V41" s="283" t="n"/>
      <c r="W41" s="285" t="n"/>
      <c r="X41" s="285" t="n"/>
      <c r="Y41" s="1469" t="n"/>
      <c r="Z41" s="1304" t="n"/>
    </row>
    <row r="42">
      <c r="A42" s="280" t="inlineStr">
        <is>
          <t>MQ-023</t>
        </is>
      </c>
      <c r="B42" s="281" t="inlineStr">
        <is>
          <t>ESTRUCTURA</t>
        </is>
      </c>
      <c r="C42" s="282" t="n"/>
      <c r="D42" s="283" t="n"/>
      <c r="E42" s="284" t="inlineStr">
        <is>
          <t>Suministro, figurado y amarre de acero de refuerzo 37.000 PSI — Estructura</t>
        </is>
      </c>
      <c r="F42" s="285" t="n"/>
      <c r="G42" s="285" t="n"/>
      <c r="H42" s="285" t="n"/>
      <c r="I42" s="283" t="inlineStr">
        <is>
          <t>kg</t>
        </is>
      </c>
      <c r="J42" s="1469" t="n"/>
      <c r="K42" s="1438" t="n"/>
      <c r="L42" s="1438" t="n"/>
      <c r="M42" s="1438" t="n"/>
      <c r="N42" s="1438" t="n"/>
      <c r="O42" s="1438" t="n"/>
      <c r="P42" s="1438" t="n"/>
      <c r="Q42" s="1438" t="n"/>
      <c r="R42" s="1438" t="n"/>
      <c r="S42" s="1303" t="n"/>
      <c r="T42" s="1438">
        <f>IF(I42="","",ROUND(IF(OR(I42="m²",I42="m2"),K42*IF(L42=0,1,L42)*IF(O42=0,1,O42)*IF(P42=0,1,P42)*Q42-R42,IF(OR(I42="m³",I42="m3"),K42*L42*M42*IF(O42=0,1,O42)*IF(P42=0,1,P42)*Q42-R42,IF(OR(I42="ml",I42="ML"),K42*IF(O42=0,1,O42)*IF(P42=0,1,P42)*Q42-R42,IF(OR(I42="und",I42="UND"),IF(O42=0,1,O42)*IF(P42=0,1,P42)*Q42-R42,IF(I42="kg",K42*IF(O42=0,1,O42)*IF(P42=0,1,P42)*Q42-R42,IF(OR(I42="gl",I42="GL",I42="gb",I42="GB",I42="Gl",I42="Gb"),IF(O42=0,1,O42)*IF(P42=0,1,P42)*Q42-R42,0)))))),3))</f>
        <v/>
      </c>
      <c r="U42" s="1438" t="n"/>
      <c r="V42" s="283" t="n"/>
      <c r="W42" s="285" t="n"/>
      <c r="X42" s="285" t="n"/>
      <c r="Y42" s="1469" t="n"/>
      <c r="Z42" s="1304" t="n"/>
    </row>
    <row r="43" ht="15" customFormat="1" customHeight="1" s="685">
      <c r="A43" s="280" t="inlineStr">
        <is>
          <t>MQ-036</t>
        </is>
      </c>
      <c r="B43" s="281" t="inlineStr">
        <is>
          <t>ESTRUCTURA</t>
        </is>
      </c>
      <c r="C43" s="282" t="inlineStr">
        <is>
          <t>Formaleta</t>
        </is>
      </c>
      <c r="D43" s="283" t="inlineStr">
        <is>
          <t>04.03.01</t>
        </is>
      </c>
      <c r="E43" s="284" t="inlineStr">
        <is>
          <t>Formaleta de columnas</t>
        </is>
      </c>
      <c r="F43" s="285" t="n"/>
      <c r="G43" s="285" t="n"/>
      <c r="H43" s="285" t="n"/>
      <c r="I43" s="283" t="inlineStr">
        <is>
          <t>m²</t>
        </is>
      </c>
      <c r="J43" s="1469" t="n"/>
      <c r="K43" s="1438" t="n">
        <v>0</v>
      </c>
      <c r="L43" s="1438" t="n">
        <v>0</v>
      </c>
      <c r="M43" s="1438" t="n">
        <v>0</v>
      </c>
      <c r="N43" s="1438" t="n">
        <v>0</v>
      </c>
      <c r="O43" s="1438" t="n">
        <v>1</v>
      </c>
      <c r="P43" s="1438" t="n">
        <v>1</v>
      </c>
      <c r="Q43" s="1438" t="n">
        <v>1</v>
      </c>
      <c r="R43" s="1438" t="n">
        <v>0</v>
      </c>
      <c r="S43" s="1303" t="n">
        <v>0</v>
      </c>
      <c r="T43" s="1438">
        <f>IF(I43="","",ROUND(IF(OR(I43="m²",I43="m2"),K43*IF(L43=0,1,L43)*IF(O43=0,1,O43)*IF(P43=0,1,P43)*Q43-R43,IF(OR(I43="m³",I43="m3"),K43*L43*M43*IF(O43=0,1,O43)*IF(P43=0,1,P43)*Q43-R43,IF(OR(I43="ml",I43="ML"),K43*IF(O43=0,1,O43)*IF(P43=0,1,P43)*Q43-R43,IF(OR(I43="und",I43="UND"),IF(O43=0,1,O43)*IF(P43=0,1,P43)*Q43-R43,IF(I43="kg",K43*IF(O43=0,1,O43)*IF(P43=0,1,P43)*Q43-R43,IF(OR(I43="gl",I43="GL",I43="gb",I43="GB",I43="Gl",I43="Gb"),IF(O43=0,1,O43)*IF(P43=0,1,P43)*Q43-R43,0)))))),3))</f>
        <v/>
      </c>
      <c r="U43" s="1438">
        <f>IF(T43="","",ROUND(T43*(1+S43),3))</f>
        <v/>
      </c>
      <c r="V43" s="283" t="inlineStr">
        <is>
          <t>m²</t>
        </is>
      </c>
      <c r="W43" s="285" t="n"/>
      <c r="X43" s="285" t="n"/>
      <c r="Y43" s="1469" t="n"/>
      <c r="Z43" s="1304" t="n"/>
      <c r="AA43" s="285" t="inlineStr">
        <is>
          <t>Pendiente</t>
        </is>
      </c>
    </row>
    <row r="44" ht="15" customFormat="1" customHeight="1" s="685">
      <c r="A44" s="280" t="inlineStr">
        <is>
          <t>MQ-037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04.03.02</t>
        </is>
      </c>
      <c r="E44" s="284" t="inlineStr">
        <is>
          <t>Formaleta de vigas</t>
        </is>
      </c>
      <c r="F44" s="285" t="n"/>
      <c r="G44" s="285" t="n"/>
      <c r="H44" s="285" t="n"/>
      <c r="I44" s="283" t="inlineStr">
        <is>
          <t>m²</t>
        </is>
      </c>
      <c r="J44" s="1469" t="n"/>
      <c r="K44" s="1438" t="n">
        <v>0</v>
      </c>
      <c r="L44" s="1438" t="n">
        <v>0</v>
      </c>
      <c r="M44" s="1438" t="n">
        <v>0</v>
      </c>
      <c r="N44" s="1438" t="n">
        <v>0</v>
      </c>
      <c r="O44" s="1438" t="n">
        <v>1</v>
      </c>
      <c r="P44" s="1438" t="n">
        <v>1</v>
      </c>
      <c r="Q44" s="1438" t="n">
        <v>1</v>
      </c>
      <c r="R44" s="1438" t="n">
        <v>0</v>
      </c>
      <c r="S44" s="1303" t="n">
        <v>0</v>
      </c>
      <c r="T44" s="1438">
        <f>IF(I44="","",ROUND(IF(OR(I44="m²",I44="m2"),K44*IF(L44=0,1,L44)*IF(O44=0,1,O44)*IF(P44=0,1,P44)*Q44-R44,IF(OR(I44="m³",I44="m3"),K44*L44*M44*IF(O44=0,1,O44)*IF(P44=0,1,P44)*Q44-R44,IF(OR(I44="ml",I44="ML"),K44*IF(O44=0,1,O44)*IF(P44=0,1,P44)*Q44-R44,IF(OR(I44="und",I44="UND"),IF(O44=0,1,O44)*IF(P44=0,1,P44)*Q44-R44,IF(I44="kg",K44*IF(O44=0,1,O44)*IF(P44=0,1,P44)*Q44-R44,IF(OR(I44="gl",I44="GL",I44="gb",I44="GB",I44="Gl",I44="Gb"),IF(O44=0,1,O44)*IF(P44=0,1,P44)*Q44-R44,0)))))),3))</f>
        <v/>
      </c>
      <c r="U44" s="1438">
        <f>IF(T44="","",ROUND(T44*(1+S44),3))</f>
        <v/>
      </c>
      <c r="V44" s="283" t="inlineStr">
        <is>
          <t>m²</t>
        </is>
      </c>
      <c r="W44" s="285" t="n"/>
      <c r="X44" s="285" t="n"/>
      <c r="Y44" s="1469" t="n"/>
      <c r="Z44" s="1304" t="n"/>
      <c r="AA44" s="285" t="inlineStr">
        <is>
          <t>Pendiente</t>
        </is>
      </c>
    </row>
    <row r="45" ht="15" customFormat="1" customHeight="1" s="685">
      <c r="A45" s="280" t="inlineStr">
        <is>
          <t>MQ-038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04.03.03</t>
        </is>
      </c>
      <c r="E45" s="284" t="inlineStr">
        <is>
          <t>Formaleta de losas</t>
        </is>
      </c>
      <c r="F45" s="285" t="n"/>
      <c r="G45" s="285" t="n"/>
      <c r="H45" s="285" t="n"/>
      <c r="I45" s="283" t="inlineStr">
        <is>
          <t>m²</t>
        </is>
      </c>
      <c r="J45" s="1469" t="n"/>
      <c r="K45" s="1438" t="n">
        <v>0</v>
      </c>
      <c r="L45" s="1438" t="n">
        <v>0</v>
      </c>
      <c r="M45" s="1438" t="n">
        <v>0</v>
      </c>
      <c r="N45" s="1438" t="n">
        <v>0</v>
      </c>
      <c r="O45" s="1438" t="n">
        <v>1</v>
      </c>
      <c r="P45" s="1438" t="n">
        <v>1</v>
      </c>
      <c r="Q45" s="1438" t="n">
        <v>1</v>
      </c>
      <c r="R45" s="1438" t="n">
        <v>0</v>
      </c>
      <c r="S45" s="1303" t="n">
        <v>0</v>
      </c>
      <c r="T45" s="1438">
        <f>IF(I45="","",ROUND(IF(OR(I45="m²",I45="m2"),K45*IF(L45=0,1,L45)*IF(O45=0,1,O45)*IF(P45=0,1,P45)*Q45-R45,IF(OR(I45="m³",I45="m3"),K45*L45*M45*IF(O45=0,1,O45)*IF(P45=0,1,P45)*Q45-R45,IF(OR(I45="ml",I45="ML"),K45*IF(O45=0,1,O45)*IF(P45=0,1,P45)*Q45-R45,IF(OR(I45="und",I45="UND"),IF(O45=0,1,O45)*IF(P45=0,1,P45)*Q45-R45,IF(I45="kg",K45*IF(O45=0,1,O45)*IF(P45=0,1,P45)*Q45-R45,IF(OR(I45="gl",I45="GL",I45="gb",I45="GB",I45="Gl",I45="Gb"),IF(O45=0,1,O45)*IF(P45=0,1,P45)*Q45-R45,0)))))),3))</f>
        <v/>
      </c>
      <c r="U45" s="1438">
        <f>IF(T45="","",ROUND(T45*(1+S45),3))</f>
        <v/>
      </c>
      <c r="V45" s="283" t="inlineStr">
        <is>
          <t>m²</t>
        </is>
      </c>
      <c r="W45" s="285" t="n"/>
      <c r="X45" s="285" t="n"/>
      <c r="Y45" s="1469" t="n"/>
      <c r="Z45" s="1304" t="n"/>
      <c r="AA45" s="285" t="inlineStr">
        <is>
          <t>Pendiente</t>
        </is>
      </c>
    </row>
    <row r="46" ht="15" customFormat="1" customHeight="1" s="685">
      <c r="A46" s="280" t="inlineStr">
        <is>
          <t>MQ-039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04.03.04</t>
        </is>
      </c>
      <c r="E46" s="284" t="inlineStr">
        <is>
          <t>Formaleta de escaleras</t>
        </is>
      </c>
      <c r="F46" s="285" t="n"/>
      <c r="G46" s="285" t="n"/>
      <c r="H46" s="285" t="n"/>
      <c r="I46" s="283" t="inlineStr">
        <is>
          <t>m²</t>
        </is>
      </c>
      <c r="J46" s="1469" t="n"/>
      <c r="K46" s="1438" t="n">
        <v>0</v>
      </c>
      <c r="L46" s="1438" t="n">
        <v>0</v>
      </c>
      <c r="M46" s="1438" t="n">
        <v>0</v>
      </c>
      <c r="N46" s="1438" t="n">
        <v>0</v>
      </c>
      <c r="O46" s="1438" t="n">
        <v>1</v>
      </c>
      <c r="P46" s="1438" t="n">
        <v>1</v>
      </c>
      <c r="Q46" s="1438" t="n">
        <v>1</v>
      </c>
      <c r="R46" s="1438" t="n">
        <v>0</v>
      </c>
      <c r="S46" s="1303" t="n">
        <v>0</v>
      </c>
      <c r="T46" s="1438">
        <f>IF(I46="","",ROUND(IF(OR(I46="m²",I46="m2"),K46*IF(L46=0,1,L46)*IF(O46=0,1,O46)*IF(P46=0,1,P46)*Q46-R46,IF(OR(I46="m³",I46="m3"),K46*L46*M46*IF(O46=0,1,O46)*IF(P46=0,1,P46)*Q46-R46,IF(OR(I46="ml",I46="ML"),K46*IF(O46=0,1,O46)*IF(P46=0,1,P46)*Q46-R46,IF(OR(I46="und",I46="UND"),IF(O46=0,1,O46)*IF(P46=0,1,P46)*Q46-R46,IF(I46="kg",K46*IF(O46=0,1,O46)*IF(P46=0,1,P46)*Q46-R46,IF(OR(I46="gl",I46="GL",I46="gb",I46="GB",I46="Gl",I46="Gb"),IF(O46=0,1,O46)*IF(P46=0,1,P46)*Q46-R46,0)))))),3))</f>
        <v/>
      </c>
      <c r="U46" s="1438">
        <f>IF(T46="","",ROUND(T46*(1+S46),3))</f>
        <v/>
      </c>
      <c r="V46" s="283" t="inlineStr">
        <is>
          <t>m²</t>
        </is>
      </c>
      <c r="W46" s="285" t="n"/>
      <c r="X46" s="285" t="n"/>
      <c r="Y46" s="1469" t="n"/>
      <c r="Z46" s="1304" t="n"/>
      <c r="AA46" s="285" t="inlineStr">
        <is>
          <t>Pendiente</t>
        </is>
      </c>
    </row>
    <row r="47" ht="15" customFormat="1" customHeight="1" s="685">
      <c r="A47" s="280" t="inlineStr">
        <is>
          <t>MQ-040</t>
        </is>
      </c>
      <c r="B47" s="281" t="inlineStr">
        <is>
          <t>ESTRUCTURA</t>
        </is>
      </c>
      <c r="C47" s="282" t="inlineStr">
        <is>
          <t>Estructura metálica</t>
        </is>
      </c>
      <c r="D47" s="283" t="inlineStr">
        <is>
          <t>04.04.01</t>
        </is>
      </c>
      <c r="E47" s="284" t="inlineStr">
        <is>
          <t>Suministro y montaje de perfiles metálicos</t>
        </is>
      </c>
      <c r="F47" s="285" t="n"/>
      <c r="G47" s="285" t="n"/>
      <c r="H47" s="285" t="n"/>
      <c r="I47" s="283" t="inlineStr">
        <is>
          <t>kg</t>
        </is>
      </c>
      <c r="J47" s="1469" t="n"/>
      <c r="K47" s="1438" t="n">
        <v>0</v>
      </c>
      <c r="L47" s="1438" t="n">
        <v>0</v>
      </c>
      <c r="M47" s="1438" t="n">
        <v>0</v>
      </c>
      <c r="N47" s="1438" t="n">
        <v>0</v>
      </c>
      <c r="O47" s="1438" t="n">
        <v>1</v>
      </c>
      <c r="P47" s="1438" t="n">
        <v>1</v>
      </c>
      <c r="Q47" s="1438" t="n">
        <v>1</v>
      </c>
      <c r="R47" s="1438" t="n">
        <v>0</v>
      </c>
      <c r="S47" s="1303" t="n">
        <v>0</v>
      </c>
      <c r="T47" s="1438">
        <f>IF(I47="","",ROUND(IF(OR(I47="m²",I47="m2"),K47*IF(L47=0,1,L47)*IF(O47=0,1,O47)*IF(P47=0,1,P47)*Q47-R47,IF(OR(I47="m³",I47="m3"),K47*L47*M47*IF(O47=0,1,O47)*IF(P47=0,1,P47)*Q47-R47,IF(OR(I47="ml",I47="ML"),K47*IF(O47=0,1,O47)*IF(P47=0,1,P47)*Q47-R47,IF(OR(I47="und",I47="UND"),IF(O47=0,1,O47)*IF(P47=0,1,P47)*Q47-R47,IF(I47="kg",K47*IF(O47=0,1,O47)*IF(P47=0,1,P47)*Q47-R47,IF(OR(I47="gl",I47="GL",I47="gb",I47="GB",I47="Gl",I47="Gb"),IF(O47=0,1,O47)*IF(P47=0,1,P47)*Q47-R47,0)))))),3))</f>
        <v/>
      </c>
      <c r="U47" s="1438">
        <f>IF(T47="","",ROUND(T47*(1+S47),3))</f>
        <v/>
      </c>
      <c r="V47" s="283" t="inlineStr">
        <is>
          <t>kg</t>
        </is>
      </c>
      <c r="W47" s="285" t="n"/>
      <c r="X47" s="285" t="n"/>
      <c r="Y47" s="1469" t="n"/>
      <c r="Z47" s="1304" t="n"/>
      <c r="AA47" s="285" t="inlineStr">
        <is>
          <t>Pendiente</t>
        </is>
      </c>
    </row>
    <row r="48" ht="15" customFormat="1" customHeight="1" s="685">
      <c r="A48" s="280" t="inlineStr">
        <is>
          <t>MQ-041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04.04.02</t>
        </is>
      </c>
      <c r="E48" s="284" t="inlineStr">
        <is>
          <t>Placas, pernos y conexiones metálicas</t>
        </is>
      </c>
      <c r="F48" s="285" t="n"/>
      <c r="G48" s="285" t="n"/>
      <c r="H48" s="285" t="n"/>
      <c r="I48" s="283" t="inlineStr">
        <is>
          <t>kg</t>
        </is>
      </c>
      <c r="J48" s="1469" t="n"/>
      <c r="K48" s="1438" t="n">
        <v>0</v>
      </c>
      <c r="L48" s="1438" t="n">
        <v>0</v>
      </c>
      <c r="M48" s="1438" t="n">
        <v>0</v>
      </c>
      <c r="N48" s="1438" t="n">
        <v>0</v>
      </c>
      <c r="O48" s="1438" t="n">
        <v>1</v>
      </c>
      <c r="P48" s="1438" t="n">
        <v>1</v>
      </c>
      <c r="Q48" s="1438" t="n">
        <v>1</v>
      </c>
      <c r="R48" s="1438" t="n">
        <v>0</v>
      </c>
      <c r="S48" s="1303" t="n">
        <v>0</v>
      </c>
      <c r="T48" s="1438">
        <f>IF(I48="","",ROUND(IF(OR(I48="m²",I48="m2"),K48*IF(L48=0,1,L48)*IF(O48=0,1,O48)*IF(P48=0,1,P48)*Q48-R48,IF(OR(I48="m³",I48="m3"),K48*L48*M48*IF(O48=0,1,O48)*IF(P48=0,1,P48)*Q48-R48,IF(OR(I48="ml",I48="ML"),K48*IF(O48=0,1,O48)*IF(P48=0,1,P48)*Q48-R48,IF(OR(I48="und",I48="UND"),IF(O48=0,1,O48)*IF(P48=0,1,P48)*Q48-R48,IF(I48="kg",K48*IF(O48=0,1,O48)*IF(P48=0,1,P48)*Q48-R48,IF(OR(I48="gl",I48="GL",I48="gb",I48="GB",I48="Gl",I48="Gb"),IF(O48=0,1,O48)*IF(P48=0,1,P48)*Q48-R48,0)))))),3))</f>
        <v/>
      </c>
      <c r="U48" s="1438">
        <f>IF(T48="","",ROUND(T48*(1+S48),3))</f>
        <v/>
      </c>
      <c r="V48" s="283" t="inlineStr">
        <is>
          <t>kg</t>
        </is>
      </c>
      <c r="W48" s="285" t="n"/>
      <c r="X48" s="285" t="n"/>
      <c r="Y48" s="1469" t="n"/>
      <c r="Z48" s="1304" t="n"/>
      <c r="AA48" s="285" t="inlineStr">
        <is>
          <t>Pendiente</t>
        </is>
      </c>
    </row>
    <row r="49" ht="15" customFormat="1" customHeight="1" s="685">
      <c r="A49" s="280" t="inlineStr">
        <is>
          <t>MQ-042</t>
        </is>
      </c>
      <c r="B49" s="281" t="inlineStr">
        <is>
          <t>MAMPOSTERÍA</t>
        </is>
      </c>
      <c r="C49" s="282" t="inlineStr">
        <is>
          <t>Muros</t>
        </is>
      </c>
      <c r="D49" s="283" t="inlineStr">
        <is>
          <t>05.01.01</t>
        </is>
      </c>
      <c r="E49" s="284" t="inlineStr">
        <is>
          <t>Mampostería en bloque de concreto</t>
        </is>
      </c>
      <c r="F49" s="285" t="n"/>
      <c r="G49" s="285" t="n"/>
      <c r="H49" s="285" t="n"/>
      <c r="I49" s="283" t="inlineStr">
        <is>
          <t>m²</t>
        </is>
      </c>
      <c r="J49" s="1469" t="n"/>
      <c r="K49" s="1438" t="n">
        <v>0</v>
      </c>
      <c r="L49" s="1438" t="n">
        <v>0</v>
      </c>
      <c r="M49" s="1438" t="n">
        <v>0</v>
      </c>
      <c r="N49" s="1438" t="n">
        <v>0</v>
      </c>
      <c r="O49" s="1438" t="n">
        <v>1</v>
      </c>
      <c r="P49" s="1438" t="n">
        <v>1</v>
      </c>
      <c r="Q49" s="1438" t="n">
        <v>1</v>
      </c>
      <c r="R49" s="1438" t="n">
        <v>0</v>
      </c>
      <c r="S49" s="1303" t="n">
        <v>0</v>
      </c>
      <c r="T49" s="1438">
        <f>IF(I49="","",ROUND(IF(OR(I49="m²",I49="m2"),K49*IF(L49=0,1,L49)*IF(O49=0,1,O49)*IF(P49=0,1,P49)*Q49-R49,IF(OR(I49="m³",I49="m3"),K49*L49*M49*IF(O49=0,1,O49)*IF(P49=0,1,P49)*Q49-R49,IF(OR(I49="ml",I49="ML"),K49*IF(O49=0,1,O49)*IF(P49=0,1,P49)*Q49-R49,IF(OR(I49="und",I49="UND"),IF(O49=0,1,O49)*IF(P49=0,1,P49)*Q49-R49,IF(I49="kg",K49*IF(O49=0,1,O49)*IF(P49=0,1,P49)*Q49-R49,IF(OR(I49="gl",I49="GL",I49="gb",I49="GB",I49="Gl",I49="Gb"),IF(O49=0,1,O49)*IF(P49=0,1,P49)*Q49-R49,0)))))),3))</f>
        <v/>
      </c>
      <c r="U49" s="1438">
        <f>IF(T49="","",ROUND(T49*(1+S49),3))</f>
        <v/>
      </c>
      <c r="V49" s="283" t="inlineStr">
        <is>
          <t>m²</t>
        </is>
      </c>
      <c r="W49" s="285" t="n"/>
      <c r="X49" s="285" t="n"/>
      <c r="Y49" s="1469" t="n"/>
      <c r="Z49" s="1304" t="n"/>
      <c r="AA49" s="285" t="inlineStr">
        <is>
          <t>Pendiente</t>
        </is>
      </c>
    </row>
    <row r="50" ht="15" customFormat="1" customHeight="1" s="685">
      <c r="A50" s="280" t="inlineStr">
        <is>
          <t>MQ-043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05.01.02</t>
        </is>
      </c>
      <c r="E50" s="284" t="inlineStr">
        <is>
          <t>Mampostería en ladrillo</t>
        </is>
      </c>
      <c r="F50" s="285" t="n"/>
      <c r="G50" s="285" t="n"/>
      <c r="H50" s="285" t="n"/>
      <c r="I50" s="283" t="inlineStr">
        <is>
          <t>m²</t>
        </is>
      </c>
      <c r="J50" s="1469" t="n"/>
      <c r="K50" s="1438" t="n">
        <v>0</v>
      </c>
      <c r="L50" s="1438" t="n">
        <v>0</v>
      </c>
      <c r="M50" s="1438" t="n">
        <v>0</v>
      </c>
      <c r="N50" s="1438" t="n">
        <v>0</v>
      </c>
      <c r="O50" s="1438" t="n">
        <v>1</v>
      </c>
      <c r="P50" s="1438" t="n">
        <v>1</v>
      </c>
      <c r="Q50" s="1438" t="n">
        <v>1</v>
      </c>
      <c r="R50" s="1438" t="n">
        <v>0</v>
      </c>
      <c r="S50" s="1303" t="n">
        <v>0</v>
      </c>
      <c r="T50" s="1438">
        <f>IF(I50="","",ROUND(IF(OR(I50="m²",I50="m2"),K50*IF(L50=0,1,L50)*IF(O50=0,1,O50)*IF(P50=0,1,P50)*Q50-R50,IF(OR(I50="m³",I50="m3"),K50*L50*M50*IF(O50=0,1,O50)*IF(P50=0,1,P50)*Q50-R50,IF(OR(I50="ml",I50="ML"),K50*IF(O50=0,1,O50)*IF(P50=0,1,P50)*Q50-R50,IF(OR(I50="und",I50="UND"),IF(O50=0,1,O50)*IF(P50=0,1,P50)*Q50-R50,IF(I50="kg",K50*IF(O50=0,1,O50)*IF(P50=0,1,P50)*Q50-R50,IF(OR(I50="gl",I50="GL",I50="gb",I50="GB",I50="Gl",I50="Gb"),IF(O50=0,1,O50)*IF(P50=0,1,P50)*Q50-R50,0)))))),3))</f>
        <v/>
      </c>
      <c r="U50" s="1438">
        <f>IF(T50="","",ROUND(T50*(1+S50),3))</f>
        <v/>
      </c>
      <c r="V50" s="283" t="inlineStr">
        <is>
          <t>m²</t>
        </is>
      </c>
      <c r="W50" s="285" t="n"/>
      <c r="X50" s="285" t="n"/>
      <c r="Y50" s="1469" t="n"/>
      <c r="Z50" s="1304" t="n"/>
      <c r="AA50" s="285" t="inlineStr">
        <is>
          <t>Pendiente</t>
        </is>
      </c>
    </row>
    <row r="51" ht="15" customFormat="1" customHeight="1" s="685">
      <c r="A51" s="280" t="inlineStr">
        <is>
          <t>MQ-044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05.01.03</t>
        </is>
      </c>
      <c r="E51" s="284" t="inlineStr">
        <is>
          <t>Mampostería estructural</t>
        </is>
      </c>
      <c r="F51" s="285" t="n"/>
      <c r="G51" s="285" t="n"/>
      <c r="H51" s="285" t="n"/>
      <c r="I51" s="283" t="inlineStr">
        <is>
          <t>m²</t>
        </is>
      </c>
      <c r="J51" s="1469" t="n"/>
      <c r="K51" s="1438" t="n">
        <v>0</v>
      </c>
      <c r="L51" s="1438" t="n">
        <v>0</v>
      </c>
      <c r="M51" s="1438" t="n">
        <v>0</v>
      </c>
      <c r="N51" s="1438" t="n">
        <v>0</v>
      </c>
      <c r="O51" s="1438" t="n">
        <v>1</v>
      </c>
      <c r="P51" s="1438" t="n">
        <v>1</v>
      </c>
      <c r="Q51" s="1438" t="n">
        <v>1</v>
      </c>
      <c r="R51" s="1438" t="n">
        <v>0</v>
      </c>
      <c r="S51" s="1303" t="n">
        <v>0</v>
      </c>
      <c r="T51" s="1438">
        <f>IF(I51="","",ROUND(IF(OR(I51="m²",I51="m2"),K51*IF(L51=0,1,L51)*IF(O51=0,1,O51)*IF(P51=0,1,P51)*Q51-R51,IF(OR(I51="m³",I51="m3"),K51*L51*M51*IF(O51=0,1,O51)*IF(P51=0,1,P51)*Q51-R51,IF(OR(I51="ml",I51="ML"),K51*IF(O51=0,1,O51)*IF(P51=0,1,P51)*Q51-R51,IF(OR(I51="und",I51="UND"),IF(O51=0,1,O51)*IF(P51=0,1,P51)*Q51-R51,IF(I51="kg",K51*IF(O51=0,1,O51)*IF(P51=0,1,P51)*Q51-R51,IF(OR(I51="gl",I51="GL",I51="gb",I51="GB",I51="Gl",I51="Gb"),IF(O51=0,1,O51)*IF(P51=0,1,P51)*Q51-R51,0)))))),3))</f>
        <v/>
      </c>
      <c r="U51" s="1438">
        <f>IF(T51="","",ROUND(T51*(1+S51),3))</f>
        <v/>
      </c>
      <c r="V51" s="283" t="inlineStr">
        <is>
          <t>m²</t>
        </is>
      </c>
      <c r="W51" s="285" t="n"/>
      <c r="X51" s="285" t="n"/>
      <c r="Y51" s="1469" t="n"/>
      <c r="Z51" s="1304" t="n"/>
      <c r="AA51" s="285" t="inlineStr">
        <is>
          <t>Pendiente</t>
        </is>
      </c>
    </row>
    <row r="52" ht="15" customFormat="1" customHeight="1" s="685">
      <c r="A52" s="280" t="inlineStr">
        <is>
          <t>MQ-045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05.01.04</t>
        </is>
      </c>
      <c r="E52" s="284" t="inlineStr">
        <is>
          <t>Muros en sistema liviano / drywall</t>
        </is>
      </c>
      <c r="F52" s="285" t="n"/>
      <c r="G52" s="285" t="n"/>
      <c r="H52" s="285" t="n"/>
      <c r="I52" s="283" t="inlineStr">
        <is>
          <t>m²</t>
        </is>
      </c>
      <c r="J52" s="1469" t="n"/>
      <c r="K52" s="1438" t="n">
        <v>0</v>
      </c>
      <c r="L52" s="1438" t="n">
        <v>0</v>
      </c>
      <c r="M52" s="1438" t="n">
        <v>0</v>
      </c>
      <c r="N52" s="1438" t="n">
        <v>0</v>
      </c>
      <c r="O52" s="1438" t="n">
        <v>1</v>
      </c>
      <c r="P52" s="1438" t="n">
        <v>1</v>
      </c>
      <c r="Q52" s="1438" t="n">
        <v>1</v>
      </c>
      <c r="R52" s="1438" t="n">
        <v>0</v>
      </c>
      <c r="S52" s="1303" t="n">
        <v>0</v>
      </c>
      <c r="T52" s="1438">
        <f>IF(I52="","",ROUND(IF(OR(I52="m²",I52="m2"),K52*IF(L52=0,1,L52)*IF(O52=0,1,O52)*IF(P52=0,1,P52)*Q52-R52,IF(OR(I52="m³",I52="m3"),K52*L52*M52*IF(O52=0,1,O52)*IF(P52=0,1,P52)*Q52-R52,IF(OR(I52="ml",I52="ML"),K52*IF(O52=0,1,O52)*IF(P52=0,1,P52)*Q52-R52,IF(OR(I52="und",I52="UND"),IF(O52=0,1,O52)*IF(P52=0,1,P52)*Q52-R52,IF(I52="kg",K52*IF(O52=0,1,O52)*IF(P52=0,1,P52)*Q52-R52,IF(OR(I52="gl",I52="GL",I52="gb",I52="GB",I52="Gl",I52="Gb"),IF(O52=0,1,O52)*IF(P52=0,1,P52)*Q52-R52,0)))))),3))</f>
        <v/>
      </c>
      <c r="U52" s="1438">
        <f>IF(T52="","",ROUND(T52*(1+S52),3))</f>
        <v/>
      </c>
      <c r="V52" s="283" t="inlineStr">
        <is>
          <t>m²</t>
        </is>
      </c>
      <c r="W52" s="285" t="n"/>
      <c r="X52" s="285" t="n"/>
      <c r="Y52" s="1469" t="n"/>
      <c r="Z52" s="1304" t="n"/>
      <c r="AA52" s="285" t="inlineStr">
        <is>
          <t>Pendiente</t>
        </is>
      </c>
    </row>
    <row r="53" ht="15" customFormat="1" customHeight="1" s="685">
      <c r="A53" s="280" t="inlineStr">
        <is>
          <t>MQ-046</t>
        </is>
      </c>
      <c r="B53" s="281" t="inlineStr">
        <is>
          <t>MAMPOSTERÍA</t>
        </is>
      </c>
      <c r="C53" s="282" t="inlineStr">
        <is>
          <t>Complementarios</t>
        </is>
      </c>
      <c r="D53" s="283" t="inlineStr">
        <is>
          <t>05.02.01</t>
        </is>
      </c>
      <c r="E53" s="284" t="inlineStr">
        <is>
          <t>Dinteles sobre vanos</t>
        </is>
      </c>
      <c r="F53" s="285" t="n"/>
      <c r="G53" s="285" t="n"/>
      <c r="H53" s="285" t="n"/>
      <c r="I53" s="283" t="inlineStr">
        <is>
          <t>ml</t>
        </is>
      </c>
      <c r="J53" s="1469" t="n"/>
      <c r="K53" s="1438" t="n">
        <v>0</v>
      </c>
      <c r="L53" s="1438" t="n">
        <v>0</v>
      </c>
      <c r="M53" s="1438" t="n">
        <v>0</v>
      </c>
      <c r="N53" s="1438" t="n">
        <v>0</v>
      </c>
      <c r="O53" s="1438" t="n">
        <v>1</v>
      </c>
      <c r="P53" s="1438" t="n">
        <v>1</v>
      </c>
      <c r="Q53" s="1438" t="n">
        <v>1</v>
      </c>
      <c r="R53" s="1438" t="n">
        <v>0</v>
      </c>
      <c r="S53" s="1303" t="n">
        <v>0</v>
      </c>
      <c r="T53" s="1438">
        <f>IF(I53="","",ROUND(IF(OR(I53="m²",I53="m2"),K53*IF(L53=0,1,L53)*IF(O53=0,1,O53)*IF(P53=0,1,P53)*Q53-R53,IF(OR(I53="m³",I53="m3"),K53*L53*M53*IF(O53=0,1,O53)*IF(P53=0,1,P53)*Q53-R53,IF(OR(I53="ml",I53="ML"),K53*IF(O53=0,1,O53)*IF(P53=0,1,P53)*Q53-R53,IF(OR(I53="und",I53="UND"),IF(O53=0,1,O53)*IF(P53=0,1,P53)*Q53-R53,IF(I53="kg",K53*IF(O53=0,1,O53)*IF(P53=0,1,P53)*Q53-R53,IF(OR(I53="gl",I53="GL",I53="gb",I53="GB",I53="Gl",I53="Gb"),IF(O53=0,1,O53)*IF(P53=0,1,P53)*Q53-R53,0)))))),3))</f>
        <v/>
      </c>
      <c r="U53" s="1438">
        <f>IF(T53="","",ROUND(T53*(1+S53),3))</f>
        <v/>
      </c>
      <c r="V53" s="283" t="inlineStr">
        <is>
          <t>ml</t>
        </is>
      </c>
      <c r="W53" s="285" t="n"/>
      <c r="X53" s="285" t="n"/>
      <c r="Y53" s="1469" t="n"/>
      <c r="Z53" s="1304" t="n"/>
      <c r="AA53" s="285" t="inlineStr">
        <is>
          <t>Pendiente</t>
        </is>
      </c>
    </row>
    <row r="54" ht="15" customFormat="1" customHeight="1" s="685">
      <c r="A54" s="280" t="inlineStr">
        <is>
          <t>MQ-047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05.02.02</t>
        </is>
      </c>
      <c r="E54" s="284" t="inlineStr">
        <is>
          <t>Alfajías y remates</t>
        </is>
      </c>
      <c r="F54" s="285" t="n"/>
      <c r="G54" s="285" t="n"/>
      <c r="H54" s="285" t="n"/>
      <c r="I54" s="283" t="inlineStr">
        <is>
          <t>ml</t>
        </is>
      </c>
      <c r="J54" s="1469" t="n"/>
      <c r="K54" s="1438" t="n">
        <v>0</v>
      </c>
      <c r="L54" s="1438" t="n">
        <v>0</v>
      </c>
      <c r="M54" s="1438" t="n">
        <v>0</v>
      </c>
      <c r="N54" s="1438" t="n">
        <v>0</v>
      </c>
      <c r="O54" s="1438" t="n">
        <v>1</v>
      </c>
      <c r="P54" s="1438" t="n">
        <v>1</v>
      </c>
      <c r="Q54" s="1438" t="n">
        <v>1</v>
      </c>
      <c r="R54" s="1438" t="n">
        <v>0</v>
      </c>
      <c r="S54" s="1303" t="n">
        <v>0</v>
      </c>
      <c r="T54" s="1438">
        <f>IF(I54="","",ROUND(IF(OR(I54="m²",I54="m2"),K54*IF(L54=0,1,L54)*IF(O54=0,1,O54)*IF(P54=0,1,P54)*Q54-R54,IF(OR(I54="m³",I54="m3"),K54*L54*M54*IF(O54=0,1,O54)*IF(P54=0,1,P54)*Q54-R54,IF(OR(I54="ml",I54="ML"),K54*IF(O54=0,1,O54)*IF(P54=0,1,P54)*Q54-R54,IF(OR(I54="und",I54="UND"),IF(O54=0,1,O54)*IF(P54=0,1,P54)*Q54-R54,IF(I54="kg",K54*IF(O54=0,1,O54)*IF(P54=0,1,P54)*Q54-R54,IF(OR(I54="gl",I54="GL",I54="gb",I54="GB",I54="Gl",I54="Gb"),IF(O54=0,1,O54)*IF(P54=0,1,P54)*Q54-R54,0)))))),3))</f>
        <v/>
      </c>
      <c r="U54" s="1438">
        <f>IF(T54="","",ROUND(T54*(1+S54),3))</f>
        <v/>
      </c>
      <c r="V54" s="283" t="inlineStr">
        <is>
          <t>ml</t>
        </is>
      </c>
      <c r="W54" s="285" t="n"/>
      <c r="X54" s="285" t="n"/>
      <c r="Y54" s="1469" t="n"/>
      <c r="Z54" s="1304" t="n"/>
      <c r="AA54" s="285" t="inlineStr">
        <is>
          <t>Pendiente</t>
        </is>
      </c>
    </row>
    <row r="55" ht="15" customFormat="1" customHeight="1" s="685">
      <c r="A55" s="280" t="inlineStr">
        <is>
          <t>MQ-048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05.02.03</t>
        </is>
      </c>
      <c r="E55" s="284" t="inlineStr">
        <is>
          <t>Anclajes y refuerzos de mampostería</t>
        </is>
      </c>
      <c r="F55" s="285" t="n"/>
      <c r="G55" s="285" t="n"/>
      <c r="H55" s="285" t="n"/>
      <c r="I55" s="283" t="inlineStr">
        <is>
          <t>und</t>
        </is>
      </c>
      <c r="J55" s="1469" t="n"/>
      <c r="K55" s="1438" t="n">
        <v>0</v>
      </c>
      <c r="L55" s="1438" t="n">
        <v>0</v>
      </c>
      <c r="M55" s="1438" t="n">
        <v>0</v>
      </c>
      <c r="N55" s="1438" t="n">
        <v>0</v>
      </c>
      <c r="O55" s="1438" t="n">
        <v>1</v>
      </c>
      <c r="P55" s="1438" t="n">
        <v>1</v>
      </c>
      <c r="Q55" s="1438" t="n">
        <v>1</v>
      </c>
      <c r="R55" s="1438" t="n">
        <v>0</v>
      </c>
      <c r="S55" s="1303" t="n">
        <v>0</v>
      </c>
      <c r="T55" s="1438">
        <f>IF(I55="","",ROUND(IF(OR(I55="m²",I55="m2"),K55*IF(L55=0,1,L55)*IF(O55=0,1,O55)*IF(P55=0,1,P55)*Q55-R55,IF(OR(I55="m³",I55="m3"),K55*L55*M55*IF(O55=0,1,O55)*IF(P55=0,1,P55)*Q55-R55,IF(OR(I55="ml",I55="ML"),K55*IF(O55=0,1,O55)*IF(P55=0,1,P55)*Q55-R55,IF(OR(I55="und",I55="UND"),IF(O55=0,1,O55)*IF(P55=0,1,P55)*Q55-R55,IF(I55="kg",K55*IF(O55=0,1,O55)*IF(P55=0,1,P55)*Q55-R55,IF(OR(I55="gl",I55="GL",I55="gb",I55="GB",I55="Gl",I55="Gb"),IF(O55=0,1,O55)*IF(P55=0,1,P55)*Q55-R55,0)))))),3))</f>
        <v/>
      </c>
      <c r="U55" s="1438">
        <f>IF(T55="","",ROUND(T55*(1+S55),3))</f>
        <v/>
      </c>
      <c r="V55" s="283" t="inlineStr">
        <is>
          <t>und</t>
        </is>
      </c>
      <c r="W55" s="285" t="n"/>
      <c r="X55" s="285" t="n"/>
      <c r="Y55" s="1469" t="n"/>
      <c r="Z55" s="1304" t="n"/>
      <c r="AA55" s="285" t="inlineStr">
        <is>
          <t>Pendiente</t>
        </is>
      </c>
    </row>
    <row r="56" ht="15" customFormat="1" customHeight="1" s="685">
      <c r="A56" s="280" t="inlineStr">
        <is>
          <t>MQ-049</t>
        </is>
      </c>
      <c r="B56" s="281" t="inlineStr">
        <is>
          <t>CUBIERTAS</t>
        </is>
      </c>
      <c r="C56" s="282" t="inlineStr">
        <is>
          <t>Estructura</t>
        </is>
      </c>
      <c r="D56" s="283" t="inlineStr">
        <is>
          <t>06.01.01</t>
        </is>
      </c>
      <c r="E56" s="284" t="inlineStr">
        <is>
          <t>Estructura metálica o de madera para cubierta</t>
        </is>
      </c>
      <c r="F56" s="285" t="n"/>
      <c r="G56" s="285" t="n"/>
      <c r="H56" s="285" t="n"/>
      <c r="I56" s="283" t="inlineStr">
        <is>
          <t>kg</t>
        </is>
      </c>
      <c r="J56" s="1469" t="n"/>
      <c r="K56" s="1438" t="n">
        <v>0</v>
      </c>
      <c r="L56" s="1438" t="n">
        <v>0</v>
      </c>
      <c r="M56" s="1438" t="n">
        <v>0</v>
      </c>
      <c r="N56" s="1438" t="n">
        <v>0</v>
      </c>
      <c r="O56" s="1438" t="n">
        <v>1</v>
      </c>
      <c r="P56" s="1438" t="n">
        <v>1</v>
      </c>
      <c r="Q56" s="1438" t="n">
        <v>1</v>
      </c>
      <c r="R56" s="1438" t="n">
        <v>0</v>
      </c>
      <c r="S56" s="1303" t="n">
        <v>0</v>
      </c>
      <c r="T56" s="1438">
        <f>IF(I56="","",ROUND(IF(OR(I56="m²",I56="m2"),K56*IF(L56=0,1,L56)*IF(O56=0,1,O56)*IF(P56=0,1,P56)*Q56-R56,IF(OR(I56="m³",I56="m3"),K56*L56*M56*IF(O56=0,1,O56)*IF(P56=0,1,P56)*Q56-R56,IF(OR(I56="ml",I56="ML"),K56*IF(O56=0,1,O56)*IF(P56=0,1,P56)*Q56-R56,IF(OR(I56="und",I56="UND"),IF(O56=0,1,O56)*IF(P56=0,1,P56)*Q56-R56,IF(I56="kg",K56*IF(O56=0,1,O56)*IF(P56=0,1,P56)*Q56-R56,IF(OR(I56="gl",I56="GL",I56="gb",I56="GB",I56="Gl",I56="Gb"),IF(O56=0,1,O56)*IF(P56=0,1,P56)*Q56-R56,0)))))),3))</f>
        <v/>
      </c>
      <c r="U56" s="1438">
        <f>IF(T56="","",ROUND(T56*(1+S56),3))</f>
        <v/>
      </c>
      <c r="V56" s="283" t="inlineStr">
        <is>
          <t>kg</t>
        </is>
      </c>
      <c r="W56" s="285" t="n"/>
      <c r="X56" s="285" t="n"/>
      <c r="Y56" s="1469" t="n"/>
      <c r="Z56" s="1304" t="n"/>
      <c r="AA56" s="285" t="inlineStr">
        <is>
          <t>Pendiente</t>
        </is>
      </c>
    </row>
    <row r="57" ht="15" customFormat="1" customHeight="1" s="685">
      <c r="A57" s="280" t="inlineStr">
        <is>
          <t>MQ-050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06.01.02</t>
        </is>
      </c>
      <c r="E57" s="284" t="inlineStr">
        <is>
          <t>Cerchas y elementos estructurales</t>
        </is>
      </c>
      <c r="F57" s="285" t="n"/>
      <c r="G57" s="285" t="n"/>
      <c r="H57" s="285" t="n"/>
      <c r="I57" s="283" t="inlineStr">
        <is>
          <t>kg</t>
        </is>
      </c>
      <c r="J57" s="1469" t="n"/>
      <c r="K57" s="1438" t="n">
        <v>0</v>
      </c>
      <c r="L57" s="1438" t="n">
        <v>0</v>
      </c>
      <c r="M57" s="1438" t="n">
        <v>0</v>
      </c>
      <c r="N57" s="1438" t="n">
        <v>0</v>
      </c>
      <c r="O57" s="1438" t="n">
        <v>1</v>
      </c>
      <c r="P57" s="1438" t="n">
        <v>1</v>
      </c>
      <c r="Q57" s="1438" t="n">
        <v>1</v>
      </c>
      <c r="R57" s="1438" t="n">
        <v>0</v>
      </c>
      <c r="S57" s="1303" t="n">
        <v>0</v>
      </c>
      <c r="T57" s="1438">
        <f>IF(I57="","",ROUND(IF(OR(I57="m²",I57="m2"),K57*IF(L57=0,1,L57)*IF(O57=0,1,O57)*IF(P57=0,1,P57)*Q57-R57,IF(OR(I57="m³",I57="m3"),K57*L57*M57*IF(O57=0,1,O57)*IF(P57=0,1,P57)*Q57-R57,IF(OR(I57="ml",I57="ML"),K57*IF(O57=0,1,O57)*IF(P57=0,1,P57)*Q57-R57,IF(OR(I57="und",I57="UND"),IF(O57=0,1,O57)*IF(P57=0,1,P57)*Q57-R57,IF(I57="kg",K57*IF(O57=0,1,O57)*IF(P57=0,1,P57)*Q57-R57,IF(OR(I57="gl",I57="GL",I57="gb",I57="GB",I57="Gl",I57="Gb"),IF(O57=0,1,O57)*IF(P57=0,1,P57)*Q57-R57,0)))))),3))</f>
        <v/>
      </c>
      <c r="U57" s="1438">
        <f>IF(T57="","",ROUND(T57*(1+S57),3))</f>
        <v/>
      </c>
      <c r="V57" s="283" t="inlineStr">
        <is>
          <t>kg</t>
        </is>
      </c>
      <c r="W57" s="285" t="n"/>
      <c r="X57" s="285" t="n"/>
      <c r="Y57" s="1469" t="n"/>
      <c r="Z57" s="1304" t="n"/>
      <c r="AA57" s="285" t="inlineStr">
        <is>
          <t>Pendiente</t>
        </is>
      </c>
    </row>
    <row r="58" ht="15" customFormat="1" customHeight="1" s="685">
      <c r="A58" s="280" t="inlineStr">
        <is>
          <t>MQ-051</t>
        </is>
      </c>
      <c r="B58" s="281" t="inlineStr">
        <is>
          <t>CUBIERTAS</t>
        </is>
      </c>
      <c r="C58" s="282" t="inlineStr">
        <is>
          <t>Cubierta</t>
        </is>
      </c>
      <c r="D58" s="283" t="inlineStr">
        <is>
          <t>06.02.01</t>
        </is>
      </c>
      <c r="E58" s="284" t="inlineStr">
        <is>
          <t>Suministro e instalación de teja</t>
        </is>
      </c>
      <c r="F58" s="285" t="n"/>
      <c r="G58" s="285" t="n"/>
      <c r="H58" s="285" t="n"/>
      <c r="I58" s="283" t="inlineStr">
        <is>
          <t>m²</t>
        </is>
      </c>
      <c r="J58" s="1469" t="n"/>
      <c r="K58" s="1438" t="n">
        <v>0</v>
      </c>
      <c r="L58" s="1438" t="n">
        <v>0</v>
      </c>
      <c r="M58" s="1438" t="n">
        <v>0</v>
      </c>
      <c r="N58" s="1438" t="n">
        <v>0</v>
      </c>
      <c r="O58" s="1438" t="n">
        <v>1</v>
      </c>
      <c r="P58" s="1438" t="n">
        <v>1</v>
      </c>
      <c r="Q58" s="1438" t="n">
        <v>1</v>
      </c>
      <c r="R58" s="1438" t="n">
        <v>0</v>
      </c>
      <c r="S58" s="1303" t="n">
        <v>0</v>
      </c>
      <c r="T58" s="1438">
        <f>IF(I58="","",ROUND(IF(OR(I58="m²",I58="m2"),K58*IF(L58=0,1,L58)*IF(O58=0,1,O58)*IF(P58=0,1,P58)*Q58-R58,IF(OR(I58="m³",I58="m3"),K58*L58*M58*IF(O58=0,1,O58)*IF(P58=0,1,P58)*Q58-R58,IF(OR(I58="ml",I58="ML"),K58*IF(O58=0,1,O58)*IF(P58=0,1,P58)*Q58-R58,IF(OR(I58="und",I58="UND"),IF(O58=0,1,O58)*IF(P58=0,1,P58)*Q58-R58,IF(I58="kg",K58*IF(O58=0,1,O58)*IF(P58=0,1,P58)*Q58-R58,IF(OR(I58="gl",I58="GL",I58="gb",I58="GB",I58="Gl",I58="Gb"),IF(O58=0,1,O58)*IF(P58=0,1,P58)*Q58-R58,0)))))),3))</f>
        <v/>
      </c>
      <c r="U58" s="1438">
        <f>IF(T58="","",ROUND(T58*(1+S58),3))</f>
        <v/>
      </c>
      <c r="V58" s="283" t="inlineStr">
        <is>
          <t>m²</t>
        </is>
      </c>
      <c r="W58" s="285" t="n"/>
      <c r="X58" s="285" t="n"/>
      <c r="Y58" s="1469" t="n"/>
      <c r="Z58" s="1304" t="n"/>
      <c r="AA58" s="285" t="inlineStr">
        <is>
          <t>Pendiente</t>
        </is>
      </c>
    </row>
    <row r="59" ht="15" customFormat="1" customHeight="1" s="685">
      <c r="A59" s="280" t="inlineStr">
        <is>
          <t>MQ-052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06.02.02</t>
        </is>
      </c>
      <c r="E59" s="284" t="inlineStr">
        <is>
          <t>Impermeabilización de cubierta</t>
        </is>
      </c>
      <c r="F59" s="285" t="n"/>
      <c r="G59" s="285" t="n"/>
      <c r="H59" s="285" t="n"/>
      <c r="I59" s="283" t="inlineStr">
        <is>
          <t>m²</t>
        </is>
      </c>
      <c r="J59" s="1469" t="n"/>
      <c r="K59" s="1438" t="n">
        <v>0</v>
      </c>
      <c r="L59" s="1438" t="n">
        <v>0</v>
      </c>
      <c r="M59" s="1438" t="n">
        <v>0</v>
      </c>
      <c r="N59" s="1438" t="n">
        <v>0</v>
      </c>
      <c r="O59" s="1438" t="n">
        <v>1</v>
      </c>
      <c r="P59" s="1438" t="n">
        <v>1</v>
      </c>
      <c r="Q59" s="1438" t="n">
        <v>1</v>
      </c>
      <c r="R59" s="1438" t="n">
        <v>0</v>
      </c>
      <c r="S59" s="1303" t="n">
        <v>0</v>
      </c>
      <c r="T59" s="1438">
        <f>IF(I59="","",ROUND(IF(OR(I59="m²",I59="m2"),K59*IF(L59=0,1,L59)*IF(O59=0,1,O59)*IF(P59=0,1,P59)*Q59-R59,IF(OR(I59="m³",I59="m3"),K59*L59*M59*IF(O59=0,1,O59)*IF(P59=0,1,P59)*Q59-R59,IF(OR(I59="ml",I59="ML"),K59*IF(O59=0,1,O59)*IF(P59=0,1,P59)*Q59-R59,IF(OR(I59="und",I59="UND"),IF(O59=0,1,O59)*IF(P59=0,1,P59)*Q59-R59,IF(I59="kg",K59*IF(O59=0,1,O59)*IF(P59=0,1,P59)*Q59-R59,IF(OR(I59="gl",I59="GL",I59="gb",I59="GB",I59="Gl",I59="Gb"),IF(O59=0,1,O59)*IF(P59=0,1,P59)*Q59-R59,0)))))),3))</f>
        <v/>
      </c>
      <c r="U59" s="1438">
        <f>IF(T59="","",ROUND(T59*(1+S59),3))</f>
        <v/>
      </c>
      <c r="V59" s="283" t="inlineStr">
        <is>
          <t>m²</t>
        </is>
      </c>
      <c r="W59" s="285" t="n"/>
      <c r="X59" s="285" t="n"/>
      <c r="Y59" s="1469" t="n"/>
      <c r="Z59" s="1304" t="n"/>
      <c r="AA59" s="285" t="inlineStr">
        <is>
          <t>Pendiente</t>
        </is>
      </c>
    </row>
    <row r="60" ht="15" customFormat="1" customHeight="1" s="685">
      <c r="A60" s="280" t="inlineStr">
        <is>
          <t>MQ-053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06.02.03</t>
        </is>
      </c>
      <c r="E60" s="284" t="inlineStr">
        <is>
          <t>Aislamiento térmico/acústico</t>
        </is>
      </c>
      <c r="F60" s="285" t="n"/>
      <c r="G60" s="285" t="n"/>
      <c r="H60" s="285" t="n"/>
      <c r="I60" s="283" t="inlineStr">
        <is>
          <t>m²</t>
        </is>
      </c>
      <c r="J60" s="1469" t="n"/>
      <c r="K60" s="1438" t="n">
        <v>0</v>
      </c>
      <c r="L60" s="1438" t="n">
        <v>0</v>
      </c>
      <c r="M60" s="1438" t="n">
        <v>0</v>
      </c>
      <c r="N60" s="1438" t="n">
        <v>0</v>
      </c>
      <c r="O60" s="1438" t="n">
        <v>1</v>
      </c>
      <c r="P60" s="1438" t="n">
        <v>1</v>
      </c>
      <c r="Q60" s="1438" t="n">
        <v>1</v>
      </c>
      <c r="R60" s="1438" t="n">
        <v>0</v>
      </c>
      <c r="S60" s="1303" t="n">
        <v>0</v>
      </c>
      <c r="T60" s="1438">
        <f>IF(I60="","",ROUND(IF(OR(I60="m²",I60="m2"),K60*IF(L60=0,1,L60)*IF(O60=0,1,O60)*IF(P60=0,1,P60)*Q60-R60,IF(OR(I60="m³",I60="m3"),K60*L60*M60*IF(O60=0,1,O60)*IF(P60=0,1,P60)*Q60-R60,IF(OR(I60="ml",I60="ML"),K60*IF(O60=0,1,O60)*IF(P60=0,1,P60)*Q60-R60,IF(OR(I60="und",I60="UND"),IF(O60=0,1,O60)*IF(P60=0,1,P60)*Q60-R60,IF(I60="kg",K60*IF(O60=0,1,O60)*IF(P60=0,1,P60)*Q60-R60,IF(OR(I60="gl",I60="GL",I60="gb",I60="GB",I60="Gl",I60="Gb"),IF(O60=0,1,O60)*IF(P60=0,1,P60)*Q60-R60,0)))))),3))</f>
        <v/>
      </c>
      <c r="U60" s="1438">
        <f>IF(T60="","",ROUND(T60*(1+S60),3))</f>
        <v/>
      </c>
      <c r="V60" s="283" t="inlineStr">
        <is>
          <t>m²</t>
        </is>
      </c>
      <c r="W60" s="285" t="n"/>
      <c r="X60" s="285" t="n"/>
      <c r="Y60" s="1469" t="n"/>
      <c r="Z60" s="1304" t="n"/>
      <c r="AA60" s="285" t="inlineStr">
        <is>
          <t>Pendiente</t>
        </is>
      </c>
    </row>
    <row r="61" ht="15" customFormat="1" customHeight="1" s="685">
      <c r="A61" s="280" t="inlineStr">
        <is>
          <t>MQ-054</t>
        </is>
      </c>
      <c r="B61" s="281" t="inlineStr">
        <is>
          <t>CUBIERTAS</t>
        </is>
      </c>
      <c r="C61" s="282" t="inlineStr">
        <is>
          <t>Canales</t>
        </is>
      </c>
      <c r="D61" s="283" t="inlineStr">
        <is>
          <t>06.03.01</t>
        </is>
      </c>
      <c r="E61" s="284" t="inlineStr">
        <is>
          <t>Canales de aguas lluvias</t>
        </is>
      </c>
      <c r="F61" s="285" t="n"/>
      <c r="G61" s="285" t="n"/>
      <c r="H61" s="285" t="n"/>
      <c r="I61" s="283" t="inlineStr">
        <is>
          <t>ml</t>
        </is>
      </c>
      <c r="J61" s="1469" t="n"/>
      <c r="K61" s="1438" t="n">
        <v>0</v>
      </c>
      <c r="L61" s="1438" t="n">
        <v>0</v>
      </c>
      <c r="M61" s="1438" t="n">
        <v>0</v>
      </c>
      <c r="N61" s="1438" t="n">
        <v>0</v>
      </c>
      <c r="O61" s="1438" t="n">
        <v>1</v>
      </c>
      <c r="P61" s="1438" t="n">
        <v>1</v>
      </c>
      <c r="Q61" s="1438" t="n">
        <v>1</v>
      </c>
      <c r="R61" s="1438" t="n">
        <v>0</v>
      </c>
      <c r="S61" s="1303" t="n">
        <v>0</v>
      </c>
      <c r="T61" s="1438">
        <f>IF(I61="","",ROUND(IF(OR(I61="m²",I61="m2"),K61*IF(L61=0,1,L61)*IF(O61=0,1,O61)*IF(P61=0,1,P61)*Q61-R61,IF(OR(I61="m³",I61="m3"),K61*L61*M61*IF(O61=0,1,O61)*IF(P61=0,1,P61)*Q61-R61,IF(OR(I61="ml",I61="ML"),K61*IF(O61=0,1,O61)*IF(P61=0,1,P61)*Q61-R61,IF(OR(I61="und",I61="UND"),IF(O61=0,1,O61)*IF(P61=0,1,P61)*Q61-R61,IF(I61="kg",K61*IF(O61=0,1,O61)*IF(P61=0,1,P61)*Q61-R61,IF(OR(I61="gl",I61="GL",I61="gb",I61="GB",I61="Gl",I61="Gb"),IF(O61=0,1,O61)*IF(P61=0,1,P61)*Q61-R61,0)))))),3))</f>
        <v/>
      </c>
      <c r="U61" s="1438">
        <f>IF(T61="","",ROUND(T61*(1+S61),3))</f>
        <v/>
      </c>
      <c r="V61" s="283" t="inlineStr">
        <is>
          <t>ml</t>
        </is>
      </c>
      <c r="W61" s="285" t="n"/>
      <c r="X61" s="285" t="n"/>
      <c r="Y61" s="1469" t="n"/>
      <c r="Z61" s="1304" t="n"/>
      <c r="AA61" s="285" t="inlineStr">
        <is>
          <t>Pendiente</t>
        </is>
      </c>
    </row>
    <row r="62" ht="15" customFormat="1" customHeight="1" s="685">
      <c r="A62" s="280" t="inlineStr">
        <is>
          <t>MQ-055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06.03.02</t>
        </is>
      </c>
      <c r="E62" s="284" t="inlineStr">
        <is>
          <t>Bajantes de aguas lluvias</t>
        </is>
      </c>
      <c r="F62" s="285" t="n"/>
      <c r="G62" s="285" t="n"/>
      <c r="H62" s="285" t="n"/>
      <c r="I62" s="283" t="inlineStr">
        <is>
          <t>ml</t>
        </is>
      </c>
      <c r="J62" s="1469" t="n"/>
      <c r="K62" s="1438" t="n">
        <v>0</v>
      </c>
      <c r="L62" s="1438" t="n">
        <v>0</v>
      </c>
      <c r="M62" s="1438" t="n">
        <v>0</v>
      </c>
      <c r="N62" s="1438" t="n">
        <v>0</v>
      </c>
      <c r="O62" s="1438" t="n">
        <v>1</v>
      </c>
      <c r="P62" s="1438" t="n">
        <v>1</v>
      </c>
      <c r="Q62" s="1438" t="n">
        <v>1</v>
      </c>
      <c r="R62" s="1438" t="n">
        <v>0</v>
      </c>
      <c r="S62" s="1303" t="n">
        <v>0</v>
      </c>
      <c r="T62" s="1438">
        <f>IF(I62="","",ROUND(IF(OR(I62="m²",I62="m2"),K62*IF(L62=0,1,L62)*IF(O62=0,1,O62)*IF(P62=0,1,P62)*Q62-R62,IF(OR(I62="m³",I62="m3"),K62*L62*M62*IF(O62=0,1,O62)*IF(P62=0,1,P62)*Q62-R62,IF(OR(I62="ml",I62="ML"),K62*IF(O62=0,1,O62)*IF(P62=0,1,P62)*Q62-R62,IF(OR(I62="und",I62="UND"),IF(O62=0,1,O62)*IF(P62=0,1,P62)*Q62-R62,IF(I62="kg",K62*IF(O62=0,1,O62)*IF(P62=0,1,P62)*Q62-R62,IF(OR(I62="gl",I62="GL",I62="gb",I62="GB",I62="Gl",I62="Gb"),IF(O62=0,1,O62)*IF(P62=0,1,P62)*Q62-R62,0)))))),3))</f>
        <v/>
      </c>
      <c r="U62" s="1438">
        <f>IF(T62="","",ROUND(T62*(1+S62),3))</f>
        <v/>
      </c>
      <c r="V62" s="283" t="inlineStr">
        <is>
          <t>ml</t>
        </is>
      </c>
      <c r="W62" s="285" t="n"/>
      <c r="X62" s="285" t="n"/>
      <c r="Y62" s="1469" t="n"/>
      <c r="Z62" s="1304" t="n"/>
      <c r="AA62" s="285" t="inlineStr">
        <is>
          <t>Pendiente</t>
        </is>
      </c>
    </row>
    <row r="63" ht="15" customFormat="1" customHeight="1" s="685">
      <c r="A63" s="280" t="inlineStr">
        <is>
          <t>MQ-056</t>
        </is>
      </c>
      <c r="B63" s="281" t="inlineStr">
        <is>
          <t>IMPERMEABILIZACIONES</t>
        </is>
      </c>
      <c r="C63" s="282" t="inlineStr">
        <is>
          <t>Superficies</t>
        </is>
      </c>
      <c r="D63" s="283" t="inlineStr">
        <is>
          <t>07.01.01</t>
        </is>
      </c>
      <c r="E63" s="284" t="inlineStr">
        <is>
          <t>Impermeabilización de losas y terrazas</t>
        </is>
      </c>
      <c r="F63" s="285" t="n"/>
      <c r="G63" s="285" t="n"/>
      <c r="H63" s="285" t="n"/>
      <c r="I63" s="283" t="inlineStr">
        <is>
          <t>m²</t>
        </is>
      </c>
      <c r="J63" s="1469" t="n"/>
      <c r="K63" s="1438" t="n">
        <v>0</v>
      </c>
      <c r="L63" s="1438" t="n">
        <v>0</v>
      </c>
      <c r="M63" s="1438" t="n">
        <v>0</v>
      </c>
      <c r="N63" s="1438" t="n">
        <v>0</v>
      </c>
      <c r="O63" s="1438" t="n">
        <v>1</v>
      </c>
      <c r="P63" s="1438" t="n">
        <v>1</v>
      </c>
      <c r="Q63" s="1438" t="n">
        <v>1</v>
      </c>
      <c r="R63" s="1438" t="n">
        <v>0</v>
      </c>
      <c r="S63" s="1303" t="n">
        <v>0</v>
      </c>
      <c r="T63" s="1438">
        <f>IF(I63="","",ROUND(IF(OR(I63="m²",I63="m2"),K63*IF(L63=0,1,L63)*IF(O63=0,1,O63)*IF(P63=0,1,P63)*Q63-R63,IF(OR(I63="m³",I63="m3"),K63*L63*M63*IF(O63=0,1,O63)*IF(P63=0,1,P63)*Q63-R63,IF(OR(I63="ml",I63="ML"),K63*IF(O63=0,1,O63)*IF(P63=0,1,P63)*Q63-R63,IF(OR(I63="und",I63="UND"),IF(O63=0,1,O63)*IF(P63=0,1,P63)*Q63-R63,IF(I63="kg",K63*IF(O63=0,1,O63)*IF(P63=0,1,P63)*Q63-R63,IF(OR(I63="gl",I63="GL",I63="gb",I63="GB",I63="Gl",I63="Gb"),IF(O63=0,1,O63)*IF(P63=0,1,P63)*Q63-R63,0)))))),3))</f>
        <v/>
      </c>
      <c r="U63" s="1438">
        <f>IF(T63="","",ROUND(T63*(1+S63),3))</f>
        <v/>
      </c>
      <c r="V63" s="283" t="inlineStr">
        <is>
          <t>m²</t>
        </is>
      </c>
      <c r="W63" s="285" t="n"/>
      <c r="X63" s="285" t="n"/>
      <c r="Y63" s="1469" t="n"/>
      <c r="Z63" s="1304" t="n"/>
      <c r="AA63" s="285" t="inlineStr">
        <is>
          <t>Pendiente</t>
        </is>
      </c>
    </row>
    <row r="64" ht="15" customFormat="1" customHeight="1" s="685">
      <c r="A64" s="280" t="inlineStr">
        <is>
          <t>MQ-057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07.01.02</t>
        </is>
      </c>
      <c r="E64" s="284" t="inlineStr">
        <is>
          <t>Impermeabilización de muros</t>
        </is>
      </c>
      <c r="F64" s="285" t="n"/>
      <c r="G64" s="285" t="n"/>
      <c r="H64" s="285" t="n"/>
      <c r="I64" s="283" t="inlineStr">
        <is>
          <t>m²</t>
        </is>
      </c>
      <c r="J64" s="1469" t="n"/>
      <c r="K64" s="1438" t="n">
        <v>0</v>
      </c>
      <c r="L64" s="1438" t="n">
        <v>0</v>
      </c>
      <c r="M64" s="1438" t="n">
        <v>0</v>
      </c>
      <c r="N64" s="1438" t="n">
        <v>0</v>
      </c>
      <c r="O64" s="1438" t="n">
        <v>1</v>
      </c>
      <c r="P64" s="1438" t="n">
        <v>1</v>
      </c>
      <c r="Q64" s="1438" t="n">
        <v>1</v>
      </c>
      <c r="R64" s="1438" t="n">
        <v>0</v>
      </c>
      <c r="S64" s="1303" t="n">
        <v>0</v>
      </c>
      <c r="T64" s="1438">
        <f>IF(I64="","",ROUND(IF(OR(I64="m²",I64="m2"),K64*IF(L64=0,1,L64)*IF(O64=0,1,O64)*IF(P64=0,1,P64)*Q64-R64,IF(OR(I64="m³",I64="m3"),K64*L64*M64*IF(O64=0,1,O64)*IF(P64=0,1,P64)*Q64-R64,IF(OR(I64="ml",I64="ML"),K64*IF(O64=0,1,O64)*IF(P64=0,1,P64)*Q64-R64,IF(OR(I64="und",I64="UND"),IF(O64=0,1,O64)*IF(P64=0,1,P64)*Q64-R64,IF(I64="kg",K64*IF(O64=0,1,O64)*IF(P64=0,1,P64)*Q64-R64,IF(OR(I64="gl",I64="GL",I64="gb",I64="GB",I64="Gl",I64="Gb"),IF(O64=0,1,O64)*IF(P64=0,1,P64)*Q64-R64,0)))))),3))</f>
        <v/>
      </c>
      <c r="U64" s="1438">
        <f>IF(T64="","",ROUND(T64*(1+S64),3))</f>
        <v/>
      </c>
      <c r="V64" s="283" t="inlineStr">
        <is>
          <t>m²</t>
        </is>
      </c>
      <c r="W64" s="285" t="n"/>
      <c r="X64" s="285" t="n"/>
      <c r="Y64" s="1469" t="n"/>
      <c r="Z64" s="1304" t="n"/>
      <c r="AA64" s="285" t="inlineStr">
        <is>
          <t>Pendiente</t>
        </is>
      </c>
    </row>
    <row r="65" ht="15" customFormat="1" customHeight="1" s="685">
      <c r="A65" s="280" t="inlineStr">
        <is>
          <t>MQ-058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07.01.03</t>
        </is>
      </c>
      <c r="E65" s="284" t="inlineStr">
        <is>
          <t>Impermeabilización de zonas húmedas</t>
        </is>
      </c>
      <c r="F65" s="285" t="n"/>
      <c r="G65" s="285" t="n"/>
      <c r="H65" s="285" t="n"/>
      <c r="I65" s="283" t="inlineStr">
        <is>
          <t>m²</t>
        </is>
      </c>
      <c r="J65" s="1469" t="n"/>
      <c r="K65" s="1438" t="n">
        <v>0</v>
      </c>
      <c r="L65" s="1438" t="n">
        <v>0</v>
      </c>
      <c r="M65" s="1438" t="n">
        <v>0</v>
      </c>
      <c r="N65" s="1438" t="n">
        <v>0</v>
      </c>
      <c r="O65" s="1438" t="n">
        <v>1</v>
      </c>
      <c r="P65" s="1438" t="n">
        <v>1</v>
      </c>
      <c r="Q65" s="1438" t="n">
        <v>1</v>
      </c>
      <c r="R65" s="1438" t="n">
        <v>0</v>
      </c>
      <c r="S65" s="1303" t="n">
        <v>0</v>
      </c>
      <c r="T65" s="1438">
        <f>IF(I65="","",ROUND(IF(OR(I65="m²",I65="m2"),K65*IF(L65=0,1,L65)*IF(O65=0,1,O65)*IF(P65=0,1,P65)*Q65-R65,IF(OR(I65="m³",I65="m3"),K65*L65*M65*IF(O65=0,1,O65)*IF(P65=0,1,P65)*Q65-R65,IF(OR(I65="ml",I65="ML"),K65*IF(O65=0,1,O65)*IF(P65=0,1,P65)*Q65-R65,IF(OR(I65="und",I65="UND"),IF(O65=0,1,O65)*IF(P65=0,1,P65)*Q65-R65,IF(I65="kg",K65*IF(O65=0,1,O65)*IF(P65=0,1,P65)*Q65-R65,IF(OR(I65="gl",I65="GL",I65="gb",I65="GB",I65="Gl",I65="Gb"),IF(O65=0,1,O65)*IF(P65=0,1,P65)*Q65-R65,0)))))),3))</f>
        <v/>
      </c>
      <c r="U65" s="1438">
        <f>IF(T65="","",ROUND(T65*(1+S65),3))</f>
        <v/>
      </c>
      <c r="V65" s="283" t="inlineStr">
        <is>
          <t>m²</t>
        </is>
      </c>
      <c r="W65" s="285" t="n"/>
      <c r="X65" s="285" t="n"/>
      <c r="Y65" s="1469" t="n"/>
      <c r="Z65" s="1304" t="n"/>
      <c r="AA65" s="285" t="inlineStr">
        <is>
          <t>Pendiente</t>
        </is>
      </c>
    </row>
    <row r="66" ht="15" customFormat="1" customHeight="1" s="685">
      <c r="A66" s="280" t="inlineStr">
        <is>
          <t>MQ-059</t>
        </is>
      </c>
      <c r="B66" s="281" t="inlineStr">
        <is>
          <t>PAÑETES Y REVOQUES</t>
        </is>
      </c>
      <c r="C66" s="282" t="inlineStr">
        <is>
          <t>Pañetes</t>
        </is>
      </c>
      <c r="D66" s="283" t="inlineStr">
        <is>
          <t>08.01.01</t>
        </is>
      </c>
      <c r="E66" s="284" t="inlineStr">
        <is>
          <t>Pañete / revoque interior</t>
        </is>
      </c>
      <c r="F66" s="285" t="n"/>
      <c r="G66" s="285" t="n"/>
      <c r="H66" s="285" t="n"/>
      <c r="I66" s="283" t="inlineStr">
        <is>
          <t>m²</t>
        </is>
      </c>
      <c r="J66" s="1469" t="n"/>
      <c r="K66" s="1438" t="n">
        <v>0</v>
      </c>
      <c r="L66" s="1438" t="n">
        <v>0</v>
      </c>
      <c r="M66" s="1438" t="n">
        <v>0</v>
      </c>
      <c r="N66" s="1438" t="n">
        <v>0</v>
      </c>
      <c r="O66" s="1438" t="n">
        <v>1</v>
      </c>
      <c r="P66" s="1438" t="n">
        <v>1</v>
      </c>
      <c r="Q66" s="1438" t="n">
        <v>1</v>
      </c>
      <c r="R66" s="1438" t="n">
        <v>0</v>
      </c>
      <c r="S66" s="1303" t="n">
        <v>0</v>
      </c>
      <c r="T66" s="1438">
        <f>IF(I66="","",ROUND(IF(OR(I66="m²",I66="m2"),K66*IF(L66=0,1,L66)*IF(O66=0,1,O66)*IF(P66=0,1,P66)*Q66-R66,IF(OR(I66="m³",I66="m3"),K66*L66*M66*IF(O66=0,1,O66)*IF(P66=0,1,P66)*Q66-R66,IF(OR(I66="ml",I66="ML"),K66*IF(O66=0,1,O66)*IF(P66=0,1,P66)*Q66-R66,IF(OR(I66="und",I66="UND"),IF(O66=0,1,O66)*IF(P66=0,1,P66)*Q66-R66,IF(I66="kg",K66*IF(O66=0,1,O66)*IF(P66=0,1,P66)*Q66-R66,IF(OR(I66="gl",I66="GL",I66="gb",I66="GB",I66="Gl",I66="Gb"),IF(O66=0,1,O66)*IF(P66=0,1,P66)*Q66-R66,0)))))),3))</f>
        <v/>
      </c>
      <c r="U66" s="1438">
        <f>IF(T66="","",ROUND(T66*(1+S66),3))</f>
        <v/>
      </c>
      <c r="V66" s="283" t="inlineStr">
        <is>
          <t>m²</t>
        </is>
      </c>
      <c r="W66" s="285" t="n"/>
      <c r="X66" s="285" t="n"/>
      <c r="Y66" s="1469" t="n"/>
      <c r="Z66" s="1304" t="n"/>
      <c r="AA66" s="285" t="inlineStr">
        <is>
          <t>Pendiente</t>
        </is>
      </c>
    </row>
    <row r="67" ht="15" customFormat="1" customHeight="1" s="685">
      <c r="A67" s="280" t="inlineStr">
        <is>
          <t>MQ-060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08.01.02</t>
        </is>
      </c>
      <c r="E67" s="284" t="inlineStr">
        <is>
          <t>Pañete / revoque exterior</t>
        </is>
      </c>
      <c r="F67" s="285" t="n"/>
      <c r="G67" s="285" t="n"/>
      <c r="H67" s="285" t="n"/>
      <c r="I67" s="283" t="inlineStr">
        <is>
          <t>m²</t>
        </is>
      </c>
      <c r="J67" s="1469" t="n"/>
      <c r="K67" s="1438" t="n">
        <v>0</v>
      </c>
      <c r="L67" s="1438" t="n">
        <v>0</v>
      </c>
      <c r="M67" s="1438" t="n">
        <v>0</v>
      </c>
      <c r="N67" s="1438" t="n">
        <v>0</v>
      </c>
      <c r="O67" s="1438" t="n">
        <v>1</v>
      </c>
      <c r="P67" s="1438" t="n">
        <v>1</v>
      </c>
      <c r="Q67" s="1438" t="n">
        <v>1</v>
      </c>
      <c r="R67" s="1438" t="n">
        <v>0</v>
      </c>
      <c r="S67" s="1303" t="n">
        <v>0</v>
      </c>
      <c r="T67" s="1438">
        <f>IF(I67="","",ROUND(IF(OR(I67="m²",I67="m2"),K67*IF(L67=0,1,L67)*IF(O67=0,1,O67)*IF(P67=0,1,P67)*Q67-R67,IF(OR(I67="m³",I67="m3"),K67*L67*M67*IF(O67=0,1,O67)*IF(P67=0,1,P67)*Q67-R67,IF(OR(I67="ml",I67="ML"),K67*IF(O67=0,1,O67)*IF(P67=0,1,P67)*Q67-R67,IF(OR(I67="und",I67="UND"),IF(O67=0,1,O67)*IF(P67=0,1,P67)*Q67-R67,IF(I67="kg",K67*IF(O67=0,1,O67)*IF(P67=0,1,P67)*Q67-R67,IF(OR(I67="gl",I67="GL",I67="gb",I67="GB",I67="Gl",I67="Gb"),IF(O67=0,1,O67)*IF(P67=0,1,P67)*Q67-R67,0)))))),3))</f>
        <v/>
      </c>
      <c r="U67" s="1438">
        <f>IF(T67="","",ROUND(T67*(1+S67),3))</f>
        <v/>
      </c>
      <c r="V67" s="283" t="inlineStr">
        <is>
          <t>m²</t>
        </is>
      </c>
      <c r="W67" s="285" t="n"/>
      <c r="X67" s="285" t="n"/>
      <c r="Y67" s="1469" t="n"/>
      <c r="Z67" s="1304" t="n"/>
      <c r="AA67" s="285" t="inlineStr">
        <is>
          <t>Pendiente</t>
        </is>
      </c>
    </row>
    <row r="68" ht="15" customFormat="1" customHeight="1" s="685">
      <c r="A68" s="280" t="inlineStr">
        <is>
          <t>MQ-061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08.01.03</t>
        </is>
      </c>
      <c r="E68" s="284" t="inlineStr">
        <is>
          <t>Pañete impermeabilizado</t>
        </is>
      </c>
      <c r="F68" s="285" t="n"/>
      <c r="G68" s="285" t="n"/>
      <c r="H68" s="285" t="n"/>
      <c r="I68" s="283" t="inlineStr">
        <is>
          <t>m²</t>
        </is>
      </c>
      <c r="J68" s="1469" t="n"/>
      <c r="K68" s="1438" t="n">
        <v>0</v>
      </c>
      <c r="L68" s="1438" t="n">
        <v>0</v>
      </c>
      <c r="M68" s="1438" t="n">
        <v>0</v>
      </c>
      <c r="N68" s="1438" t="n">
        <v>0</v>
      </c>
      <c r="O68" s="1438" t="n">
        <v>1</v>
      </c>
      <c r="P68" s="1438" t="n">
        <v>1</v>
      </c>
      <c r="Q68" s="1438" t="n">
        <v>1</v>
      </c>
      <c r="R68" s="1438" t="n">
        <v>0</v>
      </c>
      <c r="S68" s="1303" t="n">
        <v>0</v>
      </c>
      <c r="T68" s="1438">
        <f>IF(I68="","",ROUND(IF(OR(I68="m²",I68="m2"),K68*IF(L68=0,1,L68)*IF(O68=0,1,O68)*IF(P68=0,1,P68)*Q68-R68,IF(OR(I68="m³",I68="m3"),K68*L68*M68*IF(O68=0,1,O68)*IF(P68=0,1,P68)*Q68-R68,IF(OR(I68="ml",I68="ML"),K68*IF(O68=0,1,O68)*IF(P68=0,1,P68)*Q68-R68,IF(OR(I68="und",I68="UND"),IF(O68=0,1,O68)*IF(P68=0,1,P68)*Q68-R68,IF(I68="kg",K68*IF(O68=0,1,O68)*IF(P68=0,1,P68)*Q68-R68,IF(OR(I68="gl",I68="GL",I68="gb",I68="GB",I68="Gl",I68="Gb"),IF(O68=0,1,O68)*IF(P68=0,1,P68)*Q68-R68,0)))))),3))</f>
        <v/>
      </c>
      <c r="U68" s="1438">
        <f>IF(T68="","",ROUND(T68*(1+S68),3))</f>
        <v/>
      </c>
      <c r="V68" s="283" t="inlineStr">
        <is>
          <t>m²</t>
        </is>
      </c>
      <c r="W68" s="285" t="n"/>
      <c r="X68" s="285" t="n"/>
      <c r="Y68" s="1469" t="n"/>
      <c r="Z68" s="1304" t="n"/>
      <c r="AA68" s="285" t="inlineStr">
        <is>
          <t>Pendiente</t>
        </is>
      </c>
    </row>
    <row r="69" ht="15" customFormat="1" customHeight="1" s="685">
      <c r="A69" s="280" t="inlineStr">
        <is>
          <t>MQ-062</t>
        </is>
      </c>
      <c r="B69" s="281" t="inlineStr">
        <is>
          <t>PINTURA</t>
        </is>
      </c>
      <c r="C69" s="282" t="inlineStr">
        <is>
          <t>Pañetes</t>
        </is>
      </c>
      <c r="D69" s="283" t="inlineStr">
        <is>
          <t>08.01.04</t>
        </is>
      </c>
      <c r="E69" s="284" t="inlineStr">
        <is>
          <t>Estuco plástico</t>
        </is>
      </c>
      <c r="F69" s="285" t="n"/>
      <c r="G69" s="285" t="n"/>
      <c r="H69" s="285" t="n"/>
      <c r="I69" s="283" t="inlineStr">
        <is>
          <t>m²</t>
        </is>
      </c>
      <c r="J69" s="1469" t="n"/>
      <c r="K69" s="1438" t="n">
        <v>0</v>
      </c>
      <c r="L69" s="1438" t="n">
        <v>0</v>
      </c>
      <c r="M69" s="1438" t="n">
        <v>0</v>
      </c>
      <c r="N69" s="1438" t="n">
        <v>0</v>
      </c>
      <c r="O69" s="1438" t="n">
        <v>1</v>
      </c>
      <c r="P69" s="1438" t="n">
        <v>1</v>
      </c>
      <c r="Q69" s="1438" t="n">
        <v>1</v>
      </c>
      <c r="R69" s="1438" t="n">
        <v>0</v>
      </c>
      <c r="S69" s="1303" t="n">
        <v>0</v>
      </c>
      <c r="T69" s="1438">
        <f>IF(I69="","",ROUND(IF(OR(I69="m²",I69="m2"),K69*IF(L69=0,1,L69)*IF(O69=0,1,O69)*IF(P69=0,1,P69)*Q69-R69,IF(OR(I69="m³",I69="m3"),K69*L69*M69*IF(O69=0,1,O69)*IF(P69=0,1,P69)*Q69-R69,IF(OR(I69="ml",I69="ML"),K69*IF(O69=0,1,O69)*IF(P69=0,1,P69)*Q69-R69,IF(OR(I69="und",I69="UND"),IF(O69=0,1,O69)*IF(P69=0,1,P69)*Q69-R69,IF(I69="kg",K69*IF(O69=0,1,O69)*IF(P69=0,1,P69)*Q69-R69,IF(OR(I69="gl",I69="GL",I69="gb",I69="GB",I69="Gl",I69="Gb"),IF(O69=0,1,O69)*IF(P69=0,1,P69)*Q69-R69,0)))))),3))</f>
        <v/>
      </c>
      <c r="U69" s="1438">
        <f>IF(T69="","",ROUND(T69*(1+S69),3))</f>
        <v/>
      </c>
      <c r="V69" s="283" t="inlineStr">
        <is>
          <t>m²</t>
        </is>
      </c>
      <c r="W69" s="285" t="n"/>
      <c r="X69" s="285" t="n"/>
      <c r="Y69" s="1469" t="n"/>
      <c r="Z69" s="1304" t="n"/>
      <c r="AA69" s="285" t="inlineStr">
        <is>
          <t>Pendiente</t>
        </is>
      </c>
    </row>
    <row r="70">
      <c r="A70" s="280" t="inlineStr">
        <is>
          <t>MQ-062B</t>
        </is>
      </c>
      <c r="B70" s="281" t="inlineStr">
        <is>
          <t>PINTURA</t>
        </is>
      </c>
      <c r="C70" s="282" t="n"/>
      <c r="D70" s="283" t="n"/>
      <c r="E70" s="284" t="inlineStr">
        <is>
          <t>Estuco tradicional</t>
        </is>
      </c>
      <c r="F70" s="285" t="n"/>
      <c r="G70" s="285" t="n"/>
      <c r="H70" s="285" t="n"/>
      <c r="I70" s="283" t="inlineStr">
        <is>
          <t>m²</t>
        </is>
      </c>
    </row>
    <row r="71" ht="15" customFormat="1" customHeight="1" s="685">
      <c r="A71" s="280" t="inlineStr">
        <is>
          <t>MQ-063</t>
        </is>
      </c>
      <c r="B71" s="281" t="inlineStr">
        <is>
          <t>PISOS Y ENCHAPES</t>
        </is>
      </c>
      <c r="C71" s="282" t="inlineStr">
        <is>
          <t>Pisos</t>
        </is>
      </c>
      <c r="D71" s="283" t="inlineStr">
        <is>
          <t>09.01.01</t>
        </is>
      </c>
      <c r="E71" s="284" t="inlineStr">
        <is>
          <t>Mortero de nivelación</t>
        </is>
      </c>
      <c r="F71" s="285" t="n"/>
      <c r="G71" s="285" t="n"/>
      <c r="H71" s="285" t="n"/>
      <c r="I71" s="283" t="inlineStr">
        <is>
          <t>m²</t>
        </is>
      </c>
      <c r="J71" s="1469" t="n"/>
      <c r="K71" s="1438" t="n">
        <v>0</v>
      </c>
      <c r="L71" s="1438" t="n">
        <v>0</v>
      </c>
      <c r="M71" s="1438" t="n">
        <v>0</v>
      </c>
      <c r="N71" s="1438" t="n">
        <v>0</v>
      </c>
      <c r="O71" s="1438" t="n">
        <v>1</v>
      </c>
      <c r="P71" s="1438" t="n">
        <v>1</v>
      </c>
      <c r="Q71" s="1438" t="n">
        <v>1</v>
      </c>
      <c r="R71" s="1438" t="n">
        <v>0</v>
      </c>
      <c r="S71" s="1303" t="n">
        <v>0</v>
      </c>
      <c r="T71" s="1438">
        <f>IF(I71="","",ROUND(IF(OR(I71="m²",I71="m2"),K71*IF(L71=0,1,L71)*IF(O71=0,1,O71)*IF(P71=0,1,P71)*Q71-R71,IF(OR(I71="m³",I71="m3"),K71*L71*M71*IF(O71=0,1,O71)*IF(P71=0,1,P71)*Q71-R71,IF(OR(I71="ml",I71="ML"),K71*IF(O71=0,1,O71)*IF(P71=0,1,P71)*Q71-R71,IF(OR(I71="und",I71="UND"),IF(O71=0,1,O71)*IF(P71=0,1,P71)*Q71-R71,IF(I71="kg",K71*IF(O71=0,1,O71)*IF(P71=0,1,P71)*Q71-R71,IF(OR(I71="gl",I71="GL",I71="gb",I71="GB",I71="Gl",I71="Gb"),IF(O71=0,1,O71)*IF(P71=0,1,P71)*Q71-R71,0)))))),3))</f>
        <v/>
      </c>
      <c r="U71" s="1438">
        <f>IF(T71="","",ROUND(T71*(1+S71),3))</f>
        <v/>
      </c>
      <c r="V71" s="283" t="inlineStr">
        <is>
          <t>m²</t>
        </is>
      </c>
      <c r="W71" s="285" t="n"/>
      <c r="X71" s="285" t="n"/>
      <c r="Y71" s="1469" t="n"/>
      <c r="Z71" s="1304" t="n"/>
      <c r="AA71" s="285" t="inlineStr">
        <is>
          <t>Pendiente</t>
        </is>
      </c>
    </row>
    <row r="72" ht="15" customFormat="1" customHeight="1" s="685">
      <c r="A72" s="280" t="inlineStr">
        <is>
          <t>MQ-064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09.01.02</t>
        </is>
      </c>
      <c r="E72" s="284" t="inlineStr">
        <is>
          <t>Piso cerámico</t>
        </is>
      </c>
      <c r="F72" s="285" t="n"/>
      <c r="G72" s="285" t="n"/>
      <c r="H72" s="285" t="n"/>
      <c r="I72" s="283" t="inlineStr">
        <is>
          <t>m²</t>
        </is>
      </c>
      <c r="J72" s="1469" t="n"/>
      <c r="K72" s="1438" t="n">
        <v>0</v>
      </c>
      <c r="L72" s="1438" t="n">
        <v>0</v>
      </c>
      <c r="M72" s="1438" t="n">
        <v>0</v>
      </c>
      <c r="N72" s="1438" t="n">
        <v>0</v>
      </c>
      <c r="O72" s="1438" t="n">
        <v>1</v>
      </c>
      <c r="P72" s="1438" t="n">
        <v>1</v>
      </c>
      <c r="Q72" s="1438" t="n">
        <v>1</v>
      </c>
      <c r="R72" s="1438" t="n">
        <v>0</v>
      </c>
      <c r="S72" s="1303" t="n">
        <v>0</v>
      </c>
      <c r="T72" s="1438">
        <f>IF(I72="","",ROUND(IF(OR(I72="m²",I72="m2"),K72*IF(L72=0,1,L72)*IF(O72=0,1,O72)*IF(P72=0,1,P72)*Q72-R72,IF(OR(I72="m³",I72="m3"),K72*L72*M72*IF(O72=0,1,O72)*IF(P72=0,1,P72)*Q72-R72,IF(OR(I72="ml",I72="ML"),K72*IF(O72=0,1,O72)*IF(P72=0,1,P72)*Q72-R72,IF(OR(I72="und",I72="UND"),IF(O72=0,1,O72)*IF(P72=0,1,P72)*Q72-R72,IF(I72="kg",K72*IF(O72=0,1,O72)*IF(P72=0,1,P72)*Q72-R72,IF(OR(I72="gl",I72="GL",I72="gb",I72="GB",I72="Gl",I72="Gb"),IF(O72=0,1,O72)*IF(P72=0,1,P72)*Q72-R72,0)))))),3))</f>
        <v/>
      </c>
      <c r="U72" s="1438">
        <f>IF(T72="","",ROUND(T72*(1+S72),3))</f>
        <v/>
      </c>
      <c r="V72" s="283" t="inlineStr">
        <is>
          <t>m²</t>
        </is>
      </c>
      <c r="W72" s="285" t="n"/>
      <c r="X72" s="285" t="n"/>
      <c r="Y72" s="1469" t="n"/>
      <c r="Z72" s="1304" t="n"/>
      <c r="AA72" s="285" t="inlineStr">
        <is>
          <t>Pendiente</t>
        </is>
      </c>
    </row>
    <row r="73" ht="15" customFormat="1" customHeight="1" s="685">
      <c r="A73" s="280" t="inlineStr">
        <is>
          <t>MQ-065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09.01.03</t>
        </is>
      </c>
      <c r="E73" s="284" t="inlineStr">
        <is>
          <t>Piso en porcelanato</t>
        </is>
      </c>
      <c r="F73" s="285" t="n"/>
      <c r="G73" s="285" t="n"/>
      <c r="H73" s="285" t="n"/>
      <c r="I73" s="283" t="inlineStr">
        <is>
          <t>m²</t>
        </is>
      </c>
      <c r="J73" s="1469" t="n"/>
      <c r="K73" s="1438" t="n">
        <v>0</v>
      </c>
      <c r="L73" s="1438" t="n">
        <v>0</v>
      </c>
      <c r="M73" s="1438" t="n">
        <v>0</v>
      </c>
      <c r="N73" s="1438" t="n">
        <v>0</v>
      </c>
      <c r="O73" s="1438" t="n">
        <v>1</v>
      </c>
      <c r="P73" s="1438" t="n">
        <v>1</v>
      </c>
      <c r="Q73" s="1438" t="n">
        <v>1</v>
      </c>
      <c r="R73" s="1438" t="n">
        <v>0</v>
      </c>
      <c r="S73" s="1303" t="n">
        <v>0</v>
      </c>
      <c r="T73" s="1438">
        <f>IF(I73="","",ROUND(IF(OR(I73="m²",I73="m2"),K73*IF(L73=0,1,L73)*IF(O73=0,1,O73)*IF(P73=0,1,P73)*Q73-R73,IF(OR(I73="m³",I73="m3"),K73*L73*M73*IF(O73=0,1,O73)*IF(P73=0,1,P73)*Q73-R73,IF(OR(I73="ml",I73="ML"),K73*IF(O73=0,1,O73)*IF(P73=0,1,P73)*Q73-R73,IF(OR(I73="und",I73="UND"),IF(O73=0,1,O73)*IF(P73=0,1,P73)*Q73-R73,IF(I73="kg",K73*IF(O73=0,1,O73)*IF(P73=0,1,P73)*Q73-R73,IF(OR(I73="gl",I73="GL",I73="gb",I73="GB",I73="Gl",I73="Gb"),IF(O73=0,1,O73)*IF(P73=0,1,P73)*Q73-R73,0)))))),3))</f>
        <v/>
      </c>
      <c r="U73" s="1438">
        <f>IF(T73="","",ROUND(T73*(1+S73),3))</f>
        <v/>
      </c>
      <c r="V73" s="283" t="inlineStr">
        <is>
          <t>m²</t>
        </is>
      </c>
      <c r="W73" s="285" t="n"/>
      <c r="X73" s="285" t="n"/>
      <c r="Y73" s="1469" t="n"/>
      <c r="Z73" s="1304" t="n"/>
      <c r="AA73" s="285" t="inlineStr">
        <is>
          <t>Pendiente</t>
        </is>
      </c>
    </row>
    <row r="74" ht="15" customFormat="1" customHeight="1" s="685">
      <c r="A74" s="280" t="inlineStr">
        <is>
          <t>MQ-066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09.01.04</t>
        </is>
      </c>
      <c r="E74" s="284" t="inlineStr">
        <is>
          <t>Piso vinílico</t>
        </is>
      </c>
      <c r="F74" s="285" t="n"/>
      <c r="G74" s="285" t="n"/>
      <c r="H74" s="285" t="n"/>
      <c r="I74" s="283" t="inlineStr">
        <is>
          <t>m²</t>
        </is>
      </c>
      <c r="J74" s="1469" t="n"/>
      <c r="K74" s="1438" t="n">
        <v>0</v>
      </c>
      <c r="L74" s="1438" t="n">
        <v>0</v>
      </c>
      <c r="M74" s="1438" t="n">
        <v>0</v>
      </c>
      <c r="N74" s="1438" t="n">
        <v>0</v>
      </c>
      <c r="O74" s="1438" t="n">
        <v>1</v>
      </c>
      <c r="P74" s="1438" t="n">
        <v>1</v>
      </c>
      <c r="Q74" s="1438" t="n">
        <v>1</v>
      </c>
      <c r="R74" s="1438" t="n">
        <v>0</v>
      </c>
      <c r="S74" s="1303" t="n">
        <v>0</v>
      </c>
      <c r="T74" s="1438">
        <f>IF(I74="","",ROUND(IF(OR(I74="m²",I74="m2"),K74*IF(L74=0,1,L74)*IF(O74=0,1,O74)*IF(P74=0,1,P74)*Q74-R74,IF(OR(I74="m³",I74="m3"),K74*L74*M74*IF(O74=0,1,O74)*IF(P74=0,1,P74)*Q74-R74,IF(OR(I74="ml",I74="ML"),K74*IF(O74=0,1,O74)*IF(P74=0,1,P74)*Q74-R74,IF(OR(I74="und",I74="UND"),IF(O74=0,1,O74)*IF(P74=0,1,P74)*Q74-R74,IF(I74="kg",K74*IF(O74=0,1,O74)*IF(P74=0,1,P74)*Q74-R74,IF(OR(I74="gl",I74="GL",I74="gb",I74="GB",I74="Gl",I74="Gb"),IF(O74=0,1,O74)*IF(P74=0,1,P74)*Q74-R74,0)))))),3))</f>
        <v/>
      </c>
      <c r="U74" s="1438">
        <f>IF(T74="","",ROUND(T74*(1+S74),3))</f>
        <v/>
      </c>
      <c r="V74" s="283" t="inlineStr">
        <is>
          <t>m²</t>
        </is>
      </c>
      <c r="W74" s="285" t="n"/>
      <c r="X74" s="285" t="n"/>
      <c r="Y74" s="1469" t="n"/>
      <c r="Z74" s="1304" t="n"/>
      <c r="AA74" s="285" t="inlineStr">
        <is>
          <t>Pendiente</t>
        </is>
      </c>
    </row>
    <row r="75" ht="15" customFormat="1" customHeight="1" s="685">
      <c r="A75" s="280" t="inlineStr">
        <is>
          <t>MQ-067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09.01.05</t>
        </is>
      </c>
      <c r="E75" s="284" t="inlineStr">
        <is>
          <t>Piso laminado</t>
        </is>
      </c>
      <c r="F75" s="285" t="n"/>
      <c r="G75" s="285" t="n"/>
      <c r="H75" s="285" t="n"/>
      <c r="I75" s="283" t="inlineStr">
        <is>
          <t>m²</t>
        </is>
      </c>
      <c r="J75" s="1469" t="n"/>
      <c r="K75" s="1438" t="n">
        <v>0</v>
      </c>
      <c r="L75" s="1438" t="n">
        <v>0</v>
      </c>
      <c r="M75" s="1438" t="n">
        <v>0</v>
      </c>
      <c r="N75" s="1438" t="n">
        <v>0</v>
      </c>
      <c r="O75" s="1438" t="n">
        <v>1</v>
      </c>
      <c r="P75" s="1438" t="n">
        <v>1</v>
      </c>
      <c r="Q75" s="1438" t="n">
        <v>1</v>
      </c>
      <c r="R75" s="1438" t="n">
        <v>0</v>
      </c>
      <c r="S75" s="1303" t="n">
        <v>0</v>
      </c>
      <c r="T75" s="1438">
        <f>IF(I75="","",ROUND(IF(OR(I75="m²",I75="m2"),K75*IF(L75=0,1,L75)*IF(O75=0,1,O75)*IF(P75=0,1,P75)*Q75-R75,IF(OR(I75="m³",I75="m3"),K75*L75*M75*IF(O75=0,1,O75)*IF(P75=0,1,P75)*Q75-R75,IF(OR(I75="ml",I75="ML"),K75*IF(O75=0,1,O75)*IF(P75=0,1,P75)*Q75-R75,IF(OR(I75="und",I75="UND"),IF(O75=0,1,O75)*IF(P75=0,1,P75)*Q75-R75,IF(I75="kg",K75*IF(O75=0,1,O75)*IF(P75=0,1,P75)*Q75-R75,IF(OR(I75="gl",I75="GL",I75="gb",I75="GB",I75="Gl",I75="Gb"),IF(O75=0,1,O75)*IF(P75=0,1,P75)*Q75-R75,0)))))),3))</f>
        <v/>
      </c>
      <c r="U75" s="1438">
        <f>IF(T75="","",ROUND(T75*(1+S75),3))</f>
        <v/>
      </c>
      <c r="V75" s="283" t="inlineStr">
        <is>
          <t>m²</t>
        </is>
      </c>
      <c r="W75" s="285" t="n"/>
      <c r="X75" s="285" t="n"/>
      <c r="Y75" s="1469" t="n"/>
      <c r="Z75" s="1304" t="n"/>
      <c r="AA75" s="285" t="inlineStr">
        <is>
          <t>Pendiente</t>
        </is>
      </c>
    </row>
    <row r="76" ht="15" customFormat="1" customHeight="1" s="685">
      <c r="A76" s="280" t="inlineStr">
        <is>
          <t>MQ-068</t>
        </is>
      </c>
      <c r="B76" s="281" t="inlineStr">
        <is>
          <t>PISOS Y ENCHAPES</t>
        </is>
      </c>
      <c r="C76" s="282" t="inlineStr">
        <is>
          <t>Enchapes</t>
        </is>
      </c>
      <c r="D76" s="283" t="inlineStr">
        <is>
          <t>09.02.01</t>
        </is>
      </c>
      <c r="E76" s="284" t="inlineStr">
        <is>
          <t>Enchape cerámico en muros</t>
        </is>
      </c>
      <c r="F76" s="285" t="n"/>
      <c r="G76" s="285" t="n"/>
      <c r="H76" s="285" t="n"/>
      <c r="I76" s="283" t="inlineStr">
        <is>
          <t>m²</t>
        </is>
      </c>
      <c r="J76" s="1469" t="n"/>
      <c r="K76" s="1438" t="n">
        <v>0</v>
      </c>
      <c r="L76" s="1438" t="n">
        <v>0</v>
      </c>
      <c r="M76" s="1438" t="n">
        <v>0</v>
      </c>
      <c r="N76" s="1438" t="n">
        <v>0</v>
      </c>
      <c r="O76" s="1438" t="n">
        <v>1</v>
      </c>
      <c r="P76" s="1438" t="n">
        <v>1</v>
      </c>
      <c r="Q76" s="1438" t="n">
        <v>1</v>
      </c>
      <c r="R76" s="1438" t="n">
        <v>0</v>
      </c>
      <c r="S76" s="1303" t="n">
        <v>0</v>
      </c>
      <c r="T76" s="1438">
        <f>IF(I76="","",ROUND(IF(OR(I76="m²",I76="m2"),K76*IF(L76=0,1,L76)*IF(O76=0,1,O76)*IF(P76=0,1,P76)*Q76-R76,IF(OR(I76="m³",I76="m3"),K76*L76*M76*IF(O76=0,1,O76)*IF(P76=0,1,P76)*Q76-R76,IF(OR(I76="ml",I76="ML"),K76*IF(O76=0,1,O76)*IF(P76=0,1,P76)*Q76-R76,IF(OR(I76="und",I76="UND"),IF(O76=0,1,O76)*IF(P76=0,1,P76)*Q76-R76,IF(I76="kg",K76*IF(O76=0,1,O76)*IF(P76=0,1,P76)*Q76-R76,IF(OR(I76="gl",I76="GL",I76="gb",I76="GB",I76="Gl",I76="Gb"),IF(O76=0,1,O76)*IF(P76=0,1,P76)*Q76-R76,0)))))),3))</f>
        <v/>
      </c>
      <c r="U76" s="1438">
        <f>IF(T76="","",ROUND(T76*(1+S76),3))</f>
        <v/>
      </c>
      <c r="V76" s="283" t="inlineStr">
        <is>
          <t>m²</t>
        </is>
      </c>
      <c r="W76" s="285" t="n"/>
      <c r="X76" s="285" t="n"/>
      <c r="Y76" s="1469" t="n"/>
      <c r="Z76" s="1304" t="n"/>
      <c r="AA76" s="285" t="inlineStr">
        <is>
          <t>Pendiente</t>
        </is>
      </c>
    </row>
    <row r="77" ht="15" customFormat="1" customHeight="1" s="685">
      <c r="A77" s="280" t="inlineStr">
        <is>
          <t>MQ-069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09.02.02</t>
        </is>
      </c>
      <c r="E77" s="284" t="inlineStr">
        <is>
          <t>Guardaescoba</t>
        </is>
      </c>
      <c r="F77" s="285" t="n"/>
      <c r="G77" s="285" t="n"/>
      <c r="H77" s="285" t="n"/>
      <c r="I77" s="283" t="inlineStr">
        <is>
          <t>ml</t>
        </is>
      </c>
      <c r="J77" s="1469" t="n"/>
      <c r="K77" s="1438" t="n">
        <v>0</v>
      </c>
      <c r="L77" s="1438" t="n">
        <v>0</v>
      </c>
      <c r="M77" s="1438" t="n">
        <v>0</v>
      </c>
      <c r="N77" s="1438" t="n">
        <v>0</v>
      </c>
      <c r="O77" s="1438" t="n">
        <v>1</v>
      </c>
      <c r="P77" s="1438" t="n">
        <v>1</v>
      </c>
      <c r="Q77" s="1438" t="n">
        <v>1</v>
      </c>
      <c r="R77" s="1438" t="n">
        <v>0</v>
      </c>
      <c r="S77" s="1303" t="n">
        <v>0</v>
      </c>
      <c r="T77" s="1438">
        <f>IF(I77="","",ROUND(IF(OR(I77="m²",I77="m2"),K77*IF(L77=0,1,L77)*IF(O77=0,1,O77)*IF(P77=0,1,P77)*Q77-R77,IF(OR(I77="m³",I77="m3"),K77*L77*M77*IF(O77=0,1,O77)*IF(P77=0,1,P77)*Q77-R77,IF(OR(I77="ml",I77="ML"),K77*IF(O77=0,1,O77)*IF(P77=0,1,P77)*Q77-R77,IF(OR(I77="und",I77="UND"),IF(O77=0,1,O77)*IF(P77=0,1,P77)*Q77-R77,IF(I77="kg",K77*IF(O77=0,1,O77)*IF(P77=0,1,P77)*Q77-R77,IF(OR(I77="gl",I77="GL",I77="gb",I77="GB",I77="Gl",I77="Gb"),IF(O77=0,1,O77)*IF(P77=0,1,P77)*Q77-R77,0)))))),3))</f>
        <v/>
      </c>
      <c r="U77" s="1438">
        <f>IF(T77="","",ROUND(T77*(1+S77),3))</f>
        <v/>
      </c>
      <c r="V77" s="283" t="inlineStr">
        <is>
          <t>ml</t>
        </is>
      </c>
      <c r="W77" s="285" t="n"/>
      <c r="X77" s="285" t="n"/>
      <c r="Y77" s="1469" t="n"/>
      <c r="Z77" s="1304" t="n"/>
      <c r="AA77" s="285" t="inlineStr">
        <is>
          <t>Pendiente</t>
        </is>
      </c>
    </row>
    <row r="78" ht="15" customFormat="1" customHeight="1" s="685">
      <c r="A78" s="280" t="inlineStr">
        <is>
          <t>MQ-070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09.02.03</t>
        </is>
      </c>
      <c r="E78" s="284" t="inlineStr">
        <is>
          <t>Juntas de dilatación / construcción</t>
        </is>
      </c>
      <c r="F78" s="285" t="n"/>
      <c r="G78" s="285" t="n"/>
      <c r="H78" s="285" t="n"/>
      <c r="I78" s="283" t="inlineStr">
        <is>
          <t>ml</t>
        </is>
      </c>
      <c r="J78" s="1469" t="n"/>
      <c r="K78" s="1438" t="n">
        <v>0</v>
      </c>
      <c r="L78" s="1438" t="n">
        <v>0</v>
      </c>
      <c r="M78" s="1438" t="n">
        <v>0</v>
      </c>
      <c r="N78" s="1438" t="n">
        <v>0</v>
      </c>
      <c r="O78" s="1438" t="n">
        <v>1</v>
      </c>
      <c r="P78" s="1438" t="n">
        <v>1</v>
      </c>
      <c r="Q78" s="1438" t="n">
        <v>1</v>
      </c>
      <c r="R78" s="1438" t="n">
        <v>0</v>
      </c>
      <c r="S78" s="1303" t="n">
        <v>0</v>
      </c>
      <c r="T78" s="1438">
        <f>IF(I78="","",ROUND(IF(OR(I78="m²",I78="m2"),K78*IF(L78=0,1,L78)*IF(O78=0,1,O78)*IF(P78=0,1,P78)*Q78-R78,IF(OR(I78="m³",I78="m3"),K78*L78*M78*IF(O78=0,1,O78)*IF(P78=0,1,P78)*Q78-R78,IF(OR(I78="ml",I78="ML"),K78*IF(O78=0,1,O78)*IF(P78=0,1,P78)*Q78-R78,IF(OR(I78="und",I78="UND"),IF(O78=0,1,O78)*IF(P78=0,1,P78)*Q78-R78,IF(I78="kg",K78*IF(O78=0,1,O78)*IF(P78=0,1,P78)*Q78-R78,IF(OR(I78="gl",I78="GL",I78="gb",I78="GB",I78="Gl",I78="Gb"),IF(O78=0,1,O78)*IF(P78=0,1,P78)*Q78-R78,0)))))),3))</f>
        <v/>
      </c>
      <c r="U78" s="1438">
        <f>IF(T78="","",ROUND(T78*(1+S78),3))</f>
        <v/>
      </c>
      <c r="V78" s="283" t="inlineStr">
        <is>
          <t>ml</t>
        </is>
      </c>
      <c r="W78" s="285" t="n"/>
      <c r="X78" s="285" t="n"/>
      <c r="Y78" s="1469" t="n"/>
      <c r="Z78" s="1304" t="n"/>
      <c r="AA78" s="285" t="inlineStr">
        <is>
          <t>Pendiente</t>
        </is>
      </c>
    </row>
    <row r="79" ht="15" customFormat="1" customHeight="1" s="685">
      <c r="A79" s="280" t="inlineStr">
        <is>
          <t>MQ-071</t>
        </is>
      </c>
      <c r="B79" s="281" t="inlineStr">
        <is>
          <t>PINTURA</t>
        </is>
      </c>
      <c r="C79" s="282" t="inlineStr">
        <is>
          <t>Pintura</t>
        </is>
      </c>
      <c r="D79" s="283" t="inlineStr">
        <is>
          <t>10.01.01</t>
        </is>
      </c>
      <c r="E79" s="284" t="inlineStr">
        <is>
          <t>Pintura vinílica interior</t>
        </is>
      </c>
      <c r="F79" s="285" t="n"/>
      <c r="G79" s="285" t="n"/>
      <c r="H79" s="285" t="n"/>
      <c r="I79" s="283" t="inlineStr">
        <is>
          <t>m²</t>
        </is>
      </c>
      <c r="J79" s="1469" t="n"/>
      <c r="K79" s="1438" t="n">
        <v>0</v>
      </c>
      <c r="L79" s="1438" t="n">
        <v>0</v>
      </c>
      <c r="M79" s="1438" t="n">
        <v>0</v>
      </c>
      <c r="N79" s="1438" t="n">
        <v>0</v>
      </c>
      <c r="O79" s="1438" t="n">
        <v>1</v>
      </c>
      <c r="P79" s="1438" t="n">
        <v>1</v>
      </c>
      <c r="Q79" s="1438" t="n">
        <v>1</v>
      </c>
      <c r="R79" s="1438" t="n">
        <v>0</v>
      </c>
      <c r="S79" s="1303" t="n">
        <v>0</v>
      </c>
      <c r="T79" s="1438">
        <f>IF(I79="","",ROUND(IF(OR(I79="m²",I79="m2"),K79*IF(L79=0,1,L79)*IF(O79=0,1,O79)*IF(P79=0,1,P79)*Q79-R79,IF(OR(I79="m³",I79="m3"),K79*L79*M79*IF(O79=0,1,O79)*IF(P79=0,1,P79)*Q79-R79,IF(OR(I79="ml",I79="ML"),K79*IF(O79=0,1,O79)*IF(P79=0,1,P79)*Q79-R79,IF(OR(I79="und",I79="UND"),IF(O79=0,1,O79)*IF(P79=0,1,P79)*Q79-R79,IF(I79="kg",K79*IF(O79=0,1,O79)*IF(P79=0,1,P79)*Q79-R79,IF(OR(I79="gl",I79="GL",I79="gb",I79="GB",I79="Gl",I79="Gb"),IF(O79=0,1,O79)*IF(P79=0,1,P79)*Q79-R79,0)))))),3))</f>
        <v/>
      </c>
      <c r="U79" s="1438">
        <f>IF(T79="","",ROUND(T79*(1+S79),3))</f>
        <v/>
      </c>
      <c r="V79" s="283" t="inlineStr">
        <is>
          <t>m²</t>
        </is>
      </c>
      <c r="W79" s="285" t="n"/>
      <c r="X79" s="285" t="n"/>
      <c r="Y79" s="1469" t="n"/>
      <c r="Z79" s="1304" t="n"/>
      <c r="AA79" s="285" t="inlineStr">
        <is>
          <t>Pendiente</t>
        </is>
      </c>
    </row>
    <row r="80" ht="15" customFormat="1" customHeight="1" s="685">
      <c r="A80" s="280" t="inlineStr">
        <is>
          <t>MQ-072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10.01.02</t>
        </is>
      </c>
      <c r="E80" s="284" t="inlineStr">
        <is>
          <t>Pintura exterior</t>
        </is>
      </c>
      <c r="F80" s="285" t="n"/>
      <c r="G80" s="285" t="n"/>
      <c r="H80" s="285" t="n"/>
      <c r="I80" s="283" t="inlineStr">
        <is>
          <t>m²</t>
        </is>
      </c>
      <c r="J80" s="1469" t="n"/>
      <c r="K80" s="1438" t="n">
        <v>0</v>
      </c>
      <c r="L80" s="1438" t="n">
        <v>0</v>
      </c>
      <c r="M80" s="1438" t="n">
        <v>0</v>
      </c>
      <c r="N80" s="1438" t="n">
        <v>0</v>
      </c>
      <c r="O80" s="1438" t="n">
        <v>1</v>
      </c>
      <c r="P80" s="1438" t="n">
        <v>1</v>
      </c>
      <c r="Q80" s="1438" t="n">
        <v>1</v>
      </c>
      <c r="R80" s="1438" t="n">
        <v>0</v>
      </c>
      <c r="S80" s="1303" t="n">
        <v>0</v>
      </c>
      <c r="T80" s="1438">
        <f>IF(I80="","",ROUND(IF(OR(I80="m²",I80="m2"),K80*IF(L80=0,1,L80)*IF(O80=0,1,O80)*IF(P80=0,1,P80)*Q80-R80,IF(OR(I80="m³",I80="m3"),K80*L80*M80*IF(O80=0,1,O80)*IF(P80=0,1,P80)*Q80-R80,IF(OR(I80="ml",I80="ML"),K80*IF(O80=0,1,O80)*IF(P80=0,1,P80)*Q80-R80,IF(OR(I80="und",I80="UND"),IF(O80=0,1,O80)*IF(P80=0,1,P80)*Q80-R80,IF(I80="kg",K80*IF(O80=0,1,O80)*IF(P80=0,1,P80)*Q80-R80,IF(OR(I80="gl",I80="GL",I80="gb",I80="GB",I80="Gl",I80="Gb"),IF(O80=0,1,O80)*IF(P80=0,1,P80)*Q80-R80,0)))))),3))</f>
        <v/>
      </c>
      <c r="U80" s="1438">
        <f>IF(T80="","",ROUND(T80*(1+S80),3))</f>
        <v/>
      </c>
      <c r="V80" s="283" t="inlineStr">
        <is>
          <t>m²</t>
        </is>
      </c>
      <c r="W80" s="285" t="n"/>
      <c r="X80" s="285" t="n"/>
      <c r="Y80" s="1469" t="n"/>
      <c r="Z80" s="1304" t="n"/>
      <c r="AA80" s="285" t="inlineStr">
        <is>
          <t>Pendiente</t>
        </is>
      </c>
    </row>
    <row r="81" ht="15" customFormat="1" customHeight="1" s="685">
      <c r="A81" s="280" t="inlineStr">
        <is>
          <t>MQ-073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10.01.03</t>
        </is>
      </c>
      <c r="E81" s="284" t="inlineStr">
        <is>
          <t>Pintura esmalte en superficies metálicas/madera</t>
        </is>
      </c>
      <c r="F81" s="285" t="n"/>
      <c r="G81" s="285" t="n"/>
      <c r="H81" s="285" t="n"/>
      <c r="I81" s="283" t="inlineStr">
        <is>
          <t>m²</t>
        </is>
      </c>
      <c r="J81" s="1469" t="n"/>
      <c r="K81" s="1438" t="n">
        <v>0</v>
      </c>
      <c r="L81" s="1438" t="n">
        <v>0</v>
      </c>
      <c r="M81" s="1438" t="n">
        <v>0</v>
      </c>
      <c r="N81" s="1438" t="n">
        <v>0</v>
      </c>
      <c r="O81" s="1438" t="n">
        <v>1</v>
      </c>
      <c r="P81" s="1438" t="n">
        <v>1</v>
      </c>
      <c r="Q81" s="1438" t="n">
        <v>1</v>
      </c>
      <c r="R81" s="1438" t="n">
        <v>0</v>
      </c>
      <c r="S81" s="1303" t="n">
        <v>0</v>
      </c>
      <c r="T81" s="1438">
        <f>IF(I81="","",ROUND(IF(OR(I81="m²",I81="m2"),K81*IF(L81=0,1,L81)*IF(O81=0,1,O81)*IF(P81=0,1,P81)*Q81-R81,IF(OR(I81="m³",I81="m3"),K81*L81*M81*IF(O81=0,1,O81)*IF(P81=0,1,P81)*Q81-R81,IF(OR(I81="ml",I81="ML"),K81*IF(O81=0,1,O81)*IF(P81=0,1,P81)*Q81-R81,IF(OR(I81="und",I81="UND"),IF(O81=0,1,O81)*IF(P81=0,1,P81)*Q81-R81,IF(I81="kg",K81*IF(O81=0,1,O81)*IF(P81=0,1,P81)*Q81-R81,IF(OR(I81="gl",I81="GL",I81="gb",I81="GB",I81="Gl",I81="Gb"),IF(O81=0,1,O81)*IF(P81=0,1,P81)*Q81-R81,0)))))),3))</f>
        <v/>
      </c>
      <c r="U81" s="1438">
        <f>IF(T81="","",ROUND(T81*(1+S81),3))</f>
        <v/>
      </c>
      <c r="V81" s="283" t="inlineStr">
        <is>
          <t>m²</t>
        </is>
      </c>
      <c r="W81" s="285" t="n"/>
      <c r="X81" s="285" t="n"/>
      <c r="Y81" s="1469" t="n"/>
      <c r="Z81" s="1304" t="n"/>
      <c r="AA81" s="285" t="inlineStr">
        <is>
          <t>Pendiente</t>
        </is>
      </c>
    </row>
    <row r="82" ht="15" customFormat="1" customHeight="1" s="685">
      <c r="A82" s="280" t="inlineStr">
        <is>
          <t>MQ-074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10.01.04</t>
        </is>
      </c>
      <c r="E82" s="284" t="inlineStr">
        <is>
          <t>Pintura anticorrosiva</t>
        </is>
      </c>
      <c r="F82" s="285" t="n"/>
      <c r="G82" s="285" t="n"/>
      <c r="H82" s="285" t="n"/>
      <c r="I82" s="283" t="inlineStr">
        <is>
          <t>m²</t>
        </is>
      </c>
      <c r="J82" s="1469" t="n"/>
      <c r="K82" s="1438" t="n">
        <v>0</v>
      </c>
      <c r="L82" s="1438" t="n">
        <v>0</v>
      </c>
      <c r="M82" s="1438" t="n">
        <v>0</v>
      </c>
      <c r="N82" s="1438" t="n">
        <v>0</v>
      </c>
      <c r="O82" s="1438" t="n">
        <v>1</v>
      </c>
      <c r="P82" s="1438" t="n">
        <v>1</v>
      </c>
      <c r="Q82" s="1438" t="n">
        <v>1</v>
      </c>
      <c r="R82" s="1438" t="n">
        <v>0</v>
      </c>
      <c r="S82" s="1303" t="n">
        <v>0</v>
      </c>
      <c r="T82" s="1438">
        <f>IF(I82="","",ROUND(IF(OR(I82="m²",I82="m2"),K82*IF(L82=0,1,L82)*IF(O82=0,1,O82)*IF(P82=0,1,P82)*Q82-R82,IF(OR(I82="m³",I82="m3"),K82*L82*M82*IF(O82=0,1,O82)*IF(P82=0,1,P82)*Q82-R82,IF(OR(I82="ml",I82="ML"),K82*IF(O82=0,1,O82)*IF(P82=0,1,P82)*Q82-R82,IF(OR(I82="und",I82="UND"),IF(O82=0,1,O82)*IF(P82=0,1,P82)*Q82-R82,IF(I82="kg",K82*IF(O82=0,1,O82)*IF(P82=0,1,P82)*Q82-R82,IF(OR(I82="gl",I82="GL",I82="gb",I82="GB",I82="Gl",I82="Gb"),IF(O82=0,1,O82)*IF(P82=0,1,P82)*Q82-R82,0)))))),3))</f>
        <v/>
      </c>
      <c r="U82" s="1438">
        <f>IF(T82="","",ROUND(T82*(1+S82),3))</f>
        <v/>
      </c>
      <c r="V82" s="283" t="inlineStr">
        <is>
          <t>m²</t>
        </is>
      </c>
      <c r="W82" s="285" t="n"/>
      <c r="X82" s="285" t="n"/>
      <c r="Y82" s="1469" t="n"/>
      <c r="Z82" s="1304" t="n"/>
      <c r="AA82" s="285" t="inlineStr">
        <is>
          <t>Pendiente</t>
        </is>
      </c>
    </row>
    <row r="83" ht="15" customFormat="1" customHeight="1" s="685">
      <c r="A83" s="280" t="inlineStr">
        <is>
          <t>MQ-075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10.01.05</t>
        </is>
      </c>
      <c r="E83" s="284" t="inlineStr">
        <is>
          <t>Sellador / imprimante</t>
        </is>
      </c>
      <c r="F83" s="285" t="n"/>
      <c r="G83" s="285" t="n"/>
      <c r="H83" s="285" t="n"/>
      <c r="I83" s="283" t="inlineStr">
        <is>
          <t>m²</t>
        </is>
      </c>
      <c r="J83" s="1469" t="n"/>
      <c r="K83" s="1438" t="n">
        <v>0</v>
      </c>
      <c r="L83" s="1438" t="n">
        <v>0</v>
      </c>
      <c r="M83" s="1438" t="n">
        <v>0</v>
      </c>
      <c r="N83" s="1438" t="n">
        <v>0</v>
      </c>
      <c r="O83" s="1438" t="n">
        <v>1</v>
      </c>
      <c r="P83" s="1438" t="n">
        <v>1</v>
      </c>
      <c r="Q83" s="1438" t="n">
        <v>1</v>
      </c>
      <c r="R83" s="1438" t="n">
        <v>0</v>
      </c>
      <c r="S83" s="1303" t="n">
        <v>0</v>
      </c>
      <c r="T83" s="1438">
        <f>IF(I83="","",ROUND(IF(OR(I83="m²",I83="m2"),K83*IF(L83=0,1,L83)*IF(O83=0,1,O83)*IF(P83=0,1,P83)*Q83-R83,IF(OR(I83="m³",I83="m3"),K83*L83*M83*IF(O83=0,1,O83)*IF(P83=0,1,P83)*Q83-R83,IF(OR(I83="ml",I83="ML"),K83*IF(O83=0,1,O83)*IF(P83=0,1,P83)*Q83-R83,IF(OR(I83="und",I83="UND"),IF(O83=0,1,O83)*IF(P83=0,1,P83)*Q83-R83,IF(I83="kg",K83*IF(O83=0,1,O83)*IF(P83=0,1,P83)*Q83-R83,IF(OR(I83="gl",I83="GL",I83="gb",I83="GB",I83="Gl",I83="Gb"),IF(O83=0,1,O83)*IF(P83=0,1,P83)*Q83-R83,0)))))),3))</f>
        <v/>
      </c>
      <c r="U83" s="1438">
        <f>IF(T83="","",ROUND(T83*(1+S83),3))</f>
        <v/>
      </c>
      <c r="V83" s="283" t="inlineStr">
        <is>
          <t>m²</t>
        </is>
      </c>
      <c r="W83" s="285" t="n"/>
      <c r="X83" s="285" t="n"/>
      <c r="Y83" s="1469" t="n"/>
      <c r="Z83" s="1304" t="n"/>
      <c r="AA83" s="285" t="inlineStr">
        <is>
          <t>Pendiente</t>
        </is>
      </c>
    </row>
    <row r="84" ht="15" customFormat="1" customHeight="1" s="685">
      <c r="A84" s="280" t="inlineStr">
        <is>
          <t>MQ-076</t>
        </is>
      </c>
      <c r="B84" s="281" t="inlineStr">
        <is>
          <t>CARPINTERÍA</t>
        </is>
      </c>
      <c r="C84" s="282" t="inlineStr">
        <is>
          <t>Madera</t>
        </is>
      </c>
      <c r="D84" s="283" t="inlineStr">
        <is>
          <t>11.01.01</t>
        </is>
      </c>
      <c r="E84" s="284" t="inlineStr">
        <is>
          <t>Puertas de madera</t>
        </is>
      </c>
      <c r="F84" s="285" t="n"/>
      <c r="G84" s="285" t="n"/>
      <c r="H84" s="285" t="n"/>
      <c r="I84" s="283" t="inlineStr">
        <is>
          <t>und</t>
        </is>
      </c>
      <c r="J84" s="1469" t="n"/>
      <c r="K84" s="1438" t="n">
        <v>0</v>
      </c>
      <c r="L84" s="1438" t="n">
        <v>0</v>
      </c>
      <c r="M84" s="1438" t="n">
        <v>0</v>
      </c>
      <c r="N84" s="1438" t="n">
        <v>0</v>
      </c>
      <c r="O84" s="1438" t="n">
        <v>1</v>
      </c>
      <c r="P84" s="1438" t="n">
        <v>1</v>
      </c>
      <c r="Q84" s="1438" t="n">
        <v>1</v>
      </c>
      <c r="R84" s="1438" t="n">
        <v>0</v>
      </c>
      <c r="S84" s="1303" t="n">
        <v>0</v>
      </c>
      <c r="T84" s="1438">
        <f>IF(I84="","",ROUND(IF(OR(I84="m²",I84="m2"),K84*IF(L84=0,1,L84)*IF(O84=0,1,O84)*IF(P84=0,1,P84)*Q84-R84,IF(OR(I84="m³",I84="m3"),K84*L84*M84*IF(O84=0,1,O84)*IF(P84=0,1,P84)*Q84-R84,IF(OR(I84="ml",I84="ML"),K84*IF(O84=0,1,O84)*IF(P84=0,1,P84)*Q84-R84,IF(OR(I84="und",I84="UND"),IF(O84=0,1,O84)*IF(P84=0,1,P84)*Q84-R84,IF(I84="kg",K84*IF(O84=0,1,O84)*IF(P84=0,1,P84)*Q84-R84,IF(OR(I84="gl",I84="GL",I84="gb",I84="GB",I84="Gl",I84="Gb"),IF(O84=0,1,O84)*IF(P84=0,1,P84)*Q84-R84,0)))))),3))</f>
        <v/>
      </c>
      <c r="U84" s="1438">
        <f>IF(T84="","",ROUND(T84*(1+S84),3))</f>
        <v/>
      </c>
      <c r="V84" s="283" t="inlineStr">
        <is>
          <t>und</t>
        </is>
      </c>
      <c r="W84" s="285" t="n"/>
      <c r="X84" s="285" t="n"/>
      <c r="Y84" s="1469" t="n"/>
      <c r="Z84" s="1304" t="n"/>
      <c r="AA84" s="285" t="inlineStr">
        <is>
          <t>Pendiente</t>
        </is>
      </c>
    </row>
    <row r="85" ht="15" customFormat="1" customHeight="1" s="685">
      <c r="A85" s="280" t="inlineStr">
        <is>
          <t>MQ-077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11.01.02</t>
        </is>
      </c>
      <c r="E85" s="284" t="inlineStr">
        <is>
          <t>Muebles fijos de madera</t>
        </is>
      </c>
      <c r="F85" s="285" t="n"/>
      <c r="G85" s="285" t="n"/>
      <c r="H85" s="285" t="n"/>
      <c r="I85" s="283" t="inlineStr">
        <is>
          <t>ml</t>
        </is>
      </c>
      <c r="J85" s="1469" t="n"/>
      <c r="K85" s="1438" t="n">
        <v>0</v>
      </c>
      <c r="L85" s="1438" t="n">
        <v>0</v>
      </c>
      <c r="M85" s="1438" t="n">
        <v>0</v>
      </c>
      <c r="N85" s="1438" t="n">
        <v>0</v>
      </c>
      <c r="O85" s="1438" t="n">
        <v>1</v>
      </c>
      <c r="P85" s="1438" t="n">
        <v>1</v>
      </c>
      <c r="Q85" s="1438" t="n">
        <v>1</v>
      </c>
      <c r="R85" s="1438" t="n">
        <v>0</v>
      </c>
      <c r="S85" s="1303" t="n">
        <v>0</v>
      </c>
      <c r="T85" s="1438">
        <f>IF(I85="","",ROUND(IF(OR(I85="m²",I85="m2"),K85*IF(L85=0,1,L85)*IF(O85=0,1,O85)*IF(P85=0,1,P85)*Q85-R85,IF(OR(I85="m³",I85="m3"),K85*L85*M85*IF(O85=0,1,O85)*IF(P85=0,1,P85)*Q85-R85,IF(OR(I85="ml",I85="ML"),K85*IF(O85=0,1,O85)*IF(P85=0,1,P85)*Q85-R85,IF(OR(I85="und",I85="UND"),IF(O85=0,1,O85)*IF(P85=0,1,P85)*Q85-R85,IF(I85="kg",K85*IF(O85=0,1,O85)*IF(P85=0,1,P85)*Q85-R85,IF(OR(I85="gl",I85="GL",I85="gb",I85="GB",I85="Gl",I85="Gb"),IF(O85=0,1,O85)*IF(P85=0,1,P85)*Q85-R85,0)))))),3))</f>
        <v/>
      </c>
      <c r="U85" s="1438">
        <f>IF(T85="","",ROUND(T85*(1+S85),3))</f>
        <v/>
      </c>
      <c r="V85" s="283" t="inlineStr">
        <is>
          <t>ml</t>
        </is>
      </c>
      <c r="W85" s="285" t="n"/>
      <c r="X85" s="285" t="n"/>
      <c r="Y85" s="1469" t="n"/>
      <c r="Z85" s="1304" t="n"/>
      <c r="AA85" s="285" t="inlineStr">
        <is>
          <t>Pendiente</t>
        </is>
      </c>
    </row>
    <row r="86" ht="15" customFormat="1" customHeight="1" s="685">
      <c r="A86" s="280" t="inlineStr">
        <is>
          <t>MQ-078</t>
        </is>
      </c>
      <c r="B86" s="281" t="inlineStr">
        <is>
          <t>CARPINTERÍA</t>
        </is>
      </c>
      <c r="C86" s="282" t="inlineStr">
        <is>
          <t>Metálica</t>
        </is>
      </c>
      <c r="D86" s="283" t="inlineStr">
        <is>
          <t>11.02.01</t>
        </is>
      </c>
      <c r="E86" s="284" t="inlineStr">
        <is>
          <t>Puertas metálicas</t>
        </is>
      </c>
      <c r="F86" s="285" t="n"/>
      <c r="G86" s="285" t="n"/>
      <c r="H86" s="285" t="n"/>
      <c r="I86" s="283" t="inlineStr">
        <is>
          <t>und</t>
        </is>
      </c>
      <c r="J86" s="1469" t="n"/>
      <c r="K86" s="1438" t="n">
        <v>0</v>
      </c>
      <c r="L86" s="1438" t="n">
        <v>0</v>
      </c>
      <c r="M86" s="1438" t="n">
        <v>0</v>
      </c>
      <c r="N86" s="1438" t="n">
        <v>0</v>
      </c>
      <c r="O86" s="1438" t="n">
        <v>1</v>
      </c>
      <c r="P86" s="1438" t="n">
        <v>1</v>
      </c>
      <c r="Q86" s="1438" t="n">
        <v>1</v>
      </c>
      <c r="R86" s="1438" t="n">
        <v>0</v>
      </c>
      <c r="S86" s="1303" t="n">
        <v>0</v>
      </c>
      <c r="T86" s="1438">
        <f>IF(I86="","",ROUND(IF(OR(I86="m²",I86="m2"),K86*IF(L86=0,1,L86)*IF(O86=0,1,O86)*IF(P86=0,1,P86)*Q86-R86,IF(OR(I86="m³",I86="m3"),K86*L86*M86*IF(O86=0,1,O86)*IF(P86=0,1,P86)*Q86-R86,IF(OR(I86="ml",I86="ML"),K86*IF(O86=0,1,O86)*IF(P86=0,1,P86)*Q86-R86,IF(OR(I86="und",I86="UND"),IF(O86=0,1,O86)*IF(P86=0,1,P86)*Q86-R86,IF(I86="kg",K86*IF(O86=0,1,O86)*IF(P86=0,1,P86)*Q86-R86,IF(OR(I86="gl",I86="GL",I86="gb",I86="GB",I86="Gl",I86="Gb"),IF(O86=0,1,O86)*IF(P86=0,1,P86)*Q86-R86,0)))))),3))</f>
        <v/>
      </c>
      <c r="U86" s="1438">
        <f>IF(T86="","",ROUND(T86*(1+S86),3))</f>
        <v/>
      </c>
      <c r="V86" s="283" t="inlineStr">
        <is>
          <t>und</t>
        </is>
      </c>
      <c r="W86" s="285" t="n"/>
      <c r="X86" s="285" t="n"/>
      <c r="Y86" s="1469" t="n"/>
      <c r="Z86" s="1304" t="n"/>
      <c r="AA86" s="285" t="inlineStr">
        <is>
          <t>Pendiente</t>
        </is>
      </c>
    </row>
    <row r="87" ht="15" customFormat="1" customHeight="1" s="685">
      <c r="A87" s="280" t="inlineStr">
        <is>
          <t>MQ-079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11.02.02</t>
        </is>
      </c>
      <c r="E87" s="284" t="inlineStr">
        <is>
          <t>Barandas metálicas</t>
        </is>
      </c>
      <c r="F87" s="285" t="n"/>
      <c r="G87" s="285" t="n"/>
      <c r="H87" s="285" t="n"/>
      <c r="I87" s="283" t="inlineStr">
        <is>
          <t>ml</t>
        </is>
      </c>
      <c r="J87" s="1469" t="n"/>
      <c r="K87" s="1438" t="n">
        <v>0</v>
      </c>
      <c r="L87" s="1438" t="n">
        <v>0</v>
      </c>
      <c r="M87" s="1438" t="n">
        <v>0</v>
      </c>
      <c r="N87" s="1438" t="n">
        <v>0</v>
      </c>
      <c r="O87" s="1438" t="n">
        <v>1</v>
      </c>
      <c r="P87" s="1438" t="n">
        <v>1</v>
      </c>
      <c r="Q87" s="1438" t="n">
        <v>1</v>
      </c>
      <c r="R87" s="1438" t="n">
        <v>0</v>
      </c>
      <c r="S87" s="1303" t="n">
        <v>0</v>
      </c>
      <c r="T87" s="1438">
        <f>IF(I87="","",ROUND(IF(OR(I87="m²",I87="m2"),K87*IF(L87=0,1,L87)*IF(O87=0,1,O87)*IF(P87=0,1,P87)*Q87-R87,IF(OR(I87="m³",I87="m3"),K87*L87*M87*IF(O87=0,1,O87)*IF(P87=0,1,P87)*Q87-R87,IF(OR(I87="ml",I87="ML"),K87*IF(O87=0,1,O87)*IF(P87=0,1,P87)*Q87-R87,IF(OR(I87="und",I87="UND"),IF(O87=0,1,O87)*IF(P87=0,1,P87)*Q87-R87,IF(I87="kg",K87*IF(O87=0,1,O87)*IF(P87=0,1,P87)*Q87-R87,IF(OR(I87="gl",I87="GL",I87="gb",I87="GB",I87="Gl",I87="Gb"),IF(O87=0,1,O87)*IF(P87=0,1,P87)*Q87-R87,0)))))),3))</f>
        <v/>
      </c>
      <c r="U87" s="1438">
        <f>IF(T87="","",ROUND(T87*(1+S87),3))</f>
        <v/>
      </c>
      <c r="V87" s="283" t="inlineStr">
        <is>
          <t>ml</t>
        </is>
      </c>
      <c r="W87" s="285" t="n"/>
      <c r="X87" s="285" t="n"/>
      <c r="Y87" s="1469" t="n"/>
      <c r="Z87" s="1304" t="n"/>
      <c r="AA87" s="285" t="inlineStr">
        <is>
          <t>Pendiente</t>
        </is>
      </c>
    </row>
    <row r="88" ht="15" customFormat="1" customHeight="1" s="685">
      <c r="A88" s="280" t="inlineStr">
        <is>
          <t>MQ-080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11.02.03</t>
        </is>
      </c>
      <c r="E88" s="284" t="inlineStr">
        <is>
          <t>Pasamanos</t>
        </is>
      </c>
      <c r="F88" s="285" t="n"/>
      <c r="G88" s="285" t="n"/>
      <c r="H88" s="285" t="n"/>
      <c r="I88" s="283" t="inlineStr">
        <is>
          <t>ml</t>
        </is>
      </c>
      <c r="J88" s="1469" t="n"/>
      <c r="K88" s="1438" t="n">
        <v>0</v>
      </c>
      <c r="L88" s="1438" t="n">
        <v>0</v>
      </c>
      <c r="M88" s="1438" t="n">
        <v>0</v>
      </c>
      <c r="N88" s="1438" t="n">
        <v>0</v>
      </c>
      <c r="O88" s="1438" t="n">
        <v>1</v>
      </c>
      <c r="P88" s="1438" t="n">
        <v>1</v>
      </c>
      <c r="Q88" s="1438" t="n">
        <v>1</v>
      </c>
      <c r="R88" s="1438" t="n">
        <v>0</v>
      </c>
      <c r="S88" s="1303" t="n">
        <v>0</v>
      </c>
      <c r="T88" s="1438">
        <f>IF(I88="","",ROUND(IF(OR(I88="m²",I88="m2"),K88*IF(L88=0,1,L88)*IF(O88=0,1,O88)*IF(P88=0,1,P88)*Q88-R88,IF(OR(I88="m³",I88="m3"),K88*L88*M88*IF(O88=0,1,O88)*IF(P88=0,1,P88)*Q88-R88,IF(OR(I88="ml",I88="ML"),K88*IF(O88=0,1,O88)*IF(P88=0,1,P88)*Q88-R88,IF(OR(I88="und",I88="UND"),IF(O88=0,1,O88)*IF(P88=0,1,P88)*Q88-R88,IF(I88="kg",K88*IF(O88=0,1,O88)*IF(P88=0,1,P88)*Q88-R88,IF(OR(I88="gl",I88="GL",I88="gb",I88="GB",I88="Gl",I88="Gb"),IF(O88=0,1,O88)*IF(P88=0,1,P88)*Q88-R88,0)))))),3))</f>
        <v/>
      </c>
      <c r="U88" s="1438">
        <f>IF(T88="","",ROUND(T88*(1+S88),3))</f>
        <v/>
      </c>
      <c r="V88" s="283" t="inlineStr">
        <is>
          <t>ml</t>
        </is>
      </c>
      <c r="W88" s="285" t="n"/>
      <c r="X88" s="285" t="n"/>
      <c r="Y88" s="1469" t="n"/>
      <c r="Z88" s="1304" t="n"/>
      <c r="AA88" s="285" t="inlineStr">
        <is>
          <t>Pendiente</t>
        </is>
      </c>
    </row>
    <row r="89" ht="15" customFormat="1" customHeight="1" s="685">
      <c r="A89" s="280" t="inlineStr">
        <is>
          <t>MQ-081</t>
        </is>
      </c>
      <c r="B89" s="281" t="inlineStr">
        <is>
          <t>CARPINTERÍA</t>
        </is>
      </c>
      <c r="C89" s="282" t="inlineStr">
        <is>
          <t>Aluminio</t>
        </is>
      </c>
      <c r="D89" s="283" t="inlineStr">
        <is>
          <t>11.03.01</t>
        </is>
      </c>
      <c r="E89" s="284" t="inlineStr">
        <is>
          <t>Ventanas de aluminio</t>
        </is>
      </c>
      <c r="F89" s="285" t="n"/>
      <c r="G89" s="285" t="n"/>
      <c r="H89" s="285" t="n"/>
      <c r="I89" s="283" t="inlineStr">
        <is>
          <t>m²</t>
        </is>
      </c>
      <c r="J89" s="1469" t="n"/>
      <c r="K89" s="1438" t="n">
        <v>0</v>
      </c>
      <c r="L89" s="1438" t="n">
        <v>0</v>
      </c>
      <c r="M89" s="1438" t="n">
        <v>0</v>
      </c>
      <c r="N89" s="1438" t="n">
        <v>0</v>
      </c>
      <c r="O89" s="1438" t="n">
        <v>1</v>
      </c>
      <c r="P89" s="1438" t="n">
        <v>1</v>
      </c>
      <c r="Q89" s="1438" t="n">
        <v>1</v>
      </c>
      <c r="R89" s="1438" t="n">
        <v>0</v>
      </c>
      <c r="S89" s="1303" t="n">
        <v>0</v>
      </c>
      <c r="T89" s="1438">
        <f>IF(I89="","",ROUND(IF(OR(I89="m²",I89="m2"),K89*IF(L89=0,1,L89)*IF(O89=0,1,O89)*IF(P89=0,1,P89)*Q89-R89,IF(OR(I89="m³",I89="m3"),K89*L89*M89*IF(O89=0,1,O89)*IF(P89=0,1,P89)*Q89-R89,IF(OR(I89="ml",I89="ML"),K89*IF(O89=0,1,O89)*IF(P89=0,1,P89)*Q89-R89,IF(OR(I89="und",I89="UND"),IF(O89=0,1,O89)*IF(P89=0,1,P89)*Q89-R89,IF(I89="kg",K89*IF(O89=0,1,O89)*IF(P89=0,1,P89)*Q89-R89,IF(OR(I89="gl",I89="GL",I89="gb",I89="GB",I89="Gl",I89="Gb"),IF(O89=0,1,O89)*IF(P89=0,1,P89)*Q89-R89,0)))))),3))</f>
        <v/>
      </c>
      <c r="U89" s="1438">
        <f>IF(T89="","",ROUND(T89*(1+S89),3))</f>
        <v/>
      </c>
      <c r="V89" s="283" t="inlineStr">
        <is>
          <t>m²</t>
        </is>
      </c>
      <c r="W89" s="285" t="n"/>
      <c r="X89" s="285" t="n"/>
      <c r="Y89" s="1469" t="n"/>
      <c r="Z89" s="1304" t="n"/>
      <c r="AA89" s="285" t="inlineStr">
        <is>
          <t>Pendiente</t>
        </is>
      </c>
    </row>
    <row r="90" ht="15" customFormat="1" customHeight="1" s="685">
      <c r="A90" s="280" t="inlineStr">
        <is>
          <t>MQ-082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11.03.02</t>
        </is>
      </c>
      <c r="E90" s="284" t="inlineStr">
        <is>
          <t>Divisiones de aluminio</t>
        </is>
      </c>
      <c r="F90" s="285" t="n"/>
      <c r="G90" s="285" t="n"/>
      <c r="H90" s="285" t="n"/>
      <c r="I90" s="283" t="inlineStr">
        <is>
          <t>m²</t>
        </is>
      </c>
      <c r="J90" s="1469" t="n"/>
      <c r="K90" s="1438" t="n">
        <v>0</v>
      </c>
      <c r="L90" s="1438" t="n">
        <v>0</v>
      </c>
      <c r="M90" s="1438" t="n">
        <v>0</v>
      </c>
      <c r="N90" s="1438" t="n">
        <v>0</v>
      </c>
      <c r="O90" s="1438" t="n">
        <v>1</v>
      </c>
      <c r="P90" s="1438" t="n">
        <v>1</v>
      </c>
      <c r="Q90" s="1438" t="n">
        <v>1</v>
      </c>
      <c r="R90" s="1438" t="n">
        <v>0</v>
      </c>
      <c r="S90" s="1303" t="n">
        <v>0</v>
      </c>
      <c r="T90" s="1438">
        <f>IF(I90="","",ROUND(IF(OR(I90="m²",I90="m2"),K90*IF(L90=0,1,L90)*IF(O90=0,1,O90)*IF(P90=0,1,P90)*Q90-R90,IF(OR(I90="m³",I90="m3"),K90*L90*M90*IF(O90=0,1,O90)*IF(P90=0,1,P90)*Q90-R90,IF(OR(I90="ml",I90="ML"),K90*IF(O90=0,1,O90)*IF(P90=0,1,P90)*Q90-R90,IF(OR(I90="und",I90="UND"),IF(O90=0,1,O90)*IF(P90=0,1,P90)*Q90-R90,IF(I90="kg",K90*IF(O90=0,1,O90)*IF(P90=0,1,P90)*Q90-R90,IF(OR(I90="gl",I90="GL",I90="gb",I90="GB",I90="Gl",I90="Gb"),IF(O90=0,1,O90)*IF(P90=0,1,P90)*Q90-R90,0)))))),3))</f>
        <v/>
      </c>
      <c r="U90" s="1438">
        <f>IF(T90="","",ROUND(T90*(1+S90),3))</f>
        <v/>
      </c>
      <c r="V90" s="283" t="inlineStr">
        <is>
          <t>m²</t>
        </is>
      </c>
      <c r="W90" s="285" t="n"/>
      <c r="X90" s="285" t="n"/>
      <c r="Y90" s="1469" t="n"/>
      <c r="Z90" s="1304" t="n"/>
      <c r="AA90" s="285" t="inlineStr">
        <is>
          <t>Pendiente</t>
        </is>
      </c>
    </row>
    <row r="91" ht="15" customFormat="1" customHeight="1" s="685">
      <c r="A91" s="280" t="inlineStr">
        <is>
          <t>MQ-083</t>
        </is>
      </c>
      <c r="B91" s="281" t="inlineStr">
        <is>
          <t>VIDRIOS</t>
        </is>
      </c>
      <c r="C91" s="282" t="inlineStr">
        <is>
          <t>Vidriería</t>
        </is>
      </c>
      <c r="D91" s="283" t="inlineStr">
        <is>
          <t>12.01.01</t>
        </is>
      </c>
      <c r="E91" s="284" t="inlineStr">
        <is>
          <t>Vidrio templado</t>
        </is>
      </c>
      <c r="F91" s="285" t="n"/>
      <c r="G91" s="285" t="n"/>
      <c r="H91" s="285" t="n"/>
      <c r="I91" s="283" t="inlineStr">
        <is>
          <t>m²</t>
        </is>
      </c>
      <c r="J91" s="1469" t="n"/>
      <c r="K91" s="1438" t="n">
        <v>0</v>
      </c>
      <c r="L91" s="1438" t="n">
        <v>0</v>
      </c>
      <c r="M91" s="1438" t="n">
        <v>0</v>
      </c>
      <c r="N91" s="1438" t="n">
        <v>0</v>
      </c>
      <c r="O91" s="1438" t="n">
        <v>1</v>
      </c>
      <c r="P91" s="1438" t="n">
        <v>1</v>
      </c>
      <c r="Q91" s="1438" t="n">
        <v>1</v>
      </c>
      <c r="R91" s="1438" t="n">
        <v>0</v>
      </c>
      <c r="S91" s="1303" t="n">
        <v>0</v>
      </c>
      <c r="T91" s="1438">
        <f>IF(I91="","",ROUND(IF(OR(I91="m²",I91="m2"),K91*IF(L91=0,1,L91)*IF(O91=0,1,O91)*IF(P91=0,1,P91)*Q91-R91,IF(OR(I91="m³",I91="m3"),K91*L91*M91*IF(O91=0,1,O91)*IF(P91=0,1,P91)*Q91-R91,IF(OR(I91="ml",I91="ML"),K91*IF(O91=0,1,O91)*IF(P91=0,1,P91)*Q91-R91,IF(OR(I91="und",I91="UND"),IF(O91=0,1,O91)*IF(P91=0,1,P91)*Q91-R91,IF(I91="kg",K91*IF(O91=0,1,O91)*IF(P91=0,1,P91)*Q91-R91,IF(OR(I91="gl",I91="GL",I91="gb",I91="GB",I91="Gl",I91="Gb"),IF(O91=0,1,O91)*IF(P91=0,1,P91)*Q91-R91,0)))))),3))</f>
        <v/>
      </c>
      <c r="U91" s="1438">
        <f>IF(T91="","",ROUND(T91*(1+S91),3))</f>
        <v/>
      </c>
      <c r="V91" s="283" t="inlineStr">
        <is>
          <t>m²</t>
        </is>
      </c>
      <c r="W91" s="285" t="n"/>
      <c r="X91" s="285" t="n"/>
      <c r="Y91" s="1469" t="n"/>
      <c r="Z91" s="1304" t="n"/>
      <c r="AA91" s="285" t="inlineStr">
        <is>
          <t>Pendiente</t>
        </is>
      </c>
    </row>
    <row r="92" ht="15" customFormat="1" customHeight="1" s="685">
      <c r="A92" s="280" t="inlineStr">
        <is>
          <t>MQ-084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12.01.02</t>
        </is>
      </c>
      <c r="E92" s="284" t="inlineStr">
        <is>
          <t>Vidrio laminado</t>
        </is>
      </c>
      <c r="F92" s="285" t="n"/>
      <c r="G92" s="285" t="n"/>
      <c r="H92" s="285" t="n"/>
      <c r="I92" s="283" t="inlineStr">
        <is>
          <t>m²</t>
        </is>
      </c>
      <c r="J92" s="1469" t="n"/>
      <c r="K92" s="1438" t="n">
        <v>0</v>
      </c>
      <c r="L92" s="1438" t="n">
        <v>0</v>
      </c>
      <c r="M92" s="1438" t="n">
        <v>0</v>
      </c>
      <c r="N92" s="1438" t="n">
        <v>0</v>
      </c>
      <c r="O92" s="1438" t="n">
        <v>1</v>
      </c>
      <c r="P92" s="1438" t="n">
        <v>1</v>
      </c>
      <c r="Q92" s="1438" t="n">
        <v>1</v>
      </c>
      <c r="R92" s="1438" t="n">
        <v>0</v>
      </c>
      <c r="S92" s="1303" t="n">
        <v>0</v>
      </c>
      <c r="T92" s="1438">
        <f>IF(I92="","",ROUND(IF(OR(I92="m²",I92="m2"),K92*IF(L92=0,1,L92)*IF(O92=0,1,O92)*IF(P92=0,1,P92)*Q92-R92,IF(OR(I92="m³",I92="m3"),K92*L92*M92*IF(O92=0,1,O92)*IF(P92=0,1,P92)*Q92-R92,IF(OR(I92="ml",I92="ML"),K92*IF(O92=0,1,O92)*IF(P92=0,1,P92)*Q92-R92,IF(OR(I92="und",I92="UND"),IF(O92=0,1,O92)*IF(P92=0,1,P92)*Q92-R92,IF(I92="kg",K92*IF(O92=0,1,O92)*IF(P92=0,1,P92)*Q92-R92,IF(OR(I92="gl",I92="GL",I92="gb",I92="GB",I92="Gl",I92="Gb"),IF(O92=0,1,O92)*IF(P92=0,1,P92)*Q92-R92,0)))))),3))</f>
        <v/>
      </c>
      <c r="U92" s="1438">
        <f>IF(T92="","",ROUND(T92*(1+S92),3))</f>
        <v/>
      </c>
      <c r="V92" s="283" t="inlineStr">
        <is>
          <t>m²</t>
        </is>
      </c>
      <c r="W92" s="285" t="n"/>
      <c r="X92" s="285" t="n"/>
      <c r="Y92" s="1469" t="n"/>
      <c r="Z92" s="1304" t="n"/>
      <c r="AA92" s="285" t="inlineStr">
        <is>
          <t>Pendiente</t>
        </is>
      </c>
    </row>
    <row r="93" ht="15" customFormat="1" customHeight="1" s="685">
      <c r="A93" s="280" t="inlineStr">
        <is>
          <t>MQ-085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12.01.03</t>
        </is>
      </c>
      <c r="E93" s="284" t="inlineStr">
        <is>
          <t>Espejos</t>
        </is>
      </c>
      <c r="F93" s="285" t="n"/>
      <c r="G93" s="285" t="n"/>
      <c r="H93" s="285" t="n"/>
      <c r="I93" s="283" t="inlineStr">
        <is>
          <t>m²</t>
        </is>
      </c>
      <c r="J93" s="1469" t="n"/>
      <c r="K93" s="1438" t="n">
        <v>0</v>
      </c>
      <c r="L93" s="1438" t="n">
        <v>0</v>
      </c>
      <c r="M93" s="1438" t="n">
        <v>0</v>
      </c>
      <c r="N93" s="1438" t="n">
        <v>0</v>
      </c>
      <c r="O93" s="1438" t="n">
        <v>1</v>
      </c>
      <c r="P93" s="1438" t="n">
        <v>1</v>
      </c>
      <c r="Q93" s="1438" t="n">
        <v>1</v>
      </c>
      <c r="R93" s="1438" t="n">
        <v>0</v>
      </c>
      <c r="S93" s="1303" t="n">
        <v>0</v>
      </c>
      <c r="T93" s="1438">
        <f>IF(I93="","",ROUND(IF(OR(I93="m²",I93="m2"),K93*IF(L93=0,1,L93)*IF(O93=0,1,O93)*IF(P93=0,1,P93)*Q93-R93,IF(OR(I93="m³",I93="m3"),K93*L93*M93*IF(O93=0,1,O93)*IF(P93=0,1,P93)*Q93-R93,IF(OR(I93="ml",I93="ML"),K93*IF(O93=0,1,O93)*IF(P93=0,1,P93)*Q93-R93,IF(OR(I93="und",I93="UND"),IF(O93=0,1,O93)*IF(P93=0,1,P93)*Q93-R93,IF(I93="kg",K93*IF(O93=0,1,O93)*IF(P93=0,1,P93)*Q93-R93,IF(OR(I93="gl",I93="GL",I93="gb",I93="GB",I93="Gl",I93="Gb"),IF(O93=0,1,O93)*IF(P93=0,1,P93)*Q93-R93,0)))))),3))</f>
        <v/>
      </c>
      <c r="U93" s="1438">
        <f>IF(T93="","",ROUND(T93*(1+S93),3))</f>
        <v/>
      </c>
      <c r="V93" s="283" t="inlineStr">
        <is>
          <t>m²</t>
        </is>
      </c>
      <c r="W93" s="285" t="n"/>
      <c r="X93" s="285" t="n"/>
      <c r="Y93" s="1469" t="n"/>
      <c r="Z93" s="1304" t="n"/>
      <c r="AA93" s="285" t="inlineStr">
        <is>
          <t>Pendiente</t>
        </is>
      </c>
    </row>
    <row r="94" ht="15" customFormat="1" customHeight="1" s="685">
      <c r="A94" s="280" t="inlineStr">
        <is>
          <t>MQ-086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12.01.04</t>
        </is>
      </c>
      <c r="E94" s="284" t="inlineStr">
        <is>
          <t>Sellos y silicona</t>
        </is>
      </c>
      <c r="F94" s="285" t="n"/>
      <c r="G94" s="285" t="n"/>
      <c r="H94" s="285" t="n"/>
      <c r="I94" s="283" t="inlineStr">
        <is>
          <t>ml</t>
        </is>
      </c>
      <c r="J94" s="1469" t="n"/>
      <c r="K94" s="1438" t="n">
        <v>0</v>
      </c>
      <c r="L94" s="1438" t="n">
        <v>0</v>
      </c>
      <c r="M94" s="1438" t="n">
        <v>0</v>
      </c>
      <c r="N94" s="1438" t="n">
        <v>0</v>
      </c>
      <c r="O94" s="1438" t="n">
        <v>1</v>
      </c>
      <c r="P94" s="1438" t="n">
        <v>1</v>
      </c>
      <c r="Q94" s="1438" t="n">
        <v>1</v>
      </c>
      <c r="R94" s="1438" t="n">
        <v>0</v>
      </c>
      <c r="S94" s="1303" t="n">
        <v>0</v>
      </c>
      <c r="T94" s="1438">
        <f>IF(I94="","",ROUND(IF(OR(I94="m²",I94="m2"),K94*IF(L94=0,1,L94)*IF(O94=0,1,O94)*IF(P94=0,1,P94)*Q94-R94,IF(OR(I94="m³",I94="m3"),K94*L94*M94*IF(O94=0,1,O94)*IF(P94=0,1,P94)*Q94-R94,IF(OR(I94="ml",I94="ML"),K94*IF(O94=0,1,O94)*IF(P94=0,1,P94)*Q94-R94,IF(OR(I94="und",I94="UND"),IF(O94=0,1,O94)*IF(P94=0,1,P94)*Q94-R94,IF(I94="kg",K94*IF(O94=0,1,O94)*IF(P94=0,1,P94)*Q94-R94,IF(OR(I94="gl",I94="GL",I94="gb",I94="GB",I94="Gl",I94="Gb"),IF(O94=0,1,O94)*IF(P94=0,1,P94)*Q94-R94,0)))))),3))</f>
        <v/>
      </c>
      <c r="U94" s="1438">
        <f>IF(T94="","",ROUND(T94*(1+S94),3))</f>
        <v/>
      </c>
      <c r="V94" s="283" t="inlineStr">
        <is>
          <t>ml</t>
        </is>
      </c>
      <c r="W94" s="285" t="n"/>
      <c r="X94" s="285" t="n"/>
      <c r="Y94" s="1469" t="n"/>
      <c r="Z94" s="1304" t="n"/>
      <c r="AA94" s="285" t="inlineStr">
        <is>
          <t>Pendiente</t>
        </is>
      </c>
    </row>
    <row r="95" ht="15" customFormat="1" customHeight="1" s="685">
      <c r="A95" s="280" t="inlineStr">
        <is>
          <t>MQ-087</t>
        </is>
      </c>
      <c r="B95" s="281" t="inlineStr">
        <is>
          <t>INSTALACIONES HIDROSANITARIAS</t>
        </is>
      </c>
      <c r="C95" s="282" t="inlineStr">
        <is>
          <t>Agua potable</t>
        </is>
      </c>
      <c r="D95" s="283" t="inlineStr">
        <is>
          <t>13.01.01</t>
        </is>
      </c>
      <c r="E95" s="284" t="inlineStr">
        <is>
          <t>Tubería de agua fría</t>
        </is>
      </c>
      <c r="F95" s="285" t="n"/>
      <c r="G95" s="285" t="n"/>
      <c r="H95" s="285" t="n"/>
      <c r="I95" s="283" t="inlineStr">
        <is>
          <t>ml</t>
        </is>
      </c>
      <c r="J95" s="1469" t="n"/>
      <c r="K95" s="1438" t="n">
        <v>0</v>
      </c>
      <c r="L95" s="1438" t="n">
        <v>0</v>
      </c>
      <c r="M95" s="1438" t="n">
        <v>0</v>
      </c>
      <c r="N95" s="1438" t="n">
        <v>0</v>
      </c>
      <c r="O95" s="1438" t="n">
        <v>1</v>
      </c>
      <c r="P95" s="1438" t="n">
        <v>1</v>
      </c>
      <c r="Q95" s="1438" t="n">
        <v>1</v>
      </c>
      <c r="R95" s="1438" t="n">
        <v>0</v>
      </c>
      <c r="S95" s="1303" t="n">
        <v>0</v>
      </c>
      <c r="T95" s="1438">
        <f>IF(I95="","",ROUND(IF(OR(I95="m²",I95="m2"),K95*IF(L95=0,1,L95)*IF(O95=0,1,O95)*IF(P95=0,1,P95)*Q95-R95,IF(OR(I95="m³",I95="m3"),K95*L95*M95*IF(O95=0,1,O95)*IF(P95=0,1,P95)*Q95-R95,IF(OR(I95="ml",I95="ML"),K95*IF(O95=0,1,O95)*IF(P95=0,1,P95)*Q95-R95,IF(OR(I95="und",I95="UND"),IF(O95=0,1,O95)*IF(P95=0,1,P95)*Q95-R95,IF(I95="kg",K95*IF(O95=0,1,O95)*IF(P95=0,1,P95)*Q95-R95,IF(OR(I95="gl",I95="GL",I95="gb",I95="GB",I95="Gl",I95="Gb"),IF(O95=0,1,O95)*IF(P95=0,1,P95)*Q95-R95,0)))))),3))</f>
        <v/>
      </c>
      <c r="U95" s="1438">
        <f>IF(T95="","",ROUND(T95*(1+S95),3))</f>
        <v/>
      </c>
      <c r="V95" s="283" t="inlineStr">
        <is>
          <t>ml</t>
        </is>
      </c>
      <c r="W95" s="285" t="n"/>
      <c r="X95" s="285" t="n"/>
      <c r="Y95" s="1469" t="n"/>
      <c r="Z95" s="1304" t="n"/>
      <c r="AA95" s="285" t="inlineStr">
        <is>
          <t>Pendiente</t>
        </is>
      </c>
    </row>
    <row r="96" ht="15" customFormat="1" customHeight="1" s="685">
      <c r="A96" s="280" t="inlineStr">
        <is>
          <t>MQ-088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13.01.02</t>
        </is>
      </c>
      <c r="E96" s="284" t="inlineStr">
        <is>
          <t>Tubería de agua caliente</t>
        </is>
      </c>
      <c r="F96" s="285" t="n"/>
      <c r="G96" s="285" t="n"/>
      <c r="H96" s="285" t="n"/>
      <c r="I96" s="283" t="inlineStr">
        <is>
          <t>ml</t>
        </is>
      </c>
      <c r="J96" s="1469" t="n"/>
      <c r="K96" s="1438" t="n">
        <v>0</v>
      </c>
      <c r="L96" s="1438" t="n">
        <v>0</v>
      </c>
      <c r="M96" s="1438" t="n">
        <v>0</v>
      </c>
      <c r="N96" s="1438" t="n">
        <v>0</v>
      </c>
      <c r="O96" s="1438" t="n">
        <v>1</v>
      </c>
      <c r="P96" s="1438" t="n">
        <v>1</v>
      </c>
      <c r="Q96" s="1438" t="n">
        <v>1</v>
      </c>
      <c r="R96" s="1438" t="n">
        <v>0</v>
      </c>
      <c r="S96" s="1303" t="n">
        <v>0</v>
      </c>
      <c r="T96" s="1438">
        <f>IF(I96="","",ROUND(IF(OR(I96="m²",I96="m2"),K96*IF(L96=0,1,L96)*IF(O96=0,1,O96)*IF(P96=0,1,P96)*Q96-R96,IF(OR(I96="m³",I96="m3"),K96*L96*M96*IF(O96=0,1,O96)*IF(P96=0,1,P96)*Q96-R96,IF(OR(I96="ml",I96="ML"),K96*IF(O96=0,1,O96)*IF(P96=0,1,P96)*Q96-R96,IF(OR(I96="und",I96="UND"),IF(O96=0,1,O96)*IF(P96=0,1,P96)*Q96-R96,IF(I96="kg",K96*IF(O96=0,1,O96)*IF(P96=0,1,P96)*Q96-R96,IF(OR(I96="gl",I96="GL",I96="gb",I96="GB",I96="Gl",I96="Gb"),IF(O96=0,1,O96)*IF(P96=0,1,P96)*Q96-R96,0)))))),3))</f>
        <v/>
      </c>
      <c r="U96" s="1438">
        <f>IF(T96="","",ROUND(T96*(1+S96),3))</f>
        <v/>
      </c>
      <c r="V96" s="283" t="inlineStr">
        <is>
          <t>ml</t>
        </is>
      </c>
      <c r="W96" s="285" t="n"/>
      <c r="X96" s="285" t="n"/>
      <c r="Y96" s="1469" t="n"/>
      <c r="Z96" s="1304" t="n"/>
      <c r="AA96" s="285" t="inlineStr">
        <is>
          <t>Pendiente</t>
        </is>
      </c>
    </row>
    <row r="97" ht="15" customFormat="1" customHeight="1" s="685">
      <c r="A97" s="280" t="inlineStr">
        <is>
          <t>MQ-089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13.01.03</t>
        </is>
      </c>
      <c r="E97" s="284" t="inlineStr">
        <is>
          <t>Válvulas y accesorios hidrosanitarios</t>
        </is>
      </c>
      <c r="F97" s="285" t="n"/>
      <c r="G97" s="285" t="n"/>
      <c r="H97" s="285" t="n"/>
      <c r="I97" s="283" t="inlineStr">
        <is>
          <t>und</t>
        </is>
      </c>
      <c r="J97" s="1469" t="n"/>
      <c r="K97" s="1438" t="n">
        <v>0</v>
      </c>
      <c r="L97" s="1438" t="n">
        <v>0</v>
      </c>
      <c r="M97" s="1438" t="n">
        <v>0</v>
      </c>
      <c r="N97" s="1438" t="n">
        <v>0</v>
      </c>
      <c r="O97" s="1438" t="n">
        <v>1</v>
      </c>
      <c r="P97" s="1438" t="n">
        <v>1</v>
      </c>
      <c r="Q97" s="1438" t="n">
        <v>1</v>
      </c>
      <c r="R97" s="1438" t="n">
        <v>0</v>
      </c>
      <c r="S97" s="1303" t="n">
        <v>0</v>
      </c>
      <c r="T97" s="1438">
        <f>IF(I97="","",ROUND(IF(OR(I97="m²",I97="m2"),K97*IF(L97=0,1,L97)*IF(O97=0,1,O97)*IF(P97=0,1,P97)*Q97-R97,IF(OR(I97="m³",I97="m3"),K97*L97*M97*IF(O97=0,1,O97)*IF(P97=0,1,P97)*Q97-R97,IF(OR(I97="ml",I97="ML"),K97*IF(O97=0,1,O97)*IF(P97=0,1,P97)*Q97-R97,IF(OR(I97="und",I97="UND"),IF(O97=0,1,O97)*IF(P97=0,1,P97)*Q97-R97,IF(I97="kg",K97*IF(O97=0,1,O97)*IF(P97=0,1,P97)*Q97-R97,IF(OR(I97="gl",I97="GL",I97="gb",I97="GB",I97="Gl",I97="Gb"),IF(O97=0,1,O97)*IF(P97=0,1,P97)*Q97-R97,0)))))),3))</f>
        <v/>
      </c>
      <c r="U97" s="1438">
        <f>IF(T97="","",ROUND(T97*(1+S97),3))</f>
        <v/>
      </c>
      <c r="V97" s="283" t="inlineStr">
        <is>
          <t>und</t>
        </is>
      </c>
      <c r="W97" s="285" t="n"/>
      <c r="X97" s="285" t="n"/>
      <c r="Y97" s="1469" t="n"/>
      <c r="Z97" s="1304" t="n"/>
      <c r="AA97" s="285" t="inlineStr">
        <is>
          <t>Pendiente</t>
        </is>
      </c>
    </row>
    <row r="98" ht="15" customFormat="1" customHeight="1" s="685">
      <c r="A98" s="280" t="inlineStr">
        <is>
          <t>MQ-090</t>
        </is>
      </c>
      <c r="B98" s="281" t="inlineStr">
        <is>
          <t>INSTALACIONES HIDROSANITARIAS</t>
        </is>
      </c>
      <c r="C98" s="282" t="inlineStr">
        <is>
          <t>Desagües</t>
        </is>
      </c>
      <c r="D98" s="283" t="inlineStr">
        <is>
          <t>13.02.01</t>
        </is>
      </c>
      <c r="E98" s="284" t="inlineStr">
        <is>
          <t>Tubería sanitaria</t>
        </is>
      </c>
      <c r="F98" s="285" t="n"/>
      <c r="G98" s="285" t="n"/>
      <c r="H98" s="285" t="n"/>
      <c r="I98" s="283" t="inlineStr">
        <is>
          <t>ml</t>
        </is>
      </c>
      <c r="J98" s="1469" t="n"/>
      <c r="K98" s="1438" t="n">
        <v>0</v>
      </c>
      <c r="L98" s="1438" t="n">
        <v>0</v>
      </c>
      <c r="M98" s="1438" t="n">
        <v>0</v>
      </c>
      <c r="N98" s="1438" t="n">
        <v>0</v>
      </c>
      <c r="O98" s="1438" t="n">
        <v>1</v>
      </c>
      <c r="P98" s="1438" t="n">
        <v>1</v>
      </c>
      <c r="Q98" s="1438" t="n">
        <v>1</v>
      </c>
      <c r="R98" s="1438" t="n">
        <v>0</v>
      </c>
      <c r="S98" s="1303" t="n">
        <v>0</v>
      </c>
      <c r="T98" s="1438">
        <f>IF(I98="","",ROUND(IF(OR(I98="m²",I98="m2"),K98*IF(L98=0,1,L98)*IF(O98=0,1,O98)*IF(P98=0,1,P98)*Q98-R98,IF(OR(I98="m³",I98="m3"),K98*L98*M98*IF(O98=0,1,O98)*IF(P98=0,1,P98)*Q98-R98,IF(OR(I98="ml",I98="ML"),K98*IF(O98=0,1,O98)*IF(P98=0,1,P98)*Q98-R98,IF(OR(I98="und",I98="UND"),IF(O98=0,1,O98)*IF(P98=0,1,P98)*Q98-R98,IF(I98="kg",K98*IF(O98=0,1,O98)*IF(P98=0,1,P98)*Q98-R98,IF(OR(I98="gl",I98="GL",I98="gb",I98="GB",I98="Gl",I98="Gb"),IF(O98=0,1,O98)*IF(P98=0,1,P98)*Q98-R98,0)))))),3))</f>
        <v/>
      </c>
      <c r="U98" s="1438">
        <f>IF(T98="","",ROUND(T98*(1+S98),3))</f>
        <v/>
      </c>
      <c r="V98" s="283" t="inlineStr">
        <is>
          <t>ml</t>
        </is>
      </c>
      <c r="W98" s="285" t="n"/>
      <c r="X98" s="285" t="n"/>
      <c r="Y98" s="1469" t="n"/>
      <c r="Z98" s="1304" t="n"/>
      <c r="AA98" s="285" t="inlineStr">
        <is>
          <t>Pendiente</t>
        </is>
      </c>
    </row>
    <row r="99" ht="15" customFormat="1" customHeight="1" s="685">
      <c r="A99" s="280" t="inlineStr">
        <is>
          <t>MQ-091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13.02.02</t>
        </is>
      </c>
      <c r="E99" s="284" t="inlineStr">
        <is>
          <t>Tubería de aguas lluvias</t>
        </is>
      </c>
      <c r="F99" s="285" t="n"/>
      <c r="G99" s="285" t="n"/>
      <c r="H99" s="285" t="n"/>
      <c r="I99" s="283" t="inlineStr">
        <is>
          <t>ml</t>
        </is>
      </c>
      <c r="J99" s="1469" t="n"/>
      <c r="K99" s="1438" t="n">
        <v>0</v>
      </c>
      <c r="L99" s="1438" t="n">
        <v>0</v>
      </c>
      <c r="M99" s="1438" t="n">
        <v>0</v>
      </c>
      <c r="N99" s="1438" t="n">
        <v>0</v>
      </c>
      <c r="O99" s="1438" t="n">
        <v>1</v>
      </c>
      <c r="P99" s="1438" t="n">
        <v>1</v>
      </c>
      <c r="Q99" s="1438" t="n">
        <v>1</v>
      </c>
      <c r="R99" s="1438" t="n">
        <v>0</v>
      </c>
      <c r="S99" s="1303" t="n">
        <v>0</v>
      </c>
      <c r="T99" s="1438">
        <f>IF(I99="","",ROUND(IF(OR(I99="m²",I99="m2"),K99*IF(L99=0,1,L99)*IF(O99=0,1,O99)*IF(P99=0,1,P99)*Q99-R99,IF(OR(I99="m³",I99="m3"),K99*L99*M99*IF(O99=0,1,O99)*IF(P99=0,1,P99)*Q99-R99,IF(OR(I99="ml",I99="ML"),K99*IF(O99=0,1,O99)*IF(P99=0,1,P99)*Q99-R99,IF(OR(I99="und",I99="UND"),IF(O99=0,1,O99)*IF(P99=0,1,P99)*Q99-R99,IF(I99="kg",K99*IF(O99=0,1,O99)*IF(P99=0,1,P99)*Q99-R99,IF(OR(I99="gl",I99="GL",I99="gb",I99="GB",I99="Gl",I99="Gb"),IF(O99=0,1,O99)*IF(P99=0,1,P99)*Q99-R99,0)))))),3))</f>
        <v/>
      </c>
      <c r="U99" s="1438">
        <f>IF(T99="","",ROUND(T99*(1+S99),3))</f>
        <v/>
      </c>
      <c r="V99" s="283" t="inlineStr">
        <is>
          <t>ml</t>
        </is>
      </c>
      <c r="W99" s="285" t="n"/>
      <c r="X99" s="285" t="n"/>
      <c r="Y99" s="1469" t="n"/>
      <c r="Z99" s="1304" t="n"/>
      <c r="AA99" s="285" t="inlineStr">
        <is>
          <t>Pendiente</t>
        </is>
      </c>
    </row>
    <row r="100" ht="15" customFormat="1" customHeight="1" s="685">
      <c r="A100" s="280" t="inlineStr">
        <is>
          <t>MQ-092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13.02.03</t>
        </is>
      </c>
      <c r="E100" s="284" t="inlineStr">
        <is>
          <t>Cajas de inspección</t>
        </is>
      </c>
      <c r="F100" s="285" t="n"/>
      <c r="G100" s="285" t="n"/>
      <c r="H100" s="285" t="n"/>
      <c r="I100" s="283" t="inlineStr">
        <is>
          <t>und</t>
        </is>
      </c>
      <c r="J100" s="1469" t="n"/>
      <c r="K100" s="1438" t="n">
        <v>0</v>
      </c>
      <c r="L100" s="1438" t="n">
        <v>0</v>
      </c>
      <c r="M100" s="1438" t="n">
        <v>0</v>
      </c>
      <c r="N100" s="1438" t="n">
        <v>0</v>
      </c>
      <c r="O100" s="1438" t="n">
        <v>1</v>
      </c>
      <c r="P100" s="1438" t="n">
        <v>1</v>
      </c>
      <c r="Q100" s="1438" t="n">
        <v>1</v>
      </c>
      <c r="R100" s="1438" t="n">
        <v>0</v>
      </c>
      <c r="S100" s="1303" t="n">
        <v>0</v>
      </c>
      <c r="T100" s="1438">
        <f>IF(I100="","",ROUND(IF(OR(I100="m²",I100="m2"),K100*IF(L100=0,1,L100)*IF(O100=0,1,O100)*IF(P100=0,1,P100)*Q100-R100,IF(OR(I100="m³",I100="m3"),K100*L100*M100*IF(O100=0,1,O100)*IF(P100=0,1,P100)*Q100-R100,IF(OR(I100="ml",I100="ML"),K100*IF(O100=0,1,O100)*IF(P100=0,1,P100)*Q100-R100,IF(OR(I100="und",I100="UND"),IF(O100=0,1,O100)*IF(P100=0,1,P100)*Q100-R100,IF(I100="kg",K100*IF(O100=0,1,O100)*IF(P100=0,1,P100)*Q100-R100,IF(OR(I100="gl",I100="GL",I100="gb",I100="GB",I100="Gl",I100="Gb"),IF(O100=0,1,O100)*IF(P100=0,1,P100)*Q100-R100,0)))))),3))</f>
        <v/>
      </c>
      <c r="U100" s="1438">
        <f>IF(T100="","",ROUND(T100*(1+S100),3))</f>
        <v/>
      </c>
      <c r="V100" s="283" t="inlineStr">
        <is>
          <t>und</t>
        </is>
      </c>
      <c r="W100" s="285" t="n"/>
      <c r="X100" s="285" t="n"/>
      <c r="Y100" s="1469" t="n"/>
      <c r="Z100" s="1304" t="n"/>
      <c r="AA100" s="285" t="inlineStr">
        <is>
          <t>Pendiente</t>
        </is>
      </c>
    </row>
    <row r="101" ht="15" customFormat="1" customHeight="1" s="685">
      <c r="A101" s="280" t="inlineStr">
        <is>
          <t>MQ-093</t>
        </is>
      </c>
      <c r="B101" s="281" t="inlineStr">
        <is>
          <t>INSTALACIONES HIDROSANITARIAS</t>
        </is>
      </c>
      <c r="C101" s="282" t="inlineStr">
        <is>
          <t>Aparatos</t>
        </is>
      </c>
      <c r="D101" s="283" t="inlineStr">
        <is>
          <t>13.03.01</t>
        </is>
      </c>
      <c r="E101" s="284" t="inlineStr">
        <is>
          <t>Aparatos sanitarios</t>
        </is>
      </c>
      <c r="F101" s="285" t="n"/>
      <c r="G101" s="285" t="n"/>
      <c r="H101" s="285" t="n"/>
      <c r="I101" s="283" t="inlineStr">
        <is>
          <t>und</t>
        </is>
      </c>
      <c r="J101" s="1469" t="n"/>
      <c r="K101" s="1438" t="n">
        <v>0</v>
      </c>
      <c r="L101" s="1438" t="n">
        <v>0</v>
      </c>
      <c r="M101" s="1438" t="n">
        <v>0</v>
      </c>
      <c r="N101" s="1438" t="n">
        <v>0</v>
      </c>
      <c r="O101" s="1438" t="n">
        <v>1</v>
      </c>
      <c r="P101" s="1438" t="n">
        <v>1</v>
      </c>
      <c r="Q101" s="1438" t="n">
        <v>1</v>
      </c>
      <c r="R101" s="1438" t="n">
        <v>0</v>
      </c>
      <c r="S101" s="1303" t="n">
        <v>0</v>
      </c>
      <c r="T101" s="1438">
        <f>IF(I101="","",ROUND(IF(OR(I101="m²",I101="m2"),K101*IF(L101=0,1,L101)*IF(O101=0,1,O101)*IF(P101=0,1,P101)*Q101-R101,IF(OR(I101="m³",I101="m3"),K101*L101*M101*IF(O101=0,1,O101)*IF(P101=0,1,P101)*Q101-R101,IF(OR(I101="ml",I101="ML"),K101*IF(O101=0,1,O101)*IF(P101=0,1,P101)*Q101-R101,IF(OR(I101="und",I101="UND"),IF(O101=0,1,O101)*IF(P101=0,1,P101)*Q101-R101,IF(I101="kg",K101*IF(O101=0,1,O101)*IF(P101=0,1,P101)*Q101-R101,IF(OR(I101="gl",I101="GL",I101="gb",I101="GB",I101="Gl",I101="Gb"),IF(O101=0,1,O101)*IF(P101=0,1,P101)*Q101-R101,0)))))),3))</f>
        <v/>
      </c>
      <c r="U101" s="1438">
        <f>IF(T101="","",ROUND(T101*(1+S101),3))</f>
        <v/>
      </c>
      <c r="V101" s="283" t="inlineStr">
        <is>
          <t>und</t>
        </is>
      </c>
      <c r="W101" s="285" t="n"/>
      <c r="X101" s="285" t="n"/>
      <c r="Y101" s="1469" t="n"/>
      <c r="Z101" s="1304" t="n"/>
      <c r="AA101" s="285" t="inlineStr">
        <is>
          <t>Pendiente</t>
        </is>
      </c>
    </row>
    <row r="102" ht="15" customFormat="1" customHeight="1" s="685">
      <c r="A102" s="280" t="inlineStr">
        <is>
          <t>MQ-094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13.03.02</t>
        </is>
      </c>
      <c r="E102" s="284" t="inlineStr">
        <is>
          <t>Lavamanos</t>
        </is>
      </c>
      <c r="F102" s="285" t="n"/>
      <c r="G102" s="285" t="n"/>
      <c r="H102" s="285" t="n"/>
      <c r="I102" s="283" t="inlineStr">
        <is>
          <t>und</t>
        </is>
      </c>
      <c r="J102" s="1469" t="n"/>
      <c r="K102" s="1438" t="n">
        <v>0</v>
      </c>
      <c r="L102" s="1438" t="n">
        <v>0</v>
      </c>
      <c r="M102" s="1438" t="n">
        <v>0</v>
      </c>
      <c r="N102" s="1438" t="n">
        <v>0</v>
      </c>
      <c r="O102" s="1438" t="n">
        <v>1</v>
      </c>
      <c r="P102" s="1438" t="n">
        <v>1</v>
      </c>
      <c r="Q102" s="1438" t="n">
        <v>1</v>
      </c>
      <c r="R102" s="1438" t="n">
        <v>0</v>
      </c>
      <c r="S102" s="1303" t="n">
        <v>0</v>
      </c>
      <c r="T102" s="1438">
        <f>IF(I102="","",ROUND(IF(OR(I102="m²",I102="m2"),K102*IF(L102=0,1,L102)*IF(O102=0,1,O102)*IF(P102=0,1,P102)*Q102-R102,IF(OR(I102="m³",I102="m3"),K102*L102*M102*IF(O102=0,1,O102)*IF(P102=0,1,P102)*Q102-R102,IF(OR(I102="ml",I102="ML"),K102*IF(O102=0,1,O102)*IF(P102=0,1,P102)*Q102-R102,IF(OR(I102="und",I102="UND"),IF(O102=0,1,O102)*IF(P102=0,1,P102)*Q102-R102,IF(I102="kg",K102*IF(O102=0,1,O102)*IF(P102=0,1,P102)*Q102-R102,IF(OR(I102="gl",I102="GL",I102="gb",I102="GB",I102="Gl",I102="Gb"),IF(O102=0,1,O102)*IF(P102=0,1,P102)*Q102-R102,0)))))),3))</f>
        <v/>
      </c>
      <c r="U102" s="1438">
        <f>IF(T102="","",ROUND(T102*(1+S102),3))</f>
        <v/>
      </c>
      <c r="V102" s="283" t="inlineStr">
        <is>
          <t>und</t>
        </is>
      </c>
      <c r="W102" s="285" t="n"/>
      <c r="X102" s="285" t="n"/>
      <c r="Y102" s="1469" t="n"/>
      <c r="Z102" s="1304" t="n"/>
      <c r="AA102" s="285" t="inlineStr">
        <is>
          <t>Pendiente</t>
        </is>
      </c>
    </row>
    <row r="103" ht="15" customFormat="1" customHeight="1" s="685">
      <c r="A103" s="280" t="inlineStr">
        <is>
          <t>MQ-095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13.03.03</t>
        </is>
      </c>
      <c r="E103" s="284" t="inlineStr">
        <is>
          <t>Griferías</t>
        </is>
      </c>
      <c r="F103" s="285" t="n"/>
      <c r="G103" s="285" t="n"/>
      <c r="H103" s="285" t="n"/>
      <c r="I103" s="283" t="inlineStr">
        <is>
          <t>und</t>
        </is>
      </c>
      <c r="J103" s="1469" t="n"/>
      <c r="K103" s="1438" t="n">
        <v>0</v>
      </c>
      <c r="L103" s="1438" t="n">
        <v>0</v>
      </c>
      <c r="M103" s="1438" t="n">
        <v>0</v>
      </c>
      <c r="N103" s="1438" t="n">
        <v>0</v>
      </c>
      <c r="O103" s="1438" t="n">
        <v>1</v>
      </c>
      <c r="P103" s="1438" t="n">
        <v>1</v>
      </c>
      <c r="Q103" s="1438" t="n">
        <v>1</v>
      </c>
      <c r="R103" s="1438" t="n">
        <v>0</v>
      </c>
      <c r="S103" s="1303" t="n">
        <v>0</v>
      </c>
      <c r="T103" s="1438">
        <f>IF(I103="","",ROUND(IF(OR(I103="m²",I103="m2"),K103*IF(L103=0,1,L103)*IF(O103=0,1,O103)*IF(P103=0,1,P103)*Q103-R103,IF(OR(I103="m³",I103="m3"),K103*L103*M103*IF(O103=0,1,O103)*IF(P103=0,1,P103)*Q103-R103,IF(OR(I103="ml",I103="ML"),K103*IF(O103=0,1,O103)*IF(P103=0,1,P103)*Q103-R103,IF(OR(I103="und",I103="UND"),IF(O103=0,1,O103)*IF(P103=0,1,P103)*Q103-R103,IF(I103="kg",K103*IF(O103=0,1,O103)*IF(P103=0,1,P103)*Q103-R103,IF(OR(I103="gl",I103="GL",I103="gb",I103="GB",I103="Gl",I103="Gb"),IF(O103=0,1,O103)*IF(P103=0,1,P103)*Q103-R103,0)))))),3))</f>
        <v/>
      </c>
      <c r="U103" s="1438">
        <f>IF(T103="","",ROUND(T103*(1+S103),3))</f>
        <v/>
      </c>
      <c r="V103" s="283" t="inlineStr">
        <is>
          <t>und</t>
        </is>
      </c>
      <c r="W103" s="285" t="n"/>
      <c r="X103" s="285" t="n"/>
      <c r="Y103" s="1469" t="n"/>
      <c r="Z103" s="1304" t="n"/>
      <c r="AA103" s="285" t="inlineStr">
        <is>
          <t>Pendiente</t>
        </is>
      </c>
    </row>
    <row r="104" ht="15" customFormat="1" customHeight="1" s="685">
      <c r="A104" s="280" t="inlineStr">
        <is>
          <t>MQ-096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13.03.04</t>
        </is>
      </c>
      <c r="E104" s="284" t="inlineStr">
        <is>
          <t>Duchas</t>
        </is>
      </c>
      <c r="F104" s="285" t="n"/>
      <c r="G104" s="285" t="n"/>
      <c r="H104" s="285" t="n"/>
      <c r="I104" s="283" t="inlineStr">
        <is>
          <t>und</t>
        </is>
      </c>
      <c r="J104" s="1469" t="n"/>
      <c r="K104" s="1438" t="n">
        <v>0</v>
      </c>
      <c r="L104" s="1438" t="n">
        <v>0</v>
      </c>
      <c r="M104" s="1438" t="n">
        <v>0</v>
      </c>
      <c r="N104" s="1438" t="n">
        <v>0</v>
      </c>
      <c r="O104" s="1438" t="n">
        <v>1</v>
      </c>
      <c r="P104" s="1438" t="n">
        <v>1</v>
      </c>
      <c r="Q104" s="1438" t="n">
        <v>1</v>
      </c>
      <c r="R104" s="1438" t="n">
        <v>0</v>
      </c>
      <c r="S104" s="1303" t="n">
        <v>0</v>
      </c>
      <c r="T104" s="1438">
        <f>IF(I104="","",ROUND(IF(OR(I104="m²",I104="m2"),K104*IF(L104=0,1,L104)*IF(O104=0,1,O104)*IF(P104=0,1,P104)*Q104-R104,IF(OR(I104="m³",I104="m3"),K104*L104*M104*IF(O104=0,1,O104)*IF(P104=0,1,P104)*Q104-R104,IF(OR(I104="ml",I104="ML"),K104*IF(O104=0,1,O104)*IF(P104=0,1,P104)*Q104-R104,IF(OR(I104="und",I104="UND"),IF(O104=0,1,O104)*IF(P104=0,1,P104)*Q104-R104,IF(I104="kg",K104*IF(O104=0,1,O104)*IF(P104=0,1,P104)*Q104-R104,IF(OR(I104="gl",I104="GL",I104="gb",I104="GB",I104="Gl",I104="Gb"),IF(O104=0,1,O104)*IF(P104=0,1,P104)*Q104-R104,0)))))),3))</f>
        <v/>
      </c>
      <c r="U104" s="1438">
        <f>IF(T104="","",ROUND(T104*(1+S104),3))</f>
        <v/>
      </c>
      <c r="V104" s="283" t="inlineStr">
        <is>
          <t>und</t>
        </is>
      </c>
      <c r="W104" s="285" t="n"/>
      <c r="X104" s="285" t="n"/>
      <c r="Y104" s="1469" t="n"/>
      <c r="Z104" s="1304" t="n"/>
      <c r="AA104" s="285" t="inlineStr">
        <is>
          <t>Pendiente</t>
        </is>
      </c>
    </row>
    <row r="105" ht="15" customFormat="1" customHeight="1" s="685">
      <c r="A105" s="280" t="inlineStr">
        <is>
          <t>MQ-097</t>
        </is>
      </c>
      <c r="B105" s="281" t="inlineStr">
        <is>
          <t>INSTALACIONES HIDROSANITARIAS</t>
        </is>
      </c>
      <c r="C105" s="282" t="inlineStr">
        <is>
          <t>Pruebas</t>
        </is>
      </c>
      <c r="D105" s="283" t="inlineStr">
        <is>
          <t>13.04.01</t>
        </is>
      </c>
      <c r="E105" s="284" t="inlineStr">
        <is>
          <t>Pruebas hidráulicas y de estanqueidad</t>
        </is>
      </c>
      <c r="F105" s="285" t="n"/>
      <c r="G105" s="285" t="n"/>
      <c r="H105" s="285" t="n"/>
      <c r="I105" s="283" t="inlineStr">
        <is>
          <t>gl</t>
        </is>
      </c>
      <c r="J105" s="1469" t="n"/>
      <c r="K105" s="1438" t="n">
        <v>0</v>
      </c>
      <c r="L105" s="1438" t="n">
        <v>0</v>
      </c>
      <c r="M105" s="1438" t="n">
        <v>0</v>
      </c>
      <c r="N105" s="1438" t="n">
        <v>0</v>
      </c>
      <c r="O105" s="1438" t="n">
        <v>1</v>
      </c>
      <c r="P105" s="1438" t="n">
        <v>1</v>
      </c>
      <c r="Q105" s="1438" t="n">
        <v>1</v>
      </c>
      <c r="R105" s="1438" t="n">
        <v>0</v>
      </c>
      <c r="S105" s="1303" t="n">
        <v>0</v>
      </c>
      <c r="T105" s="1438">
        <f>IF(I105="","",ROUND(IF(OR(I105="m²",I105="m2"),K105*IF(L105=0,1,L105)*IF(O105=0,1,O105)*IF(P105=0,1,P105)*Q105-R105,IF(OR(I105="m³",I105="m3"),K105*L105*M105*IF(O105=0,1,O105)*IF(P105=0,1,P105)*Q105-R105,IF(OR(I105="ml",I105="ML"),K105*IF(O105=0,1,O105)*IF(P105=0,1,P105)*Q105-R105,IF(OR(I105="und",I105="UND"),IF(O105=0,1,O105)*IF(P105=0,1,P105)*Q105-R105,IF(I105="kg",K105*IF(O105=0,1,O105)*IF(P105=0,1,P105)*Q105-R105,IF(OR(I105="gl",I105="GL",I105="gb",I105="GB",I105="Gl",I105="Gb"),IF(O105=0,1,O105)*IF(P105=0,1,P105)*Q105-R105,0)))))),3))</f>
        <v/>
      </c>
      <c r="U105" s="1438">
        <f>IF(T105="","",ROUND(T105*(1+S105),3))</f>
        <v/>
      </c>
      <c r="V105" s="283" t="inlineStr">
        <is>
          <t>gl</t>
        </is>
      </c>
      <c r="W105" s="285" t="n"/>
      <c r="X105" s="285" t="n"/>
      <c r="Y105" s="1469" t="n"/>
      <c r="Z105" s="1304" t="n"/>
      <c r="AA105" s="285" t="inlineStr">
        <is>
          <t>Pendiente</t>
        </is>
      </c>
    </row>
    <row r="106" ht="15" customFormat="1" customHeight="1" s="685">
      <c r="A106" s="280" t="inlineStr">
        <is>
          <t>MQ-098</t>
        </is>
      </c>
      <c r="B106" s="281" t="inlineStr">
        <is>
          <t>INSTALACIONES ELÉCTRICAS</t>
        </is>
      </c>
      <c r="C106" s="282" t="inlineStr">
        <is>
          <t>Canalizaciones</t>
        </is>
      </c>
      <c r="D106" s="283" t="inlineStr">
        <is>
          <t>14.01.01</t>
        </is>
      </c>
      <c r="E106" s="284" t="inlineStr">
        <is>
          <t>Tubería/conduit eléctrica</t>
        </is>
      </c>
      <c r="F106" s="285" t="n"/>
      <c r="G106" s="285" t="n"/>
      <c r="H106" s="285" t="n"/>
      <c r="I106" s="283" t="inlineStr">
        <is>
          <t>ml</t>
        </is>
      </c>
      <c r="J106" s="1469" t="n"/>
      <c r="K106" s="1438" t="n">
        <v>0</v>
      </c>
      <c r="L106" s="1438" t="n">
        <v>0</v>
      </c>
      <c r="M106" s="1438" t="n">
        <v>0</v>
      </c>
      <c r="N106" s="1438" t="n">
        <v>0</v>
      </c>
      <c r="O106" s="1438" t="n">
        <v>1</v>
      </c>
      <c r="P106" s="1438" t="n">
        <v>1</v>
      </c>
      <c r="Q106" s="1438" t="n">
        <v>1</v>
      </c>
      <c r="R106" s="1438" t="n">
        <v>0</v>
      </c>
      <c r="S106" s="1303" t="n">
        <v>0</v>
      </c>
      <c r="T106" s="1438">
        <f>IF(I106="","",ROUND(IF(OR(I106="m²",I106="m2"),K106*IF(L106=0,1,L106)*IF(O106=0,1,O106)*IF(P106=0,1,P106)*Q106-R106,IF(OR(I106="m³",I106="m3"),K106*L106*M106*IF(O106=0,1,O106)*IF(P106=0,1,P106)*Q106-R106,IF(OR(I106="ml",I106="ML"),K106*IF(O106=0,1,O106)*IF(P106=0,1,P106)*Q106-R106,IF(OR(I106="und",I106="UND"),IF(O106=0,1,O106)*IF(P106=0,1,P106)*Q106-R106,IF(I106="kg",K106*IF(O106=0,1,O106)*IF(P106=0,1,P106)*Q106-R106,IF(OR(I106="gl",I106="GL",I106="gb",I106="GB",I106="Gl",I106="Gb"),IF(O106=0,1,O106)*IF(P106=0,1,P106)*Q106-R106,0)))))),3))</f>
        <v/>
      </c>
      <c r="U106" s="1438">
        <f>IF(T106="","",ROUND(T106*(1+S106),3))</f>
        <v/>
      </c>
      <c r="V106" s="283" t="inlineStr">
        <is>
          <t>ml</t>
        </is>
      </c>
      <c r="W106" s="285" t="n"/>
      <c r="X106" s="285" t="n"/>
      <c r="Y106" s="1469" t="n"/>
      <c r="Z106" s="1304" t="n"/>
      <c r="AA106" s="285" t="inlineStr">
        <is>
          <t>Pendiente</t>
        </is>
      </c>
    </row>
    <row r="107" ht="15" customFormat="1" customHeight="1" s="685">
      <c r="A107" s="280" t="inlineStr">
        <is>
          <t>MQ-099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14.01.02</t>
        </is>
      </c>
      <c r="E107" s="284" t="inlineStr">
        <is>
          <t>Bandejas portacables</t>
        </is>
      </c>
      <c r="F107" s="285" t="n"/>
      <c r="G107" s="285" t="n"/>
      <c r="H107" s="285" t="n"/>
      <c r="I107" s="283" t="inlineStr">
        <is>
          <t>ml</t>
        </is>
      </c>
      <c r="J107" s="1469" t="n"/>
      <c r="K107" s="1438" t="n">
        <v>0</v>
      </c>
      <c r="L107" s="1438" t="n">
        <v>0</v>
      </c>
      <c r="M107" s="1438" t="n">
        <v>0</v>
      </c>
      <c r="N107" s="1438" t="n">
        <v>0</v>
      </c>
      <c r="O107" s="1438" t="n">
        <v>1</v>
      </c>
      <c r="P107" s="1438" t="n">
        <v>1</v>
      </c>
      <c r="Q107" s="1438" t="n">
        <v>1</v>
      </c>
      <c r="R107" s="1438" t="n">
        <v>0</v>
      </c>
      <c r="S107" s="1303" t="n">
        <v>0</v>
      </c>
      <c r="T107" s="1438">
        <f>IF(I107="","",ROUND(IF(OR(I107="m²",I107="m2"),K107*IF(L107=0,1,L107)*IF(O107=0,1,O107)*IF(P107=0,1,P107)*Q107-R107,IF(OR(I107="m³",I107="m3"),K107*L107*M107*IF(O107=0,1,O107)*IF(P107=0,1,P107)*Q107-R107,IF(OR(I107="ml",I107="ML"),K107*IF(O107=0,1,O107)*IF(P107=0,1,P107)*Q107-R107,IF(OR(I107="und",I107="UND"),IF(O107=0,1,O107)*IF(P107=0,1,P107)*Q107-R107,IF(I107="kg",K107*IF(O107=0,1,O107)*IF(P107=0,1,P107)*Q107-R107,IF(OR(I107="gl",I107="GL",I107="gb",I107="GB",I107="Gl",I107="Gb"),IF(O107=0,1,O107)*IF(P107=0,1,P107)*Q107-R107,0)))))),3))</f>
        <v/>
      </c>
      <c r="U107" s="1438">
        <f>IF(T107="","",ROUND(T107*(1+S107),3))</f>
        <v/>
      </c>
      <c r="V107" s="283" t="inlineStr">
        <is>
          <t>ml</t>
        </is>
      </c>
      <c r="W107" s="285" t="n"/>
      <c r="X107" s="285" t="n"/>
      <c r="Y107" s="1469" t="n"/>
      <c r="Z107" s="1304" t="n"/>
      <c r="AA107" s="285" t="inlineStr">
        <is>
          <t>Pendiente</t>
        </is>
      </c>
    </row>
    <row r="108" ht="15" customFormat="1" customHeight="1" s="685">
      <c r="A108" s="280" t="inlineStr">
        <is>
          <t>MQ-100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14.01.03</t>
        </is>
      </c>
      <c r="E108" s="284" t="inlineStr">
        <is>
          <t>Cajas eléctricas</t>
        </is>
      </c>
      <c r="F108" s="285" t="n"/>
      <c r="G108" s="285" t="n"/>
      <c r="H108" s="285" t="n"/>
      <c r="I108" s="283" t="inlineStr">
        <is>
          <t>und</t>
        </is>
      </c>
      <c r="J108" s="1469" t="n"/>
      <c r="K108" s="1438" t="n">
        <v>0</v>
      </c>
      <c r="L108" s="1438" t="n">
        <v>0</v>
      </c>
      <c r="M108" s="1438" t="n">
        <v>0</v>
      </c>
      <c r="N108" s="1438" t="n">
        <v>0</v>
      </c>
      <c r="O108" s="1438" t="n">
        <v>1</v>
      </c>
      <c r="P108" s="1438" t="n">
        <v>1</v>
      </c>
      <c r="Q108" s="1438" t="n">
        <v>1</v>
      </c>
      <c r="R108" s="1438" t="n">
        <v>0</v>
      </c>
      <c r="S108" s="1303" t="n">
        <v>0</v>
      </c>
      <c r="T108" s="1438">
        <f>IF(I108="","",ROUND(IF(OR(I108="m²",I108="m2"),K108*IF(L108=0,1,L108)*IF(O108=0,1,O108)*IF(P108=0,1,P108)*Q108-R108,IF(OR(I108="m³",I108="m3"),K108*L108*M108*IF(O108=0,1,O108)*IF(P108=0,1,P108)*Q108-R108,IF(OR(I108="ml",I108="ML"),K108*IF(O108=0,1,O108)*IF(P108=0,1,P108)*Q108-R108,IF(OR(I108="und",I108="UND"),IF(O108=0,1,O108)*IF(P108=0,1,P108)*Q108-R108,IF(I108="kg",K108*IF(O108=0,1,O108)*IF(P108=0,1,P108)*Q108-R108,IF(OR(I108="gl",I108="GL",I108="gb",I108="GB",I108="Gl",I108="Gb"),IF(O108=0,1,O108)*IF(P108=0,1,P108)*Q108-R108,0)))))),3))</f>
        <v/>
      </c>
      <c r="U108" s="1438">
        <f>IF(T108="","",ROUND(T108*(1+S108),3))</f>
        <v/>
      </c>
      <c r="V108" s="283" t="inlineStr">
        <is>
          <t>und</t>
        </is>
      </c>
      <c r="W108" s="285" t="n"/>
      <c r="X108" s="285" t="n"/>
      <c r="Y108" s="1469" t="n"/>
      <c r="Z108" s="1304" t="n"/>
      <c r="AA108" s="285" t="inlineStr">
        <is>
          <t>Pendiente</t>
        </is>
      </c>
    </row>
    <row r="109" ht="15" customFormat="1" customHeight="1" s="685">
      <c r="A109" s="280" t="inlineStr">
        <is>
          <t>MQ-101</t>
        </is>
      </c>
      <c r="B109" s="281" t="inlineStr">
        <is>
          <t>INSTALACIONES ELÉCTRICAS</t>
        </is>
      </c>
      <c r="C109" s="282" t="inlineStr">
        <is>
          <t>Cableado</t>
        </is>
      </c>
      <c r="D109" s="283" t="inlineStr">
        <is>
          <t>14.02.01</t>
        </is>
      </c>
      <c r="E109" s="284" t="inlineStr">
        <is>
          <t>Cableado de fuerza</t>
        </is>
      </c>
      <c r="F109" s="285" t="n"/>
      <c r="G109" s="285" t="n"/>
      <c r="H109" s="285" t="n"/>
      <c r="I109" s="283" t="inlineStr">
        <is>
          <t>ml</t>
        </is>
      </c>
      <c r="J109" s="1469" t="n"/>
      <c r="K109" s="1438" t="n">
        <v>0</v>
      </c>
      <c r="L109" s="1438" t="n">
        <v>0</v>
      </c>
      <c r="M109" s="1438" t="n">
        <v>0</v>
      </c>
      <c r="N109" s="1438" t="n">
        <v>0</v>
      </c>
      <c r="O109" s="1438" t="n">
        <v>1</v>
      </c>
      <c r="P109" s="1438" t="n">
        <v>1</v>
      </c>
      <c r="Q109" s="1438" t="n">
        <v>1</v>
      </c>
      <c r="R109" s="1438" t="n">
        <v>0</v>
      </c>
      <c r="S109" s="1303" t="n">
        <v>0</v>
      </c>
      <c r="T109" s="1438">
        <f>IF(I109="","",ROUND(IF(OR(I109="m²",I109="m2"),K109*IF(L109=0,1,L109)*IF(O109=0,1,O109)*IF(P109=0,1,P109)*Q109-R109,IF(OR(I109="m³",I109="m3"),K109*L109*M109*IF(O109=0,1,O109)*IF(P109=0,1,P109)*Q109-R109,IF(OR(I109="ml",I109="ML"),K109*IF(O109=0,1,O109)*IF(P109=0,1,P109)*Q109-R109,IF(OR(I109="und",I109="UND"),IF(O109=0,1,O109)*IF(P109=0,1,P109)*Q109-R109,IF(I109="kg",K109*IF(O109=0,1,O109)*IF(P109=0,1,P109)*Q109-R109,IF(OR(I109="gl",I109="GL",I109="gb",I109="GB",I109="Gl",I109="Gb"),IF(O109=0,1,O109)*IF(P109=0,1,P109)*Q109-R109,0)))))),3))</f>
        <v/>
      </c>
      <c r="U109" s="1438">
        <f>IF(T109="","",ROUND(T109*(1+S109),3))</f>
        <v/>
      </c>
      <c r="V109" s="283" t="inlineStr">
        <is>
          <t>ml</t>
        </is>
      </c>
      <c r="W109" s="285" t="n"/>
      <c r="X109" s="285" t="n"/>
      <c r="Y109" s="1469" t="n"/>
      <c r="Z109" s="1304" t="n"/>
      <c r="AA109" s="285" t="inlineStr">
        <is>
          <t>Pendiente</t>
        </is>
      </c>
    </row>
    <row r="110" ht="15" customFormat="1" customHeight="1" s="685">
      <c r="A110" s="280" t="inlineStr">
        <is>
          <t>MQ-102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14.02.02</t>
        </is>
      </c>
      <c r="E110" s="284" t="inlineStr">
        <is>
          <t>Cableado de iluminación</t>
        </is>
      </c>
      <c r="F110" s="285" t="n"/>
      <c r="G110" s="285" t="n"/>
      <c r="H110" s="285" t="n"/>
      <c r="I110" s="283" t="inlineStr">
        <is>
          <t>ml</t>
        </is>
      </c>
      <c r="J110" s="1469" t="n"/>
      <c r="K110" s="1438" t="n">
        <v>0</v>
      </c>
      <c r="L110" s="1438" t="n">
        <v>0</v>
      </c>
      <c r="M110" s="1438" t="n">
        <v>0</v>
      </c>
      <c r="N110" s="1438" t="n">
        <v>0</v>
      </c>
      <c r="O110" s="1438" t="n">
        <v>1</v>
      </c>
      <c r="P110" s="1438" t="n">
        <v>1</v>
      </c>
      <c r="Q110" s="1438" t="n">
        <v>1</v>
      </c>
      <c r="R110" s="1438" t="n">
        <v>0</v>
      </c>
      <c r="S110" s="1303" t="n">
        <v>0</v>
      </c>
      <c r="T110" s="1438">
        <f>IF(I110="","",ROUND(IF(OR(I110="m²",I110="m2"),K110*IF(L110=0,1,L110)*IF(O110=0,1,O110)*IF(P110=0,1,P110)*Q110-R110,IF(OR(I110="m³",I110="m3"),K110*L110*M110*IF(O110=0,1,O110)*IF(P110=0,1,P110)*Q110-R110,IF(OR(I110="ml",I110="ML"),K110*IF(O110=0,1,O110)*IF(P110=0,1,P110)*Q110-R110,IF(OR(I110="und",I110="UND"),IF(O110=0,1,O110)*IF(P110=0,1,P110)*Q110-R110,IF(I110="kg",K110*IF(O110=0,1,O110)*IF(P110=0,1,P110)*Q110-R110,IF(OR(I110="gl",I110="GL",I110="gb",I110="GB",I110="Gl",I110="Gb"),IF(O110=0,1,O110)*IF(P110=0,1,P110)*Q110-R110,0)))))),3))</f>
        <v/>
      </c>
      <c r="U110" s="1438">
        <f>IF(T110="","",ROUND(T110*(1+S110),3))</f>
        <v/>
      </c>
      <c r="V110" s="283" t="inlineStr">
        <is>
          <t>ml</t>
        </is>
      </c>
      <c r="W110" s="285" t="n"/>
      <c r="X110" s="285" t="n"/>
      <c r="Y110" s="1469" t="n"/>
      <c r="Z110" s="1304" t="n"/>
      <c r="AA110" s="285" t="inlineStr">
        <is>
          <t>Pendiente</t>
        </is>
      </c>
    </row>
    <row r="111" ht="15" customFormat="1" customHeight="1" s="685">
      <c r="A111" s="280" t="inlineStr">
        <is>
          <t>MQ-103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14.02.03</t>
        </is>
      </c>
      <c r="E111" s="284" t="inlineStr">
        <is>
          <t>Tableros eléctricos</t>
        </is>
      </c>
      <c r="F111" s="285" t="n"/>
      <c r="G111" s="285" t="n"/>
      <c r="H111" s="285" t="n"/>
      <c r="I111" s="283" t="inlineStr">
        <is>
          <t>und</t>
        </is>
      </c>
      <c r="J111" s="1469" t="n"/>
      <c r="K111" s="1438" t="n">
        <v>0</v>
      </c>
      <c r="L111" s="1438" t="n">
        <v>0</v>
      </c>
      <c r="M111" s="1438" t="n">
        <v>0</v>
      </c>
      <c r="N111" s="1438" t="n">
        <v>0</v>
      </c>
      <c r="O111" s="1438" t="n">
        <v>1</v>
      </c>
      <c r="P111" s="1438" t="n">
        <v>1</v>
      </c>
      <c r="Q111" s="1438" t="n">
        <v>1</v>
      </c>
      <c r="R111" s="1438" t="n">
        <v>0</v>
      </c>
      <c r="S111" s="1303" t="n">
        <v>0</v>
      </c>
      <c r="T111" s="1438">
        <f>IF(I111="","",ROUND(IF(OR(I111="m²",I111="m2"),K111*IF(L111=0,1,L111)*IF(O111=0,1,O111)*IF(P111=0,1,P111)*Q111-R111,IF(OR(I111="m³",I111="m3"),K111*L111*M111*IF(O111=0,1,O111)*IF(P111=0,1,P111)*Q111-R111,IF(OR(I111="ml",I111="ML"),K111*IF(O111=0,1,O111)*IF(P111=0,1,P111)*Q111-R111,IF(OR(I111="und",I111="UND"),IF(O111=0,1,O111)*IF(P111=0,1,P111)*Q111-R111,IF(I111="kg",K111*IF(O111=0,1,O111)*IF(P111=0,1,P111)*Q111-R111,IF(OR(I111="gl",I111="GL",I111="gb",I111="GB",I111="Gl",I111="Gb"),IF(O111=0,1,O111)*IF(P111=0,1,P111)*Q111-R111,0)))))),3))</f>
        <v/>
      </c>
      <c r="U111" s="1438">
        <f>IF(T111="","",ROUND(T111*(1+S111),3))</f>
        <v/>
      </c>
      <c r="V111" s="283" t="inlineStr">
        <is>
          <t>und</t>
        </is>
      </c>
      <c r="W111" s="285" t="n"/>
      <c r="X111" s="285" t="n"/>
      <c r="Y111" s="1469" t="n"/>
      <c r="Z111" s="1304" t="n"/>
      <c r="AA111" s="285" t="inlineStr">
        <is>
          <t>Pendiente</t>
        </is>
      </c>
    </row>
    <row r="112" ht="15" customFormat="1" customHeight="1" s="685">
      <c r="A112" s="280" t="inlineStr">
        <is>
          <t>MQ-104</t>
        </is>
      </c>
      <c r="B112" s="281" t="inlineStr">
        <is>
          <t>INSTALACIONES ELÉCTRICAS</t>
        </is>
      </c>
      <c r="C112" s="282" t="inlineStr">
        <is>
          <t>Aparatos</t>
        </is>
      </c>
      <c r="D112" s="283" t="inlineStr">
        <is>
          <t>14.03.01</t>
        </is>
      </c>
      <c r="E112" s="284" t="inlineStr">
        <is>
          <t>Tomacorrientes</t>
        </is>
      </c>
      <c r="F112" s="285" t="n"/>
      <c r="G112" s="285" t="n"/>
      <c r="H112" s="285" t="n"/>
      <c r="I112" s="283" t="inlineStr">
        <is>
          <t>und</t>
        </is>
      </c>
      <c r="J112" s="1469" t="n"/>
      <c r="K112" s="1438" t="n">
        <v>0</v>
      </c>
      <c r="L112" s="1438" t="n">
        <v>0</v>
      </c>
      <c r="M112" s="1438" t="n">
        <v>0</v>
      </c>
      <c r="N112" s="1438" t="n">
        <v>0</v>
      </c>
      <c r="O112" s="1438" t="n">
        <v>1</v>
      </c>
      <c r="P112" s="1438" t="n">
        <v>1</v>
      </c>
      <c r="Q112" s="1438" t="n">
        <v>1</v>
      </c>
      <c r="R112" s="1438" t="n">
        <v>0</v>
      </c>
      <c r="S112" s="1303" t="n">
        <v>0</v>
      </c>
      <c r="T112" s="1438">
        <f>IF(I112="","",ROUND(IF(OR(I112="m²",I112="m2"),K112*IF(L112=0,1,L112)*IF(O112=0,1,O112)*IF(P112=0,1,P112)*Q112-R112,IF(OR(I112="m³",I112="m3"),K112*L112*M112*IF(O112=0,1,O112)*IF(P112=0,1,P112)*Q112-R112,IF(OR(I112="ml",I112="ML"),K112*IF(O112=0,1,O112)*IF(P112=0,1,P112)*Q112-R112,IF(OR(I112="und",I112="UND"),IF(O112=0,1,O112)*IF(P112=0,1,P112)*Q112-R112,IF(I112="kg",K112*IF(O112=0,1,O112)*IF(P112=0,1,P112)*Q112-R112,IF(OR(I112="gl",I112="GL",I112="gb",I112="GB",I112="Gl",I112="Gb"),IF(O112=0,1,O112)*IF(P112=0,1,P112)*Q112-R112,0)))))),3))</f>
        <v/>
      </c>
      <c r="U112" s="1438">
        <f>IF(T112="","",ROUND(T112*(1+S112),3))</f>
        <v/>
      </c>
      <c r="V112" s="283" t="inlineStr">
        <is>
          <t>und</t>
        </is>
      </c>
      <c r="W112" s="285" t="n"/>
      <c r="X112" s="285" t="n"/>
      <c r="Y112" s="1469" t="n"/>
      <c r="Z112" s="1304" t="n"/>
      <c r="AA112" s="285" t="inlineStr">
        <is>
          <t>Pendiente</t>
        </is>
      </c>
    </row>
    <row r="113" ht="15" customFormat="1" customHeight="1" s="685">
      <c r="A113" s="280" t="inlineStr">
        <is>
          <t>MQ-105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14.03.02</t>
        </is>
      </c>
      <c r="E113" s="284" t="inlineStr">
        <is>
          <t>Interruptores</t>
        </is>
      </c>
      <c r="F113" s="285" t="n"/>
      <c r="G113" s="285" t="n"/>
      <c r="H113" s="285" t="n"/>
      <c r="I113" s="283" t="inlineStr">
        <is>
          <t>und</t>
        </is>
      </c>
      <c r="J113" s="1469" t="n"/>
      <c r="K113" s="1438" t="n">
        <v>0</v>
      </c>
      <c r="L113" s="1438" t="n">
        <v>0</v>
      </c>
      <c r="M113" s="1438" t="n">
        <v>0</v>
      </c>
      <c r="N113" s="1438" t="n">
        <v>0</v>
      </c>
      <c r="O113" s="1438" t="n">
        <v>1</v>
      </c>
      <c r="P113" s="1438" t="n">
        <v>1</v>
      </c>
      <c r="Q113" s="1438" t="n">
        <v>1</v>
      </c>
      <c r="R113" s="1438" t="n">
        <v>0</v>
      </c>
      <c r="S113" s="1303" t="n">
        <v>0</v>
      </c>
      <c r="T113" s="1438">
        <f>IF(I113="","",ROUND(IF(OR(I113="m²",I113="m2"),K113*IF(L113=0,1,L113)*IF(O113=0,1,O113)*IF(P113=0,1,P113)*Q113-R113,IF(OR(I113="m³",I113="m3"),K113*L113*M113*IF(O113=0,1,O113)*IF(P113=0,1,P113)*Q113-R113,IF(OR(I113="ml",I113="ML"),K113*IF(O113=0,1,O113)*IF(P113=0,1,P113)*Q113-R113,IF(OR(I113="und",I113="UND"),IF(O113=0,1,O113)*IF(P113=0,1,P113)*Q113-R113,IF(I113="kg",K113*IF(O113=0,1,O113)*IF(P113=0,1,P113)*Q113-R113,IF(OR(I113="gl",I113="GL",I113="gb",I113="GB",I113="Gl",I113="Gb"),IF(O113=0,1,O113)*IF(P113=0,1,P113)*Q113-R113,0)))))),3))</f>
        <v/>
      </c>
      <c r="U113" s="1438">
        <f>IF(T113="","",ROUND(T113*(1+S113),3))</f>
        <v/>
      </c>
      <c r="V113" s="283" t="inlineStr">
        <is>
          <t>und</t>
        </is>
      </c>
      <c r="W113" s="285" t="n"/>
      <c r="X113" s="285" t="n"/>
      <c r="Y113" s="1469" t="n"/>
      <c r="Z113" s="1304" t="n"/>
      <c r="AA113" s="285" t="inlineStr">
        <is>
          <t>Pendiente</t>
        </is>
      </c>
    </row>
    <row r="114" ht="15" customFormat="1" customHeight="1" s="685">
      <c r="A114" s="280" t="inlineStr">
        <is>
          <t>MQ-106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14.03.03</t>
        </is>
      </c>
      <c r="E114" s="284" t="inlineStr">
        <is>
          <t>Luminarias</t>
        </is>
      </c>
      <c r="F114" s="285" t="n"/>
      <c r="G114" s="285" t="n"/>
      <c r="H114" s="285" t="n"/>
      <c r="I114" s="283" t="inlineStr">
        <is>
          <t>und</t>
        </is>
      </c>
      <c r="J114" s="1469" t="n"/>
      <c r="K114" s="1438" t="n">
        <v>0</v>
      </c>
      <c r="L114" s="1438" t="n">
        <v>0</v>
      </c>
      <c r="M114" s="1438" t="n">
        <v>0</v>
      </c>
      <c r="N114" s="1438" t="n">
        <v>0</v>
      </c>
      <c r="O114" s="1438" t="n">
        <v>1</v>
      </c>
      <c r="P114" s="1438" t="n">
        <v>1</v>
      </c>
      <c r="Q114" s="1438" t="n">
        <v>1</v>
      </c>
      <c r="R114" s="1438" t="n">
        <v>0</v>
      </c>
      <c r="S114" s="1303" t="n">
        <v>0</v>
      </c>
      <c r="T114" s="1438">
        <f>IF(I114="","",ROUND(IF(OR(I114="m²",I114="m2"),K114*IF(L114=0,1,L114)*IF(O114=0,1,O114)*IF(P114=0,1,P114)*Q114-R114,IF(OR(I114="m³",I114="m3"),K114*L114*M114*IF(O114=0,1,O114)*IF(P114=0,1,P114)*Q114-R114,IF(OR(I114="ml",I114="ML"),K114*IF(O114=0,1,O114)*IF(P114=0,1,P114)*Q114-R114,IF(OR(I114="und",I114="UND"),IF(O114=0,1,O114)*IF(P114=0,1,P114)*Q114-R114,IF(I114="kg",K114*IF(O114=0,1,O114)*IF(P114=0,1,P114)*Q114-R114,IF(OR(I114="gl",I114="GL",I114="gb",I114="GB",I114="Gl",I114="Gb"),IF(O114=0,1,O114)*IF(P114=0,1,P114)*Q114-R114,0)))))),3))</f>
        <v/>
      </c>
      <c r="U114" s="1438">
        <f>IF(T114="","",ROUND(T114*(1+S114),3))</f>
        <v/>
      </c>
      <c r="V114" s="283" t="inlineStr">
        <is>
          <t>und</t>
        </is>
      </c>
      <c r="W114" s="285" t="n"/>
      <c r="X114" s="285" t="n"/>
      <c r="Y114" s="1469" t="n"/>
      <c r="Z114" s="1304" t="n"/>
      <c r="AA114" s="285" t="inlineStr">
        <is>
          <t>Pendiente</t>
        </is>
      </c>
    </row>
    <row r="115" ht="15" customFormat="1" customHeight="1" s="685">
      <c r="A115" s="280" t="inlineStr">
        <is>
          <t>MQ-107</t>
        </is>
      </c>
      <c r="B115" s="281" t="inlineStr">
        <is>
          <t>INSTALACIONES ELÉCTRICAS</t>
        </is>
      </c>
      <c r="C115" s="282" t="inlineStr">
        <is>
          <t>Puesta a tierra</t>
        </is>
      </c>
      <c r="D115" s="283" t="inlineStr">
        <is>
          <t>14.04.01</t>
        </is>
      </c>
      <c r="E115" s="284" t="inlineStr">
        <is>
          <t>Sistema de puesta a tierra</t>
        </is>
      </c>
      <c r="F115" s="285" t="n"/>
      <c r="G115" s="285" t="n"/>
      <c r="H115" s="285" t="n"/>
      <c r="I115" s="283" t="inlineStr">
        <is>
          <t>gl</t>
        </is>
      </c>
      <c r="J115" s="1469" t="n"/>
      <c r="K115" s="1438" t="n">
        <v>0</v>
      </c>
      <c r="L115" s="1438" t="n">
        <v>0</v>
      </c>
      <c r="M115" s="1438" t="n">
        <v>0</v>
      </c>
      <c r="N115" s="1438" t="n">
        <v>0</v>
      </c>
      <c r="O115" s="1438" t="n">
        <v>1</v>
      </c>
      <c r="P115" s="1438" t="n">
        <v>1</v>
      </c>
      <c r="Q115" s="1438" t="n">
        <v>1</v>
      </c>
      <c r="R115" s="1438" t="n">
        <v>0</v>
      </c>
      <c r="S115" s="1303" t="n">
        <v>0</v>
      </c>
      <c r="T115" s="1438">
        <f>IF(I115="","",ROUND(IF(OR(I115="m²",I115="m2"),K115*IF(L115=0,1,L115)*IF(O115=0,1,O115)*IF(P115=0,1,P115)*Q115-R115,IF(OR(I115="m³",I115="m3"),K115*L115*M115*IF(O115=0,1,O115)*IF(P115=0,1,P115)*Q115-R115,IF(OR(I115="ml",I115="ML"),K115*IF(O115=0,1,O115)*IF(P115=0,1,P115)*Q115-R115,IF(OR(I115="und",I115="UND"),IF(O115=0,1,O115)*IF(P115=0,1,P115)*Q115-R115,IF(I115="kg",K115*IF(O115=0,1,O115)*IF(P115=0,1,P115)*Q115-R115,IF(OR(I115="gl",I115="GL",I115="gb",I115="GB",I115="Gl",I115="Gb"),IF(O115=0,1,O115)*IF(P115=0,1,P115)*Q115-R115,0)))))),3))</f>
        <v/>
      </c>
      <c r="U115" s="1438">
        <f>IF(T115="","",ROUND(T115*(1+S115),3))</f>
        <v/>
      </c>
      <c r="V115" s="283" t="inlineStr">
        <is>
          <t>gl</t>
        </is>
      </c>
      <c r="W115" s="285" t="n"/>
      <c r="X115" s="285" t="n"/>
      <c r="Y115" s="1469" t="n"/>
      <c r="Z115" s="1304" t="n"/>
      <c r="AA115" s="285" t="inlineStr">
        <is>
          <t>Pendiente</t>
        </is>
      </c>
    </row>
    <row r="116" ht="15" customFormat="1" customHeight="1" s="685">
      <c r="A116" s="280" t="inlineStr">
        <is>
          <t>MQ-108</t>
        </is>
      </c>
      <c r="B116" s="281" t="inlineStr">
        <is>
          <t>INSTALACIONES ELÉCTRICAS</t>
        </is>
      </c>
      <c r="C116" s="282" t="inlineStr">
        <is>
          <t>Pruebas</t>
        </is>
      </c>
      <c r="D116" s="283" t="inlineStr">
        <is>
          <t>14.05.01</t>
        </is>
      </c>
      <c r="E116" s="284" t="inlineStr">
        <is>
          <t>Pruebas y certificaciones</t>
        </is>
      </c>
      <c r="F116" s="285" t="n"/>
      <c r="G116" s="285" t="n"/>
      <c r="H116" s="285" t="n"/>
      <c r="I116" s="283" t="inlineStr">
        <is>
          <t>gl</t>
        </is>
      </c>
      <c r="J116" s="1469" t="n"/>
      <c r="K116" s="1438" t="n">
        <v>0</v>
      </c>
      <c r="L116" s="1438" t="n">
        <v>0</v>
      </c>
      <c r="M116" s="1438" t="n">
        <v>0</v>
      </c>
      <c r="N116" s="1438" t="n">
        <v>0</v>
      </c>
      <c r="O116" s="1438" t="n">
        <v>1</v>
      </c>
      <c r="P116" s="1438" t="n">
        <v>1</v>
      </c>
      <c r="Q116" s="1438" t="n">
        <v>1</v>
      </c>
      <c r="R116" s="1438" t="n">
        <v>0</v>
      </c>
      <c r="S116" s="1303" t="n">
        <v>0</v>
      </c>
      <c r="T116" s="1438">
        <f>IF(I116="","",ROUND(IF(OR(I116="m²",I116="m2"),K116*IF(L116=0,1,L116)*IF(O116=0,1,O116)*IF(P116=0,1,P116)*Q116-R116,IF(OR(I116="m³",I116="m3"),K116*L116*M116*IF(O116=0,1,O116)*IF(P116=0,1,P116)*Q116-R116,IF(OR(I116="ml",I116="ML"),K116*IF(O116=0,1,O116)*IF(P116=0,1,P116)*Q116-R116,IF(OR(I116="und",I116="UND"),IF(O116=0,1,O116)*IF(P116=0,1,P116)*Q116-R116,IF(I116="kg",K116*IF(O116=0,1,O116)*IF(P116=0,1,P116)*Q116-R116,IF(OR(I116="gl",I116="GL",I116="gb",I116="GB",I116="Gl",I116="Gb"),IF(O116=0,1,O116)*IF(P116=0,1,P116)*Q116-R116,0)))))),3))</f>
        <v/>
      </c>
      <c r="U116" s="1438">
        <f>IF(T116="","",ROUND(T116*(1+S116),3))</f>
        <v/>
      </c>
      <c r="V116" s="283" t="inlineStr">
        <is>
          <t>gl</t>
        </is>
      </c>
      <c r="W116" s="285" t="n"/>
      <c r="X116" s="285" t="n"/>
      <c r="Y116" s="1469" t="n"/>
      <c r="Z116" s="1304" t="n"/>
      <c r="AA116" s="285" t="inlineStr">
        <is>
          <t>Pendiente</t>
        </is>
      </c>
    </row>
    <row r="117" ht="15" customFormat="1" customHeight="1" s="685">
      <c r="A117" s="280" t="inlineStr">
        <is>
          <t>MQ-109</t>
        </is>
      </c>
      <c r="B117" s="281" t="inlineStr">
        <is>
          <t>COMUNICACIONES Y SEGURIDAD</t>
        </is>
      </c>
      <c r="C117" s="282" t="inlineStr">
        <is>
          <t>Datos</t>
        </is>
      </c>
      <c r="D117" s="283" t="inlineStr">
        <is>
          <t>15.01.01</t>
        </is>
      </c>
      <c r="E117" s="284" t="inlineStr">
        <is>
          <t>Cableado estructurado de datos</t>
        </is>
      </c>
      <c r="F117" s="285" t="n"/>
      <c r="G117" s="285" t="n"/>
      <c r="H117" s="285" t="n"/>
      <c r="I117" s="283" t="inlineStr">
        <is>
          <t>ml</t>
        </is>
      </c>
      <c r="J117" s="1469" t="n"/>
      <c r="K117" s="1438" t="n">
        <v>0</v>
      </c>
      <c r="L117" s="1438" t="n">
        <v>0</v>
      </c>
      <c r="M117" s="1438" t="n">
        <v>0</v>
      </c>
      <c r="N117" s="1438" t="n">
        <v>0</v>
      </c>
      <c r="O117" s="1438" t="n">
        <v>1</v>
      </c>
      <c r="P117" s="1438" t="n">
        <v>1</v>
      </c>
      <c r="Q117" s="1438" t="n">
        <v>1</v>
      </c>
      <c r="R117" s="1438" t="n">
        <v>0</v>
      </c>
      <c r="S117" s="1303" t="n">
        <v>0</v>
      </c>
      <c r="T117" s="1438">
        <f>IF(I117="","",ROUND(IF(OR(I117="m²",I117="m2"),K117*IF(L117=0,1,L117)*IF(O117=0,1,O117)*IF(P117=0,1,P117)*Q117-R117,IF(OR(I117="m³",I117="m3"),K117*L117*M117*IF(O117=0,1,O117)*IF(P117=0,1,P117)*Q117-R117,IF(OR(I117="ml",I117="ML"),K117*IF(O117=0,1,O117)*IF(P117=0,1,P117)*Q117-R117,IF(OR(I117="und",I117="UND"),IF(O117=0,1,O117)*IF(P117=0,1,P117)*Q117-R117,IF(I117="kg",K117*IF(O117=0,1,O117)*IF(P117=0,1,P117)*Q117-R117,IF(OR(I117="gl",I117="GL",I117="gb",I117="GB",I117="Gl",I117="Gb"),IF(O117=0,1,O117)*IF(P117=0,1,P117)*Q117-R117,0)))))),3))</f>
        <v/>
      </c>
      <c r="U117" s="1438">
        <f>IF(T117="","",ROUND(T117*(1+S117),3))</f>
        <v/>
      </c>
      <c r="V117" s="283" t="inlineStr">
        <is>
          <t>ml</t>
        </is>
      </c>
      <c r="W117" s="285" t="n"/>
      <c r="X117" s="285" t="n"/>
      <c r="Y117" s="1469" t="n"/>
      <c r="Z117" s="1304" t="n"/>
      <c r="AA117" s="285" t="inlineStr">
        <is>
          <t>Pendiente</t>
        </is>
      </c>
    </row>
    <row r="118" ht="15" customFormat="1" customHeight="1" s="685">
      <c r="A118" s="280" t="inlineStr">
        <is>
          <t>MQ-110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15.01.02</t>
        </is>
      </c>
      <c r="E118" s="284" t="inlineStr">
        <is>
          <t>Rack de comunicaciones</t>
        </is>
      </c>
      <c r="F118" s="285" t="n"/>
      <c r="G118" s="285" t="n"/>
      <c r="H118" s="285" t="n"/>
      <c r="I118" s="283" t="inlineStr">
        <is>
          <t>und</t>
        </is>
      </c>
      <c r="J118" s="1469" t="n"/>
      <c r="K118" s="1438" t="n">
        <v>0</v>
      </c>
      <c r="L118" s="1438" t="n">
        <v>0</v>
      </c>
      <c r="M118" s="1438" t="n">
        <v>0</v>
      </c>
      <c r="N118" s="1438" t="n">
        <v>0</v>
      </c>
      <c r="O118" s="1438" t="n">
        <v>1</v>
      </c>
      <c r="P118" s="1438" t="n">
        <v>1</v>
      </c>
      <c r="Q118" s="1438" t="n">
        <v>1</v>
      </c>
      <c r="R118" s="1438" t="n">
        <v>0</v>
      </c>
      <c r="S118" s="1303" t="n">
        <v>0</v>
      </c>
      <c r="T118" s="1438">
        <f>IF(I118="","",ROUND(IF(OR(I118="m²",I118="m2"),K118*IF(L118=0,1,L118)*IF(O118=0,1,O118)*IF(P118=0,1,P118)*Q118-R118,IF(OR(I118="m³",I118="m3"),K118*L118*M118*IF(O118=0,1,O118)*IF(P118=0,1,P118)*Q118-R118,IF(OR(I118="ml",I118="ML"),K118*IF(O118=0,1,O118)*IF(P118=0,1,P118)*Q118-R118,IF(OR(I118="und",I118="UND"),IF(O118=0,1,O118)*IF(P118=0,1,P118)*Q118-R118,IF(I118="kg",K118*IF(O118=0,1,O118)*IF(P118=0,1,P118)*Q118-R118,IF(OR(I118="gl",I118="GL",I118="gb",I118="GB",I118="Gl",I118="Gb"),IF(O118=0,1,O118)*IF(P118=0,1,P118)*Q118-R118,0)))))),3))</f>
        <v/>
      </c>
      <c r="U118" s="1438">
        <f>IF(T118="","",ROUND(T118*(1+S118),3))</f>
        <v/>
      </c>
      <c r="V118" s="283" t="inlineStr">
        <is>
          <t>und</t>
        </is>
      </c>
      <c r="W118" s="285" t="n"/>
      <c r="X118" s="285" t="n"/>
      <c r="Y118" s="1469" t="n"/>
      <c r="Z118" s="1304" t="n"/>
      <c r="AA118" s="285" t="inlineStr">
        <is>
          <t>Pendiente</t>
        </is>
      </c>
    </row>
    <row r="119" ht="15" customFormat="1" customHeight="1" s="685">
      <c r="A119" s="280" t="inlineStr">
        <is>
          <t>MQ-111</t>
        </is>
      </c>
      <c r="B119" s="281" t="inlineStr">
        <is>
          <t>COMUNICACIONES Y SEGURIDAD</t>
        </is>
      </c>
      <c r="C119" s="282" t="inlineStr">
        <is>
          <t>Seguridad</t>
        </is>
      </c>
      <c r="D119" s="283" t="inlineStr">
        <is>
          <t>15.02.01</t>
        </is>
      </c>
      <c r="E119" s="284" t="inlineStr">
        <is>
          <t>Cámaras y sistema CCTV</t>
        </is>
      </c>
      <c r="F119" s="285" t="n"/>
      <c r="G119" s="285" t="n"/>
      <c r="H119" s="285" t="n"/>
      <c r="I119" s="283" t="inlineStr">
        <is>
          <t>und</t>
        </is>
      </c>
      <c r="J119" s="1469" t="n"/>
      <c r="K119" s="1438" t="n">
        <v>0</v>
      </c>
      <c r="L119" s="1438" t="n">
        <v>0</v>
      </c>
      <c r="M119" s="1438" t="n">
        <v>0</v>
      </c>
      <c r="N119" s="1438" t="n">
        <v>0</v>
      </c>
      <c r="O119" s="1438" t="n">
        <v>1</v>
      </c>
      <c r="P119" s="1438" t="n">
        <v>1</v>
      </c>
      <c r="Q119" s="1438" t="n">
        <v>1</v>
      </c>
      <c r="R119" s="1438" t="n">
        <v>0</v>
      </c>
      <c r="S119" s="1303" t="n">
        <v>0</v>
      </c>
      <c r="T119" s="1438">
        <f>IF(I119="","",ROUND(IF(OR(I119="m²",I119="m2"),K119*IF(L119=0,1,L119)*IF(O119=0,1,O119)*IF(P119=0,1,P119)*Q119-R119,IF(OR(I119="m³",I119="m3"),K119*L119*M119*IF(O119=0,1,O119)*IF(P119=0,1,P119)*Q119-R119,IF(OR(I119="ml",I119="ML"),K119*IF(O119=0,1,O119)*IF(P119=0,1,P119)*Q119-R119,IF(OR(I119="und",I119="UND"),IF(O119=0,1,O119)*IF(P119=0,1,P119)*Q119-R119,IF(I119="kg",K119*IF(O119=0,1,O119)*IF(P119=0,1,P119)*Q119-R119,IF(OR(I119="gl",I119="GL",I119="gb",I119="GB",I119="Gl",I119="Gb"),IF(O119=0,1,O119)*IF(P119=0,1,P119)*Q119-R119,0)))))),3))</f>
        <v/>
      </c>
      <c r="U119" s="1438">
        <f>IF(T119="","",ROUND(T119*(1+S119),3))</f>
        <v/>
      </c>
      <c r="V119" s="283" t="inlineStr">
        <is>
          <t>und</t>
        </is>
      </c>
      <c r="W119" s="285" t="n"/>
      <c r="X119" s="285" t="n"/>
      <c r="Y119" s="1469" t="n"/>
      <c r="Z119" s="1304" t="n"/>
      <c r="AA119" s="285" t="inlineStr">
        <is>
          <t>Pendiente</t>
        </is>
      </c>
    </row>
    <row r="120" ht="15" customFormat="1" customHeight="1" s="685">
      <c r="A120" s="280" t="inlineStr">
        <is>
          <t>MQ-112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15.02.02</t>
        </is>
      </c>
      <c r="E120" s="284" t="inlineStr">
        <is>
          <t>Control de acceso</t>
        </is>
      </c>
      <c r="F120" s="285" t="n"/>
      <c r="G120" s="285" t="n"/>
      <c r="H120" s="285" t="n"/>
      <c r="I120" s="283" t="inlineStr">
        <is>
          <t>und</t>
        </is>
      </c>
      <c r="J120" s="1469" t="n"/>
      <c r="K120" s="1438" t="n">
        <v>0</v>
      </c>
      <c r="L120" s="1438" t="n">
        <v>0</v>
      </c>
      <c r="M120" s="1438" t="n">
        <v>0</v>
      </c>
      <c r="N120" s="1438" t="n">
        <v>0</v>
      </c>
      <c r="O120" s="1438" t="n">
        <v>1</v>
      </c>
      <c r="P120" s="1438" t="n">
        <v>1</v>
      </c>
      <c r="Q120" s="1438" t="n">
        <v>1</v>
      </c>
      <c r="R120" s="1438" t="n">
        <v>0</v>
      </c>
      <c r="S120" s="1303" t="n">
        <v>0</v>
      </c>
      <c r="T120" s="1438">
        <f>IF(I120="","",ROUND(IF(OR(I120="m²",I120="m2"),K120*IF(L120=0,1,L120)*IF(O120=0,1,O120)*IF(P120=0,1,P120)*Q120-R120,IF(OR(I120="m³",I120="m3"),K120*L120*M120*IF(O120=0,1,O120)*IF(P120=0,1,P120)*Q120-R120,IF(OR(I120="ml",I120="ML"),K120*IF(O120=0,1,O120)*IF(P120=0,1,P120)*Q120-R120,IF(OR(I120="und",I120="UND"),IF(O120=0,1,O120)*IF(P120=0,1,P120)*Q120-R120,IF(I120="kg",K120*IF(O120=0,1,O120)*IF(P120=0,1,P120)*Q120-R120,IF(OR(I120="gl",I120="GL",I120="gb",I120="GB",I120="Gl",I120="Gb"),IF(O120=0,1,O120)*IF(P120=0,1,P120)*Q120-R120,0)))))),3))</f>
        <v/>
      </c>
      <c r="U120" s="1438">
        <f>IF(T120="","",ROUND(T120*(1+S120),3))</f>
        <v/>
      </c>
      <c r="V120" s="283" t="inlineStr">
        <is>
          <t>und</t>
        </is>
      </c>
      <c r="W120" s="285" t="n"/>
      <c r="X120" s="285" t="n"/>
      <c r="Y120" s="1469" t="n"/>
      <c r="Z120" s="1304" t="n"/>
      <c r="AA120" s="285" t="inlineStr">
        <is>
          <t>Pendiente</t>
        </is>
      </c>
    </row>
    <row r="121" ht="15" customFormat="1" customHeight="1" s="685">
      <c r="A121" s="280" t="inlineStr">
        <is>
          <t>MQ-113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15.02.03</t>
        </is>
      </c>
      <c r="E121" s="284" t="inlineStr">
        <is>
          <t>Sistema de citofonía</t>
        </is>
      </c>
      <c r="F121" s="285" t="n"/>
      <c r="G121" s="285" t="n"/>
      <c r="H121" s="285" t="n"/>
      <c r="I121" s="283" t="inlineStr">
        <is>
          <t>und</t>
        </is>
      </c>
      <c r="J121" s="1469" t="n"/>
      <c r="K121" s="1438" t="n">
        <v>0</v>
      </c>
      <c r="L121" s="1438" t="n">
        <v>0</v>
      </c>
      <c r="M121" s="1438" t="n">
        <v>0</v>
      </c>
      <c r="N121" s="1438" t="n">
        <v>0</v>
      </c>
      <c r="O121" s="1438" t="n">
        <v>1</v>
      </c>
      <c r="P121" s="1438" t="n">
        <v>1</v>
      </c>
      <c r="Q121" s="1438" t="n">
        <v>1</v>
      </c>
      <c r="R121" s="1438" t="n">
        <v>0</v>
      </c>
      <c r="S121" s="1303" t="n">
        <v>0</v>
      </c>
      <c r="T121" s="1438">
        <f>IF(I121="","",ROUND(IF(OR(I121="m²",I121="m2"),K121*IF(L121=0,1,L121)*IF(O121=0,1,O121)*IF(P121=0,1,P121)*Q121-R121,IF(OR(I121="m³",I121="m3"),K121*L121*M121*IF(O121=0,1,O121)*IF(P121=0,1,P121)*Q121-R121,IF(OR(I121="ml",I121="ML"),K121*IF(O121=0,1,O121)*IF(P121=0,1,P121)*Q121-R121,IF(OR(I121="und",I121="UND"),IF(O121=0,1,O121)*IF(P121=0,1,P121)*Q121-R121,IF(I121="kg",K121*IF(O121=0,1,O121)*IF(P121=0,1,P121)*Q121-R121,IF(OR(I121="gl",I121="GL",I121="gb",I121="GB",I121="Gl",I121="Gb"),IF(O121=0,1,O121)*IF(P121=0,1,P121)*Q121-R121,0)))))),3))</f>
        <v/>
      </c>
      <c r="U121" s="1438">
        <f>IF(T121="","",ROUND(T121*(1+S121),3))</f>
        <v/>
      </c>
      <c r="V121" s="283" t="inlineStr">
        <is>
          <t>und</t>
        </is>
      </c>
      <c r="W121" s="285" t="n"/>
      <c r="X121" s="285" t="n"/>
      <c r="Y121" s="1469" t="n"/>
      <c r="Z121" s="1304" t="n"/>
      <c r="AA121" s="285" t="inlineStr">
        <is>
          <t>Pendiente</t>
        </is>
      </c>
    </row>
    <row r="122" ht="15" customFormat="1" customHeight="1" s="685">
      <c r="A122" s="280" t="inlineStr">
        <is>
          <t>MQ-114</t>
        </is>
      </c>
      <c r="B122" s="281" t="inlineStr">
        <is>
          <t>COMUNICACIONES Y SEGURIDAD</t>
        </is>
      </c>
      <c r="C122" s="282" t="inlineStr">
        <is>
          <t>Detección</t>
        </is>
      </c>
      <c r="D122" s="283" t="inlineStr">
        <is>
          <t>15.03.01</t>
        </is>
      </c>
      <c r="E122" s="284" t="inlineStr">
        <is>
          <t>Sistema de detección de incendios</t>
        </is>
      </c>
      <c r="F122" s="285" t="n"/>
      <c r="G122" s="285" t="n"/>
      <c r="H122" s="285" t="n"/>
      <c r="I122" s="283" t="inlineStr">
        <is>
          <t>gl</t>
        </is>
      </c>
      <c r="J122" s="1469" t="n"/>
      <c r="K122" s="1438" t="n">
        <v>0</v>
      </c>
      <c r="L122" s="1438" t="n">
        <v>0</v>
      </c>
      <c r="M122" s="1438" t="n">
        <v>0</v>
      </c>
      <c r="N122" s="1438" t="n">
        <v>0</v>
      </c>
      <c r="O122" s="1438" t="n">
        <v>1</v>
      </c>
      <c r="P122" s="1438" t="n">
        <v>1</v>
      </c>
      <c r="Q122" s="1438" t="n">
        <v>1</v>
      </c>
      <c r="R122" s="1438" t="n">
        <v>0</v>
      </c>
      <c r="S122" s="1303" t="n">
        <v>0</v>
      </c>
      <c r="T122" s="1438">
        <f>IF(I122="","",ROUND(IF(OR(I122="m²",I122="m2"),K122*IF(L122=0,1,L122)*IF(O122=0,1,O122)*IF(P122=0,1,P122)*Q122-R122,IF(OR(I122="m³",I122="m3"),K122*L122*M122*IF(O122=0,1,O122)*IF(P122=0,1,P122)*Q122-R122,IF(OR(I122="ml",I122="ML"),K122*IF(O122=0,1,O122)*IF(P122=0,1,P122)*Q122-R122,IF(OR(I122="und",I122="UND"),IF(O122=0,1,O122)*IF(P122=0,1,P122)*Q122-R122,IF(I122="kg",K122*IF(O122=0,1,O122)*IF(P122=0,1,P122)*Q122-R122,IF(OR(I122="gl",I122="GL",I122="gb",I122="GB",I122="Gl",I122="Gb"),IF(O122=0,1,O122)*IF(P122=0,1,P122)*Q122-R122,0)))))),3))</f>
        <v/>
      </c>
      <c r="U122" s="1438">
        <f>IF(T122="","",ROUND(T122*(1+S122),3))</f>
        <v/>
      </c>
      <c r="V122" s="283" t="inlineStr">
        <is>
          <t>gl</t>
        </is>
      </c>
      <c r="W122" s="285" t="n"/>
      <c r="X122" s="285" t="n"/>
      <c r="Y122" s="1469" t="n"/>
      <c r="Z122" s="1304" t="n"/>
      <c r="AA122" s="285" t="inlineStr">
        <is>
          <t>Pendiente</t>
        </is>
      </c>
    </row>
    <row r="123" ht="15" customFormat="1" customHeight="1" s="685">
      <c r="A123" s="280" t="inlineStr">
        <is>
          <t>MQ-115</t>
        </is>
      </c>
      <c r="B123" s="281" t="inlineStr">
        <is>
          <t>CLIMATIZACIÓN Y VENTILACIÓN</t>
        </is>
      </c>
      <c r="C123" s="282" t="inlineStr">
        <is>
          <t>HVAC</t>
        </is>
      </c>
      <c r="D123" s="283" t="inlineStr">
        <is>
          <t>16.01.01</t>
        </is>
      </c>
      <c r="E123" s="284" t="inlineStr">
        <is>
          <t>Equipos de aire acondicionado</t>
        </is>
      </c>
      <c r="F123" s="285" t="n"/>
      <c r="G123" s="285" t="n"/>
      <c r="H123" s="285" t="n"/>
      <c r="I123" s="283" t="inlineStr">
        <is>
          <t>und</t>
        </is>
      </c>
      <c r="J123" s="1469" t="n"/>
      <c r="K123" s="1438" t="n">
        <v>0</v>
      </c>
      <c r="L123" s="1438" t="n">
        <v>0</v>
      </c>
      <c r="M123" s="1438" t="n">
        <v>0</v>
      </c>
      <c r="N123" s="1438" t="n">
        <v>0</v>
      </c>
      <c r="O123" s="1438" t="n">
        <v>1</v>
      </c>
      <c r="P123" s="1438" t="n">
        <v>1</v>
      </c>
      <c r="Q123" s="1438" t="n">
        <v>1</v>
      </c>
      <c r="R123" s="1438" t="n">
        <v>0</v>
      </c>
      <c r="S123" s="1303" t="n">
        <v>0</v>
      </c>
      <c r="T123" s="1438">
        <f>IF(I123="","",ROUND(IF(OR(I123="m²",I123="m2"),K123*IF(L123=0,1,L123)*IF(O123=0,1,O123)*IF(P123=0,1,P123)*Q123-R123,IF(OR(I123="m³",I123="m3"),K123*L123*M123*IF(O123=0,1,O123)*IF(P123=0,1,P123)*Q123-R123,IF(OR(I123="ml",I123="ML"),K123*IF(O123=0,1,O123)*IF(P123=0,1,P123)*Q123-R123,IF(OR(I123="und",I123="UND"),IF(O123=0,1,O123)*IF(P123=0,1,P123)*Q123-R123,IF(I123="kg",K123*IF(O123=0,1,O123)*IF(P123=0,1,P123)*Q123-R123,IF(OR(I123="gl",I123="GL",I123="gb",I123="GB",I123="Gl",I123="Gb"),IF(O123=0,1,O123)*IF(P123=0,1,P123)*Q123-R123,0)))))),3))</f>
        <v/>
      </c>
      <c r="U123" s="1438">
        <f>IF(T123="","",ROUND(T123*(1+S123),3))</f>
        <v/>
      </c>
      <c r="V123" s="283" t="inlineStr">
        <is>
          <t>und</t>
        </is>
      </c>
      <c r="W123" s="285" t="n"/>
      <c r="X123" s="285" t="n"/>
      <c r="Y123" s="1469" t="n"/>
      <c r="Z123" s="1304" t="n"/>
      <c r="AA123" s="285" t="inlineStr">
        <is>
          <t>Pendiente</t>
        </is>
      </c>
    </row>
    <row r="124" ht="15" customFormat="1" customHeight="1" s="685">
      <c r="A124" s="280" t="inlineStr">
        <is>
          <t>MQ-116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16.01.02</t>
        </is>
      </c>
      <c r="E124" s="284" t="inlineStr">
        <is>
          <t>Ductos de ventilación</t>
        </is>
      </c>
      <c r="F124" s="285" t="n"/>
      <c r="G124" s="285" t="n"/>
      <c r="H124" s="285" t="n"/>
      <c r="I124" s="283" t="inlineStr">
        <is>
          <t>m²</t>
        </is>
      </c>
      <c r="J124" s="1469" t="n"/>
      <c r="K124" s="1438" t="n">
        <v>0</v>
      </c>
      <c r="L124" s="1438" t="n">
        <v>0</v>
      </c>
      <c r="M124" s="1438" t="n">
        <v>0</v>
      </c>
      <c r="N124" s="1438" t="n">
        <v>0</v>
      </c>
      <c r="O124" s="1438" t="n">
        <v>1</v>
      </c>
      <c r="P124" s="1438" t="n">
        <v>1</v>
      </c>
      <c r="Q124" s="1438" t="n">
        <v>1</v>
      </c>
      <c r="R124" s="1438" t="n">
        <v>0</v>
      </c>
      <c r="S124" s="1303" t="n">
        <v>0</v>
      </c>
      <c r="T124" s="1438">
        <f>IF(I124="","",ROUND(IF(OR(I124="m²",I124="m2"),K124*IF(L124=0,1,L124)*IF(O124=0,1,O124)*IF(P124=0,1,P124)*Q124-R124,IF(OR(I124="m³",I124="m3"),K124*L124*M124*IF(O124=0,1,O124)*IF(P124=0,1,P124)*Q124-R124,IF(OR(I124="ml",I124="ML"),K124*IF(O124=0,1,O124)*IF(P124=0,1,P124)*Q124-R124,IF(OR(I124="und",I124="UND"),IF(O124=0,1,O124)*IF(P124=0,1,P124)*Q124-R124,IF(I124="kg",K124*IF(O124=0,1,O124)*IF(P124=0,1,P124)*Q124-R124,IF(OR(I124="gl",I124="GL",I124="gb",I124="GB",I124="Gl",I124="Gb"),IF(O124=0,1,O124)*IF(P124=0,1,P124)*Q124-R124,0)))))),3))</f>
        <v/>
      </c>
      <c r="U124" s="1438">
        <f>IF(T124="","",ROUND(T124*(1+S124),3))</f>
        <v/>
      </c>
      <c r="V124" s="283" t="inlineStr">
        <is>
          <t>m²</t>
        </is>
      </c>
      <c r="W124" s="285" t="n"/>
      <c r="X124" s="285" t="n"/>
      <c r="Y124" s="1469" t="n"/>
      <c r="Z124" s="1304" t="n"/>
      <c r="AA124" s="285" t="inlineStr">
        <is>
          <t>Pendiente</t>
        </is>
      </c>
    </row>
    <row r="125" ht="15" customFormat="1" customHeight="1" s="685">
      <c r="A125" s="280" t="inlineStr">
        <is>
          <t>MQ-117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16.01.03</t>
        </is>
      </c>
      <c r="E125" s="284" t="inlineStr">
        <is>
          <t>Tubería de refrigerante</t>
        </is>
      </c>
      <c r="F125" s="285" t="n"/>
      <c r="G125" s="285" t="n"/>
      <c r="H125" s="285" t="n"/>
      <c r="I125" s="283" t="inlineStr">
        <is>
          <t>ml</t>
        </is>
      </c>
      <c r="J125" s="1469" t="n"/>
      <c r="K125" s="1438" t="n">
        <v>0</v>
      </c>
      <c r="L125" s="1438" t="n">
        <v>0</v>
      </c>
      <c r="M125" s="1438" t="n">
        <v>0</v>
      </c>
      <c r="N125" s="1438" t="n">
        <v>0</v>
      </c>
      <c r="O125" s="1438" t="n">
        <v>1</v>
      </c>
      <c r="P125" s="1438" t="n">
        <v>1</v>
      </c>
      <c r="Q125" s="1438" t="n">
        <v>1</v>
      </c>
      <c r="R125" s="1438" t="n">
        <v>0</v>
      </c>
      <c r="S125" s="1303" t="n">
        <v>0</v>
      </c>
      <c r="T125" s="1438">
        <f>IF(I125="","",ROUND(IF(OR(I125="m²",I125="m2"),K125*IF(L125=0,1,L125)*IF(O125=0,1,O125)*IF(P125=0,1,P125)*Q125-R125,IF(OR(I125="m³",I125="m3"),K125*L125*M125*IF(O125=0,1,O125)*IF(P125=0,1,P125)*Q125-R125,IF(OR(I125="ml",I125="ML"),K125*IF(O125=0,1,O125)*IF(P125=0,1,P125)*Q125-R125,IF(OR(I125="und",I125="UND"),IF(O125=0,1,O125)*IF(P125=0,1,P125)*Q125-R125,IF(I125="kg",K125*IF(O125=0,1,O125)*IF(P125=0,1,P125)*Q125-R125,IF(OR(I125="gl",I125="GL",I125="gb",I125="GB",I125="Gl",I125="Gb"),IF(O125=0,1,O125)*IF(P125=0,1,P125)*Q125-R125,0)))))),3))</f>
        <v/>
      </c>
      <c r="U125" s="1438">
        <f>IF(T125="","",ROUND(T125*(1+S125),3))</f>
        <v/>
      </c>
      <c r="V125" s="283" t="inlineStr">
        <is>
          <t>ml</t>
        </is>
      </c>
      <c r="W125" s="285" t="n"/>
      <c r="X125" s="285" t="n"/>
      <c r="Y125" s="1469" t="n"/>
      <c r="Z125" s="1304" t="n"/>
      <c r="AA125" s="285" t="inlineStr">
        <is>
          <t>Pendiente</t>
        </is>
      </c>
    </row>
    <row r="126" ht="15" customFormat="1" customHeight="1" s="685">
      <c r="A126" s="280" t="inlineStr">
        <is>
          <t>MQ-118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16.01.04</t>
        </is>
      </c>
      <c r="E126" s="284" t="inlineStr">
        <is>
          <t>Rejillas y difusores</t>
        </is>
      </c>
      <c r="F126" s="285" t="n"/>
      <c r="G126" s="285" t="n"/>
      <c r="H126" s="285" t="n"/>
      <c r="I126" s="283" t="inlineStr">
        <is>
          <t>und</t>
        </is>
      </c>
      <c r="J126" s="1469" t="n"/>
      <c r="K126" s="1438" t="n">
        <v>0</v>
      </c>
      <c r="L126" s="1438" t="n">
        <v>0</v>
      </c>
      <c r="M126" s="1438" t="n">
        <v>0</v>
      </c>
      <c r="N126" s="1438" t="n">
        <v>0</v>
      </c>
      <c r="O126" s="1438" t="n">
        <v>1</v>
      </c>
      <c r="P126" s="1438" t="n">
        <v>1</v>
      </c>
      <c r="Q126" s="1438" t="n">
        <v>1</v>
      </c>
      <c r="R126" s="1438" t="n">
        <v>0</v>
      </c>
      <c r="S126" s="1303" t="n">
        <v>0</v>
      </c>
      <c r="T126" s="1438">
        <f>IF(I126="","",ROUND(IF(OR(I126="m²",I126="m2"),K126*IF(L126=0,1,L126)*IF(O126=0,1,O126)*IF(P126=0,1,P126)*Q126-R126,IF(OR(I126="m³",I126="m3"),K126*L126*M126*IF(O126=0,1,O126)*IF(P126=0,1,P126)*Q126-R126,IF(OR(I126="ml",I126="ML"),K126*IF(O126=0,1,O126)*IF(P126=0,1,P126)*Q126-R126,IF(OR(I126="und",I126="UND"),IF(O126=0,1,O126)*IF(P126=0,1,P126)*Q126-R126,IF(I126="kg",K126*IF(O126=0,1,O126)*IF(P126=0,1,P126)*Q126-R126,IF(OR(I126="gl",I126="GL",I126="gb",I126="GB",I126="Gl",I126="Gb"),IF(O126=0,1,O126)*IF(P126=0,1,P126)*Q126-R126,0)))))),3))</f>
        <v/>
      </c>
      <c r="U126" s="1438">
        <f>IF(T126="","",ROUND(T126*(1+S126),3))</f>
        <v/>
      </c>
      <c r="V126" s="283" t="inlineStr">
        <is>
          <t>und</t>
        </is>
      </c>
      <c r="W126" s="285" t="n"/>
      <c r="X126" s="285" t="n"/>
      <c r="Y126" s="1469" t="n"/>
      <c r="Z126" s="1304" t="n"/>
      <c r="AA126" s="285" t="inlineStr">
        <is>
          <t>Pendiente</t>
        </is>
      </c>
    </row>
    <row r="127" ht="15" customFormat="1" customHeight="1" s="685">
      <c r="A127" s="280" t="inlineStr">
        <is>
          <t>MQ-119</t>
        </is>
      </c>
      <c r="B127" s="281" t="inlineStr">
        <is>
          <t>GAS</t>
        </is>
      </c>
      <c r="C127" s="282" t="inlineStr">
        <is>
          <t>Red de gas</t>
        </is>
      </c>
      <c r="D127" s="283" t="inlineStr">
        <is>
          <t>17.01.01</t>
        </is>
      </c>
      <c r="E127" s="284" t="inlineStr">
        <is>
          <t>Red interna de gas</t>
        </is>
      </c>
      <c r="F127" s="285" t="n"/>
      <c r="G127" s="285" t="n"/>
      <c r="H127" s="285" t="n"/>
      <c r="I127" s="283" t="inlineStr">
        <is>
          <t>ml</t>
        </is>
      </c>
      <c r="J127" s="1469" t="n"/>
      <c r="K127" s="1438" t="n">
        <v>0</v>
      </c>
      <c r="L127" s="1438" t="n">
        <v>0</v>
      </c>
      <c r="M127" s="1438" t="n">
        <v>0</v>
      </c>
      <c r="N127" s="1438" t="n">
        <v>0</v>
      </c>
      <c r="O127" s="1438" t="n">
        <v>1</v>
      </c>
      <c r="P127" s="1438" t="n">
        <v>1</v>
      </c>
      <c r="Q127" s="1438" t="n">
        <v>1</v>
      </c>
      <c r="R127" s="1438" t="n">
        <v>0</v>
      </c>
      <c r="S127" s="1303" t="n">
        <v>0</v>
      </c>
      <c r="T127" s="1438">
        <f>IF(I127="","",ROUND(IF(OR(I127="m²",I127="m2"),K127*IF(L127=0,1,L127)*IF(O127=0,1,O127)*IF(P127=0,1,P127)*Q127-R127,IF(OR(I127="m³",I127="m3"),K127*L127*M127*IF(O127=0,1,O127)*IF(P127=0,1,P127)*Q127-R127,IF(OR(I127="ml",I127="ML"),K127*IF(O127=0,1,O127)*IF(P127=0,1,P127)*Q127-R127,IF(OR(I127="und",I127="UND"),IF(O127=0,1,O127)*IF(P127=0,1,P127)*Q127-R127,IF(I127="kg",K127*IF(O127=0,1,O127)*IF(P127=0,1,P127)*Q127-R127,IF(OR(I127="gl",I127="GL",I127="gb",I127="GB",I127="Gl",I127="Gb"),IF(O127=0,1,O127)*IF(P127=0,1,P127)*Q127-R127,0)))))),3))</f>
        <v/>
      </c>
      <c r="U127" s="1438">
        <f>IF(T127="","",ROUND(T127*(1+S127),3))</f>
        <v/>
      </c>
      <c r="V127" s="283" t="inlineStr">
        <is>
          <t>ml</t>
        </is>
      </c>
      <c r="W127" s="285" t="n"/>
      <c r="X127" s="285" t="n"/>
      <c r="Y127" s="1469" t="n"/>
      <c r="Z127" s="1304" t="n"/>
      <c r="AA127" s="285" t="inlineStr">
        <is>
          <t>Pendiente</t>
        </is>
      </c>
    </row>
    <row r="128" ht="15" customFormat="1" customHeight="1" s="685">
      <c r="A128" s="280" t="inlineStr">
        <is>
          <t>MQ-120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17.01.02</t>
        </is>
      </c>
      <c r="E128" s="284" t="inlineStr">
        <is>
          <t>Válvulas y accesorios de gas</t>
        </is>
      </c>
      <c r="F128" s="285" t="n"/>
      <c r="G128" s="285" t="n"/>
      <c r="H128" s="285" t="n"/>
      <c r="I128" s="283" t="inlineStr">
        <is>
          <t>und</t>
        </is>
      </c>
      <c r="J128" s="1469" t="n"/>
      <c r="K128" s="1438" t="n">
        <v>0</v>
      </c>
      <c r="L128" s="1438" t="n">
        <v>0</v>
      </c>
      <c r="M128" s="1438" t="n">
        <v>0</v>
      </c>
      <c r="N128" s="1438" t="n">
        <v>0</v>
      </c>
      <c r="O128" s="1438" t="n">
        <v>1</v>
      </c>
      <c r="P128" s="1438" t="n">
        <v>1</v>
      </c>
      <c r="Q128" s="1438" t="n">
        <v>1</v>
      </c>
      <c r="R128" s="1438" t="n">
        <v>0</v>
      </c>
      <c r="S128" s="1303" t="n">
        <v>0</v>
      </c>
      <c r="T128" s="1438">
        <f>IF(I128="","",ROUND(IF(OR(I128="m²",I128="m2"),K128*IF(L128=0,1,L128)*IF(O128=0,1,O128)*IF(P128=0,1,P128)*Q128-R128,IF(OR(I128="m³",I128="m3"),K128*L128*M128*IF(O128=0,1,O128)*IF(P128=0,1,P128)*Q128-R128,IF(OR(I128="ml",I128="ML"),K128*IF(O128=0,1,O128)*IF(P128=0,1,P128)*Q128-R128,IF(OR(I128="und",I128="UND"),IF(O128=0,1,O128)*IF(P128=0,1,P128)*Q128-R128,IF(I128="kg",K128*IF(O128=0,1,O128)*IF(P128=0,1,P128)*Q128-R128,IF(OR(I128="gl",I128="GL",I128="gb",I128="GB",I128="Gl",I128="Gb"),IF(O128=0,1,O128)*IF(P128=0,1,P128)*Q128-R128,0)))))),3))</f>
        <v/>
      </c>
      <c r="U128" s="1438">
        <f>IF(T128="","",ROUND(T128*(1+S128),3))</f>
        <v/>
      </c>
      <c r="V128" s="283" t="inlineStr">
        <is>
          <t>und</t>
        </is>
      </c>
      <c r="W128" s="285" t="n"/>
      <c r="X128" s="285" t="n"/>
      <c r="Y128" s="1469" t="n"/>
      <c r="Z128" s="1304" t="n"/>
      <c r="AA128" s="285" t="inlineStr">
        <is>
          <t>Pendiente</t>
        </is>
      </c>
    </row>
    <row r="129" ht="15" customFormat="1" customHeight="1" s="685">
      <c r="A129" s="280" t="inlineStr">
        <is>
          <t>MQ-121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17.01.03</t>
        </is>
      </c>
      <c r="E129" s="284" t="inlineStr">
        <is>
          <t>Pruebas y certificación</t>
        </is>
      </c>
      <c r="F129" s="285" t="n"/>
      <c r="G129" s="285" t="n"/>
      <c r="H129" s="285" t="n"/>
      <c r="I129" s="283" t="inlineStr">
        <is>
          <t>gl</t>
        </is>
      </c>
      <c r="J129" s="1469" t="n"/>
      <c r="K129" s="1438" t="n">
        <v>0</v>
      </c>
      <c r="L129" s="1438" t="n">
        <v>0</v>
      </c>
      <c r="M129" s="1438" t="n">
        <v>0</v>
      </c>
      <c r="N129" s="1438" t="n">
        <v>0</v>
      </c>
      <c r="O129" s="1438" t="n">
        <v>1</v>
      </c>
      <c r="P129" s="1438" t="n">
        <v>1</v>
      </c>
      <c r="Q129" s="1438" t="n">
        <v>1</v>
      </c>
      <c r="R129" s="1438" t="n">
        <v>0</v>
      </c>
      <c r="S129" s="1303" t="n">
        <v>0</v>
      </c>
      <c r="T129" s="1438">
        <f>IF(I129="","",ROUND(IF(OR(I129="m²",I129="m2"),K129*IF(L129=0,1,L129)*IF(O129=0,1,O129)*IF(P129=0,1,P129)*Q129-R129,IF(OR(I129="m³",I129="m3"),K129*L129*M129*IF(O129=0,1,O129)*IF(P129=0,1,P129)*Q129-R129,IF(OR(I129="ml",I129="ML"),K129*IF(O129=0,1,O129)*IF(P129=0,1,P129)*Q129-R129,IF(OR(I129="und",I129="UND"),IF(O129=0,1,O129)*IF(P129=0,1,P129)*Q129-R129,IF(I129="kg",K129*IF(O129=0,1,O129)*IF(P129=0,1,P129)*Q129-R129,IF(OR(I129="gl",I129="GL",I129="gb",I129="GB",I129="Gl",I129="Gb"),IF(O129=0,1,O129)*IF(P129=0,1,P129)*Q129-R129,0)))))),3))</f>
        <v/>
      </c>
      <c r="U129" s="1438">
        <f>IF(T129="","",ROUND(T129*(1+S129),3))</f>
        <v/>
      </c>
      <c r="V129" s="283" t="inlineStr">
        <is>
          <t>gl</t>
        </is>
      </c>
      <c r="W129" s="285" t="n"/>
      <c r="X129" s="285" t="n"/>
      <c r="Y129" s="1469" t="n"/>
      <c r="Z129" s="1304" t="n"/>
      <c r="AA129" s="285" t="inlineStr">
        <is>
          <t>Pendiente</t>
        </is>
      </c>
    </row>
    <row r="130" ht="15" customFormat="1" customHeight="1" s="685">
      <c r="A130" s="280" t="inlineStr">
        <is>
          <t>MQ-122</t>
        </is>
      </c>
      <c r="B130" s="281" t="inlineStr">
        <is>
          <t>URBANISMO Y EXTERIORES</t>
        </is>
      </c>
      <c r="C130" s="282" t="inlineStr">
        <is>
          <t>Pavimentos</t>
        </is>
      </c>
      <c r="D130" s="283" t="inlineStr">
        <is>
          <t>18.01.01</t>
        </is>
      </c>
      <c r="E130" s="284" t="inlineStr">
        <is>
          <t>Construcción de andenes</t>
        </is>
      </c>
      <c r="F130" s="285" t="n"/>
      <c r="G130" s="285" t="n"/>
      <c r="H130" s="285" t="n"/>
      <c r="I130" s="283" t="inlineStr">
        <is>
          <t>m²</t>
        </is>
      </c>
      <c r="J130" s="1469" t="n"/>
      <c r="K130" s="1438" t="n">
        <v>0</v>
      </c>
      <c r="L130" s="1438" t="n">
        <v>0</v>
      </c>
      <c r="M130" s="1438" t="n">
        <v>0</v>
      </c>
      <c r="N130" s="1438" t="n">
        <v>0</v>
      </c>
      <c r="O130" s="1438" t="n">
        <v>1</v>
      </c>
      <c r="P130" s="1438" t="n">
        <v>1</v>
      </c>
      <c r="Q130" s="1438" t="n">
        <v>1</v>
      </c>
      <c r="R130" s="1438" t="n">
        <v>0</v>
      </c>
      <c r="S130" s="1303" t="n">
        <v>0</v>
      </c>
      <c r="T130" s="1438">
        <f>IF(I130="","",ROUND(IF(OR(I130="m²",I130="m2"),K130*IF(L130=0,1,L130)*IF(O130=0,1,O130)*IF(P130=0,1,P130)*Q130-R130,IF(OR(I130="m³",I130="m3"),K130*L130*M130*IF(O130=0,1,O130)*IF(P130=0,1,P130)*Q130-R130,IF(OR(I130="ml",I130="ML"),K130*IF(O130=0,1,O130)*IF(P130=0,1,P130)*Q130-R130,IF(OR(I130="und",I130="UND"),IF(O130=0,1,O130)*IF(P130=0,1,P130)*Q130-R130,IF(I130="kg",K130*IF(O130=0,1,O130)*IF(P130=0,1,P130)*Q130-R130,IF(OR(I130="gl",I130="GL",I130="gb",I130="GB",I130="Gl",I130="Gb"),IF(O130=0,1,O130)*IF(P130=0,1,P130)*Q130-R130,0)))))),3))</f>
        <v/>
      </c>
      <c r="U130" s="1438">
        <f>IF(T130="","",ROUND(T130*(1+S130),3))</f>
        <v/>
      </c>
      <c r="V130" s="283" t="inlineStr">
        <is>
          <t>m²</t>
        </is>
      </c>
      <c r="W130" s="285" t="n"/>
      <c r="X130" s="285" t="n"/>
      <c r="Y130" s="1469" t="n"/>
      <c r="Z130" s="1304" t="n"/>
      <c r="AA130" s="285" t="inlineStr">
        <is>
          <t>Pendiente</t>
        </is>
      </c>
    </row>
    <row r="131" ht="15" customFormat="1" customHeight="1" s="685">
      <c r="A131" s="280" t="inlineStr">
        <is>
          <t>MQ-123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18.01.02</t>
        </is>
      </c>
      <c r="E131" s="284" t="inlineStr">
        <is>
          <t>Placas de concreto exteriores</t>
        </is>
      </c>
      <c r="F131" s="285" t="n"/>
      <c r="G131" s="285" t="n"/>
      <c r="H131" s="285" t="n"/>
      <c r="I131" s="283" t="inlineStr">
        <is>
          <t>m³</t>
        </is>
      </c>
      <c r="J131" s="1469" t="n"/>
      <c r="K131" s="1438" t="n">
        <v>0</v>
      </c>
      <c r="L131" s="1438" t="n">
        <v>0</v>
      </c>
      <c r="M131" s="1438" t="n">
        <v>0</v>
      </c>
      <c r="N131" s="1438" t="n">
        <v>0</v>
      </c>
      <c r="O131" s="1438" t="n">
        <v>1</v>
      </c>
      <c r="P131" s="1438" t="n">
        <v>1</v>
      </c>
      <c r="Q131" s="1438" t="n">
        <v>1</v>
      </c>
      <c r="R131" s="1438" t="n">
        <v>0</v>
      </c>
      <c r="S131" s="1303" t="n">
        <v>0</v>
      </c>
      <c r="T131" s="1438">
        <f>IF(I131="","",ROUND(IF(OR(I131="m²",I131="m2"),K131*IF(L131=0,1,L131)*IF(O131=0,1,O131)*IF(P131=0,1,P131)*Q131-R131,IF(OR(I131="m³",I131="m3"),K131*L131*M131*IF(O131=0,1,O131)*IF(P131=0,1,P131)*Q131-R131,IF(OR(I131="ml",I131="ML"),K131*IF(O131=0,1,O131)*IF(P131=0,1,P131)*Q131-R131,IF(OR(I131="und",I131="UND"),IF(O131=0,1,O131)*IF(P131=0,1,P131)*Q131-R131,IF(I131="kg",K131*IF(O131=0,1,O131)*IF(P131=0,1,P131)*Q131-R131,IF(OR(I131="gl",I131="GL",I131="gb",I131="GB",I131="Gl",I131="Gb"),IF(O131=0,1,O131)*IF(P131=0,1,P131)*Q131-R131,0)))))),3))</f>
        <v/>
      </c>
      <c r="U131" s="1438">
        <f>IF(T131="","",ROUND(T131*(1+S131),3))</f>
        <v/>
      </c>
      <c r="V131" s="283" t="inlineStr">
        <is>
          <t>m³</t>
        </is>
      </c>
      <c r="W131" s="285" t="n"/>
      <c r="X131" s="285" t="n"/>
      <c r="Y131" s="1469" t="n"/>
      <c r="Z131" s="1304" t="n"/>
      <c r="AA131" s="285" t="inlineStr">
        <is>
          <t>Pendiente</t>
        </is>
      </c>
    </row>
    <row r="132" ht="15" customFormat="1" customHeight="1" s="685">
      <c r="A132" s="280" t="inlineStr">
        <is>
          <t>MQ-124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18.01.03</t>
        </is>
      </c>
      <c r="E132" s="284" t="inlineStr">
        <is>
          <t>Pavimento en adoquín</t>
        </is>
      </c>
      <c r="F132" s="285" t="n"/>
      <c r="G132" s="285" t="n"/>
      <c r="H132" s="285" t="n"/>
      <c r="I132" s="283" t="inlineStr">
        <is>
          <t>m²</t>
        </is>
      </c>
      <c r="J132" s="1469" t="n"/>
      <c r="K132" s="1438" t="n">
        <v>0</v>
      </c>
      <c r="L132" s="1438" t="n">
        <v>0</v>
      </c>
      <c r="M132" s="1438" t="n">
        <v>0</v>
      </c>
      <c r="N132" s="1438" t="n">
        <v>0</v>
      </c>
      <c r="O132" s="1438" t="n">
        <v>1</v>
      </c>
      <c r="P132" s="1438" t="n">
        <v>1</v>
      </c>
      <c r="Q132" s="1438" t="n">
        <v>1</v>
      </c>
      <c r="R132" s="1438" t="n">
        <v>0</v>
      </c>
      <c r="S132" s="1303" t="n">
        <v>0</v>
      </c>
      <c r="T132" s="1438">
        <f>IF(I132="","",ROUND(IF(OR(I132="m²",I132="m2"),K132*IF(L132=0,1,L132)*IF(O132=0,1,O132)*IF(P132=0,1,P132)*Q132-R132,IF(OR(I132="m³",I132="m3"),K132*L132*M132*IF(O132=0,1,O132)*IF(P132=0,1,P132)*Q132-R132,IF(OR(I132="ml",I132="ML"),K132*IF(O132=0,1,O132)*IF(P132=0,1,P132)*Q132-R132,IF(OR(I132="und",I132="UND"),IF(O132=0,1,O132)*IF(P132=0,1,P132)*Q132-R132,IF(I132="kg",K132*IF(O132=0,1,O132)*IF(P132=0,1,P132)*Q132-R132,IF(OR(I132="gl",I132="GL",I132="gb",I132="GB",I132="Gl",I132="Gb"),IF(O132=0,1,O132)*IF(P132=0,1,P132)*Q132-R132,0)))))),3))</f>
        <v/>
      </c>
      <c r="U132" s="1438">
        <f>IF(T132="","",ROUND(T132*(1+S132),3))</f>
        <v/>
      </c>
      <c r="V132" s="283" t="inlineStr">
        <is>
          <t>m²</t>
        </is>
      </c>
      <c r="W132" s="285" t="n"/>
      <c r="X132" s="285" t="n"/>
      <c r="Y132" s="1469" t="n"/>
      <c r="Z132" s="1304" t="n"/>
      <c r="AA132" s="285" t="inlineStr">
        <is>
          <t>Pendiente</t>
        </is>
      </c>
    </row>
    <row r="133" ht="15" customFormat="1" customHeight="1" s="685">
      <c r="A133" s="280" t="inlineStr">
        <is>
          <t>MQ-125</t>
        </is>
      </c>
      <c r="B133" s="281" t="inlineStr">
        <is>
          <t>URBANISMO Y EXTERIORES</t>
        </is>
      </c>
      <c r="C133" s="282" t="inlineStr">
        <is>
          <t>Bordillos</t>
        </is>
      </c>
      <c r="D133" s="283" t="inlineStr">
        <is>
          <t>18.02.01</t>
        </is>
      </c>
      <c r="E133" s="284" t="inlineStr">
        <is>
          <t>Sardineles y bordillos</t>
        </is>
      </c>
      <c r="F133" s="285" t="n"/>
      <c r="G133" s="285" t="n"/>
      <c r="H133" s="285" t="n"/>
      <c r="I133" s="283" t="inlineStr">
        <is>
          <t>ml</t>
        </is>
      </c>
      <c r="J133" s="1469" t="n"/>
      <c r="K133" s="1438" t="n">
        <v>0</v>
      </c>
      <c r="L133" s="1438" t="n">
        <v>0</v>
      </c>
      <c r="M133" s="1438" t="n">
        <v>0</v>
      </c>
      <c r="N133" s="1438" t="n">
        <v>0</v>
      </c>
      <c r="O133" s="1438" t="n">
        <v>1</v>
      </c>
      <c r="P133" s="1438" t="n">
        <v>1</v>
      </c>
      <c r="Q133" s="1438" t="n">
        <v>1</v>
      </c>
      <c r="R133" s="1438" t="n">
        <v>0</v>
      </c>
      <c r="S133" s="1303" t="n">
        <v>0</v>
      </c>
      <c r="T133" s="1438">
        <f>IF(I133="","",ROUND(IF(OR(I133="m²",I133="m2"),K133*IF(L133=0,1,L133)*IF(O133=0,1,O133)*IF(P133=0,1,P133)*Q133-R133,IF(OR(I133="m³",I133="m3"),K133*L133*M133*IF(O133=0,1,O133)*IF(P133=0,1,P133)*Q133-R133,IF(OR(I133="ml",I133="ML"),K133*IF(O133=0,1,O133)*IF(P133=0,1,P133)*Q133-R133,IF(OR(I133="und",I133="UND"),IF(O133=0,1,O133)*IF(P133=0,1,P133)*Q133-R133,IF(I133="kg",K133*IF(O133=0,1,O133)*IF(P133=0,1,P133)*Q133-R133,IF(OR(I133="gl",I133="GL",I133="gb",I133="GB",I133="Gl",I133="Gb"),IF(O133=0,1,O133)*IF(P133=0,1,P133)*Q133-R133,0)))))),3))</f>
        <v/>
      </c>
      <c r="U133" s="1438">
        <f>IF(T133="","",ROUND(T133*(1+S133),3))</f>
        <v/>
      </c>
      <c r="V133" s="283" t="inlineStr">
        <is>
          <t>ml</t>
        </is>
      </c>
      <c r="W133" s="285" t="n"/>
      <c r="X133" s="285" t="n"/>
      <c r="Y133" s="1469" t="n"/>
      <c r="Z133" s="1304" t="n"/>
      <c r="AA133" s="285" t="inlineStr">
        <is>
          <t>Pendiente</t>
        </is>
      </c>
    </row>
    <row r="134" ht="15" customFormat="1" customHeight="1" s="685">
      <c r="A134" s="280" t="inlineStr">
        <is>
          <t>MQ-126</t>
        </is>
      </c>
      <c r="B134" s="281" t="inlineStr">
        <is>
          <t>URBANISMO Y EXTERIORES</t>
        </is>
      </c>
      <c r="C134" s="282" t="inlineStr">
        <is>
          <t>Drenajes</t>
        </is>
      </c>
      <c r="D134" s="283" t="inlineStr">
        <is>
          <t>18.03.01</t>
        </is>
      </c>
      <c r="E134" s="284" t="inlineStr">
        <is>
          <t>Sumideros exteriores</t>
        </is>
      </c>
      <c r="F134" s="285" t="n"/>
      <c r="G134" s="285" t="n"/>
      <c r="H134" s="285" t="n"/>
      <c r="I134" s="283" t="inlineStr">
        <is>
          <t>und</t>
        </is>
      </c>
      <c r="J134" s="1469" t="n"/>
      <c r="K134" s="1438" t="n">
        <v>0</v>
      </c>
      <c r="L134" s="1438" t="n">
        <v>0</v>
      </c>
      <c r="M134" s="1438" t="n">
        <v>0</v>
      </c>
      <c r="N134" s="1438" t="n">
        <v>0</v>
      </c>
      <c r="O134" s="1438" t="n">
        <v>1</v>
      </c>
      <c r="P134" s="1438" t="n">
        <v>1</v>
      </c>
      <c r="Q134" s="1438" t="n">
        <v>1</v>
      </c>
      <c r="R134" s="1438" t="n">
        <v>0</v>
      </c>
      <c r="S134" s="1303" t="n">
        <v>0</v>
      </c>
      <c r="T134" s="1438">
        <f>IF(I134="","",ROUND(IF(OR(I134="m²",I134="m2"),K134*IF(L134=0,1,L134)*IF(O134=0,1,O134)*IF(P134=0,1,P134)*Q134-R134,IF(OR(I134="m³",I134="m3"),K134*L134*M134*IF(O134=0,1,O134)*IF(P134=0,1,P134)*Q134-R134,IF(OR(I134="ml",I134="ML"),K134*IF(O134=0,1,O134)*IF(P134=0,1,P134)*Q134-R134,IF(OR(I134="und",I134="UND"),IF(O134=0,1,O134)*IF(P134=0,1,P134)*Q134-R134,IF(I134="kg",K134*IF(O134=0,1,O134)*IF(P134=0,1,P134)*Q134-R134,IF(OR(I134="gl",I134="GL",I134="gb",I134="GB",I134="Gl",I134="Gb"),IF(O134=0,1,O134)*IF(P134=0,1,P134)*Q134-R134,0)))))),3))</f>
        <v/>
      </c>
      <c r="U134" s="1438">
        <f>IF(T134="","",ROUND(T134*(1+S134),3))</f>
        <v/>
      </c>
      <c r="V134" s="283" t="inlineStr">
        <is>
          <t>und</t>
        </is>
      </c>
      <c r="W134" s="285" t="n"/>
      <c r="X134" s="285" t="n"/>
      <c r="Y134" s="1469" t="n"/>
      <c r="Z134" s="1304" t="n"/>
      <c r="AA134" s="285" t="inlineStr">
        <is>
          <t>Pendiente</t>
        </is>
      </c>
    </row>
    <row r="135" ht="15" customFormat="1" customHeight="1" s="685">
      <c r="A135" s="280" t="inlineStr">
        <is>
          <t>MQ-127</t>
        </is>
      </c>
      <c r="B135" s="281" t="inlineStr">
        <is>
          <t>URBANISMO Y EXTERIORES</t>
        </is>
      </c>
      <c r="C135" s="282" t="inlineStr">
        <is>
          <t>Paisajismo</t>
        </is>
      </c>
      <c r="D135" s="283" t="inlineStr">
        <is>
          <t>18.04.01</t>
        </is>
      </c>
      <c r="E135" s="284" t="inlineStr">
        <is>
          <t>Suministro y extendido de tierra vegetal</t>
        </is>
      </c>
      <c r="F135" s="285" t="n"/>
      <c r="G135" s="285" t="n"/>
      <c r="H135" s="285" t="n"/>
      <c r="I135" s="283" t="inlineStr">
        <is>
          <t>m³</t>
        </is>
      </c>
      <c r="J135" s="1469" t="n"/>
      <c r="K135" s="1438" t="n">
        <v>0</v>
      </c>
      <c r="L135" s="1438" t="n">
        <v>0</v>
      </c>
      <c r="M135" s="1438" t="n">
        <v>0</v>
      </c>
      <c r="N135" s="1438" t="n">
        <v>0</v>
      </c>
      <c r="O135" s="1438" t="n">
        <v>1</v>
      </c>
      <c r="P135" s="1438" t="n">
        <v>1</v>
      </c>
      <c r="Q135" s="1438" t="n">
        <v>1</v>
      </c>
      <c r="R135" s="1438" t="n">
        <v>0</v>
      </c>
      <c r="S135" s="1303" t="n">
        <v>0</v>
      </c>
      <c r="T135" s="1438">
        <f>IF(I135="","",ROUND(IF(OR(I135="m²",I135="m2"),K135*IF(L135=0,1,L135)*IF(O135=0,1,O135)*IF(P135=0,1,P135)*Q135-R135,IF(OR(I135="m³",I135="m3"),K135*L135*M135*IF(O135=0,1,O135)*IF(P135=0,1,P135)*Q135-R135,IF(OR(I135="ml",I135="ML"),K135*IF(O135=0,1,O135)*IF(P135=0,1,P135)*Q135-R135,IF(OR(I135="und",I135="UND"),IF(O135=0,1,O135)*IF(P135=0,1,P135)*Q135-R135,IF(I135="kg",K135*IF(O135=0,1,O135)*IF(P135=0,1,P135)*Q135-R135,IF(OR(I135="gl",I135="GL",I135="gb",I135="GB",I135="Gl",I135="Gb"),IF(O135=0,1,O135)*IF(P135=0,1,P135)*Q135-R135,0)))))),3))</f>
        <v/>
      </c>
      <c r="U135" s="1438">
        <f>IF(T135="","",ROUND(T135*(1+S135),3))</f>
        <v/>
      </c>
      <c r="V135" s="283" t="inlineStr">
        <is>
          <t>m³</t>
        </is>
      </c>
      <c r="W135" s="285" t="n"/>
      <c r="X135" s="285" t="n"/>
      <c r="Y135" s="1469" t="n"/>
      <c r="Z135" s="1304" t="n"/>
      <c r="AA135" s="285" t="inlineStr">
        <is>
          <t>Pendiente</t>
        </is>
      </c>
    </row>
    <row r="136" ht="15" customFormat="1" customHeight="1" s="685">
      <c r="A136" s="280" t="inlineStr">
        <is>
          <t>MQ-128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18.04.02</t>
        </is>
      </c>
      <c r="E136" s="284" t="inlineStr">
        <is>
          <t>Siembra y jardinería</t>
        </is>
      </c>
      <c r="F136" s="285" t="n"/>
      <c r="G136" s="285" t="n"/>
      <c r="H136" s="285" t="n"/>
      <c r="I136" s="283" t="inlineStr">
        <is>
          <t>m²</t>
        </is>
      </c>
      <c r="J136" s="1469" t="n"/>
      <c r="K136" s="1438" t="n">
        <v>0</v>
      </c>
      <c r="L136" s="1438" t="n">
        <v>0</v>
      </c>
      <c r="M136" s="1438" t="n">
        <v>0</v>
      </c>
      <c r="N136" s="1438" t="n">
        <v>0</v>
      </c>
      <c r="O136" s="1438" t="n">
        <v>1</v>
      </c>
      <c r="P136" s="1438" t="n">
        <v>1</v>
      </c>
      <c r="Q136" s="1438" t="n">
        <v>1</v>
      </c>
      <c r="R136" s="1438" t="n">
        <v>0</v>
      </c>
      <c r="S136" s="1303" t="n">
        <v>0</v>
      </c>
      <c r="T136" s="1438">
        <f>IF(I136="","",ROUND(IF(OR(I136="m²",I136="m2"),K136*IF(L136=0,1,L136)*IF(O136=0,1,O136)*IF(P136=0,1,P136)*Q136-R136,IF(OR(I136="m³",I136="m3"),K136*L136*M136*IF(O136=0,1,O136)*IF(P136=0,1,P136)*Q136-R136,IF(OR(I136="ml",I136="ML"),K136*IF(O136=0,1,O136)*IF(P136=0,1,P136)*Q136-R136,IF(OR(I136="und",I136="UND"),IF(O136=0,1,O136)*IF(P136=0,1,P136)*Q136-R136,IF(I136="kg",K136*IF(O136=0,1,O136)*IF(P136=0,1,P136)*Q136-R136,IF(OR(I136="gl",I136="GL",I136="gb",I136="GB",I136="Gl",I136="Gb"),IF(O136=0,1,O136)*IF(P136=0,1,P136)*Q136-R136,0)))))),3))</f>
        <v/>
      </c>
      <c r="U136" s="1438">
        <f>IF(T136="","",ROUND(T136*(1+S136),3))</f>
        <v/>
      </c>
      <c r="V136" s="283" t="inlineStr">
        <is>
          <t>m²</t>
        </is>
      </c>
      <c r="W136" s="285" t="n"/>
      <c r="X136" s="285" t="n"/>
      <c r="Y136" s="1469" t="n"/>
      <c r="Z136" s="1304" t="n"/>
      <c r="AA136" s="285" t="inlineStr">
        <is>
          <t>Pendiente</t>
        </is>
      </c>
    </row>
    <row r="137" ht="15" customFormat="1" customHeight="1" s="685">
      <c r="A137" s="280" t="inlineStr">
        <is>
          <t>MQ-129</t>
        </is>
      </c>
      <c r="B137" s="281" t="inlineStr">
        <is>
          <t>OBRAS COMPLEMENTARIAS</t>
        </is>
      </c>
      <c r="C137" s="282" t="inlineStr">
        <is>
          <t>Metálicas</t>
        </is>
      </c>
      <c r="D137" s="283" t="inlineStr">
        <is>
          <t>19.01.01</t>
        </is>
      </c>
      <c r="E137" s="284" t="inlineStr">
        <is>
          <t>Rejas metálicas</t>
        </is>
      </c>
      <c r="F137" s="285" t="n"/>
      <c r="G137" s="285" t="n"/>
      <c r="H137" s="285" t="n"/>
      <c r="I137" s="283" t="inlineStr">
        <is>
          <t>m²</t>
        </is>
      </c>
      <c r="J137" s="1469" t="n"/>
      <c r="K137" s="1438" t="n">
        <v>0</v>
      </c>
      <c r="L137" s="1438" t="n">
        <v>0</v>
      </c>
      <c r="M137" s="1438" t="n">
        <v>0</v>
      </c>
      <c r="N137" s="1438" t="n">
        <v>0</v>
      </c>
      <c r="O137" s="1438" t="n">
        <v>1</v>
      </c>
      <c r="P137" s="1438" t="n">
        <v>1</v>
      </c>
      <c r="Q137" s="1438" t="n">
        <v>1</v>
      </c>
      <c r="R137" s="1438" t="n">
        <v>0</v>
      </c>
      <c r="S137" s="1303" t="n">
        <v>0</v>
      </c>
      <c r="T137" s="1438">
        <f>IF(I137="","",ROUND(IF(OR(I137="m²",I137="m2"),K137*IF(L137=0,1,L137)*IF(O137=0,1,O137)*IF(P137=0,1,P137)*Q137-R137,IF(OR(I137="m³",I137="m3"),K137*L137*M137*IF(O137=0,1,O137)*IF(P137=0,1,P137)*Q137-R137,IF(OR(I137="ml",I137="ML"),K137*IF(O137=0,1,O137)*IF(P137=0,1,P137)*Q137-R137,IF(OR(I137="und",I137="UND"),IF(O137=0,1,O137)*IF(P137=0,1,P137)*Q137-R137,IF(I137="kg",K137*IF(O137=0,1,O137)*IF(P137=0,1,P137)*Q137-R137,IF(OR(I137="gl",I137="GL",I137="gb",I137="GB",I137="Gl",I137="Gb"),IF(O137=0,1,O137)*IF(P137=0,1,P137)*Q137-R137,0)))))),3))</f>
        <v/>
      </c>
      <c r="U137" s="1438">
        <f>IF(T137="","",ROUND(T137*(1+S137),3))</f>
        <v/>
      </c>
      <c r="V137" s="283" t="inlineStr">
        <is>
          <t>m²</t>
        </is>
      </c>
      <c r="W137" s="285" t="n"/>
      <c r="X137" s="285" t="n"/>
      <c r="Y137" s="1469" t="n"/>
      <c r="Z137" s="1304" t="n"/>
      <c r="AA137" s="285" t="inlineStr">
        <is>
          <t>Pendiente</t>
        </is>
      </c>
    </row>
    <row r="138" ht="15" customFormat="1" customHeight="1" s="685">
      <c r="A138" s="280" t="inlineStr">
        <is>
          <t>MQ-130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19.01.02</t>
        </is>
      </c>
      <c r="E138" s="284" t="inlineStr">
        <is>
          <t>Escaleras metálicas</t>
        </is>
      </c>
      <c r="F138" s="285" t="n"/>
      <c r="G138" s="285" t="n"/>
      <c r="H138" s="285" t="n"/>
      <c r="I138" s="283" t="inlineStr">
        <is>
          <t>kg</t>
        </is>
      </c>
      <c r="J138" s="1469" t="n"/>
      <c r="K138" s="1438" t="n">
        <v>0</v>
      </c>
      <c r="L138" s="1438" t="n">
        <v>0</v>
      </c>
      <c r="M138" s="1438" t="n">
        <v>0</v>
      </c>
      <c r="N138" s="1438" t="n">
        <v>0</v>
      </c>
      <c r="O138" s="1438" t="n">
        <v>1</v>
      </c>
      <c r="P138" s="1438" t="n">
        <v>1</v>
      </c>
      <c r="Q138" s="1438" t="n">
        <v>1</v>
      </c>
      <c r="R138" s="1438" t="n">
        <v>0</v>
      </c>
      <c r="S138" s="1303" t="n">
        <v>0</v>
      </c>
      <c r="T138" s="1438">
        <f>IF(I138="","",ROUND(IF(OR(I138="m²",I138="m2"),K138*IF(L138=0,1,L138)*IF(O138=0,1,O138)*IF(P138=0,1,P138)*Q138-R138,IF(OR(I138="m³",I138="m3"),K138*L138*M138*IF(O138=0,1,O138)*IF(P138=0,1,P138)*Q138-R138,IF(OR(I138="ml",I138="ML"),K138*IF(O138=0,1,O138)*IF(P138=0,1,P138)*Q138-R138,IF(OR(I138="und",I138="UND"),IF(O138=0,1,O138)*IF(P138=0,1,P138)*Q138-R138,IF(I138="kg",K138*IF(O138=0,1,O138)*IF(P138=0,1,P138)*Q138-R138,IF(OR(I138="gl",I138="GL",I138="gb",I138="GB",I138="Gl",I138="Gb"),IF(O138=0,1,O138)*IF(P138=0,1,P138)*Q138-R138,0)))))),3))</f>
        <v/>
      </c>
      <c r="U138" s="1438">
        <f>IF(T138="","",ROUND(T138*(1+S138),3))</f>
        <v/>
      </c>
      <c r="V138" s="283" t="inlineStr">
        <is>
          <t>kg</t>
        </is>
      </c>
      <c r="W138" s="285" t="n"/>
      <c r="X138" s="285" t="n"/>
      <c r="Y138" s="1469" t="n"/>
      <c r="Z138" s="1304" t="n"/>
      <c r="AA138" s="285" t="inlineStr">
        <is>
          <t>Pendiente</t>
        </is>
      </c>
    </row>
    <row r="139" ht="15" customFormat="1" customHeight="1" s="685">
      <c r="A139" s="280" t="inlineStr">
        <is>
          <t>MQ-131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19.01.03</t>
        </is>
      </c>
      <c r="E139" s="284" t="inlineStr">
        <is>
          <t>Elementos metálicos especiales</t>
        </is>
      </c>
      <c r="F139" s="285" t="n"/>
      <c r="G139" s="285" t="n"/>
      <c r="H139" s="285" t="n"/>
      <c r="I139" s="283" t="inlineStr">
        <is>
          <t>kg</t>
        </is>
      </c>
      <c r="J139" s="1469" t="n"/>
      <c r="K139" s="1438" t="n">
        <v>0</v>
      </c>
      <c r="L139" s="1438" t="n">
        <v>0</v>
      </c>
      <c r="M139" s="1438" t="n">
        <v>0</v>
      </c>
      <c r="N139" s="1438" t="n">
        <v>0</v>
      </c>
      <c r="O139" s="1438" t="n">
        <v>1</v>
      </c>
      <c r="P139" s="1438" t="n">
        <v>1</v>
      </c>
      <c r="Q139" s="1438" t="n">
        <v>1</v>
      </c>
      <c r="R139" s="1438" t="n">
        <v>0</v>
      </c>
      <c r="S139" s="1303" t="n">
        <v>0</v>
      </c>
      <c r="T139" s="1438">
        <f>IF(I139="","",ROUND(IF(OR(I139="m²",I139="m2"),K139*IF(L139=0,1,L139)*IF(O139=0,1,O139)*IF(P139=0,1,P139)*Q139-R139,IF(OR(I139="m³",I139="m3"),K139*L139*M139*IF(O139=0,1,O139)*IF(P139=0,1,P139)*Q139-R139,IF(OR(I139="ml",I139="ML"),K139*IF(O139=0,1,O139)*IF(P139=0,1,P139)*Q139-R139,IF(OR(I139="und",I139="UND"),IF(O139=0,1,O139)*IF(P139=0,1,P139)*Q139-R139,IF(I139="kg",K139*IF(O139=0,1,O139)*IF(P139=0,1,P139)*Q139-R139,IF(OR(I139="gl",I139="GL",I139="gb",I139="GB",I139="Gl",I139="Gb"),IF(O139=0,1,O139)*IF(P139=0,1,P139)*Q139-R139,0)))))),3))</f>
        <v/>
      </c>
      <c r="U139" s="1438">
        <f>IF(T139="","",ROUND(T139*(1+S139),3))</f>
        <v/>
      </c>
      <c r="V139" s="283" t="inlineStr">
        <is>
          <t>kg</t>
        </is>
      </c>
      <c r="W139" s="285" t="n"/>
      <c r="X139" s="285" t="n"/>
      <c r="Y139" s="1469" t="n"/>
      <c r="Z139" s="1304" t="n"/>
      <c r="AA139" s="285" t="inlineStr">
        <is>
          <t>Pendiente</t>
        </is>
      </c>
    </row>
    <row r="140" ht="15" customFormat="1" customHeight="1" s="685">
      <c r="A140" s="280" t="inlineStr">
        <is>
          <t>MQ-132</t>
        </is>
      </c>
      <c r="B140" s="281" t="inlineStr">
        <is>
          <t>OBRAS COMPLEMENTARIAS</t>
        </is>
      </c>
      <c r="C140" s="282" t="inlineStr">
        <is>
          <t>Mobiliario</t>
        </is>
      </c>
      <c r="D140" s="283" t="inlineStr">
        <is>
          <t>19.02.01</t>
        </is>
      </c>
      <c r="E140" s="284" t="inlineStr">
        <is>
          <t>Mobiliario fijo de obra</t>
        </is>
      </c>
      <c r="F140" s="285" t="n"/>
      <c r="G140" s="285" t="n"/>
      <c r="H140" s="285" t="n"/>
      <c r="I140" s="283" t="inlineStr">
        <is>
          <t>und</t>
        </is>
      </c>
      <c r="J140" s="1469" t="n"/>
      <c r="K140" s="1438" t="n">
        <v>0</v>
      </c>
      <c r="L140" s="1438" t="n">
        <v>0</v>
      </c>
      <c r="M140" s="1438" t="n">
        <v>0</v>
      </c>
      <c r="N140" s="1438" t="n">
        <v>0</v>
      </c>
      <c r="O140" s="1438" t="n">
        <v>1</v>
      </c>
      <c r="P140" s="1438" t="n">
        <v>1</v>
      </c>
      <c r="Q140" s="1438" t="n">
        <v>1</v>
      </c>
      <c r="R140" s="1438" t="n">
        <v>0</v>
      </c>
      <c r="S140" s="1303" t="n">
        <v>0</v>
      </c>
      <c r="T140" s="1438">
        <f>IF(I140="","",ROUND(IF(OR(I140="m²",I140="m2"),K140*IF(L140=0,1,L140)*IF(O140=0,1,O140)*IF(P140=0,1,P140)*Q140-R140,IF(OR(I140="m³",I140="m3"),K140*L140*M140*IF(O140=0,1,O140)*IF(P140=0,1,P140)*Q140-R140,IF(OR(I140="ml",I140="ML"),K140*IF(O140=0,1,O140)*IF(P140=0,1,P140)*Q140-R140,IF(OR(I140="und",I140="UND"),IF(O140=0,1,O140)*IF(P140=0,1,P140)*Q140-R140,IF(I140="kg",K140*IF(O140=0,1,O140)*IF(P140=0,1,P140)*Q140-R140,IF(OR(I140="gl",I140="GL",I140="gb",I140="GB",I140="Gl",I140="Gb"),IF(O140=0,1,O140)*IF(P140=0,1,P140)*Q140-R140,0)))))),3))</f>
        <v/>
      </c>
      <c r="U140" s="1438">
        <f>IF(T140="","",ROUND(T140*(1+S140),3))</f>
        <v/>
      </c>
      <c r="V140" s="283" t="inlineStr">
        <is>
          <t>und</t>
        </is>
      </c>
      <c r="W140" s="285" t="n"/>
      <c r="X140" s="285" t="n"/>
      <c r="Y140" s="1469" t="n"/>
      <c r="Z140" s="1304" t="n"/>
      <c r="AA140" s="285" t="inlineStr">
        <is>
          <t>Pendiente</t>
        </is>
      </c>
    </row>
    <row r="141" ht="15" customFormat="1" customHeight="1" s="685">
      <c r="A141" s="280" t="inlineStr">
        <is>
          <t>MQ-133</t>
        </is>
      </c>
      <c r="B141" s="281" t="inlineStr">
        <is>
          <t>ASEO, ENTREGA Y CIERRE</t>
        </is>
      </c>
      <c r="C141" s="282" t="inlineStr">
        <is>
          <t>Limpieza</t>
        </is>
      </c>
      <c r="D141" s="283" t="inlineStr">
        <is>
          <t>20.01.01</t>
        </is>
      </c>
      <c r="E141" s="284" t="inlineStr">
        <is>
          <t>Limpieza gruesa y fina de obra</t>
        </is>
      </c>
      <c r="F141" s="285" t="n"/>
      <c r="G141" s="285" t="n"/>
      <c r="H141" s="285" t="n"/>
      <c r="I141" s="283" t="inlineStr">
        <is>
          <t>m²</t>
        </is>
      </c>
      <c r="J141" s="1469" t="n"/>
      <c r="K141" s="1438" t="n">
        <v>0</v>
      </c>
      <c r="L141" s="1438" t="n">
        <v>0</v>
      </c>
      <c r="M141" s="1438" t="n">
        <v>0</v>
      </c>
      <c r="N141" s="1438" t="n">
        <v>0</v>
      </c>
      <c r="O141" s="1438" t="n">
        <v>1</v>
      </c>
      <c r="P141" s="1438" t="n">
        <v>1</v>
      </c>
      <c r="Q141" s="1438" t="n">
        <v>1</v>
      </c>
      <c r="R141" s="1438" t="n">
        <v>0</v>
      </c>
      <c r="S141" s="1303" t="n">
        <v>0</v>
      </c>
      <c r="T141" s="1438">
        <f>IF(I141="","",ROUND(IF(OR(I141="m²",I141="m2"),K141*IF(L141=0,1,L141)*IF(O141=0,1,O141)*IF(P141=0,1,P141)*Q141-R141,IF(OR(I141="m³",I141="m3"),K141*L141*M141*IF(O141=0,1,O141)*IF(P141=0,1,P141)*Q141-R141,IF(OR(I141="ml",I141="ML"),K141*IF(O141=0,1,O141)*IF(P141=0,1,P141)*Q141-R141,IF(OR(I141="und",I141="UND"),IF(O141=0,1,O141)*IF(P141=0,1,P141)*Q141-R141,IF(I141="kg",K141*IF(O141=0,1,O141)*IF(P141=0,1,P141)*Q141-R141,IF(OR(I141="gl",I141="GL",I141="gb",I141="GB",I141="Gl",I141="Gb"),IF(O141=0,1,O141)*IF(P141=0,1,P141)*Q141-R141,0)))))),3))</f>
        <v/>
      </c>
      <c r="U141" s="1438">
        <f>IF(T141="","",ROUND(T141*(1+S141),3))</f>
        <v/>
      </c>
      <c r="V141" s="283" t="inlineStr">
        <is>
          <t>m²</t>
        </is>
      </c>
      <c r="W141" s="285" t="n"/>
      <c r="X141" s="285" t="n"/>
      <c r="Y141" s="1469" t="n"/>
      <c r="Z141" s="1304" t="n"/>
      <c r="AA141" s="285" t="inlineStr">
        <is>
          <t>Pendiente</t>
        </is>
      </c>
    </row>
    <row r="142" ht="15" customFormat="1" customHeight="1" s="685">
      <c r="A142" s="280" t="inlineStr">
        <is>
          <t>MQ-134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20.01.02</t>
        </is>
      </c>
      <c r="E142" s="284" t="inlineStr">
        <is>
          <t>Limpieza final para entrega</t>
        </is>
      </c>
      <c r="F142" s="285" t="n"/>
      <c r="G142" s="285" t="n"/>
      <c r="H142" s="285" t="n"/>
      <c r="I142" s="283" t="inlineStr">
        <is>
          <t>m²</t>
        </is>
      </c>
      <c r="J142" s="1469" t="n"/>
      <c r="K142" s="1438" t="n">
        <v>0</v>
      </c>
      <c r="L142" s="1438" t="n">
        <v>0</v>
      </c>
      <c r="M142" s="1438" t="n">
        <v>0</v>
      </c>
      <c r="N142" s="1438" t="n">
        <v>0</v>
      </c>
      <c r="O142" s="1438" t="n">
        <v>1</v>
      </c>
      <c r="P142" s="1438" t="n">
        <v>1</v>
      </c>
      <c r="Q142" s="1438" t="n">
        <v>1</v>
      </c>
      <c r="R142" s="1438" t="n">
        <v>0</v>
      </c>
      <c r="S142" s="1303" t="n">
        <v>0</v>
      </c>
      <c r="T142" s="1438">
        <f>IF(I142="","",ROUND(IF(OR(I142="m²",I142="m2"),K142*IF(L142=0,1,L142)*IF(O142=0,1,O142)*IF(P142=0,1,P142)*Q142-R142,IF(OR(I142="m³",I142="m3"),K142*L142*M142*IF(O142=0,1,O142)*IF(P142=0,1,P142)*Q142-R142,IF(OR(I142="ml",I142="ML"),K142*IF(O142=0,1,O142)*IF(P142=0,1,P142)*Q142-R142,IF(OR(I142="und",I142="UND"),IF(O142=0,1,O142)*IF(P142=0,1,P142)*Q142-R142,IF(I142="kg",K142*IF(O142=0,1,O142)*IF(P142=0,1,P142)*Q142-R142,IF(OR(I142="gl",I142="GL",I142="gb",I142="GB",I142="Gl",I142="Gb"),IF(O142=0,1,O142)*IF(P142=0,1,P142)*Q142-R142,0)))))),3))</f>
        <v/>
      </c>
      <c r="U142" s="1438">
        <f>IF(T142="","",ROUND(T142*(1+S142),3))</f>
        <v/>
      </c>
      <c r="V142" s="283" t="inlineStr">
        <is>
          <t>m²</t>
        </is>
      </c>
      <c r="W142" s="285" t="n"/>
      <c r="X142" s="285" t="n"/>
      <c r="Y142" s="1469" t="n"/>
      <c r="Z142" s="1304" t="n"/>
      <c r="AA142" s="285" t="inlineStr">
        <is>
          <t>Pendiente</t>
        </is>
      </c>
    </row>
    <row r="143" ht="15" customFormat="1" customHeight="1" s="685">
      <c r="A143" s="280" t="inlineStr">
        <is>
          <t>MQ-135</t>
        </is>
      </c>
      <c r="B143" s="281" t="inlineStr">
        <is>
          <t>ASEO, ENTREGA Y CIERRE</t>
        </is>
      </c>
      <c r="C143" s="282" t="inlineStr">
        <is>
          <t>Pruebas</t>
        </is>
      </c>
      <c r="D143" s="283" t="inlineStr">
        <is>
          <t>20.02.01</t>
        </is>
      </c>
      <c r="E143" s="284" t="inlineStr">
        <is>
          <t>Pruebas, puesta en marcha y ajustes</t>
        </is>
      </c>
      <c r="F143" s="285" t="n"/>
      <c r="G143" s="285" t="n"/>
      <c r="H143" s="285" t="n"/>
      <c r="I143" s="283" t="inlineStr">
        <is>
          <t>gl</t>
        </is>
      </c>
      <c r="J143" s="1469" t="n"/>
      <c r="K143" s="1438" t="n">
        <v>0</v>
      </c>
      <c r="L143" s="1438" t="n">
        <v>0</v>
      </c>
      <c r="M143" s="1438" t="n">
        <v>0</v>
      </c>
      <c r="N143" s="1438" t="n">
        <v>0</v>
      </c>
      <c r="O143" s="1438" t="n">
        <v>1</v>
      </c>
      <c r="P143" s="1438" t="n">
        <v>1</v>
      </c>
      <c r="Q143" s="1438" t="n">
        <v>1</v>
      </c>
      <c r="R143" s="1438" t="n">
        <v>0</v>
      </c>
      <c r="S143" s="1303" t="n">
        <v>0</v>
      </c>
      <c r="T143" s="1438">
        <f>IF(I143="","",ROUND(IF(OR(I143="m²",I143="m2"),K143*IF(L143=0,1,L143)*IF(O143=0,1,O143)*IF(P143=0,1,P143)*Q143-R143,IF(OR(I143="m³",I143="m3"),K143*L143*M143*IF(O143=0,1,O143)*IF(P143=0,1,P143)*Q143-R143,IF(OR(I143="ml",I143="ML"),K143*IF(O143=0,1,O143)*IF(P143=0,1,P143)*Q143-R143,IF(OR(I143="und",I143="UND"),IF(O143=0,1,O143)*IF(P143=0,1,P143)*Q143-R143,IF(I143="kg",K143*IF(O143=0,1,O143)*IF(P143=0,1,P143)*Q143-R143,IF(OR(I143="gl",I143="GL",I143="gb",I143="GB",I143="Gl",I143="Gb"),IF(O143=0,1,O143)*IF(P143=0,1,P143)*Q143-R143,0)))))),3))</f>
        <v/>
      </c>
      <c r="U143" s="1438">
        <f>IF(T143="","",ROUND(T143*(1+S143),3))</f>
        <v/>
      </c>
      <c r="V143" s="283" t="inlineStr">
        <is>
          <t>gl</t>
        </is>
      </c>
      <c r="W143" s="285" t="n"/>
      <c r="X143" s="285" t="n"/>
      <c r="Y143" s="1469" t="n"/>
      <c r="Z143" s="1304" t="n"/>
      <c r="AA143" s="285" t="inlineStr">
        <is>
          <t>Pendiente</t>
        </is>
      </c>
    </row>
    <row r="144" ht="15" customFormat="1" customHeight="1" s="685">
      <c r="A144" s="280" t="inlineStr">
        <is>
          <t>MQ-136</t>
        </is>
      </c>
      <c r="B144" s="281" t="inlineStr">
        <is>
          <t>ASEO, ENTREGA Y CIERRE</t>
        </is>
      </c>
      <c r="C144" s="282" t="inlineStr">
        <is>
          <t>Documentación</t>
        </is>
      </c>
      <c r="D144" s="283" t="inlineStr">
        <is>
          <t>20.02.01</t>
        </is>
      </c>
      <c r="E144" s="284" t="inlineStr">
        <is>
          <t>Actualización de planos récord / as-built</t>
        </is>
      </c>
      <c r="F144" s="285" t="n"/>
      <c r="G144" s="285" t="n"/>
      <c r="H144" s="285" t="n"/>
      <c r="I144" s="283" t="inlineStr">
        <is>
          <t>gl</t>
        </is>
      </c>
      <c r="J144" s="1469" t="n"/>
      <c r="K144" s="1438" t="n">
        <v>0</v>
      </c>
      <c r="L144" s="1438" t="n">
        <v>0</v>
      </c>
      <c r="M144" s="1438" t="n">
        <v>0</v>
      </c>
      <c r="N144" s="1438" t="n">
        <v>0</v>
      </c>
      <c r="O144" s="1438" t="n">
        <v>1</v>
      </c>
      <c r="P144" s="1438" t="n">
        <v>1</v>
      </c>
      <c r="Q144" s="1438" t="n">
        <v>1</v>
      </c>
      <c r="R144" s="1438" t="n">
        <v>0</v>
      </c>
      <c r="S144" s="1303" t="n">
        <v>0</v>
      </c>
      <c r="T144" s="1438">
        <f>IF(I144="","",ROUND(IF(OR(I144="m²",I144="m2"),K144*IF(L144=0,1,L144)*IF(O144=0,1,O144)*IF(P144=0,1,P144)*Q144-R144,IF(OR(I144="m³",I144="m3"),K144*L144*M144*IF(O144=0,1,O144)*IF(P144=0,1,P144)*Q144-R144,IF(OR(I144="ml",I144="ML"),K144*IF(O144=0,1,O144)*IF(P144=0,1,P144)*Q144-R144,IF(OR(I144="und",I144="UND"),IF(O144=0,1,O144)*IF(P144=0,1,P144)*Q144-R144,IF(I144="kg",K144*IF(O144=0,1,O144)*IF(P144=0,1,P144)*Q144-R144,IF(OR(I144="gl",I144="GL",I144="gb",I144="GB",I144="Gl",I144="Gb"),IF(O144=0,1,O144)*IF(P144=0,1,P144)*Q144-R144,0)))))),3))</f>
        <v/>
      </c>
      <c r="U144" s="1438">
        <f>IF(T144="","",ROUND(T144*(1+S144),3))</f>
        <v/>
      </c>
      <c r="V144" s="283" t="inlineStr">
        <is>
          <t>gl</t>
        </is>
      </c>
      <c r="W144" s="285" t="n"/>
      <c r="X144" s="285" t="n"/>
      <c r="Y144" s="1469" t="n"/>
      <c r="Z144" s="1304" t="n"/>
      <c r="AA144" s="285" t="inlineStr">
        <is>
          <t>Pendiente</t>
        </is>
      </c>
    </row>
    <row r="145" ht="15" customFormat="1" customHeight="1" s="685">
      <c r="A145" s="280" t="inlineStr">
        <is>
          <t>MQ-137</t>
        </is>
      </c>
      <c r="B145" s="281" t="inlineStr">
        <is>
          <t>ASEO, ENTREGA Y CIERRE</t>
        </is>
      </c>
      <c r="C145" s="282" t="inlineStr">
        <is>
          <t>Entrega</t>
        </is>
      </c>
      <c r="D145" s="283" t="inlineStr">
        <is>
          <t>20.02.02</t>
        </is>
      </c>
      <c r="E145" s="284" t="inlineStr">
        <is>
          <t>Entrega, manuales y acta de recibo</t>
        </is>
      </c>
      <c r="F145" s="285" t="n"/>
      <c r="G145" s="285" t="n"/>
      <c r="H145" s="285" t="n"/>
      <c r="I145" s="283" t="inlineStr">
        <is>
          <t>gl</t>
        </is>
      </c>
      <c r="J145" s="1469" t="n"/>
      <c r="K145" s="1438" t="n">
        <v>0</v>
      </c>
      <c r="L145" s="1438" t="n">
        <v>0</v>
      </c>
      <c r="M145" s="1438" t="n">
        <v>0</v>
      </c>
      <c r="N145" s="1438" t="n">
        <v>0</v>
      </c>
      <c r="O145" s="1438" t="n">
        <v>1</v>
      </c>
      <c r="P145" s="1438" t="n">
        <v>1</v>
      </c>
      <c r="Q145" s="1438" t="n">
        <v>1</v>
      </c>
      <c r="R145" s="1438" t="n">
        <v>0</v>
      </c>
      <c r="S145" s="1303" t="n">
        <v>0</v>
      </c>
      <c r="T145" s="1438">
        <f>IF(I145="","",ROUND(IF(OR(I145="m²",I145="m2"),K145*IF(L145=0,1,L145)*IF(O145=0,1,O145)*IF(P145=0,1,P145)*Q145-R145,IF(OR(I145="m³",I145="m3"),K145*L145*M145*IF(O145=0,1,O145)*IF(P145=0,1,P145)*Q145-R145,IF(OR(I145="ml",I145="ML"),K145*IF(O145=0,1,O145)*IF(P145=0,1,P145)*Q145-R145,IF(OR(I145="und",I145="UND"),IF(O145=0,1,O145)*IF(P145=0,1,P145)*Q145-R145,IF(I145="kg",K145*IF(O145=0,1,O145)*IF(P145=0,1,P145)*Q145-R145,IF(OR(I145="gl",I145="GL",I145="gb",I145="GB",I145="Gl",I145="Gb"),IF(O145=0,1,O145)*IF(P145=0,1,P145)*Q145-R145,0)))))),3))</f>
        <v/>
      </c>
      <c r="U145" s="1438">
        <f>IF(T145="","",ROUND(T145*(1+S145),3))</f>
        <v/>
      </c>
      <c r="V145" s="283" t="inlineStr">
        <is>
          <t>gl</t>
        </is>
      </c>
      <c r="W145" s="285" t="n"/>
      <c r="X145" s="285" t="n"/>
      <c r="Y145" s="1469" t="n"/>
      <c r="Z145" s="1304" t="n"/>
      <c r="AA145" s="285" t="inlineStr">
        <is>
          <t>Pendiente</t>
        </is>
      </c>
    </row>
    <row r="146">
      <c r="A146" s="280" t="inlineStr">
        <is>
          <t>MQ-138</t>
        </is>
      </c>
      <c r="B146" s="281" t="inlineStr">
        <is>
          <t>PRELIMINARES</t>
        </is>
      </c>
      <c r="C146" s="282" t="n"/>
      <c r="D146" s="283" t="inlineStr">
        <is>
          <t>1.10</t>
        </is>
      </c>
      <c r="E146" s="284" t="inlineStr">
        <is>
          <t>Desmantelamiento de estructuras metálicas existentes</t>
        </is>
      </c>
      <c r="F146" s="285" t="n"/>
      <c r="G146" s="285" t="n"/>
      <c r="H146" s="285" t="n"/>
      <c r="I146" s="283" t="inlineStr">
        <is>
          <t>kg</t>
        </is>
      </c>
      <c r="AA146" s="336">
        <f>I4</f>
        <v/>
      </c>
    </row>
    <row r="147">
      <c r="A147" s="280" t="inlineStr">
        <is>
          <t>MQ-139</t>
        </is>
      </c>
      <c r="B147" s="281" t="inlineStr">
        <is>
          <t>ESTRUCTURA</t>
        </is>
      </c>
      <c r="C147" s="282" t="n"/>
      <c r="D147" s="283" t="inlineStr">
        <is>
          <t>4.15</t>
        </is>
      </c>
      <c r="E147" s="284" t="inlineStr">
        <is>
          <t>Grouting cementoso para reparación estructural</t>
        </is>
      </c>
      <c r="F147" s="285" t="n"/>
      <c r="G147" s="285" t="n"/>
      <c r="H147" s="285" t="n"/>
      <c r="I147" s="283" t="inlineStr">
        <is>
          <t>m2</t>
        </is>
      </c>
    </row>
    <row r="148">
      <c r="A148" s="280" t="inlineStr">
        <is>
          <t>MQ-140</t>
        </is>
      </c>
      <c r="B148" s="281" t="inlineStr">
        <is>
          <t>ESTRUCTURA</t>
        </is>
      </c>
      <c r="C148" s="282" t="n"/>
      <c r="D148" s="283" t="inlineStr">
        <is>
          <t>4.16</t>
        </is>
      </c>
      <c r="E148" s="284" t="inlineStr">
        <is>
          <t>Grouting epóxico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MQ-141</t>
        </is>
      </c>
      <c r="B149" s="281" t="inlineStr">
        <is>
          <t>MAMPOSTERÍA</t>
        </is>
      </c>
      <c r="C149" s="282" t="n"/>
      <c r="D149" s="283" t="inlineStr">
        <is>
          <t>5.8</t>
        </is>
      </c>
      <c r="E149" s="284" t="inlineStr">
        <is>
          <t>Mampostería en ladrillo tolete a la vista (reforzada)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MQ-142</t>
        </is>
      </c>
      <c r="B150" s="281" t="inlineStr">
        <is>
          <t>MAMPOSTERÍA</t>
        </is>
      </c>
      <c r="C150" s="282" t="n"/>
      <c r="D150" s="283" t="inlineStr">
        <is>
          <t>5.9</t>
        </is>
      </c>
      <c r="E150" s="284" t="inlineStr">
        <is>
          <t>Mampostería en ladrillo a la vista (no 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MQ-143</t>
        </is>
      </c>
      <c r="B151" s="281" t="inlineStr">
        <is>
          <t>CUBIERTAS</t>
        </is>
      </c>
      <c r="C151" s="282" t="n"/>
      <c r="D151" s="283" t="inlineStr">
        <is>
          <t>6.8</t>
        </is>
      </c>
      <c r="E151" s="284" t="inlineStr">
        <is>
          <t>Cielo raso Dry Wall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MQ-144</t>
        </is>
      </c>
      <c r="B152" s="281" t="inlineStr">
        <is>
          <t>CUBIERTAS</t>
        </is>
      </c>
      <c r="C152" s="282" t="n"/>
      <c r="D152" s="283" t="inlineStr">
        <is>
          <t>6.9</t>
        </is>
      </c>
      <c r="E152" s="284" t="inlineStr">
        <is>
          <t>Cielo raso en lámina acústica de fibra mineral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MQ-145</t>
        </is>
      </c>
      <c r="B153" s="281" t="inlineStr">
        <is>
          <t>IMPERMEABILIZACIONES</t>
        </is>
      </c>
      <c r="C153" s="282" t="n"/>
      <c r="D153" s="283" t="inlineStr">
        <is>
          <t>7.4</t>
        </is>
      </c>
      <c r="E153" s="284" t="inlineStr">
        <is>
          <t>Geomembrana HDPE para impermeabilización de terrenos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MQ-146</t>
        </is>
      </c>
      <c r="B154" s="281" t="inlineStr">
        <is>
          <t>PISOS Y ENCHAPES</t>
        </is>
      </c>
      <c r="C154" s="282" t="n"/>
      <c r="D154" s="283" t="inlineStr">
        <is>
          <t>9.9</t>
        </is>
      </c>
      <c r="E154" s="284" t="inlineStr">
        <is>
          <t>Piso en concreto afinado con endurecedor de cuarzo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MQ-147</t>
        </is>
      </c>
      <c r="B155" s="281" t="inlineStr">
        <is>
          <t>PISOS Y ENCHAPES</t>
        </is>
      </c>
      <c r="C155" s="282" t="n"/>
      <c r="D155" s="283" t="inlineStr">
        <is>
          <t>9.10</t>
        </is>
      </c>
      <c r="E155" s="284" t="inlineStr">
        <is>
          <t>Baldosa de granito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MQ-148</t>
        </is>
      </c>
      <c r="B156" s="281" t="inlineStr">
        <is>
          <t>PISOS Y ENCHAPES</t>
        </is>
      </c>
      <c r="C156" s="282" t="n"/>
      <c r="D156" s="283" t="inlineStr">
        <is>
          <t>9.11</t>
        </is>
      </c>
      <c r="E156" s="284" t="inlineStr">
        <is>
          <t>Enchape en granito pulido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MQ-149</t>
        </is>
      </c>
      <c r="B157" s="281" t="inlineStr">
        <is>
          <t>CARPINTERÍA</t>
        </is>
      </c>
      <c r="C157" s="282" t="n"/>
      <c r="D157" s="283" t="inlineStr">
        <is>
          <t>11.8</t>
        </is>
      </c>
      <c r="E157" s="284" t="inlineStr">
        <is>
          <t>Puerta antipánico</t>
        </is>
      </c>
      <c r="F157" s="285" t="n"/>
      <c r="G157" s="285" t="n"/>
      <c r="H157" s="285" t="n"/>
      <c r="I157" s="283" t="inlineStr">
        <is>
          <t>und</t>
        </is>
      </c>
    </row>
    <row r="158">
      <c r="A158" s="280" t="inlineStr">
        <is>
          <t>MQ-150</t>
        </is>
      </c>
      <c r="B158" s="281" t="inlineStr">
        <is>
          <t>INSTALACIONES HIDROSANITARIAS</t>
        </is>
      </c>
      <c r="C158" s="282" t="n"/>
      <c r="D158" s="283" t="inlineStr">
        <is>
          <t>13.12</t>
        </is>
      </c>
      <c r="E158" s="284" t="inlineStr">
        <is>
          <t>Orinal institucional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MQ-151</t>
        </is>
      </c>
      <c r="B159" s="281" t="inlineStr">
        <is>
          <t>URBANISMO Y EXTERIORES</t>
        </is>
      </c>
      <c r="C159" s="282" t="n"/>
      <c r="D159" s="283" t="inlineStr">
        <is>
          <t>18.8</t>
        </is>
      </c>
      <c r="E159" s="284" t="inlineStr">
        <is>
          <t>Geotextil para drenaje y filtración</t>
        </is>
      </c>
      <c r="F159" s="285" t="n"/>
      <c r="G159" s="285" t="n"/>
      <c r="H159" s="285" t="n"/>
      <c r="I159" s="283" t="inlineStr">
        <is>
          <t>m2</t>
        </is>
      </c>
    </row>
    <row r="160">
      <c r="A160" s="280" t="inlineStr">
        <is>
          <t>MQ-152</t>
        </is>
      </c>
      <c r="B160" s="281" t="inlineStr">
        <is>
          <t>URBANISMO Y EXTERIORES</t>
        </is>
      </c>
      <c r="C160" s="282" t="n"/>
      <c r="D160" s="283" t="inlineStr">
        <is>
          <t>18.9</t>
        </is>
      </c>
      <c r="E160" s="284" t="inlineStr">
        <is>
          <t>Gaviones para obras de contención</t>
        </is>
      </c>
      <c r="F160" s="285" t="n"/>
      <c r="G160" s="285" t="n"/>
      <c r="H160" s="285" t="n"/>
      <c r="I160" s="283" t="inlineStr">
        <is>
          <t>m3</t>
        </is>
      </c>
    </row>
    <row r="161">
      <c r="A161" s="280" t="inlineStr">
        <is>
          <t>MQ-153</t>
        </is>
      </c>
      <c r="B161" s="281" t="inlineStr">
        <is>
          <t>URBANISMO Y EXTERIORES</t>
        </is>
      </c>
      <c r="C161" s="282" t="n"/>
      <c r="D161" s="283" t="inlineStr">
        <is>
          <t>18.10</t>
        </is>
      </c>
      <c r="E161" s="284" t="inlineStr">
        <is>
          <t>Filtro francés (drenaje de terrenos)</t>
        </is>
      </c>
      <c r="F161" s="285" t="n"/>
      <c r="G161" s="285" t="n"/>
      <c r="H161" s="285" t="n"/>
      <c r="I161" s="283" t="inlineStr">
        <is>
          <t>ml</t>
        </is>
      </c>
    </row>
    <row r="162">
      <c r="A162" s="280" t="inlineStr">
        <is>
          <t>MQ-154</t>
        </is>
      </c>
      <c r="B162" s="281" t="inlineStr">
        <is>
          <t>URBANISMO Y EXTERIORES</t>
        </is>
      </c>
      <c r="C162" s="282" t="n"/>
      <c r="D162" s="283" t="inlineStr">
        <is>
          <t>18.11</t>
        </is>
      </c>
      <c r="E162" s="284" t="inlineStr">
        <is>
          <t>Revegetalización / empradización</t>
        </is>
      </c>
      <c r="F162" s="285" t="n"/>
      <c r="G162" s="285" t="n"/>
      <c r="H162" s="285" t="n"/>
      <c r="I162" s="283" t="inlineStr">
        <is>
          <t>m2</t>
        </is>
      </c>
    </row>
    <row r="163">
      <c r="A163" s="280" t="inlineStr">
        <is>
          <t>MQ-155</t>
        </is>
      </c>
      <c r="B163" s="281" t="inlineStr">
        <is>
          <t>ESTRUCTURA</t>
        </is>
      </c>
      <c r="C163" s="282" t="n"/>
      <c r="D163" s="283" t="inlineStr">
        <is>
          <t>4.17</t>
        </is>
      </c>
      <c r="E163" s="284" t="inlineStr">
        <is>
          <t>Concreto premezclado o de planta (suministro)</t>
        </is>
      </c>
      <c r="F163" s="285" t="n"/>
      <c r="G163" s="285" t="n"/>
      <c r="H163" s="285" t="n"/>
      <c r="I163" s="283" t="inlineStr">
        <is>
          <t>m3</t>
        </is>
      </c>
    </row>
    <row r="164">
      <c r="A164" s="280" t="inlineStr">
        <is>
          <t>MQ-157</t>
        </is>
      </c>
      <c r="B164" s="281" t="inlineStr">
        <is>
          <t>GESTIÓN, DISEÑO Y ADMINISTRACIÓN</t>
        </is>
      </c>
      <c r="C164" s="282" t="n"/>
      <c r="D164" s="283" t="inlineStr">
        <is>
          <t>22.1</t>
        </is>
      </c>
      <c r="E164" s="284" t="inlineStr">
        <is>
          <t>Diseños arquitectónicos, estructurales, hidrosanitarios y eléctricos</t>
        </is>
      </c>
      <c r="F164" s="285" t="n"/>
      <c r="G164" s="285" t="n"/>
      <c r="H164" s="285" t="n"/>
      <c r="I164" s="283" t="inlineStr">
        <is>
          <t>gl</t>
        </is>
      </c>
    </row>
    <row r="165">
      <c r="A165" s="280" t="inlineStr">
        <is>
          <t>MQ-158</t>
        </is>
      </c>
      <c r="B165" s="281" t="inlineStr">
        <is>
          <t>GESTIÓN, DISEÑO Y ADMINISTRACIÓN</t>
        </is>
      </c>
      <c r="C165" s="282" t="n"/>
      <c r="D165" s="283" t="inlineStr">
        <is>
          <t>22.2</t>
        </is>
      </c>
      <c r="E165" s="284" t="inlineStr">
        <is>
          <t>Estudio de suelos y geotecnia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MQ-159</t>
        </is>
      </c>
      <c r="B166" s="281" t="inlineStr">
        <is>
          <t>GESTIÓN, DISEÑO Y ADMINISTRACIÓN</t>
        </is>
      </c>
      <c r="C166" s="282" t="n"/>
      <c r="D166" s="283" t="inlineStr">
        <is>
          <t>22.3</t>
        </is>
      </c>
      <c r="E166" s="284" t="inlineStr">
        <is>
          <t>Licencia de construcción y trámites de curaduría urbana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MQ-160</t>
        </is>
      </c>
      <c r="B167" s="281" t="inlineStr">
        <is>
          <t>GESTIÓN, DISEÑO Y ADMINISTRACIÓN</t>
        </is>
      </c>
      <c r="C167" s="282" t="n"/>
      <c r="D167" s="283" t="inlineStr">
        <is>
          <t>22.4</t>
        </is>
      </c>
      <c r="E167" s="284" t="inlineStr">
        <is>
          <t>Póliza de estabilidad de obra y seguros de construcción (todo riesgo)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MQ-161</t>
        </is>
      </c>
      <c r="B168" s="281" t="inlineStr">
        <is>
          <t>ASCENSORES</t>
        </is>
      </c>
      <c r="C168" s="282" t="n"/>
      <c r="D168" s="283" t="inlineStr">
        <is>
          <t>21.1</t>
        </is>
      </c>
      <c r="E168" s="284" t="inlineStr">
        <is>
          <t>Suministro e instalación de ascensor eléctrico</t>
        </is>
      </c>
      <c r="F168" s="285" t="n"/>
      <c r="G168" s="285" t="n"/>
      <c r="H168" s="285" t="n"/>
      <c r="I168" s="283" t="inlineStr">
        <is>
          <t>und</t>
        </is>
      </c>
    </row>
    <row r="169">
      <c r="A169" s="1446" t="inlineStr">
        <is>
          <t>REV. 10/09/2026</t>
        </is>
      </c>
    </row>
  </sheetData>
  <autoFilter ref="A8:AA169"/>
  <mergeCells count="13">
    <mergeCell ref="C2:K2"/>
    <mergeCell ref="C1:K1"/>
    <mergeCell ref="C7:G7"/>
    <mergeCell ref="C4:G4"/>
    <mergeCell ref="L1:AA7"/>
    <mergeCell ref="C6:G6"/>
    <mergeCell ref="H3:K3"/>
    <mergeCell ref="I5:K5"/>
    <mergeCell ref="C5:G5"/>
    <mergeCell ref="I4:K4"/>
    <mergeCell ref="I7:K7"/>
    <mergeCell ref="C3:G3"/>
    <mergeCell ref="I6:K6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W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3" customWidth="1" style="550" min="9" max="10"/>
    <col width="13" customWidth="1" style="550" min="10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L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J2" s="1282" t="n"/>
      <c r="K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7" t="n"/>
      <c r="K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J4" s="672" t="inlineStr">
        <is>
          <t>RYR-CO-006</t>
        </is>
      </c>
      <c r="K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J5" s="631" t="n">
        <v>1</v>
      </c>
      <c r="K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J6" s="624" t="inlineStr">
        <is>
          <t>10/09/2026</t>
        </is>
      </c>
      <c r="K6" s="625" t="n"/>
    </row>
    <row r="7">
      <c r="A7" s="502" t="n"/>
      <c r="B7" s="502" t="n"/>
      <c r="C7" s="502" t="n"/>
      <c r="H7" s="231" t="inlineStr">
        <is>
          <t>Página</t>
        </is>
      </c>
      <c r="J7" s="627" t="inlineStr">
        <is>
          <t>1 de 1</t>
        </is>
      </c>
      <c r="K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Peso (kg) - solo acero</t>
        </is>
      </c>
      <c r="J8" s="296" t="inlineStr">
        <is>
          <t>Largo</t>
        </is>
      </c>
      <c r="K8" s="296" t="inlineStr">
        <is>
          <t>Ancho</t>
        </is>
      </c>
      <c r="L8" s="296" t="inlineStr">
        <is>
          <t>Alto/Prof.</t>
        </is>
      </c>
      <c r="M8" s="296" t="inlineStr">
        <is>
          <t>N° elementos</t>
        </is>
      </c>
      <c r="N8" s="296" t="inlineStr">
        <is>
          <t>Repeticiones</t>
        </is>
      </c>
      <c r="O8" s="296" t="inlineStr">
        <is>
          <t>Factor de desperdicio</t>
        </is>
      </c>
      <c r="P8" s="296" t="inlineStr">
        <is>
          <t>Deducción</t>
        </is>
      </c>
      <c r="Q8" s="296" t="inlineStr">
        <is>
          <t>Desperdicio %</t>
        </is>
      </c>
      <c r="R8" s="296" t="inlineStr">
        <is>
          <t>Cantidad neta</t>
        </is>
      </c>
      <c r="S8" s="296" t="inlineStr">
        <is>
          <t>Cantidad final</t>
        </is>
      </c>
      <c r="T8" s="296" t="inlineStr">
        <is>
          <t>Criterio matemático</t>
        </is>
      </c>
      <c r="U8" s="296" t="inlineStr">
        <is>
          <t>Fuente / soporte</t>
        </is>
      </c>
      <c r="V8" s="297" t="inlineStr">
        <is>
          <t>Observaciones</t>
        </is>
      </c>
      <c r="W8" s="297" t="n"/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J9" s="1439" t="n"/>
      <c r="K9" s="1439" t="n"/>
      <c r="L9" s="1439" t="n"/>
      <c r="M9" s="1439" t="n"/>
      <c r="N9" s="1439" t="n"/>
      <c r="O9" s="1439" t="n"/>
      <c r="P9" s="1439" t="n"/>
      <c r="Q9" s="1306" t="n"/>
      <c r="R9" s="1439" t="n"/>
      <c r="S9" s="1439" t="n"/>
      <c r="T9" s="295" t="n"/>
      <c r="U9" s="295" t="n"/>
      <c r="V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J10" s="1440" t="n"/>
      <c r="K10" s="1440" t="n"/>
      <c r="L10" s="1440" t="n"/>
      <c r="M10" s="1440" t="n"/>
      <c r="N10" s="1440" t="n"/>
      <c r="O10" s="1440" t="n"/>
      <c r="P10" s="1440" t="n"/>
      <c r="Q10" s="1308" t="n"/>
      <c r="R10" s="1440" t="n"/>
      <c r="S10" s="1440" t="n"/>
      <c r="T10" s="290" t="n"/>
      <c r="U10" s="290" t="n"/>
      <c r="V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J11" s="1440" t="n"/>
      <c r="K11" s="1440" t="n"/>
      <c r="L11" s="1440" t="n"/>
      <c r="M11" s="1440" t="n"/>
      <c r="N11" s="1440" t="n"/>
      <c r="O11" s="1440" t="n"/>
      <c r="P11" s="1440" t="n"/>
      <c r="Q11" s="1308" t="n"/>
      <c r="R11" s="1440" t="n"/>
      <c r="S11" s="1440" t="n"/>
      <c r="T11" s="290" t="n"/>
      <c r="U11" s="290" t="n"/>
      <c r="V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J12" s="1440" t="n"/>
      <c r="K12" s="1440" t="n"/>
      <c r="L12" s="1440" t="n"/>
      <c r="M12" s="1440" t="n"/>
      <c r="N12" s="1440" t="n"/>
      <c r="O12" s="1440" t="n"/>
      <c r="P12" s="1440" t="n"/>
      <c r="Q12" s="1308" t="n"/>
      <c r="R12" s="1440" t="n"/>
      <c r="S12" s="1440" t="n"/>
      <c r="T12" s="290" t="n"/>
      <c r="U12" s="290" t="n"/>
      <c r="V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J13" s="1440" t="n"/>
      <c r="K13" s="1440" t="n"/>
      <c r="L13" s="1440" t="n"/>
      <c r="M13" s="1440" t="n"/>
      <c r="N13" s="1440" t="n"/>
      <c r="O13" s="1440" t="n"/>
      <c r="P13" s="1440" t="n"/>
      <c r="Q13" s="1308" t="n"/>
      <c r="R13" s="1440" t="n"/>
      <c r="S13" s="1440" t="n"/>
      <c r="T13" s="290" t="n"/>
      <c r="U13" s="290" t="n"/>
      <c r="V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J14" s="1440" t="n"/>
      <c r="K14" s="1440" t="n"/>
      <c r="L14" s="1440" t="n"/>
      <c r="M14" s="1440" t="n"/>
      <c r="N14" s="1440" t="n"/>
      <c r="O14" s="1440" t="n"/>
      <c r="P14" s="1440" t="n"/>
      <c r="Q14" s="1308" t="n"/>
      <c r="R14" s="1440" t="n"/>
      <c r="S14" s="1440" t="n"/>
      <c r="T14" s="290" t="n"/>
      <c r="U14" s="290" t="n"/>
      <c r="V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J15" s="1440" t="n"/>
      <c r="K15" s="1440" t="n"/>
      <c r="L15" s="1440" t="n"/>
      <c r="M15" s="1440" t="n"/>
      <c r="N15" s="1440" t="n"/>
      <c r="O15" s="1440" t="n"/>
      <c r="P15" s="1440" t="n"/>
      <c r="Q15" s="1308" t="n"/>
      <c r="R15" s="1440" t="n"/>
      <c r="S15" s="1440" t="n"/>
      <c r="T15" s="290" t="n"/>
      <c r="U15" s="290" t="n"/>
      <c r="V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J16" s="1440" t="n"/>
      <c r="K16" s="1440" t="n"/>
      <c r="L16" s="1440" t="n"/>
      <c r="M16" s="1440" t="n"/>
      <c r="N16" s="1440" t="n"/>
      <c r="O16" s="1440" t="n"/>
      <c r="P16" s="1440" t="n"/>
      <c r="Q16" s="1308" t="n"/>
      <c r="R16" s="1440" t="n"/>
      <c r="S16" s="1440" t="n"/>
      <c r="T16" s="290" t="n"/>
      <c r="U16" s="290" t="n"/>
      <c r="V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J17" s="1440" t="n"/>
      <c r="K17" s="1440" t="n"/>
      <c r="L17" s="1440" t="n"/>
      <c r="M17" s="1440" t="n"/>
      <c r="N17" s="1440" t="n"/>
      <c r="O17" s="1440" t="n"/>
      <c r="P17" s="1440" t="n"/>
      <c r="Q17" s="1308" t="n"/>
      <c r="R17" s="1440" t="n"/>
      <c r="S17" s="1440" t="n"/>
      <c r="T17" s="290" t="n"/>
      <c r="U17" s="290" t="n"/>
      <c r="V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J18" s="1440" t="n"/>
      <c r="K18" s="1440" t="n"/>
      <c r="L18" s="1440" t="n"/>
      <c r="M18" s="1440" t="n"/>
      <c r="N18" s="1440" t="n"/>
      <c r="O18" s="1440" t="n"/>
      <c r="P18" s="1440" t="n"/>
      <c r="Q18" s="1308" t="n"/>
      <c r="R18" s="1440" t="n"/>
      <c r="S18" s="1440" t="n"/>
      <c r="T18" s="290" t="n"/>
      <c r="U18" s="290" t="n"/>
      <c r="V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J19" s="1440" t="n"/>
      <c r="K19" s="1440" t="n"/>
      <c r="L19" s="1440" t="n"/>
      <c r="M19" s="1440" t="n"/>
      <c r="N19" s="1440" t="n"/>
      <c r="O19" s="1440" t="n"/>
      <c r="P19" s="1440" t="n"/>
      <c r="Q19" s="1308" t="n"/>
      <c r="R19" s="1440" t="n"/>
      <c r="S19" s="1440" t="n"/>
      <c r="T19" s="290" t="n"/>
      <c r="U19" s="290" t="n"/>
      <c r="V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J20" s="1440" t="n"/>
      <c r="K20" s="1440" t="n"/>
      <c r="L20" s="1440" t="n"/>
      <c r="M20" s="1440" t="n"/>
      <c r="N20" s="1440" t="n"/>
      <c r="O20" s="1440" t="n"/>
      <c r="P20" s="1440" t="n"/>
      <c r="Q20" s="1308" t="n"/>
      <c r="R20" s="1440" t="n"/>
      <c r="S20" s="1440" t="n"/>
      <c r="T20" s="290" t="n"/>
      <c r="U20" s="290" t="n"/>
      <c r="V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J21" s="1440" t="n"/>
      <c r="K21" s="1440" t="n"/>
      <c r="L21" s="1440" t="n"/>
      <c r="M21" s="1440" t="n"/>
      <c r="N21" s="1440" t="n"/>
      <c r="O21" s="1440" t="n"/>
      <c r="P21" s="1440" t="n"/>
      <c r="Q21" s="1308" t="n"/>
      <c r="R21" s="1440" t="n"/>
      <c r="S21" s="1440" t="n"/>
      <c r="T21" s="290" t="n"/>
      <c r="U21" s="290" t="n"/>
      <c r="V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J22" s="1440" t="n"/>
      <c r="K22" s="1440" t="n"/>
      <c r="L22" s="1440" t="n"/>
      <c r="M22" s="1440" t="n"/>
      <c r="N22" s="1440" t="n"/>
      <c r="O22" s="1440" t="n"/>
      <c r="P22" s="1440" t="n"/>
      <c r="Q22" s="1308" t="n"/>
      <c r="R22" s="1440" t="n"/>
      <c r="S22" s="1440" t="n"/>
      <c r="T22" s="290" t="n"/>
      <c r="U22" s="290" t="n"/>
      <c r="V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J23" s="1440" t="n"/>
      <c r="K23" s="1440" t="n"/>
      <c r="L23" s="1440" t="n"/>
      <c r="M23" s="1440" t="n"/>
      <c r="N23" s="1440" t="n"/>
      <c r="O23" s="1440" t="n"/>
      <c r="P23" s="1440" t="n"/>
      <c r="Q23" s="1308" t="n"/>
      <c r="R23" s="1440" t="n"/>
      <c r="S23" s="1440" t="n"/>
      <c r="T23" s="290" t="n"/>
      <c r="U23" s="290" t="n"/>
      <c r="V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J24" s="1440" t="n"/>
      <c r="K24" s="1440" t="n"/>
      <c r="L24" s="1440" t="n"/>
      <c r="M24" s="1440" t="n"/>
      <c r="N24" s="1440" t="n"/>
      <c r="O24" s="1440" t="n"/>
      <c r="P24" s="1440" t="n"/>
      <c r="Q24" s="1308" t="n"/>
      <c r="R24" s="1440" t="n"/>
      <c r="S24" s="1440" t="n"/>
      <c r="T24" s="290" t="n"/>
      <c r="U24" s="290" t="n"/>
      <c r="V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J25" s="1440" t="n"/>
      <c r="K25" s="1440" t="n"/>
      <c r="L25" s="1440" t="n"/>
      <c r="M25" s="1440" t="n"/>
      <c r="N25" s="1440" t="n"/>
      <c r="O25" s="1440" t="n"/>
      <c r="P25" s="1440" t="n"/>
      <c r="Q25" s="1308" t="n"/>
      <c r="R25" s="1440" t="n"/>
      <c r="S25" s="1440" t="n"/>
      <c r="T25" s="290" t="n"/>
      <c r="U25" s="290" t="n"/>
      <c r="V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J26" s="1440" t="n"/>
      <c r="K26" s="1440" t="n"/>
      <c r="L26" s="1440" t="n"/>
      <c r="M26" s="1440" t="n"/>
      <c r="N26" s="1440" t="n"/>
      <c r="O26" s="1440" t="n"/>
      <c r="P26" s="1440" t="n"/>
      <c r="Q26" s="1308" t="n"/>
      <c r="R26" s="1440" t="n"/>
      <c r="S26" s="1440" t="n"/>
      <c r="T26" s="290" t="n"/>
      <c r="U26" s="290" t="n"/>
      <c r="V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J27" s="1440" t="n"/>
      <c r="K27" s="1440" t="n"/>
      <c r="L27" s="1440" t="n"/>
      <c r="M27" s="1440" t="n"/>
      <c r="N27" s="1440" t="n"/>
      <c r="O27" s="1440" t="n"/>
      <c r="P27" s="1440" t="n"/>
      <c r="Q27" s="1308" t="n"/>
      <c r="R27" s="1440" t="n"/>
      <c r="S27" s="1440" t="n"/>
      <c r="T27" s="290" t="n"/>
      <c r="U27" s="290" t="n"/>
      <c r="V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J28" s="1440" t="n"/>
      <c r="K28" s="1440" t="n"/>
      <c r="L28" s="1440" t="n"/>
      <c r="M28" s="1440" t="n"/>
      <c r="N28" s="1440" t="n"/>
      <c r="O28" s="1440" t="n"/>
      <c r="P28" s="1440" t="n"/>
      <c r="Q28" s="1308" t="n"/>
      <c r="R28" s="1440" t="n"/>
      <c r="S28" s="1440" t="n"/>
      <c r="T28" s="290" t="n"/>
      <c r="U28" s="290" t="n"/>
      <c r="V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J29" s="1440" t="n"/>
      <c r="K29" s="1440" t="n"/>
      <c r="L29" s="1440" t="n"/>
      <c r="M29" s="1440" t="n"/>
      <c r="N29" s="1440" t="n"/>
      <c r="O29" s="1440" t="n"/>
      <c r="P29" s="1440" t="n"/>
      <c r="Q29" s="1308" t="n"/>
      <c r="R29" s="1440" t="n"/>
      <c r="S29" s="1440" t="n"/>
      <c r="T29" s="290" t="n"/>
      <c r="U29" s="290" t="n"/>
      <c r="V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J30" s="1440" t="n"/>
      <c r="K30" s="1440" t="n"/>
      <c r="L30" s="1440" t="n"/>
      <c r="M30" s="1440" t="n"/>
      <c r="N30" s="1440" t="n"/>
      <c r="O30" s="1440" t="n"/>
      <c r="P30" s="1440" t="n"/>
      <c r="Q30" s="1308" t="n"/>
      <c r="R30" s="1440" t="n"/>
      <c r="S30" s="1440" t="n"/>
      <c r="T30" s="290" t="n"/>
      <c r="U30" s="290" t="n"/>
      <c r="V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J31" s="1440" t="n"/>
      <c r="K31" s="1440" t="n"/>
      <c r="L31" s="1440" t="n"/>
      <c r="M31" s="1440" t="n"/>
      <c r="N31" s="1440" t="n"/>
      <c r="O31" s="1440" t="n"/>
      <c r="P31" s="1440" t="n"/>
      <c r="Q31" s="1308" t="n"/>
      <c r="R31" s="1440" t="n"/>
      <c r="S31" s="1440" t="n"/>
      <c r="T31" s="290" t="n"/>
      <c r="U31" s="290" t="n"/>
      <c r="V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J32" s="1440" t="n"/>
      <c r="K32" s="1440" t="n"/>
      <c r="L32" s="1440" t="n"/>
      <c r="M32" s="1440" t="n"/>
      <c r="N32" s="1440" t="n"/>
      <c r="O32" s="1440" t="n"/>
      <c r="P32" s="1440" t="n"/>
      <c r="Q32" s="1308" t="n"/>
      <c r="R32" s="1440" t="n"/>
      <c r="S32" s="1440" t="n"/>
      <c r="T32" s="290" t="n"/>
      <c r="U32" s="290" t="n"/>
      <c r="V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J33" s="1440" t="n"/>
      <c r="K33" s="1440" t="n"/>
      <c r="L33" s="1440" t="n"/>
      <c r="M33" s="1440" t="n"/>
      <c r="N33" s="1440" t="n"/>
      <c r="O33" s="1440" t="n"/>
      <c r="P33" s="1440" t="n"/>
      <c r="Q33" s="1308" t="n"/>
      <c r="R33" s="1440" t="n"/>
      <c r="S33" s="1440" t="n"/>
      <c r="T33" s="290" t="n"/>
      <c r="U33" s="290" t="n"/>
      <c r="V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J34" s="1440" t="n"/>
      <c r="K34" s="1440" t="n"/>
      <c r="L34" s="1440" t="n"/>
      <c r="M34" s="1440" t="n"/>
      <c r="N34" s="1440" t="n"/>
      <c r="O34" s="1440" t="n"/>
      <c r="P34" s="1440" t="n"/>
      <c r="Q34" s="1308" t="n"/>
      <c r="R34" s="1440" t="n"/>
      <c r="S34" s="1440" t="n"/>
      <c r="T34" s="290" t="n"/>
      <c r="U34" s="290" t="n"/>
      <c r="V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J35" s="1440" t="n"/>
      <c r="K35" s="1440" t="n"/>
      <c r="L35" s="1440" t="n"/>
      <c r="M35" s="1440" t="n"/>
      <c r="N35" s="1440" t="n"/>
      <c r="O35" s="1440" t="n"/>
      <c r="P35" s="1440" t="n"/>
      <c r="Q35" s="1308" t="n"/>
      <c r="R35" s="1440" t="n"/>
      <c r="S35" s="1440" t="n"/>
      <c r="T35" s="290" t="n"/>
      <c r="U35" s="290" t="n"/>
      <c r="V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J36" s="1440" t="n"/>
      <c r="K36" s="1440" t="n"/>
      <c r="L36" s="1440" t="n"/>
      <c r="M36" s="1440" t="n"/>
      <c r="N36" s="1440" t="n"/>
      <c r="O36" s="1440" t="n"/>
      <c r="P36" s="1440" t="n"/>
      <c r="Q36" s="1308" t="n"/>
      <c r="R36" s="1440" t="n"/>
      <c r="S36" s="1440" t="n"/>
      <c r="T36" s="290" t="n"/>
      <c r="U36" s="290" t="n"/>
      <c r="V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J37" s="1440" t="n"/>
      <c r="K37" s="1440" t="n"/>
      <c r="L37" s="1440" t="n"/>
      <c r="M37" s="1440" t="n"/>
      <c r="N37" s="1440" t="n"/>
      <c r="O37" s="1440" t="n"/>
      <c r="P37" s="1440" t="n"/>
      <c r="Q37" s="1308" t="n"/>
      <c r="R37" s="1440" t="n"/>
      <c r="S37" s="1440" t="n"/>
      <c r="T37" s="290" t="n"/>
      <c r="U37" s="290" t="n"/>
      <c r="V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J38" s="1440" t="n"/>
      <c r="K38" s="1440" t="n"/>
      <c r="L38" s="1440" t="n"/>
      <c r="M38" s="1440" t="n"/>
      <c r="N38" s="1440" t="n"/>
      <c r="O38" s="1440" t="n"/>
      <c r="P38" s="1440" t="n"/>
      <c r="Q38" s="1308" t="n"/>
      <c r="R38" s="1440" t="n"/>
      <c r="S38" s="1440" t="n"/>
      <c r="T38" s="290" t="n"/>
      <c r="U38" s="290" t="n"/>
      <c r="V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J39" s="1440" t="n"/>
      <c r="K39" s="1440" t="n"/>
      <c r="L39" s="1440" t="n"/>
      <c r="M39" s="1440" t="n"/>
      <c r="N39" s="1440" t="n"/>
      <c r="O39" s="1440" t="n"/>
      <c r="P39" s="1440" t="n"/>
      <c r="Q39" s="1308" t="n"/>
      <c r="R39" s="1440" t="n"/>
      <c r="S39" s="1440" t="n"/>
      <c r="T39" s="290" t="n"/>
      <c r="U39" s="290" t="n"/>
      <c r="V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J40" s="1440" t="n"/>
      <c r="K40" s="1440" t="n"/>
      <c r="L40" s="1440" t="n"/>
      <c r="M40" s="1440" t="n"/>
      <c r="N40" s="1440" t="n"/>
      <c r="O40" s="1440" t="n"/>
      <c r="P40" s="1440" t="n"/>
      <c r="Q40" s="1308" t="n"/>
      <c r="R40" s="1440" t="n"/>
      <c r="S40" s="1440" t="n"/>
      <c r="T40" s="290" t="n"/>
      <c r="U40" s="290" t="n"/>
      <c r="V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J41" s="1440" t="n"/>
      <c r="K41" s="1440" t="n"/>
      <c r="L41" s="1440" t="n"/>
      <c r="M41" s="1440" t="n"/>
      <c r="N41" s="1440" t="n"/>
      <c r="O41" s="1440" t="n"/>
      <c r="P41" s="1440" t="n"/>
      <c r="Q41" s="1308" t="n"/>
      <c r="R41" s="1440" t="n"/>
      <c r="S41" s="1440" t="n"/>
      <c r="T41" s="290" t="n"/>
      <c r="U41" s="290" t="n"/>
      <c r="V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J42" s="1440" t="n"/>
      <c r="K42" s="1440" t="n"/>
      <c r="L42" s="1440" t="n"/>
      <c r="M42" s="1440" t="n"/>
      <c r="N42" s="1440" t="n"/>
      <c r="O42" s="1440" t="n"/>
      <c r="P42" s="1440" t="n"/>
      <c r="Q42" s="1308" t="n"/>
      <c r="R42" s="1440" t="n"/>
      <c r="S42" s="1440" t="n"/>
      <c r="T42" s="290" t="n"/>
      <c r="U42" s="290" t="n"/>
      <c r="V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J43" s="1440" t="n"/>
      <c r="K43" s="1440" t="n"/>
      <c r="L43" s="1440" t="n"/>
      <c r="M43" s="1440" t="n"/>
      <c r="N43" s="1440" t="n"/>
      <c r="O43" s="1440" t="n"/>
      <c r="P43" s="1440" t="n"/>
      <c r="Q43" s="1308" t="n"/>
      <c r="R43" s="1440" t="n"/>
      <c r="S43" s="1440" t="n"/>
      <c r="T43" s="290" t="n"/>
      <c r="U43" s="290" t="n"/>
      <c r="V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J44" s="1440" t="n"/>
      <c r="K44" s="1440" t="n"/>
      <c r="L44" s="1440" t="n"/>
      <c r="M44" s="1440" t="n"/>
      <c r="N44" s="1440" t="n"/>
      <c r="O44" s="1440" t="n"/>
      <c r="P44" s="1440" t="n"/>
      <c r="Q44" s="1308" t="n"/>
      <c r="R44" s="1440" t="n"/>
      <c r="S44" s="1440" t="n"/>
      <c r="T44" s="290" t="n"/>
      <c r="U44" s="290" t="n"/>
      <c r="V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J45" s="1440" t="n"/>
      <c r="K45" s="1440" t="n"/>
      <c r="L45" s="1440" t="n"/>
      <c r="M45" s="1440" t="n"/>
      <c r="N45" s="1440" t="n"/>
      <c r="O45" s="1440" t="n"/>
      <c r="P45" s="1440" t="n"/>
      <c r="Q45" s="1308" t="n"/>
      <c r="R45" s="1440" t="n"/>
      <c r="S45" s="1440" t="n"/>
      <c r="T45" s="290" t="n"/>
      <c r="U45" s="290" t="n"/>
      <c r="V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J46" s="1440" t="n"/>
      <c r="K46" s="1440" t="n"/>
      <c r="L46" s="1440" t="n"/>
      <c r="M46" s="1440" t="n"/>
      <c r="N46" s="1440" t="n"/>
      <c r="O46" s="1440" t="n"/>
      <c r="P46" s="1440" t="n"/>
      <c r="Q46" s="1308" t="n"/>
      <c r="R46" s="1440" t="n"/>
      <c r="S46" s="1440" t="n"/>
      <c r="T46" s="290" t="n"/>
      <c r="U46" s="290" t="n"/>
      <c r="V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J47" s="1440" t="n"/>
      <c r="K47" s="1440" t="n"/>
      <c r="L47" s="1440" t="n"/>
      <c r="M47" s="1440" t="n"/>
      <c r="N47" s="1440" t="n"/>
      <c r="O47" s="1440" t="n"/>
      <c r="P47" s="1440" t="n"/>
      <c r="Q47" s="1308" t="n"/>
      <c r="R47" s="1440" t="n"/>
      <c r="S47" s="1440" t="n"/>
      <c r="T47" s="290" t="n"/>
      <c r="U47" s="290" t="n"/>
      <c r="V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J48" s="1440" t="n"/>
      <c r="K48" s="1440" t="n"/>
      <c r="L48" s="1440" t="n"/>
      <c r="M48" s="1440" t="n"/>
      <c r="N48" s="1440" t="n"/>
      <c r="O48" s="1440" t="n"/>
      <c r="P48" s="1440" t="n"/>
      <c r="Q48" s="1308" t="n"/>
      <c r="R48" s="1440" t="n"/>
      <c r="S48" s="1440" t="n"/>
      <c r="T48" s="290" t="n"/>
      <c r="U48" s="290" t="n"/>
      <c r="V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J49" s="1440" t="n"/>
      <c r="K49" s="1440" t="n"/>
      <c r="L49" s="1440" t="n"/>
      <c r="M49" s="1440" t="n"/>
      <c r="N49" s="1440" t="n"/>
      <c r="O49" s="1440" t="n"/>
      <c r="P49" s="1440" t="n"/>
      <c r="Q49" s="1308" t="n"/>
      <c r="R49" s="1440" t="n"/>
      <c r="S49" s="1440" t="n"/>
      <c r="T49" s="290" t="n"/>
      <c r="U49" s="290" t="n"/>
      <c r="V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J50" s="1440" t="n"/>
      <c r="K50" s="1440" t="n"/>
      <c r="L50" s="1440" t="n"/>
      <c r="M50" s="1440" t="n"/>
      <c r="N50" s="1440" t="n"/>
      <c r="O50" s="1440" t="n"/>
      <c r="P50" s="1440" t="n"/>
      <c r="Q50" s="1308" t="n"/>
      <c r="R50" s="1440" t="n"/>
      <c r="S50" s="1440" t="n"/>
      <c r="T50" s="290" t="n"/>
      <c r="U50" s="290" t="n"/>
      <c r="V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J51" s="1440" t="n"/>
      <c r="K51" s="1440" t="n"/>
      <c r="L51" s="1440" t="n"/>
      <c r="M51" s="1440" t="n"/>
      <c r="N51" s="1440" t="n"/>
      <c r="O51" s="1440" t="n"/>
      <c r="P51" s="1440" t="n"/>
      <c r="Q51" s="1308" t="n"/>
      <c r="R51" s="1440" t="n"/>
      <c r="S51" s="1440" t="n"/>
      <c r="T51" s="290" t="n"/>
      <c r="U51" s="290" t="n"/>
      <c r="V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J52" s="1440" t="n"/>
      <c r="K52" s="1440" t="n"/>
      <c r="L52" s="1440" t="n"/>
      <c r="M52" s="1440" t="n"/>
      <c r="N52" s="1440" t="n"/>
      <c r="O52" s="1440" t="n"/>
      <c r="P52" s="1440" t="n"/>
      <c r="Q52" s="1308" t="n"/>
      <c r="R52" s="1440" t="n"/>
      <c r="S52" s="1440" t="n"/>
      <c r="T52" s="290" t="n"/>
      <c r="U52" s="290" t="n"/>
      <c r="V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J53" s="1440" t="n"/>
      <c r="K53" s="1440" t="n"/>
      <c r="L53" s="1440" t="n"/>
      <c r="M53" s="1440" t="n"/>
      <c r="N53" s="1440" t="n"/>
      <c r="O53" s="1440" t="n"/>
      <c r="P53" s="1440" t="n"/>
      <c r="Q53" s="1308" t="n"/>
      <c r="R53" s="1440" t="n"/>
      <c r="S53" s="1440" t="n"/>
      <c r="T53" s="290" t="n"/>
      <c r="U53" s="290" t="n"/>
      <c r="V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J54" s="1440" t="n"/>
      <c r="K54" s="1440" t="n"/>
      <c r="L54" s="1440" t="n"/>
      <c r="M54" s="1440" t="n"/>
      <c r="N54" s="1440" t="n"/>
      <c r="O54" s="1440" t="n"/>
      <c r="P54" s="1440" t="n"/>
      <c r="Q54" s="1308" t="n"/>
      <c r="R54" s="1440" t="n"/>
      <c r="S54" s="1440" t="n"/>
      <c r="T54" s="290" t="n"/>
      <c r="U54" s="290" t="n"/>
      <c r="V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J55" s="1440" t="n"/>
      <c r="K55" s="1440" t="n"/>
      <c r="L55" s="1440" t="n"/>
      <c r="M55" s="1440" t="n"/>
      <c r="N55" s="1440" t="n"/>
      <c r="O55" s="1440" t="n"/>
      <c r="P55" s="1440" t="n"/>
      <c r="Q55" s="1308" t="n"/>
      <c r="R55" s="1440" t="n"/>
      <c r="S55" s="1440" t="n"/>
      <c r="T55" s="290" t="n"/>
      <c r="U55" s="290" t="n"/>
      <c r="V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J56" s="1440" t="n"/>
      <c r="K56" s="1440" t="n"/>
      <c r="L56" s="1440" t="n"/>
      <c r="M56" s="1440" t="n"/>
      <c r="N56" s="1440" t="n"/>
      <c r="O56" s="1440" t="n"/>
      <c r="P56" s="1440" t="n"/>
      <c r="Q56" s="1308" t="n"/>
      <c r="R56" s="1440" t="n"/>
      <c r="S56" s="1440" t="n"/>
      <c r="T56" s="290" t="n"/>
      <c r="U56" s="290" t="n"/>
      <c r="V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J57" s="1440" t="n"/>
      <c r="K57" s="1440" t="n"/>
      <c r="L57" s="1440" t="n"/>
      <c r="M57" s="1440" t="n"/>
      <c r="N57" s="1440" t="n"/>
      <c r="O57" s="1440" t="n"/>
      <c r="P57" s="1440" t="n"/>
      <c r="Q57" s="1308" t="n"/>
      <c r="R57" s="1440" t="n"/>
      <c r="S57" s="1440" t="n"/>
      <c r="T57" s="290" t="n"/>
      <c r="U57" s="290" t="n"/>
      <c r="V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J58" s="1440" t="n"/>
      <c r="K58" s="1440" t="n"/>
      <c r="L58" s="1440" t="n"/>
      <c r="M58" s="1440" t="n"/>
      <c r="N58" s="1440" t="n"/>
      <c r="O58" s="1440" t="n"/>
      <c r="P58" s="1440" t="n"/>
      <c r="Q58" s="1308" t="n"/>
      <c r="R58" s="1440" t="n"/>
      <c r="S58" s="1440" t="n"/>
      <c r="T58" s="290" t="n"/>
      <c r="U58" s="290" t="n"/>
      <c r="V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J59" s="1440" t="n"/>
      <c r="K59" s="1440" t="n"/>
      <c r="L59" s="1440" t="n"/>
      <c r="M59" s="1440" t="n"/>
      <c r="N59" s="1440" t="n"/>
      <c r="O59" s="1440" t="n"/>
      <c r="P59" s="1440" t="n"/>
      <c r="Q59" s="1308" t="n"/>
      <c r="R59" s="1440" t="n"/>
      <c r="S59" s="1440" t="n"/>
      <c r="T59" s="290" t="n"/>
      <c r="U59" s="290" t="n"/>
      <c r="V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J60" s="1440" t="n"/>
      <c r="K60" s="1440" t="n"/>
      <c r="L60" s="1440" t="n"/>
      <c r="M60" s="1440" t="n"/>
      <c r="N60" s="1440" t="n"/>
      <c r="O60" s="1440" t="n"/>
      <c r="P60" s="1440" t="n"/>
      <c r="Q60" s="1308" t="n"/>
      <c r="R60" s="1440" t="n"/>
      <c r="S60" s="1440" t="n"/>
      <c r="T60" s="290" t="n"/>
      <c r="U60" s="290" t="n"/>
      <c r="V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J61" s="1440" t="n"/>
      <c r="K61" s="1440" t="n"/>
      <c r="L61" s="1440" t="n"/>
      <c r="M61" s="1440" t="n"/>
      <c r="N61" s="1440" t="n"/>
      <c r="O61" s="1440" t="n"/>
      <c r="P61" s="1440" t="n"/>
      <c r="Q61" s="1308" t="n"/>
      <c r="R61" s="1440" t="n"/>
      <c r="S61" s="1440" t="n"/>
      <c r="T61" s="290" t="n"/>
      <c r="U61" s="290" t="n"/>
      <c r="V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J62" s="1440" t="n"/>
      <c r="K62" s="1440" t="n"/>
      <c r="L62" s="1440" t="n"/>
      <c r="M62" s="1440" t="n"/>
      <c r="N62" s="1440" t="n"/>
      <c r="O62" s="1440" t="n"/>
      <c r="P62" s="1440" t="n"/>
      <c r="Q62" s="1308" t="n"/>
      <c r="R62" s="1440" t="n"/>
      <c r="S62" s="1440" t="n"/>
      <c r="T62" s="290" t="n"/>
      <c r="U62" s="290" t="n"/>
      <c r="V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J63" s="1440" t="n"/>
      <c r="K63" s="1440" t="n"/>
      <c r="L63" s="1440" t="n"/>
      <c r="M63" s="1440" t="n"/>
      <c r="N63" s="1440" t="n"/>
      <c r="O63" s="1440" t="n"/>
      <c r="P63" s="1440" t="n"/>
      <c r="Q63" s="1308" t="n"/>
      <c r="R63" s="1440" t="n"/>
      <c r="S63" s="1440" t="n"/>
      <c r="T63" s="290" t="n"/>
      <c r="U63" s="290" t="n"/>
      <c r="V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J64" s="1440" t="n"/>
      <c r="K64" s="1440" t="n"/>
      <c r="L64" s="1440" t="n"/>
      <c r="M64" s="1440" t="n"/>
      <c r="N64" s="1440" t="n"/>
      <c r="O64" s="1440" t="n"/>
      <c r="P64" s="1440" t="n"/>
      <c r="Q64" s="1308" t="n"/>
      <c r="R64" s="1440" t="n"/>
      <c r="S64" s="1440" t="n"/>
      <c r="T64" s="290" t="n"/>
      <c r="U64" s="290" t="n"/>
      <c r="V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J65" s="1440" t="n"/>
      <c r="K65" s="1440" t="n"/>
      <c r="L65" s="1440" t="n"/>
      <c r="M65" s="1440" t="n"/>
      <c r="N65" s="1440" t="n"/>
      <c r="O65" s="1440" t="n"/>
      <c r="P65" s="1440" t="n"/>
      <c r="Q65" s="1308" t="n"/>
      <c r="R65" s="1440" t="n"/>
      <c r="S65" s="1440" t="n"/>
      <c r="T65" s="290" t="n"/>
      <c r="U65" s="290" t="n"/>
      <c r="V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J66" s="1440" t="n"/>
      <c r="K66" s="1440" t="n"/>
      <c r="L66" s="1440" t="n"/>
      <c r="M66" s="1440" t="n"/>
      <c r="N66" s="1440" t="n"/>
      <c r="O66" s="1440" t="n"/>
      <c r="P66" s="1440" t="n"/>
      <c r="Q66" s="1308" t="n"/>
      <c r="R66" s="1440" t="n"/>
      <c r="S66" s="1440" t="n"/>
      <c r="T66" s="290" t="n"/>
      <c r="U66" s="290" t="n"/>
      <c r="V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J67" s="1440" t="n"/>
      <c r="K67" s="1440" t="n"/>
      <c r="L67" s="1440" t="n"/>
      <c r="M67" s="1440" t="n"/>
      <c r="N67" s="1440" t="n"/>
      <c r="O67" s="1440" t="n"/>
      <c r="P67" s="1440" t="n"/>
      <c r="Q67" s="1308" t="n"/>
      <c r="R67" s="1440" t="n"/>
      <c r="S67" s="1440" t="n"/>
      <c r="T67" s="290" t="n"/>
      <c r="U67" s="290" t="n"/>
      <c r="V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J68" s="1440" t="n"/>
      <c r="K68" s="1440" t="n"/>
      <c r="L68" s="1440" t="n"/>
      <c r="M68" s="1440" t="n"/>
      <c r="N68" s="1440" t="n"/>
      <c r="O68" s="1440" t="n"/>
      <c r="P68" s="1440" t="n"/>
      <c r="Q68" s="1308" t="n"/>
      <c r="R68" s="1440" t="n"/>
      <c r="S68" s="1440" t="n"/>
      <c r="T68" s="290" t="n"/>
      <c r="U68" s="290" t="n"/>
      <c r="V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J69" s="1440" t="n"/>
      <c r="K69" s="1440" t="n"/>
      <c r="L69" s="1440" t="n"/>
      <c r="M69" s="1440" t="n"/>
      <c r="N69" s="1440" t="n"/>
      <c r="O69" s="1440" t="n"/>
      <c r="P69" s="1440" t="n"/>
      <c r="Q69" s="1308" t="n"/>
      <c r="R69" s="1440" t="n"/>
      <c r="S69" s="1440" t="n"/>
      <c r="T69" s="290" t="n"/>
      <c r="U69" s="290" t="n"/>
      <c r="V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J70" s="1440" t="n"/>
      <c r="K70" s="1440" t="n"/>
      <c r="L70" s="1440" t="n"/>
      <c r="M70" s="1440" t="n"/>
      <c r="N70" s="1440" t="n"/>
      <c r="O70" s="1440" t="n"/>
      <c r="P70" s="1440" t="n"/>
      <c r="Q70" s="1308" t="n"/>
      <c r="R70" s="1440" t="n"/>
      <c r="S70" s="1440" t="n"/>
      <c r="T70" s="290" t="n"/>
      <c r="U70" s="290" t="n"/>
      <c r="V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J71" s="1440" t="n"/>
      <c r="K71" s="1440" t="n"/>
      <c r="L71" s="1440" t="n"/>
      <c r="M71" s="1440" t="n"/>
      <c r="N71" s="1440" t="n"/>
      <c r="O71" s="1440" t="n"/>
      <c r="P71" s="1440" t="n"/>
      <c r="Q71" s="1308" t="n"/>
      <c r="R71" s="1440" t="n"/>
      <c r="S71" s="1440" t="n"/>
      <c r="T71" s="290" t="n"/>
      <c r="U71" s="290" t="n"/>
      <c r="V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J72" s="1440" t="n"/>
      <c r="K72" s="1440" t="n"/>
      <c r="L72" s="1440" t="n"/>
      <c r="M72" s="1440" t="n"/>
      <c r="N72" s="1440" t="n"/>
      <c r="O72" s="1440" t="n"/>
      <c r="P72" s="1440" t="n"/>
      <c r="Q72" s="1308" t="n"/>
      <c r="R72" s="1440" t="n"/>
      <c r="S72" s="1440" t="n"/>
      <c r="T72" s="290" t="n"/>
      <c r="U72" s="290" t="n"/>
      <c r="V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J73" s="1440" t="n"/>
      <c r="K73" s="1440" t="n"/>
      <c r="L73" s="1440" t="n"/>
      <c r="M73" s="1440" t="n"/>
      <c r="N73" s="1440" t="n"/>
      <c r="O73" s="1440" t="n"/>
      <c r="P73" s="1440" t="n"/>
      <c r="Q73" s="1308" t="n"/>
      <c r="R73" s="1440" t="n"/>
      <c r="S73" s="1440" t="n"/>
      <c r="T73" s="290" t="n"/>
      <c r="U73" s="290" t="n"/>
      <c r="V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J74" s="1440" t="n"/>
      <c r="K74" s="1440" t="n"/>
      <c r="L74" s="1440" t="n"/>
      <c r="M74" s="1440" t="n"/>
      <c r="N74" s="1440" t="n"/>
      <c r="O74" s="1440" t="n"/>
      <c r="P74" s="1440" t="n"/>
      <c r="Q74" s="1308" t="n"/>
      <c r="R74" s="1440" t="n"/>
      <c r="S74" s="1440" t="n"/>
      <c r="T74" s="290" t="n"/>
      <c r="U74" s="290" t="n"/>
      <c r="V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J75" s="1440" t="n"/>
      <c r="K75" s="1440" t="n"/>
      <c r="L75" s="1440" t="n"/>
      <c r="M75" s="1440" t="n"/>
      <c r="N75" s="1440" t="n"/>
      <c r="O75" s="1440" t="n"/>
      <c r="P75" s="1440" t="n"/>
      <c r="Q75" s="1308" t="n"/>
      <c r="R75" s="1440" t="n"/>
      <c r="S75" s="1440" t="n"/>
      <c r="T75" s="290" t="n"/>
      <c r="U75" s="290" t="n"/>
      <c r="V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J76" s="1440" t="n"/>
      <c r="K76" s="1440" t="n"/>
      <c r="L76" s="1440" t="n"/>
      <c r="M76" s="1440" t="n"/>
      <c r="N76" s="1440" t="n"/>
      <c r="O76" s="1440" t="n"/>
      <c r="P76" s="1440" t="n"/>
      <c r="Q76" s="1308" t="n"/>
      <c r="R76" s="1440" t="n"/>
      <c r="S76" s="1440" t="n"/>
      <c r="T76" s="290" t="n"/>
      <c r="U76" s="290" t="n"/>
      <c r="V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J77" s="1440" t="n"/>
      <c r="K77" s="1440" t="n"/>
      <c r="L77" s="1440" t="n"/>
      <c r="M77" s="1440" t="n"/>
      <c r="N77" s="1440" t="n"/>
      <c r="O77" s="1440" t="n"/>
      <c r="P77" s="1440" t="n"/>
      <c r="Q77" s="1308" t="n"/>
      <c r="R77" s="1440" t="n"/>
      <c r="S77" s="1440" t="n"/>
      <c r="T77" s="290" t="n"/>
      <c r="U77" s="290" t="n"/>
      <c r="V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J78" s="1440" t="n"/>
      <c r="K78" s="1440" t="n"/>
      <c r="L78" s="1440" t="n"/>
      <c r="M78" s="1440" t="n"/>
      <c r="N78" s="1440" t="n"/>
      <c r="O78" s="1440" t="n"/>
      <c r="P78" s="1440" t="n"/>
      <c r="Q78" s="1308" t="n"/>
      <c r="R78" s="1440" t="n"/>
      <c r="S78" s="1440" t="n"/>
      <c r="T78" s="290" t="n"/>
      <c r="U78" s="290" t="n"/>
      <c r="V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J79" s="1440" t="n"/>
      <c r="K79" s="1440" t="n"/>
      <c r="L79" s="1440" t="n"/>
      <c r="M79" s="1440" t="n"/>
      <c r="N79" s="1440" t="n"/>
      <c r="O79" s="1440" t="n"/>
      <c r="P79" s="1440" t="n"/>
      <c r="Q79" s="1308" t="n"/>
      <c r="R79" s="1440" t="n"/>
      <c r="S79" s="1440" t="n"/>
      <c r="T79" s="290" t="n"/>
      <c r="U79" s="290" t="n"/>
      <c r="V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J80" s="1440" t="n"/>
      <c r="K80" s="1440" t="n"/>
      <c r="L80" s="1440" t="n"/>
      <c r="M80" s="1440" t="n"/>
      <c r="N80" s="1440" t="n"/>
      <c r="O80" s="1440" t="n"/>
      <c r="P80" s="1440" t="n"/>
      <c r="Q80" s="1308" t="n"/>
      <c r="R80" s="1440" t="n"/>
      <c r="S80" s="1440" t="n"/>
      <c r="T80" s="290" t="n"/>
      <c r="U80" s="290" t="n"/>
      <c r="V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J81" s="1440" t="n"/>
      <c r="K81" s="1440" t="n"/>
      <c r="L81" s="1440" t="n"/>
      <c r="M81" s="1440" t="n"/>
      <c r="N81" s="1440" t="n"/>
      <c r="O81" s="1440" t="n"/>
      <c r="P81" s="1440" t="n"/>
      <c r="Q81" s="1308" t="n"/>
      <c r="R81" s="1440" t="n"/>
      <c r="S81" s="1440" t="n"/>
      <c r="T81" s="290" t="n"/>
      <c r="U81" s="290" t="n"/>
      <c r="V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J82" s="1440" t="n"/>
      <c r="K82" s="1440" t="n"/>
      <c r="L82" s="1440" t="n"/>
      <c r="M82" s="1440" t="n"/>
      <c r="N82" s="1440" t="n"/>
      <c r="O82" s="1440" t="n"/>
      <c r="P82" s="1440" t="n"/>
      <c r="Q82" s="1308" t="n"/>
      <c r="R82" s="1440" t="n"/>
      <c r="S82" s="1440" t="n"/>
      <c r="T82" s="290" t="n"/>
      <c r="U82" s="290" t="n"/>
      <c r="V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J83" s="1440" t="n"/>
      <c r="K83" s="1440" t="n"/>
      <c r="L83" s="1440" t="n"/>
      <c r="M83" s="1440" t="n"/>
      <c r="N83" s="1440" t="n"/>
      <c r="O83" s="1440" t="n"/>
      <c r="P83" s="1440" t="n"/>
      <c r="Q83" s="1308" t="n"/>
      <c r="R83" s="1440" t="n"/>
      <c r="S83" s="1440" t="n"/>
      <c r="T83" s="290" t="n"/>
      <c r="U83" s="290" t="n"/>
      <c r="V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J84" s="1440" t="n"/>
      <c r="K84" s="1440" t="n"/>
      <c r="L84" s="1440" t="n"/>
      <c r="M84" s="1440" t="n"/>
      <c r="N84" s="1440" t="n"/>
      <c r="O84" s="1440" t="n"/>
      <c r="P84" s="1440" t="n"/>
      <c r="Q84" s="1308" t="n"/>
      <c r="R84" s="1440" t="n"/>
      <c r="S84" s="1440" t="n"/>
      <c r="T84" s="290" t="n"/>
      <c r="U84" s="290" t="n"/>
      <c r="V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J85" s="1440" t="n"/>
      <c r="K85" s="1440" t="n"/>
      <c r="L85" s="1440" t="n"/>
      <c r="M85" s="1440" t="n"/>
      <c r="N85" s="1440" t="n"/>
      <c r="O85" s="1440" t="n"/>
      <c r="P85" s="1440" t="n"/>
      <c r="Q85" s="1308" t="n"/>
      <c r="R85" s="1440" t="n"/>
      <c r="S85" s="1440" t="n"/>
      <c r="T85" s="290" t="n"/>
      <c r="U85" s="290" t="n"/>
      <c r="V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J86" s="1440" t="n"/>
      <c r="K86" s="1440" t="n"/>
      <c r="L86" s="1440" t="n"/>
      <c r="M86" s="1440" t="n"/>
      <c r="N86" s="1440" t="n"/>
      <c r="O86" s="1440" t="n"/>
      <c r="P86" s="1440" t="n"/>
      <c r="Q86" s="1308" t="n"/>
      <c r="R86" s="1440" t="n"/>
      <c r="S86" s="1440" t="n"/>
      <c r="T86" s="290" t="n"/>
      <c r="U86" s="290" t="n"/>
      <c r="V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J87" s="1440" t="n"/>
      <c r="K87" s="1440" t="n"/>
      <c r="L87" s="1440" t="n"/>
      <c r="M87" s="1440" t="n"/>
      <c r="N87" s="1440" t="n"/>
      <c r="O87" s="1440" t="n"/>
      <c r="P87" s="1440" t="n"/>
      <c r="Q87" s="1308" t="n"/>
      <c r="R87" s="1440" t="n"/>
      <c r="S87" s="1440" t="n"/>
      <c r="T87" s="290" t="n"/>
      <c r="U87" s="290" t="n"/>
      <c r="V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J88" s="1440" t="n"/>
      <c r="K88" s="1440" t="n"/>
      <c r="L88" s="1440" t="n"/>
      <c r="M88" s="1440" t="n"/>
      <c r="N88" s="1440" t="n"/>
      <c r="O88" s="1440" t="n"/>
      <c r="P88" s="1440" t="n"/>
      <c r="Q88" s="1308" t="n"/>
      <c r="R88" s="1440" t="n"/>
      <c r="S88" s="1440" t="n"/>
      <c r="T88" s="290" t="n"/>
      <c r="U88" s="290" t="n"/>
      <c r="V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J89" s="1440" t="n"/>
      <c r="K89" s="1440" t="n"/>
      <c r="L89" s="1440" t="n"/>
      <c r="M89" s="1440" t="n"/>
      <c r="N89" s="1440" t="n"/>
      <c r="O89" s="1440" t="n"/>
      <c r="P89" s="1440" t="n"/>
      <c r="Q89" s="1308" t="n"/>
      <c r="R89" s="1440" t="n"/>
      <c r="S89" s="1440" t="n"/>
      <c r="T89" s="290" t="n"/>
      <c r="U89" s="290" t="n"/>
      <c r="V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J90" s="1440" t="n"/>
      <c r="K90" s="1440" t="n"/>
      <c r="L90" s="1440" t="n"/>
      <c r="M90" s="1440" t="n"/>
      <c r="N90" s="1440" t="n"/>
      <c r="O90" s="1440" t="n"/>
      <c r="P90" s="1440" t="n"/>
      <c r="Q90" s="1308" t="n"/>
      <c r="R90" s="1440" t="n"/>
      <c r="S90" s="1440" t="n"/>
      <c r="T90" s="290" t="n"/>
      <c r="U90" s="290" t="n"/>
      <c r="V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J91" s="1440" t="n"/>
      <c r="K91" s="1440" t="n"/>
      <c r="L91" s="1440" t="n"/>
      <c r="M91" s="1440" t="n"/>
      <c r="N91" s="1440" t="n"/>
      <c r="O91" s="1440" t="n"/>
      <c r="P91" s="1440" t="n"/>
      <c r="Q91" s="1308" t="n"/>
      <c r="R91" s="1440" t="n"/>
      <c r="S91" s="1440" t="n"/>
      <c r="T91" s="290" t="n"/>
      <c r="U91" s="290" t="n"/>
      <c r="V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J92" s="1440" t="n"/>
      <c r="K92" s="1440" t="n"/>
      <c r="L92" s="1440" t="n"/>
      <c r="M92" s="1440" t="n"/>
      <c r="N92" s="1440" t="n"/>
      <c r="O92" s="1440" t="n"/>
      <c r="P92" s="1440" t="n"/>
      <c r="Q92" s="1308" t="n"/>
      <c r="R92" s="1440" t="n"/>
      <c r="S92" s="1440" t="n"/>
      <c r="T92" s="290" t="n"/>
      <c r="U92" s="290" t="n"/>
      <c r="V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J93" s="1440" t="n"/>
      <c r="K93" s="1440" t="n"/>
      <c r="L93" s="1440" t="n"/>
      <c r="M93" s="1440" t="n"/>
      <c r="N93" s="1440" t="n"/>
      <c r="O93" s="1440" t="n"/>
      <c r="P93" s="1440" t="n"/>
      <c r="Q93" s="1308" t="n"/>
      <c r="R93" s="1440" t="n"/>
      <c r="S93" s="1440" t="n"/>
      <c r="T93" s="290" t="n"/>
      <c r="U93" s="290" t="n"/>
      <c r="V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J94" s="1440" t="n"/>
      <c r="K94" s="1440" t="n"/>
      <c r="L94" s="1440" t="n"/>
      <c r="M94" s="1440" t="n"/>
      <c r="N94" s="1440" t="n"/>
      <c r="O94" s="1440" t="n"/>
      <c r="P94" s="1440" t="n"/>
      <c r="Q94" s="1308" t="n"/>
      <c r="R94" s="1440" t="n"/>
      <c r="S94" s="1440" t="n"/>
      <c r="T94" s="290" t="n"/>
      <c r="U94" s="290" t="n"/>
      <c r="V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J95" s="1440" t="n"/>
      <c r="K95" s="1440" t="n"/>
      <c r="L95" s="1440" t="n"/>
      <c r="M95" s="1440" t="n"/>
      <c r="N95" s="1440" t="n"/>
      <c r="O95" s="1440" t="n"/>
      <c r="P95" s="1440" t="n"/>
      <c r="Q95" s="1308" t="n"/>
      <c r="R95" s="1440" t="n"/>
      <c r="S95" s="1440" t="n"/>
      <c r="T95" s="290" t="n"/>
      <c r="U95" s="290" t="n"/>
      <c r="V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J96" s="1440" t="n"/>
      <c r="K96" s="1440" t="n"/>
      <c r="L96" s="1440" t="n"/>
      <c r="M96" s="1440" t="n"/>
      <c r="N96" s="1440" t="n"/>
      <c r="O96" s="1440" t="n"/>
      <c r="P96" s="1440" t="n"/>
      <c r="Q96" s="1308" t="n"/>
      <c r="R96" s="1440" t="n"/>
      <c r="S96" s="1440" t="n"/>
      <c r="T96" s="290" t="n"/>
      <c r="U96" s="290" t="n"/>
      <c r="V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J97" s="1440" t="n"/>
      <c r="K97" s="1440" t="n"/>
      <c r="L97" s="1440" t="n"/>
      <c r="M97" s="1440" t="n"/>
      <c r="N97" s="1440" t="n"/>
      <c r="O97" s="1440" t="n"/>
      <c r="P97" s="1440" t="n"/>
      <c r="Q97" s="1308" t="n"/>
      <c r="R97" s="1440" t="n"/>
      <c r="S97" s="1440" t="n"/>
      <c r="T97" s="290" t="n"/>
      <c r="U97" s="290" t="n"/>
      <c r="V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J98" s="1440" t="n"/>
      <c r="K98" s="1440" t="n"/>
      <c r="L98" s="1440" t="n"/>
      <c r="M98" s="1440" t="n"/>
      <c r="N98" s="1440" t="n"/>
      <c r="O98" s="1440" t="n"/>
      <c r="P98" s="1440" t="n"/>
      <c r="Q98" s="1308" t="n"/>
      <c r="R98" s="1440" t="n"/>
      <c r="S98" s="1440" t="n"/>
      <c r="T98" s="290" t="n"/>
      <c r="U98" s="290" t="n"/>
      <c r="V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J99" s="1440" t="n"/>
      <c r="K99" s="1440" t="n"/>
      <c r="L99" s="1440" t="n"/>
      <c r="M99" s="1440" t="n"/>
      <c r="N99" s="1440" t="n"/>
      <c r="O99" s="1440" t="n"/>
      <c r="P99" s="1440" t="n"/>
      <c r="Q99" s="1308" t="n"/>
      <c r="R99" s="1440" t="n"/>
      <c r="S99" s="1440" t="n"/>
      <c r="T99" s="290" t="n"/>
      <c r="U99" s="290" t="n"/>
      <c r="V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J100" s="1440" t="n"/>
      <c r="K100" s="1440" t="n"/>
      <c r="L100" s="1440" t="n"/>
      <c r="M100" s="1440" t="n"/>
      <c r="N100" s="1440" t="n"/>
      <c r="O100" s="1440" t="n"/>
      <c r="P100" s="1440" t="n"/>
      <c r="Q100" s="1308" t="n"/>
      <c r="R100" s="1440" t="n"/>
      <c r="S100" s="1440" t="n"/>
      <c r="T100" s="290" t="n"/>
      <c r="U100" s="290" t="n"/>
      <c r="V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J101" s="1440" t="n"/>
      <c r="K101" s="1440" t="n"/>
      <c r="L101" s="1440" t="n"/>
      <c r="M101" s="1440" t="n"/>
      <c r="N101" s="1440" t="n"/>
      <c r="O101" s="1440" t="n"/>
      <c r="P101" s="1440" t="n"/>
      <c r="Q101" s="1308" t="n"/>
      <c r="R101" s="1440" t="n"/>
      <c r="S101" s="1440" t="n"/>
      <c r="T101" s="290" t="n"/>
      <c r="U101" s="290" t="n"/>
      <c r="V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J102" s="1440" t="n"/>
      <c r="K102" s="1440" t="n"/>
      <c r="L102" s="1440" t="n"/>
      <c r="M102" s="1440" t="n"/>
      <c r="N102" s="1440" t="n"/>
      <c r="O102" s="1440" t="n"/>
      <c r="P102" s="1440" t="n"/>
      <c r="Q102" s="1308" t="n"/>
      <c r="R102" s="1440" t="n"/>
      <c r="S102" s="1440" t="n"/>
      <c r="T102" s="290" t="n"/>
      <c r="U102" s="290" t="n"/>
      <c r="V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J103" s="1440" t="n"/>
      <c r="K103" s="1440" t="n"/>
      <c r="L103" s="1440" t="n"/>
      <c r="M103" s="1440" t="n"/>
      <c r="N103" s="1440" t="n"/>
      <c r="O103" s="1440" t="n"/>
      <c r="P103" s="1440" t="n"/>
      <c r="Q103" s="1308" t="n"/>
      <c r="R103" s="1440" t="n"/>
      <c r="S103" s="1440" t="n"/>
      <c r="T103" s="290" t="n"/>
      <c r="U103" s="290" t="n"/>
      <c r="V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J104" s="1440" t="n"/>
      <c r="K104" s="1440" t="n"/>
      <c r="L104" s="1440" t="n"/>
      <c r="M104" s="1440" t="n"/>
      <c r="N104" s="1440" t="n"/>
      <c r="O104" s="1440" t="n"/>
      <c r="P104" s="1440" t="n"/>
      <c r="Q104" s="1308" t="n"/>
      <c r="R104" s="1440" t="n"/>
      <c r="S104" s="1440" t="n"/>
      <c r="T104" s="290" t="n"/>
      <c r="U104" s="290" t="n"/>
      <c r="V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J105" s="1440" t="n"/>
      <c r="K105" s="1440" t="n"/>
      <c r="L105" s="1440" t="n"/>
      <c r="M105" s="1440" t="n"/>
      <c r="N105" s="1440" t="n"/>
      <c r="O105" s="1440" t="n"/>
      <c r="P105" s="1440" t="n"/>
      <c r="Q105" s="1308" t="n"/>
      <c r="R105" s="1440" t="n"/>
      <c r="S105" s="1440" t="n"/>
      <c r="T105" s="290" t="n"/>
      <c r="U105" s="290" t="n"/>
      <c r="V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J106" s="1440" t="n"/>
      <c r="K106" s="1440" t="n"/>
      <c r="L106" s="1440" t="n"/>
      <c r="M106" s="1440" t="n"/>
      <c r="N106" s="1440" t="n"/>
      <c r="O106" s="1440" t="n"/>
      <c r="P106" s="1440" t="n"/>
      <c r="Q106" s="1308" t="n"/>
      <c r="R106" s="1440" t="n"/>
      <c r="S106" s="1440" t="n"/>
      <c r="T106" s="290" t="n"/>
      <c r="U106" s="290" t="n"/>
      <c r="V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J107" s="1440" t="n"/>
      <c r="K107" s="1440" t="n"/>
      <c r="L107" s="1440" t="n"/>
      <c r="M107" s="1440" t="n"/>
      <c r="N107" s="1440" t="n"/>
      <c r="O107" s="1440" t="n"/>
      <c r="P107" s="1440" t="n"/>
      <c r="Q107" s="1308" t="n"/>
      <c r="R107" s="1440" t="n"/>
      <c r="S107" s="1440" t="n"/>
      <c r="T107" s="290" t="n"/>
      <c r="U107" s="290" t="n"/>
      <c r="V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J108" s="1440" t="n"/>
      <c r="K108" s="1440" t="n"/>
      <c r="L108" s="1440" t="n"/>
      <c r="M108" s="1440" t="n"/>
      <c r="N108" s="1440" t="n"/>
      <c r="O108" s="1440" t="n"/>
      <c r="P108" s="1440" t="n"/>
      <c r="Q108" s="1308" t="n"/>
      <c r="R108" s="1440" t="n"/>
      <c r="S108" s="1440" t="n"/>
      <c r="T108" s="290" t="n"/>
      <c r="U108" s="290" t="n"/>
      <c r="V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J109" s="1440" t="n"/>
      <c r="K109" s="1440" t="n"/>
      <c r="L109" s="1440" t="n"/>
      <c r="M109" s="1440" t="n"/>
      <c r="N109" s="1440" t="n"/>
      <c r="O109" s="1440" t="n"/>
      <c r="P109" s="1440" t="n"/>
      <c r="Q109" s="1308" t="n"/>
      <c r="R109" s="1440" t="n"/>
      <c r="S109" s="1440" t="n"/>
      <c r="T109" s="290" t="n"/>
      <c r="U109" s="290" t="n"/>
      <c r="V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J110" s="1440" t="n"/>
      <c r="K110" s="1440" t="n"/>
      <c r="L110" s="1440" t="n"/>
      <c r="M110" s="1440" t="n"/>
      <c r="N110" s="1440" t="n"/>
      <c r="O110" s="1440" t="n"/>
      <c r="P110" s="1440" t="n"/>
      <c r="Q110" s="1308" t="n"/>
      <c r="R110" s="1440" t="n"/>
      <c r="S110" s="1440" t="n"/>
      <c r="T110" s="290" t="n"/>
      <c r="U110" s="290" t="n"/>
      <c r="V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J111" s="1440" t="n"/>
      <c r="K111" s="1440" t="n"/>
      <c r="L111" s="1440" t="n"/>
      <c r="M111" s="1440" t="n"/>
      <c r="N111" s="1440" t="n"/>
      <c r="O111" s="1440" t="n"/>
      <c r="P111" s="1440" t="n"/>
      <c r="Q111" s="1308" t="n"/>
      <c r="R111" s="1440" t="n"/>
      <c r="S111" s="1440" t="n"/>
      <c r="T111" s="290" t="n"/>
      <c r="U111" s="290" t="n"/>
      <c r="V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J112" s="1440" t="n"/>
      <c r="K112" s="1440" t="n"/>
      <c r="L112" s="1440" t="n"/>
      <c r="M112" s="1440" t="n"/>
      <c r="N112" s="1440" t="n"/>
      <c r="O112" s="1440" t="n"/>
      <c r="P112" s="1440" t="n"/>
      <c r="Q112" s="1308" t="n"/>
      <c r="R112" s="1440" t="n"/>
      <c r="S112" s="1440" t="n"/>
      <c r="T112" s="290" t="n"/>
      <c r="U112" s="290" t="n"/>
      <c r="V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J113" s="1440" t="n"/>
      <c r="K113" s="1440" t="n"/>
      <c r="L113" s="1440" t="n"/>
      <c r="M113" s="1440" t="n"/>
      <c r="N113" s="1440" t="n"/>
      <c r="O113" s="1440" t="n"/>
      <c r="P113" s="1440" t="n"/>
      <c r="Q113" s="1308" t="n"/>
      <c r="R113" s="1440" t="n"/>
      <c r="S113" s="1440" t="n"/>
      <c r="T113" s="290" t="n"/>
      <c r="U113" s="290" t="n"/>
      <c r="V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J114" s="1440" t="n"/>
      <c r="K114" s="1440" t="n"/>
      <c r="L114" s="1440" t="n"/>
      <c r="M114" s="1440" t="n"/>
      <c r="N114" s="1440" t="n"/>
      <c r="O114" s="1440" t="n"/>
      <c r="P114" s="1440" t="n"/>
      <c r="Q114" s="1308" t="n"/>
      <c r="R114" s="1440" t="n"/>
      <c r="S114" s="1440" t="n"/>
      <c r="T114" s="290" t="n"/>
      <c r="U114" s="290" t="n"/>
      <c r="V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J115" s="1440" t="n"/>
      <c r="K115" s="1440" t="n"/>
      <c r="L115" s="1440" t="n"/>
      <c r="M115" s="1440" t="n"/>
      <c r="N115" s="1440" t="n"/>
      <c r="O115" s="1440" t="n"/>
      <c r="P115" s="1440" t="n"/>
      <c r="Q115" s="1308" t="n"/>
      <c r="R115" s="1440" t="n"/>
      <c r="S115" s="1440" t="n"/>
      <c r="T115" s="290" t="n"/>
      <c r="U115" s="290" t="n"/>
      <c r="V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J116" s="1440" t="n"/>
      <c r="K116" s="1440" t="n"/>
      <c r="L116" s="1440" t="n"/>
      <c r="M116" s="1440" t="n"/>
      <c r="N116" s="1440" t="n"/>
      <c r="O116" s="1440" t="n"/>
      <c r="P116" s="1440" t="n"/>
      <c r="Q116" s="1308" t="n"/>
      <c r="R116" s="1440" t="n"/>
      <c r="S116" s="1440" t="n"/>
      <c r="T116" s="290" t="n"/>
      <c r="U116" s="290" t="n"/>
      <c r="V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J117" s="1440" t="n"/>
      <c r="K117" s="1440" t="n"/>
      <c r="L117" s="1440" t="n"/>
      <c r="M117" s="1440" t="n"/>
      <c r="N117" s="1440" t="n"/>
      <c r="O117" s="1440" t="n"/>
      <c r="P117" s="1440" t="n"/>
      <c r="Q117" s="1308" t="n"/>
      <c r="R117" s="1440" t="n"/>
      <c r="S117" s="1440" t="n"/>
      <c r="T117" s="290" t="n"/>
      <c r="U117" s="290" t="n"/>
      <c r="V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J118" s="1440" t="n"/>
      <c r="K118" s="1440" t="n"/>
      <c r="L118" s="1440" t="n"/>
      <c r="M118" s="1440" t="n"/>
      <c r="N118" s="1440" t="n"/>
      <c r="O118" s="1440" t="n"/>
      <c r="P118" s="1440" t="n"/>
      <c r="Q118" s="1308" t="n"/>
      <c r="R118" s="1440" t="n"/>
      <c r="S118" s="1440" t="n"/>
      <c r="T118" s="290" t="n"/>
      <c r="U118" s="290" t="n"/>
      <c r="V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J119" s="1440" t="n"/>
      <c r="K119" s="1440" t="n"/>
      <c r="L119" s="1440" t="n"/>
      <c r="M119" s="1440" t="n"/>
      <c r="N119" s="1440" t="n"/>
      <c r="O119" s="1440" t="n"/>
      <c r="P119" s="1440" t="n"/>
      <c r="Q119" s="1308" t="n"/>
      <c r="R119" s="1440" t="n"/>
      <c r="S119" s="1440" t="n"/>
      <c r="T119" s="290" t="n"/>
      <c r="U119" s="290" t="n"/>
      <c r="V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J120" s="1440" t="n"/>
      <c r="K120" s="1440" t="n"/>
      <c r="L120" s="1440" t="n"/>
      <c r="M120" s="1440" t="n"/>
      <c r="N120" s="1440" t="n"/>
      <c r="O120" s="1440" t="n"/>
      <c r="P120" s="1440" t="n"/>
      <c r="Q120" s="1308" t="n"/>
      <c r="R120" s="1440" t="n"/>
      <c r="S120" s="1440" t="n"/>
      <c r="T120" s="290" t="n"/>
      <c r="U120" s="290" t="n"/>
      <c r="V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J121" s="1440" t="n"/>
      <c r="K121" s="1440" t="n"/>
      <c r="L121" s="1440" t="n"/>
      <c r="M121" s="1440" t="n"/>
      <c r="N121" s="1440" t="n"/>
      <c r="O121" s="1440" t="n"/>
      <c r="P121" s="1440" t="n"/>
      <c r="Q121" s="1308" t="n"/>
      <c r="R121" s="1440" t="n"/>
      <c r="S121" s="1440" t="n"/>
      <c r="T121" s="290" t="n"/>
      <c r="U121" s="290" t="n"/>
      <c r="V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J122" s="1440" t="n"/>
      <c r="K122" s="1440" t="n"/>
      <c r="L122" s="1440" t="n"/>
      <c r="M122" s="1440" t="n"/>
      <c r="N122" s="1440" t="n"/>
      <c r="O122" s="1440" t="n"/>
      <c r="P122" s="1440" t="n"/>
      <c r="Q122" s="1308" t="n"/>
      <c r="R122" s="1440" t="n"/>
      <c r="S122" s="1440" t="n"/>
      <c r="T122" s="290" t="n"/>
      <c r="U122" s="290" t="n"/>
      <c r="V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J123" s="1440" t="n"/>
      <c r="K123" s="1440" t="n"/>
      <c r="L123" s="1440" t="n"/>
      <c r="M123" s="1440" t="n"/>
      <c r="N123" s="1440" t="n"/>
      <c r="O123" s="1440" t="n"/>
      <c r="P123" s="1440" t="n"/>
      <c r="Q123" s="1308" t="n"/>
      <c r="R123" s="1440" t="n"/>
      <c r="S123" s="1440" t="n"/>
      <c r="T123" s="290" t="n"/>
      <c r="U123" s="290" t="n"/>
      <c r="V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J124" s="1440" t="n"/>
      <c r="K124" s="1440" t="n"/>
      <c r="L124" s="1440" t="n"/>
      <c r="M124" s="1440" t="n"/>
      <c r="N124" s="1440" t="n"/>
      <c r="O124" s="1440" t="n"/>
      <c r="P124" s="1440" t="n"/>
      <c r="Q124" s="1308" t="n"/>
      <c r="R124" s="1440" t="n"/>
      <c r="S124" s="1440" t="n"/>
      <c r="T124" s="290" t="n"/>
      <c r="U124" s="290" t="n"/>
      <c r="V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J125" s="1440" t="n"/>
      <c r="K125" s="1440" t="n"/>
      <c r="L125" s="1440" t="n"/>
      <c r="M125" s="1440" t="n"/>
      <c r="N125" s="1440" t="n"/>
      <c r="O125" s="1440" t="n"/>
      <c r="P125" s="1440" t="n"/>
      <c r="Q125" s="1308" t="n"/>
      <c r="R125" s="1440" t="n"/>
      <c r="S125" s="1440" t="n"/>
      <c r="T125" s="290" t="n"/>
      <c r="U125" s="290" t="n"/>
      <c r="V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J126" s="1440" t="n"/>
      <c r="K126" s="1440" t="n"/>
      <c r="L126" s="1440" t="n"/>
      <c r="M126" s="1440" t="n"/>
      <c r="N126" s="1440" t="n"/>
      <c r="O126" s="1440" t="n"/>
      <c r="P126" s="1440" t="n"/>
      <c r="Q126" s="1308" t="n"/>
      <c r="R126" s="1440" t="n"/>
      <c r="S126" s="1440" t="n"/>
      <c r="T126" s="290" t="n"/>
      <c r="U126" s="290" t="n"/>
      <c r="V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J127" s="1440" t="n"/>
      <c r="K127" s="1440" t="n"/>
      <c r="L127" s="1440" t="n"/>
      <c r="M127" s="1440" t="n"/>
      <c r="N127" s="1440" t="n"/>
      <c r="O127" s="1440" t="n"/>
      <c r="P127" s="1440" t="n"/>
      <c r="Q127" s="1308" t="n"/>
      <c r="R127" s="1440" t="n"/>
      <c r="S127" s="1440" t="n"/>
      <c r="T127" s="290" t="n"/>
      <c r="U127" s="290" t="n"/>
      <c r="V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J128" s="1440" t="n"/>
      <c r="K128" s="1440" t="n"/>
      <c r="L128" s="1440" t="n"/>
      <c r="M128" s="1440" t="n"/>
      <c r="N128" s="1440" t="n"/>
      <c r="O128" s="1440" t="n"/>
      <c r="P128" s="1440" t="n"/>
      <c r="Q128" s="1308" t="n"/>
      <c r="R128" s="1440" t="n"/>
      <c r="S128" s="1440" t="n"/>
      <c r="T128" s="290" t="n"/>
      <c r="U128" s="290" t="n"/>
      <c r="V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J129" s="1440" t="n"/>
      <c r="K129" s="1440" t="n"/>
      <c r="L129" s="1440" t="n"/>
      <c r="M129" s="1440" t="n"/>
      <c r="N129" s="1440" t="n"/>
      <c r="O129" s="1440" t="n"/>
      <c r="P129" s="1440" t="n"/>
      <c r="Q129" s="1308" t="n"/>
      <c r="R129" s="1440" t="n"/>
      <c r="S129" s="1440" t="n"/>
      <c r="T129" s="290" t="n"/>
      <c r="U129" s="290" t="n"/>
      <c r="V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J130" s="1440" t="n"/>
      <c r="K130" s="1440" t="n"/>
      <c r="L130" s="1440" t="n"/>
      <c r="M130" s="1440" t="n"/>
      <c r="N130" s="1440" t="n"/>
      <c r="O130" s="1440" t="n"/>
      <c r="P130" s="1440" t="n"/>
      <c r="Q130" s="1308" t="n"/>
      <c r="R130" s="1440" t="n"/>
      <c r="S130" s="1440" t="n"/>
      <c r="T130" s="290" t="n"/>
      <c r="U130" s="290" t="n"/>
      <c r="V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J131" s="1440" t="n"/>
      <c r="K131" s="1440" t="n"/>
      <c r="L131" s="1440" t="n"/>
      <c r="M131" s="1440" t="n"/>
      <c r="N131" s="1440" t="n"/>
      <c r="O131" s="1440" t="n"/>
      <c r="P131" s="1440" t="n"/>
      <c r="Q131" s="1308" t="n"/>
      <c r="R131" s="1440" t="n"/>
      <c r="S131" s="1440" t="n"/>
      <c r="T131" s="290" t="n"/>
      <c r="U131" s="290" t="n"/>
      <c r="V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J132" s="1440" t="n"/>
      <c r="K132" s="1440" t="n"/>
      <c r="L132" s="1440" t="n"/>
      <c r="M132" s="1440" t="n"/>
      <c r="N132" s="1440" t="n"/>
      <c r="O132" s="1440" t="n"/>
      <c r="P132" s="1440" t="n"/>
      <c r="Q132" s="1308" t="n"/>
      <c r="R132" s="1440" t="n"/>
      <c r="S132" s="1440" t="n"/>
      <c r="T132" s="290" t="n"/>
      <c r="U132" s="290" t="n"/>
      <c r="V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J133" s="1440" t="n"/>
      <c r="K133" s="1440" t="n"/>
      <c r="L133" s="1440" t="n"/>
      <c r="M133" s="1440" t="n"/>
      <c r="N133" s="1440" t="n"/>
      <c r="O133" s="1440" t="n"/>
      <c r="P133" s="1440" t="n"/>
      <c r="Q133" s="1308" t="n"/>
      <c r="R133" s="1440" t="n"/>
      <c r="S133" s="1440" t="n"/>
      <c r="T133" s="290" t="n"/>
      <c r="U133" s="290" t="n"/>
      <c r="V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J134" s="1440" t="n"/>
      <c r="K134" s="1440" t="n"/>
      <c r="L134" s="1440" t="n"/>
      <c r="M134" s="1440" t="n"/>
      <c r="N134" s="1440" t="n"/>
      <c r="O134" s="1440" t="n"/>
      <c r="P134" s="1440" t="n"/>
      <c r="Q134" s="1308" t="n"/>
      <c r="R134" s="1440" t="n"/>
      <c r="S134" s="1440" t="n"/>
      <c r="T134" s="290" t="n"/>
      <c r="U134" s="290" t="n"/>
      <c r="V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J135" s="1440" t="n"/>
      <c r="K135" s="1440" t="n"/>
      <c r="L135" s="1440" t="n"/>
      <c r="M135" s="1440" t="n"/>
      <c r="N135" s="1440" t="n"/>
      <c r="O135" s="1440" t="n"/>
      <c r="P135" s="1440" t="n"/>
      <c r="Q135" s="1308" t="n"/>
      <c r="R135" s="1440" t="n"/>
      <c r="S135" s="1440" t="n"/>
      <c r="T135" s="290" t="n"/>
      <c r="U135" s="290" t="n"/>
      <c r="V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J136" s="1440" t="n"/>
      <c r="K136" s="1440" t="n"/>
      <c r="L136" s="1440" t="n"/>
      <c r="M136" s="1440" t="n"/>
      <c r="N136" s="1440" t="n"/>
      <c r="O136" s="1440" t="n"/>
      <c r="P136" s="1440" t="n"/>
      <c r="Q136" s="1308" t="n"/>
      <c r="R136" s="1440" t="n"/>
      <c r="S136" s="1440" t="n"/>
      <c r="T136" s="290" t="n"/>
      <c r="U136" s="290" t="n"/>
      <c r="V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J137" s="1440" t="n"/>
      <c r="K137" s="1440" t="n"/>
      <c r="L137" s="1440" t="n"/>
      <c r="M137" s="1440" t="n"/>
      <c r="N137" s="1440" t="n"/>
      <c r="O137" s="1440" t="n"/>
      <c r="P137" s="1440" t="n"/>
      <c r="Q137" s="1308" t="n"/>
      <c r="R137" s="1440" t="n"/>
      <c r="S137" s="1440" t="n"/>
      <c r="T137" s="290" t="n"/>
      <c r="U137" s="290" t="n"/>
      <c r="V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J138" s="1440" t="n"/>
      <c r="K138" s="1440" t="n"/>
      <c r="L138" s="1440" t="n"/>
      <c r="M138" s="1440" t="n"/>
      <c r="N138" s="1440" t="n"/>
      <c r="O138" s="1440" t="n"/>
      <c r="P138" s="1440" t="n"/>
      <c r="Q138" s="1308" t="n"/>
      <c r="R138" s="1440" t="n"/>
      <c r="S138" s="1440" t="n"/>
      <c r="T138" s="290" t="n"/>
      <c r="U138" s="290" t="n"/>
      <c r="V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J139" s="1440" t="n"/>
      <c r="K139" s="1440" t="n"/>
      <c r="L139" s="1440" t="n"/>
      <c r="M139" s="1440" t="n"/>
      <c r="N139" s="1440" t="n"/>
      <c r="O139" s="1440" t="n"/>
      <c r="P139" s="1440" t="n"/>
      <c r="Q139" s="1308" t="n"/>
      <c r="R139" s="1440" t="n"/>
      <c r="S139" s="1440" t="n"/>
      <c r="T139" s="290" t="n"/>
      <c r="U139" s="290" t="n"/>
      <c r="V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J140" s="1440" t="n"/>
      <c r="K140" s="1440" t="n"/>
      <c r="L140" s="1440" t="n"/>
      <c r="M140" s="1440" t="n"/>
      <c r="N140" s="1440" t="n"/>
      <c r="O140" s="1440" t="n"/>
      <c r="P140" s="1440" t="n"/>
      <c r="Q140" s="1308" t="n"/>
      <c r="R140" s="1440" t="n"/>
      <c r="S140" s="1440" t="n"/>
      <c r="T140" s="290" t="n"/>
      <c r="U140" s="290" t="n"/>
      <c r="V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J141" s="1440" t="n"/>
      <c r="K141" s="1440" t="n"/>
      <c r="L141" s="1440" t="n"/>
      <c r="M141" s="1440" t="n"/>
      <c r="N141" s="1440" t="n"/>
      <c r="O141" s="1440" t="n"/>
      <c r="P141" s="1440" t="n"/>
      <c r="Q141" s="1308" t="n"/>
      <c r="R141" s="1440" t="n"/>
      <c r="S141" s="1440" t="n"/>
      <c r="T141" s="290" t="n"/>
      <c r="U141" s="290" t="n"/>
      <c r="V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J142" s="1440" t="n"/>
      <c r="K142" s="1440" t="n"/>
      <c r="L142" s="1440" t="n"/>
      <c r="M142" s="1440" t="n"/>
      <c r="N142" s="1440" t="n"/>
      <c r="O142" s="1440" t="n"/>
      <c r="P142" s="1440" t="n"/>
      <c r="Q142" s="1308" t="n"/>
      <c r="R142" s="1440" t="n"/>
      <c r="S142" s="1440" t="n"/>
      <c r="T142" s="290" t="n"/>
      <c r="U142" s="290" t="n"/>
      <c r="V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J143" s="1440" t="n"/>
      <c r="K143" s="1440" t="n"/>
      <c r="L143" s="1440" t="n"/>
      <c r="M143" s="1440" t="n"/>
      <c r="N143" s="1440" t="n"/>
      <c r="O143" s="1440" t="n"/>
      <c r="P143" s="1440" t="n"/>
      <c r="Q143" s="1308" t="n"/>
      <c r="R143" s="1440" t="n"/>
      <c r="S143" s="1440" t="n"/>
      <c r="T143" s="290" t="n"/>
      <c r="U143" s="290" t="n"/>
      <c r="V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J144" s="1440" t="n"/>
      <c r="K144" s="1440" t="n"/>
      <c r="L144" s="1440" t="n"/>
      <c r="M144" s="1440" t="n"/>
      <c r="N144" s="1440" t="n"/>
      <c r="O144" s="1440" t="n"/>
      <c r="P144" s="1440" t="n"/>
      <c r="Q144" s="1308" t="n"/>
      <c r="R144" s="1440" t="n"/>
      <c r="S144" s="1440" t="n"/>
      <c r="T144" s="290" t="n"/>
      <c r="U144" s="290" t="n"/>
      <c r="V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J145" s="1440" t="n"/>
      <c r="K145" s="1440" t="n"/>
      <c r="L145" s="1440" t="n"/>
      <c r="M145" s="1440" t="n"/>
      <c r="N145" s="1440" t="n"/>
      <c r="O145" s="1440" t="n"/>
      <c r="P145" s="1440" t="n"/>
      <c r="Q145" s="1308" t="n"/>
      <c r="R145" s="1440" t="n"/>
      <c r="S145" s="1440" t="n"/>
      <c r="T145" s="290" t="n"/>
      <c r="U145" s="290" t="n"/>
      <c r="V145" s="289" t="n"/>
    </row>
    <row r="146">
      <c r="A146" s="204" t="n"/>
      <c r="V146" s="336" t="n"/>
    </row>
  </sheetData>
  <mergeCells count="11">
    <mergeCell ref="J4:K4"/>
    <mergeCell ref="D3:G3"/>
    <mergeCell ref="J5:K5"/>
    <mergeCell ref="J6:K6"/>
    <mergeCell ref="D1:K1"/>
    <mergeCell ref="H3:K3"/>
    <mergeCell ref="J7:K7"/>
    <mergeCell ref="L1:V7"/>
    <mergeCell ref="D5:G5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2026-09-21T17:23:31Z</dcterms:modified>
  <cp:lastModifiedBy>Hugo Fernando Hurtado Ruiz</cp:lastModifiedBy>
  <cp:revision>1</cp:revision>
  <cp:lastPrinted>2026-09-14T01:27:33Z</cp:lastPrinted>
</cp:coreProperties>
</file>