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Cantidades de Obr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álculo Detallado" sheetId="3" state="visible" r:id="rId3"/>
    <sheet xmlns:r="http://schemas.openxmlformats.org/officeDocument/2006/relationships" name="Catalogo de Actividades" sheetId="4" state="visible" r:id="rId4"/>
    <sheet xmlns:r="http://schemas.openxmlformats.org/officeDocument/2006/relationships" name="Planos" sheetId="5" state="visible" r:id="rId5"/>
    <sheet xmlns:r="http://schemas.openxmlformats.org/officeDocument/2006/relationships" name="Instructivo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%"/>
    <numFmt numFmtId="166" formatCode="dd/mm/yyyy"/>
    <numFmt numFmtId="167" formatCode="&quot;$ &quot;#,##0"/>
    <numFmt numFmtId="168" formatCode="\$\ #,##0.00"/>
    <numFmt numFmtId="169" formatCode="_-&quot;$ &quot;* #,##0.00_-;&quot;-$ &quot;* #,##0.00_-;_-&quot;$ &quot;* \-??_-;_-@_-"/>
    <numFmt numFmtId="170" formatCode="&quot;$&quot;\ #,##0.00"/>
  </numFmts>
  <fonts count="169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charset val="1"/>
      <family val="1"/>
      <i val="1"/>
      <color rgb="FF8A8F99"/>
      <sz val="8"/>
    </font>
    <font>
      <name val="Tahoma"/>
      <charset val="1"/>
      <family val="2"/>
      <color theme="1"/>
      <sz val="11"/>
    </font>
    <font>
      <name val="Tahoma"/>
      <charset val="1"/>
      <family val="2"/>
      <sz val="10"/>
    </font>
    <font>
      <name val="Franklin Gothic Demi Cond"/>
      <charset val="1"/>
      <family val="2"/>
      <color rgb="FFFFFFFF"/>
      <sz val="16"/>
    </font>
    <font>
      <name val="Arial"/>
      <charset val="1"/>
      <family val="2"/>
      <i val="1"/>
      <color theme="3" tint="-0.499984740745262"/>
      <sz val="9"/>
    </font>
    <font>
      <name val="Arial"/>
      <charset val="1"/>
      <family val="2"/>
      <b val="1"/>
      <color rgb="FFFFFFFF"/>
      <sz val="16"/>
    </font>
    <font>
      <name val="Arial"/>
      <charset val="1"/>
      <family val="2"/>
      <b val="1"/>
      <color theme="0"/>
      <sz val="9"/>
    </font>
    <font>
      <name val="Arial"/>
      <charset val="1"/>
      <family val="2"/>
      <b val="1"/>
      <color theme="3" tint="-0.499984740745262"/>
      <sz val="9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sz val="9"/>
    </font>
    <font>
      <name val="Arial"/>
      <charset val="1"/>
      <family val="2"/>
      <sz val="9"/>
    </font>
    <font>
      <name val="Cambria"/>
      <charset val="1"/>
      <family val="1"/>
      <color rgb="FF8A8F99"/>
      <sz val="7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17365D"/>
      <sz val="8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17365D"/>
      <sz val="11"/>
    </font>
    <font>
      <name val="Calibri"/>
      <charset val="1"/>
      <family val="2"/>
      <b val="1"/>
      <color rgb="FF203040"/>
      <sz val="11"/>
    </font>
    <font>
      <name val="Calibri"/>
      <charset val="1"/>
      <family val="2"/>
      <i val="1"/>
      <color rgb="FF666666"/>
      <sz val="9"/>
    </font>
    <font>
      <name val="Calibri"/>
      <charset val="1"/>
      <family val="2"/>
      <color rgb="FF666666"/>
      <sz val="10"/>
    </font>
    <font>
      <name val="Calibri"/>
      <charset val="1"/>
      <family val="2"/>
      <b val="1"/>
      <color rgb="FF203040"/>
      <sz val="8"/>
      <u val="single"/>
    </font>
    <font>
      <name val="Calibri"/>
      <charset val="1"/>
      <family val="2"/>
      <color theme="1"/>
      <sz val="11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"/>
      <family val="2"/>
      <color theme="1"/>
      <sz val="10"/>
    </font>
    <font>
      <name val="Arial"/>
      <family val="2"/>
      <b val="1"/>
      <color theme="0"/>
      <sz val="16"/>
    </font>
    <font>
      <name val="Calibri"/>
      <family val="2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3" tint="-0.499984740745262"/>
      <sz val="9"/>
      <scheme val="minor"/>
    </font>
    <font>
      <name val="Calibri"/>
      <family val="2"/>
      <sz val="11"/>
      <scheme val="minor"/>
    </font>
    <font>
      <name val="Calibri"/>
      <family val="2"/>
      <b val="1"/>
      <color theme="3" tint="-0.499984740745262"/>
      <sz val="11"/>
      <scheme val="minor"/>
    </font>
    <font>
      <name val="Calibri"/>
      <family val="2"/>
      <color theme="3" tint="-0.499984740745262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sz val="9"/>
    </font>
    <font>
      <name val="Calibri"/>
      <family val="2"/>
      <color theme="0"/>
      <sz val="10"/>
    </font>
    <font>
      <name val="Calibri"/>
      <family val="2"/>
      <color rgb="FFFFFFFF"/>
      <sz val="10"/>
    </font>
    <font>
      <name val="Calibri"/>
      <family val="2"/>
      <color theme="1"/>
      <sz val="11"/>
    </font>
    <font>
      <name val="Calibri"/>
      <family val="2"/>
      <color theme="3" tint="-0.499984740745262"/>
      <sz val="11"/>
    </font>
    <font>
      <name val="Calibri"/>
      <family val="2"/>
      <color theme="1"/>
      <sz val="10"/>
    </font>
    <font>
      <name val="Calibri"/>
      <family val="2"/>
      <b val="1"/>
      <color theme="3" tint="-0.499984740745262"/>
      <sz val="10"/>
    </font>
    <font>
      <name val="Calibri"/>
      <family val="2"/>
      <color theme="0"/>
      <sz val="11"/>
    </font>
    <font>
      <name val="Calibri"/>
      <family val="2"/>
      <sz val="11"/>
    </font>
    <font>
      <name val="Calibri"/>
      <family val="2"/>
      <i val="1"/>
      <sz val="8.5"/>
    </font>
    <font>
      <name val="Calibri"/>
      <family val="2"/>
      <b val="1"/>
      <color rgb="FF17365D"/>
      <sz val="10"/>
      <scheme val="minor"/>
    </font>
    <font>
      <name val="Calibri"/>
      <family val="2"/>
      <b val="1"/>
      <color rgb="FF17365D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3" tint="-0.499984740745262"/>
      <sz val="10"/>
      <scheme val="minor"/>
    </font>
    <font>
      <name val="Calibri"/>
      <family val="2"/>
      <b val="1"/>
      <color theme="0"/>
      <sz val="10"/>
    </font>
    <font>
      <name val="Calibri"/>
      <family val="2"/>
      <b val="1"/>
      <sz val="10"/>
      <scheme val="minor"/>
    </font>
    <font>
      <name val="Calibri"/>
      <family val="2"/>
      <b val="1"/>
      <color theme="3" tint="-0.499984740745262"/>
      <sz val="9"/>
    </font>
    <font>
      <name val="Calibri"/>
      <family val="2"/>
      <sz val="10"/>
    </font>
    <font>
      <name val="Calibri"/>
      <family val="2"/>
      <b val="1"/>
      <color theme="1"/>
      <sz val="8"/>
      <scheme val="minor"/>
    </font>
    <font>
      <name val="Calibri"/>
      <family val="2"/>
      <b val="1"/>
      <sz val="10"/>
    </font>
    <font>
      <name val="Calibri"/>
      <family val="2"/>
      <b val="1"/>
      <color theme="1"/>
      <sz val="11"/>
    </font>
    <font>
      <name val="Calibri"/>
      <family val="2"/>
      <b val="1"/>
      <color theme="3" tint="-0.499984740745262"/>
      <sz val="11"/>
    </font>
    <font>
      <name val="Calibri"/>
      <family val="2"/>
      <b val="1"/>
      <color theme="0"/>
      <sz val="11"/>
    </font>
    <font>
      <name val="Calibri"/>
      <family val="2"/>
      <b val="1"/>
      <color rgb="FF17365D"/>
      <sz val="9"/>
    </font>
    <font>
      <name val="Calibri"/>
      <family val="2"/>
      <b val="1"/>
      <color rgb="FF17365D"/>
      <sz val="9"/>
      <scheme val="minor"/>
    </font>
    <font>
      <name val="Arial"/>
      <family val="2"/>
      <b val="1"/>
      <color theme="0"/>
      <sz val="28"/>
    </font>
    <font>
      <name val="Calibri"/>
      <family val="2"/>
      <b val="1"/>
      <sz val="9"/>
    </font>
    <font>
      <name val="Calibri"/>
      <family val="2"/>
      <i val="1"/>
      <color theme="0" tint="-0.3499862666707358"/>
      <sz val="9"/>
      <scheme val="minor"/>
    </font>
    <font>
      <name val="Calibri"/>
      <family val="2"/>
      <i val="1"/>
      <color rgb="FF4A4A4A"/>
      <sz val="9"/>
      <scheme val="minor"/>
    </font>
    <font>
      <name val="Calibri"/>
      <family val="2"/>
      <b val="1"/>
      <color rgb="FF17365D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color rgb="FF0000FF"/>
      <sz val="10"/>
    </font>
    <font>
      <name val="Calibri"/>
      <family val="2"/>
      <i val="1"/>
      <color rgb="FF7F7F7F"/>
      <sz val="8"/>
    </font>
    <font>
      <name val="Calibri"/>
      <charset val="1"/>
      <family val="2"/>
      <b val="1"/>
      <color rgb="FF17365D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i val="1"/>
      <color theme="1"/>
      <sz val="8"/>
    </font>
    <font>
      <name val="Calibri"/>
      <family val="2"/>
      <b val="1"/>
      <color theme="0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17365D"/>
      <sz val="11"/>
    </font>
    <font>
      <name val="Calibri"/>
      <charset val="1"/>
      <family val="2"/>
      <b val="1"/>
      <color theme="0" tint="-0.3499862666707358"/>
      <sz val="11"/>
    </font>
    <font>
      <name val="Arial"/>
      <charset val="1"/>
      <family val="2"/>
      <b val="1"/>
      <color rgb="FF17365D"/>
      <sz val="9"/>
    </font>
    <font>
      <name val="Arial"/>
      <family val="2"/>
      <b val="1"/>
      <color rgb="FF17365D"/>
      <sz val="14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i val="1"/>
      <color theme="0" tint="-0.3499862666707358"/>
      <sz val="10"/>
    </font>
    <font>
      <name val="Calibri"/>
      <family val="2"/>
      <b val="1"/>
      <i val="1"/>
      <color theme="0" tint="-0.3499862666707358"/>
      <sz val="9"/>
      <scheme val="minor"/>
    </font>
    <font>
      <name val="Calibri"/>
      <family val="2"/>
      <b val="1"/>
      <color theme="0" tint="-0.3499862666707358"/>
      <sz val="10"/>
    </font>
    <font>
      <name val="Calibri"/>
      <family val="2"/>
      <b val="1"/>
      <i val="1"/>
      <color theme="0" tint="-0.3499862666707358"/>
      <sz val="10"/>
      <scheme val="minor"/>
    </font>
    <font>
      <name val="Calibri"/>
      <family val="2"/>
      <b val="1"/>
      <color rgb="FFFFFFFF"/>
      <sz val="10"/>
    </font>
    <font>
      <name val="Arial"/>
      <family val="2"/>
      <b val="1"/>
      <color theme="0"/>
      <sz val="11"/>
    </font>
    <font>
      <name val="Calibri"/>
      <family val="2"/>
      <b val="1"/>
      <i val="1"/>
      <color theme="3" tint="-0.499984740745262"/>
      <sz val="8"/>
      <scheme val="minor"/>
    </font>
    <font>
      <name val="Arial"/>
      <charset val="1"/>
      <family val="2"/>
      <i val="1"/>
      <color theme="3" tint="-0.499984740745262"/>
      <sz val="10"/>
    </font>
    <font>
      <name val="Cambria"/>
      <charset val="1"/>
      <family val="1"/>
      <i val="1"/>
      <sz val="8"/>
    </font>
    <font>
      <name val="Calibri"/>
      <family val="2"/>
      <color rgb="FF17365D"/>
      <sz val="12"/>
      <scheme val="minor"/>
    </font>
    <font>
      <name val="Calibri"/>
      <family val="2"/>
      <b val="1"/>
      <color rgb="FF17365D"/>
      <sz val="12"/>
      <scheme val="minor"/>
    </font>
    <font>
      <name val="Calibri"/>
      <charset val="1"/>
      <family val="2"/>
      <sz val="11"/>
    </font>
    <font>
      <name val="Calibri"/>
      <family val="2"/>
      <b val="1"/>
      <color theme="3" tint="-0.499984740745262"/>
      <sz val="8"/>
      <scheme val="minor"/>
    </font>
    <font>
      <name val="Calibri"/>
      <family val="2"/>
      <color rgb="FF17365D"/>
      <sz val="11"/>
      <scheme val="minor"/>
    </font>
    <font>
      <name val="Arial"/>
      <family val="2"/>
      <b val="1"/>
      <color rgb="FFFFFFFF"/>
      <sz val="12"/>
    </font>
    <font>
      <name val="Calibri"/>
      <family val="2"/>
      <b val="1"/>
      <color rgb="FF0F243E"/>
      <sz val="10"/>
      <scheme val="minor"/>
    </font>
    <font>
      <name val="Arial"/>
      <family val="2"/>
      <b val="1"/>
      <sz val="16"/>
    </font>
    <font>
      <name val="Arial"/>
      <charset val="1"/>
      <family val="2"/>
      <b val="1"/>
      <sz val="16"/>
    </font>
    <font>
      <name val="Calibri"/>
      <family val="2"/>
      <i val="1"/>
      <color rgb="FF1F2933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i val="1"/>
      <sz val="10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i val="1"/>
      <sz val="8"/>
    </font>
    <font>
      <name val="Calibri"/>
      <family val="2"/>
      <color rgb="FF17365D"/>
      <sz val="8"/>
    </font>
    <font>
      <name val="Calibri"/>
      <family val="2"/>
      <i val="1"/>
      <sz val="11"/>
    </font>
    <font>
      <name val="Calibri"/>
      <family val="2"/>
      <b val="1"/>
      <sz val="16"/>
    </font>
    <font>
      <name val="Calibri"/>
      <family val="2"/>
      <b val="1"/>
      <color rgb="FF17365D"/>
      <sz val="16"/>
    </font>
    <font>
      <name val="Arial"/>
      <family val="2"/>
      <b val="1"/>
      <color rgb="FF17365D"/>
      <sz val="16"/>
    </font>
    <font>
      <name val="Arial"/>
      <family val="2"/>
      <b val="1"/>
      <color rgb="FFFFFFFF"/>
      <sz val="22"/>
    </font>
    <font>
      <name val="Arial"/>
      <family val="2"/>
      <color theme="1"/>
      <sz val="11"/>
    </font>
    <font>
      <name val="Arial"/>
      <family val="2"/>
      <b val="1"/>
      <color rgb="FF142B44"/>
      <sz val="16"/>
    </font>
    <font>
      <name val="Calibri"/>
      <family val="2"/>
      <b val="1"/>
      <color rgb="FF1F2933"/>
      <sz val="10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i val="1"/>
      <color theme="0" tint="-0.249977111117893"/>
      <sz val="11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i val="1"/>
      <color theme="0" tint="-0.249977111117893"/>
      <sz val="11"/>
    </font>
    <font>
      <name val="Calibri"/>
      <family val="2"/>
      <color rgb="FF1F2933"/>
      <sz val="11"/>
      <scheme val="minor"/>
    </font>
    <font>
      <name val="Calibri"/>
      <family val="2"/>
      <b val="1"/>
      <color rgb="FF1F2933"/>
      <sz val="11"/>
      <scheme val="minor"/>
    </font>
    <font>
      <name val="Calibri"/>
      <family val="2"/>
      <b val="1"/>
      <color rgb="FF0F243E"/>
      <sz val="11"/>
      <scheme val="minor"/>
    </font>
    <font>
      <name val="Calibri"/>
      <family val="2"/>
      <b val="1"/>
      <color rgb="FF142B44"/>
      <sz val="11"/>
      <scheme val="minor"/>
    </font>
    <font>
      <name val="Tahoma"/>
      <family val="2"/>
      <b val="1"/>
      <color rgb="FFFFFFFF"/>
      <sz val="10"/>
    </font>
    <font>
      <name val="Cambria"/>
      <family val="1"/>
      <b val="1"/>
      <color rgb="FFFFFFFF"/>
      <sz val="11"/>
    </font>
    <font>
      <name val="Arial"/>
      <family val="2"/>
      <b val="1"/>
      <color rgb="FF1B2A45"/>
      <sz val="13"/>
    </font>
    <font>
      <name val="Calibri"/>
      <family val="2"/>
      <color rgb="FF8A8F99"/>
      <sz val="8"/>
    </font>
    <font>
      <name val="Calibri"/>
      <family val="2"/>
      <b val="1"/>
      <color rgb="FFFFFFFF"/>
      <sz val="22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404040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theme="1"/>
      <sz val="9"/>
      <scheme val="minor"/>
    </font>
    <font>
      <name val="Calibri"/>
      <charset val="1"/>
      <family val="2"/>
      <color theme="1"/>
      <sz val="9"/>
    </font>
    <font>
      <name val="Calibri"/>
      <family val="2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theme="1"/>
      <sz val="9"/>
    </font>
    <font>
      <name val="Calibri"/>
      <family val="2"/>
      <i val="1"/>
      <sz val="9"/>
    </font>
    <font>
      <name val="Arial"/>
      <family val="2"/>
      <b val="1"/>
      <color rgb="FFFFFFFF"/>
      <sz val="9"/>
    </font>
    <font>
      <name val="Arial"/>
      <family val="2"/>
      <color theme="1"/>
      <sz val="9"/>
    </font>
    <font>
      <name val="Calibri"/>
      <charset val="1"/>
      <family val="2"/>
      <color rgb="FF17365D"/>
      <sz val="11"/>
    </font>
    <font>
      <name val="Calibri"/>
      <family val="2"/>
      <color rgb="FF17365D"/>
      <sz val="11"/>
    </font>
    <font>
      <name val="Calibri"/>
      <family val="2"/>
      <color rgb="FF8A8F99"/>
      <sz val="10"/>
    </font>
    <font>
      <name val="Arial"/>
      <family val="2"/>
      <b val="1"/>
      <color rgb="FFFFFFFF"/>
      <sz val="16"/>
    </font>
    <font>
      <name val="Tahoma"/>
      <family val="2"/>
      <b val="1"/>
      <color rgb="FF17365D"/>
      <sz val="8.5"/>
    </font>
    <font>
      <name val="Calibri"/>
      <family val="2"/>
      <b val="1"/>
      <color theme="1"/>
      <sz val="16"/>
    </font>
    <font>
      <name val="Calibri"/>
      <family val="2"/>
      <i val="1"/>
      <color theme="1"/>
      <sz val="11"/>
    </font>
    <font>
      <name val="Calibri"/>
      <family val="2"/>
      <i val="1"/>
      <color theme="1"/>
      <sz val="9"/>
    </font>
    <font>
      <name val="Calibri"/>
      <family val="2"/>
      <i val="1"/>
      <sz val="10"/>
    </font>
    <font>
      <name val="Calibri"/>
      <family val="2"/>
      <b val="1"/>
      <color theme="3" tint="-0.499984740745262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4"/>
    </font>
    <font>
      <name val="Calibri"/>
      <family val="2"/>
      <color rgb="FF17365D"/>
      <sz val="10"/>
      <scheme val="minor"/>
    </font>
    <font>
      <name val="Calibri"/>
      <family val="2"/>
      <b val="1"/>
      <i val="1"/>
      <color theme="0" tint="-0.249977111117893"/>
      <sz val="10"/>
    </font>
    <font>
      <name val="Calibri"/>
      <family val="2"/>
      <b val="1"/>
      <color rgb="FF17365D"/>
      <sz val="12"/>
    </font>
    <font>
      <name val="Calibri"/>
      <family val="2"/>
      <b val="1"/>
      <color theme="0"/>
      <sz val="12"/>
      <scheme val="minor"/>
    </font>
    <font>
      <name val="Calibri"/>
      <family val="2"/>
      <color rgb="FF17365D"/>
      <sz val="18"/>
    </font>
    <font>
      <name val="Calibri"/>
      <family val="2"/>
      <color rgb="FF17365D"/>
      <sz val="14"/>
    </font>
    <font>
      <name val="Calibri"/>
      <family val="2"/>
      <color rgb="FF17365D"/>
      <sz val="16"/>
      <u val="single"/>
    </font>
    <font>
      <name val="Calibri"/>
      <family val="2"/>
      <i val="1"/>
      <color rgb="FF17365D"/>
      <sz val="16"/>
    </font>
  </fonts>
  <fills count="77">
    <fill>
      <patternFill/>
    </fill>
    <fill>
      <patternFill patternType="gray125"/>
    </fill>
    <fill>
      <patternFill patternType="solid">
        <fgColor theme="3" tint="-0.499984740745262"/>
        <bgColor rgb="FF0C1F3F"/>
      </patternFill>
    </fill>
    <fill>
      <patternFill patternType="solid">
        <fgColor rgb="FFFCCF6A"/>
        <bgColor rgb="FFFCD5B5"/>
      </patternFill>
    </fill>
    <fill>
      <patternFill patternType="solid">
        <fgColor theme="0"/>
        <bgColor rgb="FFF5F7FA"/>
      </patternFill>
    </fill>
    <fill>
      <patternFill patternType="solid">
        <fgColor rgb="FFCC9900"/>
        <bgColor rgb="FFC9A227"/>
      </patternFill>
    </fill>
    <fill>
      <patternFill patternType="solid">
        <fgColor rgb="FFF2F2F2"/>
        <bgColor rgb="FFEAF0F6"/>
      </patternFill>
    </fill>
    <fill>
      <patternFill patternType="solid">
        <fgColor theme="9" tint="0.5998718222602009"/>
        <bgColor rgb="FFD9D9D9"/>
      </patternFill>
    </fill>
    <fill>
      <patternFill patternType="solid">
        <fgColor theme="0" tint="-0.1499984740745262"/>
        <bgColor rgb="FFDCE6F1"/>
      </patternFill>
    </fill>
    <fill>
      <patternFill patternType="solid">
        <fgColor rgb="FF17365D"/>
        <bgColor rgb="FF1F3864"/>
      </patternFill>
    </fill>
    <fill>
      <patternFill patternType="solid">
        <fgColor rgb="FFEAF0F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EAF0F6"/>
      </patternFill>
    </fill>
    <fill>
      <patternFill patternType="solid">
        <fgColor rgb="FFC9A227"/>
        <bgColor rgb="FFCC9900"/>
      </patternFill>
    </fill>
    <fill>
      <patternFill patternType="solid">
        <fgColor rgb="FFF5F7FA"/>
        <bgColor rgb="FFF2F2F2"/>
      </patternFill>
    </fill>
    <fill>
      <patternFill patternType="solid">
        <fgColor theme="4" tint="0.5999938962981048"/>
        <bgColor rgb="FFFCD5B5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C9A227"/>
        <bgColor rgb="FFFCD5B5"/>
      </patternFill>
    </fill>
    <fill>
      <patternFill patternType="solid">
        <fgColor rgb="FF17365D"/>
        <bgColor rgb="FF0C1F3F"/>
      </patternFill>
    </fill>
    <fill>
      <patternFill patternType="solid">
        <fgColor rgb="FF17365D"/>
        <bgColor rgb="FF203040"/>
      </patternFill>
    </fill>
    <fill>
      <patternFill patternType="solid">
        <fgColor rgb="FFFCCF6A"/>
        <bgColor rgb="FF203040"/>
      </patternFill>
    </fill>
    <fill>
      <patternFill patternType="solid">
        <fgColor rgb="FFFFF2CC"/>
        <bgColor rgb="FFFCD5B5"/>
      </patternFill>
    </fill>
    <fill>
      <patternFill patternType="solid">
        <fgColor rgb="FFF5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EAF0F6"/>
        <bgColor rgb="FF0C1F3F"/>
      </patternFill>
    </fill>
    <fill>
      <patternFill patternType="solid">
        <fgColor theme="0"/>
        <bgColor indexed="64"/>
      </patternFill>
    </fill>
    <fill>
      <patternFill patternType="solid">
        <fgColor rgb="FFEAF0F6"/>
        <bgColor rgb="FFB7C3D0"/>
      </patternFill>
    </fill>
    <fill>
      <patternFill patternType="solid">
        <fgColor rgb="FFEAF0F6"/>
        <bgColor rgb="FF20304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2F0D9"/>
        <bgColor rgb="FFF5F7FA"/>
      </patternFill>
    </fill>
    <fill>
      <patternFill patternType="solid">
        <fgColor rgb="FFC9A227"/>
        <bgColor rgb="FFF5F7FA"/>
      </patternFill>
    </fill>
    <fill>
      <patternFill patternType="solid">
        <fgColor rgb="FFEAF0F6"/>
        <bgColor rgb="FFFCD5B5"/>
      </patternFill>
    </fill>
    <fill>
      <patternFill patternType="solid">
        <fgColor rgb="FF17365D"/>
        <bgColor rgb="FF17365D"/>
      </patternFill>
    </fill>
    <fill>
      <patternFill patternType="solid">
        <fgColor rgb="FFFCCF6A"/>
        <bgColor rgb="FFEAF0F6"/>
      </patternFill>
    </fill>
    <fill>
      <patternFill patternType="solid">
        <fgColor rgb="FFFFF2CC"/>
        <bgColor rgb="FF0C1F3F"/>
      </patternFill>
    </fill>
    <fill>
      <patternFill patternType="solid">
        <fgColor rgb="FFFCCF6A"/>
        <bgColor rgb="FF0C1F3F"/>
      </patternFill>
    </fill>
    <fill>
      <patternFill patternType="solid">
        <fgColor rgb="FF17365D"/>
        <bgColor rgb="FF10243E"/>
      </patternFill>
    </fill>
    <fill>
      <patternFill patternType="solid">
        <fgColor rgb="FFEAF0F6"/>
        <bgColor rgb="FF1B2A45"/>
      </patternFill>
    </fill>
    <fill>
      <patternFill patternType="solid">
        <fgColor rgb="FFFCCF6A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D39A12"/>
        <bgColor indexed="64"/>
      </patternFill>
    </fill>
    <fill>
      <patternFill patternType="solid">
        <fgColor theme="0"/>
        <bgColor rgb="FF1F3864"/>
      </patternFill>
    </fill>
    <fill>
      <patternFill patternType="solid">
        <fgColor rgb="FFD39A12"/>
        <bgColor rgb="FF1F3864"/>
      </patternFill>
    </fill>
    <fill>
      <patternFill patternType="solid">
        <fgColor rgb="FFD39A12"/>
        <bgColor rgb="FFF2F2F2"/>
      </patternFill>
    </fill>
    <fill>
      <patternFill patternType="solid">
        <fgColor rgb="FFD39A12"/>
        <bgColor rgb="FFF5F7FA"/>
      </patternFill>
    </fill>
    <fill>
      <patternFill patternType="solid">
        <fgColor theme="0"/>
        <bgColor rgb="FFFCD5B5"/>
      </patternFill>
    </fill>
    <fill>
      <patternFill patternType="solid">
        <fgColor rgb="FF17365D"/>
        <bgColor rgb="FFFCD5B5"/>
      </patternFill>
    </fill>
    <fill>
      <patternFill patternType="solid">
        <fgColor theme="0" tint="-0.0499893185216834"/>
        <bgColor rgb="FF0C1F3F"/>
      </patternFill>
    </fill>
    <fill>
      <patternFill patternType="solid">
        <fgColor rgb="FFFFF2CC"/>
        <bgColor rgb="FFF5F7FA"/>
      </patternFill>
    </fill>
    <fill>
      <patternFill patternType="solid">
        <fgColor rgb="FFD39A12"/>
        <bgColor rgb="FFFCD5B5"/>
      </patternFill>
    </fill>
    <fill>
      <patternFill patternType="solid">
        <fgColor rgb="FFD39A12"/>
      </patternFill>
    </fill>
    <fill>
      <patternFill patternType="solid">
        <fgColor rgb="FFF7F9FB"/>
      </patternFill>
    </fill>
    <fill>
      <patternFill patternType="solid">
        <fgColor rgb="FFF7E7BF"/>
      </patternFill>
    </fill>
    <fill>
      <patternFill patternType="solid">
        <fgColor rgb="FFEAF0F5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B8CCE4"/>
        <bgColor rgb="FFFCD5B5"/>
      </patternFill>
    </fill>
    <fill>
      <patternFill patternType="solid">
        <fgColor rgb="FFB8CCE4"/>
        <bgColor rgb="FF0C1F3F"/>
      </patternFill>
    </fill>
    <fill>
      <patternFill patternType="solid">
        <fgColor theme="0"/>
        <bgColor rgb="FF0C1F3F"/>
      </patternFill>
    </fill>
    <fill>
      <patternFill patternType="solid">
        <fgColor rgb="FF17365D"/>
        <bgColor rgb="FF1B2A45"/>
      </patternFill>
    </fill>
    <fill>
      <patternFill patternType="solid">
        <fgColor rgb="FF2F75B5"/>
        <bgColor rgb="FF4F81BD"/>
      </patternFill>
    </fill>
    <fill>
      <patternFill patternType="solid">
        <fgColor rgb="FFEAF2F8"/>
        <bgColor rgb="FFF2F2F2"/>
      </patternFill>
    </fill>
    <fill>
      <patternFill patternType="solid">
        <fgColor rgb="FF70AD47"/>
        <bgColor rgb="FF878787"/>
      </patternFill>
    </fill>
    <fill>
      <patternFill patternType="solid">
        <fgColor rgb="FFD6A84F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17365D"/>
        <bgColor rgb="FF4F81BD"/>
      </patternFill>
    </fill>
    <fill>
      <patternFill patternType="solid">
        <fgColor rgb="FFFCCF6A"/>
        <bgColor rgb="FFF2F2F2"/>
      </patternFill>
    </fill>
    <fill>
      <patternFill patternType="solid">
        <fgColor rgb="FFB8CCE4"/>
        <bgColor rgb="FF4F81BD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rgb="FF1B2A45"/>
      </patternFill>
    </fill>
    <fill>
      <patternFill patternType="solid">
        <fgColor rgb="FFB8CCE4"/>
        <bgColor rgb="FFEAF2F8"/>
      </patternFill>
    </fill>
    <fill>
      <patternFill patternType="solid">
        <fgColor rgb="FFFCCF6A"/>
        <bgColor rgb="FFEAF2F8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39A12"/>
        <bgColor rgb="FF1B2A45"/>
      </patternFill>
    </fill>
  </fills>
  <borders count="4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B7C3D0"/>
      </top>
      <bottom/>
      <diagonal/>
    </border>
    <border>
      <left/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/>
      <top/>
      <bottom/>
      <diagonal/>
    </border>
    <border>
      <left/>
      <right/>
      <top/>
      <bottom style="thin">
        <color rgb="FFB7C3D0"/>
      </bottom>
      <diagonal/>
    </border>
    <border>
      <left/>
      <right style="thin">
        <color rgb="FFB7C3D0"/>
      </right>
      <top/>
      <bottom style="thin">
        <color rgb="FFB7C3D0"/>
      </bottom>
      <diagonal/>
    </border>
    <border>
      <left style="thin">
        <color rgb="FFB7C3D0"/>
      </left>
      <right/>
      <top/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theme="4" tint="0.5998718222602009"/>
      </bottom>
      <diagonal/>
    </border>
    <border>
      <left/>
      <right/>
      <top style="thin">
        <color rgb="FFB7C3D0"/>
      </top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/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thin">
        <color rgb="FFB7C3D0"/>
      </right>
      <top style="medium">
        <color rgb="FF17365D"/>
      </top>
      <bottom style="medium">
        <color rgb="FF17365D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  <border>
      <left style="thin">
        <color theme="4" tint="0.5998718222602009"/>
      </left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 style="thin">
        <color rgb="FFB7C3D0"/>
      </left>
      <right style="thin">
        <color theme="4" tint="0.5998718222602009"/>
      </right>
      <top style="thin">
        <color rgb="FFB7C3D0"/>
      </top>
      <bottom style="thin">
        <color rgb="FFB7C3D0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/>
      <top style="medium">
        <color rgb="FF17365D"/>
      </top>
      <bottom/>
      <diagonal/>
    </border>
    <border>
      <left/>
      <right/>
      <top/>
      <bottom style="thin">
        <color theme="3" tint="-0.499984740745262"/>
      </bottom>
      <diagonal/>
    </border>
    <border>
      <left/>
      <right/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5999633777886288"/>
      </bottom>
      <diagonal/>
    </border>
    <border>
      <left/>
      <right/>
      <top style="thin">
        <color theme="4" tint="0.5999633777886288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4" tint="0.5999633777886288"/>
      </bottom>
      <diagonal/>
    </border>
    <border>
      <left/>
      <right style="thin">
        <color theme="4" tint="0.5999633777886288"/>
      </right>
      <top/>
      <bottom style="thin">
        <color theme="4" tint="0.5999633777886288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/>
      <top/>
      <bottom/>
      <diagonal/>
    </border>
    <border>
      <left/>
      <right/>
      <top style="thin">
        <color rgb="FFEAF0F6"/>
      </top>
      <bottom/>
      <diagonal/>
    </border>
    <border>
      <left/>
      <right style="thin">
        <color rgb="FFEAF0F6"/>
      </right>
      <top/>
      <bottom style="thin">
        <color rgb="FFB7C3D0"/>
      </bottom>
      <diagonal/>
    </border>
    <border>
      <left/>
      <right style="thin">
        <color theme="4" tint="0.5999633777886288"/>
      </right>
      <top/>
      <bottom/>
      <diagonal/>
    </border>
    <border>
      <left/>
      <right/>
      <top/>
      <bottom style="medium">
        <color theme="4" tint="0.5999633777886288"/>
      </bottom>
      <diagonal/>
    </border>
    <border>
      <left/>
      <right/>
      <top style="thin">
        <color theme="0" tint="-0.1499069185460982"/>
      </top>
      <bottom/>
      <diagonal/>
    </border>
    <border>
      <left/>
      <right style="thin">
        <color theme="0" tint="-0.1499069185460982"/>
      </right>
      <top style="thin">
        <color theme="0" tint="-0.1499069185460982"/>
      </top>
      <bottom/>
      <diagonal/>
    </border>
    <border>
      <left style="thin">
        <color theme="0" tint="-0.1499069185460982"/>
      </left>
      <right/>
      <top/>
      <bottom/>
      <diagonal/>
    </border>
    <border>
      <left/>
      <right style="thin">
        <color theme="0" tint="-0.1499069185460982"/>
      </right>
      <top/>
      <bottom/>
      <diagonal/>
    </border>
    <border>
      <left style="thin">
        <color theme="0" tint="-0.1499069185460982"/>
      </left>
      <right/>
      <top/>
      <bottom style="thin">
        <color theme="0" tint="-0.1499069185460982"/>
      </bottom>
      <diagonal/>
    </border>
    <border>
      <left/>
      <right/>
      <top/>
      <bottom style="thin">
        <color theme="0" tint="-0.1499069185460982"/>
      </bottom>
      <diagonal/>
    </border>
    <border>
      <left/>
      <right style="thin">
        <color theme="0" tint="-0.1499069185460982"/>
      </right>
      <top/>
      <bottom style="thin">
        <color theme="0" tint="-0.1499069185460982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/>
      </top>
      <bottom style="medium">
        <color auto="1"/>
      </bottom>
      <diagonal/>
    </border>
    <border>
      <left/>
      <right/>
      <top style="medium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medium">
        <color theme="4" tint="0.5999633777886288"/>
      </bottom>
      <diagonal/>
    </border>
    <border>
      <left/>
      <right/>
      <top style="thin">
        <color auto="1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thin">
        <color auto="1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 style="thin">
        <color auto="1"/>
      </right>
      <top/>
      <bottom/>
      <diagonal/>
    </border>
    <border>
      <left style="thin">
        <color theme="0" tint="-0.3499862666707358"/>
      </left>
      <right/>
      <top style="medium">
        <color auto="1"/>
      </top>
      <bottom style="thin">
        <color auto="1"/>
      </bottom>
      <diagonal/>
    </border>
    <border>
      <left/>
      <right style="thin">
        <color theme="0" tint="-0.3499862666707358"/>
      </right>
      <top style="medium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/>
      <diagonal/>
    </border>
    <border>
      <left/>
      <right style="thin">
        <color theme="0" tint="-0.3499862666707358"/>
      </right>
      <top style="thin">
        <color auto="1"/>
      </top>
      <bottom/>
      <diagonal/>
    </border>
    <border>
      <left style="thin">
        <color theme="0" tint="-0.3499862666707358"/>
      </left>
      <right/>
      <top/>
      <bottom style="medium">
        <color theme="4" tint="0.5999633777886288"/>
      </bottom>
      <diagonal/>
    </border>
    <border>
      <left/>
      <right style="thin">
        <color theme="0" tint="-0.3499862666707358"/>
      </right>
      <top/>
      <bottom style="medium">
        <color theme="4" tint="0.5999633777886288"/>
      </bottom>
      <diagonal/>
    </border>
    <border>
      <left style="thin">
        <color theme="0" tint="-0.3499862666707358"/>
      </left>
      <right/>
      <top style="medium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medium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medium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medium">
        <color theme="4" tint="0.5999633777886288"/>
      </bottom>
      <diagonal/>
    </border>
    <border>
      <left style="thin">
        <color theme="0" tint="-0.3499862666707358"/>
      </left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 style="thin">
        <color theme="0" tint="-0.3499862666707358"/>
      </left>
      <right/>
      <top style="thin">
        <color theme="0"/>
      </top>
      <bottom style="medium">
        <color auto="1"/>
      </bottom>
      <diagonal/>
    </border>
    <border>
      <left/>
      <right style="thin">
        <color theme="0" tint="-0.3499862666707358"/>
      </right>
      <top style="thin">
        <color theme="0"/>
      </top>
      <bottom style="medium">
        <color auto="1"/>
      </bottom>
      <diagonal/>
    </border>
    <border>
      <left style="thin">
        <color auto="1"/>
      </left>
      <right style="thin">
        <color theme="0" tint="-0.3499862666707358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auto="1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auto="1"/>
      </bottom>
      <diagonal/>
    </border>
    <border>
      <left style="thin">
        <color theme="0" tint="-0.3499862666707358"/>
      </left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/>
      <top/>
      <bottom style="thin">
        <color theme="0" tint="-0.1499069185460982"/>
      </bottom>
      <diagonal/>
    </border>
    <border>
      <left style="thin">
        <color theme="0" tint="-0.3499862666707358"/>
      </left>
      <right/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 style="thin">
        <color rgb="FFB7C3D0"/>
      </bottom>
      <diagonal/>
    </border>
    <border>
      <left/>
      <right style="thin">
        <color theme="0" tint="-0.3499862666707358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rgb="FFB7C3D0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theme="0"/>
      </bottom>
      <diagonal/>
    </border>
    <border>
      <left/>
      <right style="thin">
        <color theme="0" tint="-0.3499862666707358"/>
      </right>
      <top/>
      <bottom style="thin">
        <color theme="4" tint="0.5999633777886288"/>
      </bottom>
      <diagonal/>
    </border>
    <border>
      <left style="thin">
        <color theme="0" tint="-0.3499862666707358"/>
      </left>
      <right/>
      <top/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theme="0" tint="-0.3499862666707358"/>
      </bottom>
      <diagonal/>
    </border>
    <border>
      <left/>
      <right/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rgb="FFEAF0F6"/>
      </top>
      <bottom/>
      <diagonal/>
    </border>
    <border>
      <left style="thin">
        <color theme="0" tint="-0.3499862666707358"/>
      </left>
      <right/>
      <top/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 style="thin">
        <color rgb="FFB7C3D0"/>
      </top>
      <bottom/>
      <diagonal/>
    </border>
    <border>
      <left/>
      <right style="thin">
        <color rgb="FFB7C3D0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rgb="FFB7C3D0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/>
      <bottom/>
      <diagonal/>
    </border>
    <border>
      <left style="thin">
        <color theme="0" tint="-0.3499862666707358"/>
      </left>
      <right/>
      <top style="medium">
        <color rgb="FF17365D"/>
      </top>
      <bottom style="medium">
        <color rgb="FF17365D"/>
      </bottom>
      <diagonal/>
    </border>
    <border>
      <left style="thin">
        <color theme="0" tint="-0.3499862666707358"/>
      </left>
      <right style="thin">
        <color rgb="FFB7C3D0"/>
      </right>
      <top/>
      <bottom style="thin">
        <color rgb="FFB7C3D0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4" tint="0.5999633777886288"/>
      </right>
      <top/>
      <bottom style="thin">
        <color theme="4" tint="0.5999633777886288"/>
      </bottom>
      <diagonal/>
    </border>
    <border>
      <left style="hair">
        <color theme="0" tint="-0.3499862666707358"/>
      </left>
      <right/>
      <top/>
      <bottom style="thin">
        <color theme="0" tint="-0.3499862666707358"/>
      </bottom>
      <diagonal/>
    </border>
    <border>
      <left/>
      <right style="medium">
        <color theme="4" tint="0.5999633777886288"/>
      </right>
      <top style="medium">
        <color rgb="FF17365D"/>
      </top>
      <bottom style="thin">
        <color theme="4" tint="0.5999633777886288"/>
      </bottom>
      <diagonal/>
    </border>
    <border>
      <left/>
      <right style="medium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rgb="FF17365D"/>
      </top>
      <bottom style="thin">
        <color rgb="FF17365D"/>
      </bottom>
      <diagonal/>
    </border>
    <border>
      <left style="thin">
        <color rgb="FFB7C3D0"/>
      </left>
      <right/>
      <top/>
      <bottom style="thin">
        <color theme="0" tint="-0.3499862666707358"/>
      </bottom>
      <diagonal/>
    </border>
    <border>
      <left/>
      <right style="thin">
        <color theme="4" tint="0.5999633777886288"/>
      </right>
      <top/>
      <bottom style="thin">
        <color theme="0" tint="-0.3499862666707358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thin">
        <color rgb="FFB7C3D0"/>
      </bottom>
      <diagonal/>
    </border>
    <border>
      <left/>
      <right/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3499862666707358"/>
      </left>
      <right/>
      <top style="thin">
        <color rgb="FFBFBFBF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rgb="FFBFBFBF"/>
      </bottom>
      <diagonal/>
    </border>
    <border>
      <left/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46592608417"/>
      </left>
      <right/>
      <top style="thin">
        <color rgb="FFBFBFBF"/>
      </top>
      <bottom style="thin">
        <color theme="0" tint="-0.249946592608417"/>
      </bottom>
      <diagonal/>
    </border>
    <border>
      <left/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medium">
        <color rgb="FF142B4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/>
      <top style="medium">
        <color rgb="FF142B44"/>
      </top>
      <bottom style="thin">
        <color rgb="FFB8C2CC"/>
      </bottom>
      <diagonal/>
    </border>
    <border>
      <left/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/>
      <top style="thin">
        <color rgb="FFB8C2CC"/>
      </top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/>
      <right/>
      <top/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rgb="FF142B44"/>
      </top>
      <bottom style="medium">
        <color rgb="FF142B44"/>
      </bottom>
      <diagonal/>
    </border>
    <border>
      <left/>
      <right/>
      <top style="medium">
        <color rgb="FF142B44"/>
      </top>
      <bottom style="thin">
        <color rgb="FFB8C2CC"/>
      </bottom>
      <diagonal/>
    </border>
    <border>
      <left/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/>
      <top style="medium">
        <color rgb="FF142B44"/>
      </top>
      <bottom style="medium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/>
      <right/>
      <top style="medium">
        <color rgb="FF142B44"/>
      </top>
      <bottom/>
      <diagonal/>
    </border>
    <border>
      <left/>
      <right/>
      <top style="thin">
        <color rgb="FFB8C2CC"/>
      </top>
      <bottom style="medium">
        <color rgb="FF142B44"/>
      </bottom>
      <diagonal/>
    </border>
    <border>
      <left/>
      <right style="thin">
        <color rgb="FFB8C2CC"/>
      </right>
      <top style="medium">
        <color rgb="FF142B44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4" tint="0.5998718222602009"/>
      </top>
      <bottom/>
      <diagonal/>
    </border>
    <border>
      <left/>
      <right style="thin">
        <color auto="1"/>
      </right>
      <top style="thin">
        <color theme="4" tint="0.5998718222602009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4" tint="0.5998718222602009"/>
      </left>
      <right/>
      <top/>
      <bottom style="thin">
        <color theme="4" tint="0.5998718222602009"/>
      </bottom>
      <diagonal/>
    </border>
    <border>
      <left/>
      <right/>
      <top/>
      <bottom style="thin">
        <color theme="4" tint="0.5998718222602009"/>
      </bottom>
      <diagonal/>
    </border>
    <border>
      <left/>
      <right style="thin">
        <color auto="1"/>
      </right>
      <top/>
      <bottom style="thin">
        <color theme="4" tint="0.5998718222602009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/>
      <right style="thin">
        <color theme="4" tint="0.5998718222602009"/>
      </right>
      <top style="thin">
        <color rgb="FFB7C3D0"/>
      </top>
      <bottom/>
      <diagonal/>
    </border>
    <border>
      <left/>
      <right style="thin">
        <color theme="4" tint="0.5998718222602009"/>
      </right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/>
      <diagonal/>
    </border>
    <border>
      <left/>
      <right/>
      <top style="medium">
        <color rgb="FF17365D"/>
      </top>
      <bottom style="thin">
        <color theme="4" tint="0.5999633777886288"/>
      </bottom>
      <diagonal/>
    </border>
    <border>
      <left/>
      <right style="thin">
        <color rgb="FFB7C3D0"/>
      </right>
      <top style="thin">
        <color theme="0" tint="-0.3499862666707358"/>
      </top>
      <bottom/>
      <diagonal/>
    </border>
    <border>
      <left style="thin">
        <color rgb="FFB7C3D0"/>
      </left>
      <right style="thin">
        <color theme="0" tint="-0.3499862666707358"/>
      </right>
      <top style="thin">
        <color rgb="FFB7C3D0"/>
      </top>
      <bottom style="thin">
        <color theme="0" tint="-0.3499862666707358"/>
      </bottom>
      <diagonal/>
    </border>
    <border>
      <left style="thin">
        <color rgb="FFB8C2CC"/>
      </left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rgb="FFB8C2CC"/>
      </left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theme="4" tint="0.5999633777886288"/>
      </top>
      <bottom style="thin">
        <color rgb="FFB8C2CC"/>
      </bottom>
      <diagonal/>
    </border>
    <border>
      <left/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1499069185460982"/>
      </right>
      <top style="thin">
        <color theme="0" tint="-0.1499069185460982"/>
      </top>
      <bottom style="thin">
        <color theme="0" tint="-0.1499069185460982"/>
      </bottom>
      <diagonal/>
    </border>
    <border>
      <left/>
      <right style="thin">
        <color theme="0" tint="-0.3499862666707358"/>
      </right>
      <top style="thin">
        <color auto="1"/>
      </top>
      <bottom style="medium">
        <color theme="4" tint="0.5999633777886288"/>
      </bottom>
      <diagonal/>
    </border>
    <border>
      <left/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3499862666707358"/>
      </left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thin">
        <color theme="0" tint="-0.1499069185460982"/>
      </bottom>
      <diagonal/>
    </border>
    <border>
      <left style="thin">
        <color theme="0" tint="-0.1499069185460982"/>
      </left>
      <right style="thin">
        <color theme="0" tint="-0.3499862666707358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auto="1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/>
      <right/>
      <top style="medium">
        <color theme="4" tint="0.5999633777886288"/>
      </top>
      <bottom style="thin">
        <color theme="0"/>
      </bottom>
      <diagonal/>
    </border>
    <border>
      <left/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dotted">
        <color rgb="FF9AA0A8"/>
      </bottom>
      <diagonal/>
    </border>
    <border>
      <left/>
      <right/>
      <top/>
      <bottom style="thin">
        <color theme="3" tint="0.5999633777886288"/>
      </bottom>
      <diagonal/>
    </border>
    <border>
      <left/>
      <right style="thin">
        <color theme="0" tint="-0.3499862666707358"/>
      </right>
      <top/>
      <bottom style="thin">
        <color theme="3" tint="0.5999633777886288"/>
      </bottom>
      <diagonal/>
    </border>
    <border>
      <left/>
      <right/>
      <top style="thin">
        <color rgb="FFEAF0F6"/>
      </top>
      <bottom style="thin">
        <color theme="3" tint="0.5999633777886288"/>
      </bottom>
      <diagonal/>
    </border>
    <border>
      <left/>
      <right style="thin">
        <color theme="0" tint="-0.3499862666707358"/>
      </right>
      <top style="thin">
        <color rgb="FFEAF0F6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4" tint="0.5999633777886288"/>
      </top>
      <bottom style="thin">
        <color theme="3" tint="0.5999633777886288"/>
      </bottom>
      <diagonal/>
    </border>
    <border>
      <left/>
      <right/>
      <top/>
      <bottom style="thin">
        <color rgb="FF17365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3" tint="0.5999633777886288"/>
      </left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theme="3" tint="0.5999633777886288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/>
      <top style="thin">
        <color rgb="FFD9E1F2"/>
      </top>
      <bottom style="thin">
        <color theme="3" tint="0.5999633777886288"/>
      </bottom>
      <diagonal/>
    </border>
    <border>
      <left style="thin">
        <color theme="3" tint="0.5999633777886288"/>
      </left>
      <right/>
      <top/>
      <bottom/>
      <diagonal/>
    </border>
    <border>
      <left/>
      <right style="thin">
        <color theme="3" tint="0.5999633777886288"/>
      </right>
      <top/>
      <bottom/>
      <diagonal/>
    </border>
    <border>
      <left style="thin">
        <color theme="3" tint="0.5999633777886288"/>
      </left>
      <right/>
      <top/>
      <bottom style="thin">
        <color theme="3" tint="0.5999633777886288"/>
      </bottom>
      <diagonal/>
    </border>
    <border>
      <left/>
      <right style="thin">
        <color theme="3" tint="0.5999633777886288"/>
      </right>
      <top/>
      <bottom style="thin">
        <color theme="3" tint="0.599963377788628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/>
      <right style="thin">
        <color theme="0" tint="-0.249946592608417"/>
      </right>
      <top style="thin">
        <color theme="0"/>
      </top>
      <bottom style="thin">
        <color theme="0" tint="-0.249946592608417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4" tint="0.5999633777886288"/>
      </top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3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rgb="FF17365D"/>
      </left>
      <right style="thin">
        <color theme="0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17365D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/>
      <top/>
      <bottom style="thin">
        <color theme="0" tint="-0.249946592608417"/>
      </bottom>
      <diagonal/>
    </border>
    <border>
      <left/>
      <right/>
      <top style="thin">
        <color theme="0"/>
      </top>
      <bottom/>
      <diagonal/>
    </border>
    <border>
      <left style="thin">
        <color rgb="FFD9E1F2"/>
      </left>
      <right style="thin">
        <color rgb="FFD9E1F2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/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rgb="FF17365D"/>
      </top>
      <bottom/>
      <diagonal/>
    </border>
    <border>
      <left/>
      <right style="thin">
        <color theme="0"/>
      </right>
      <top style="thin">
        <color rgb="FF17365D"/>
      </top>
      <bottom style="thin">
        <color rgb="FF17365D"/>
      </bottom>
      <diagonal/>
    </border>
    <border>
      <left/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/>
      <diagonal/>
    </border>
    <border>
      <left/>
      <right style="thin">
        <color theme="0" tint="-0.3499862666707358"/>
      </right>
      <top/>
      <bottom style="thin">
        <color auto="1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3" tint="-0.499984740745262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rgb="FFB7C3D0"/>
      </left>
      <right style="thin">
        <color rgb="FFB7C3D0"/>
      </right>
      <top/>
      <bottom/>
      <diagonal/>
    </border>
    <border>
      <left/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0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4" tint="0.5999633777886288"/>
      </left>
      <right/>
      <top/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4" tint="0.5999633777886288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/>
      <top/>
      <bottom/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 style="thin">
        <color theme="4" tint="0.5999633777886288"/>
      </left>
      <right/>
      <top style="thin">
        <color theme="0" tint="-0.249946592608417"/>
      </top>
      <bottom/>
      <diagonal/>
    </border>
    <border>
      <left/>
      <right style="thin">
        <color theme="4" tint="0.5999633777886288"/>
      </right>
      <top style="thin">
        <color theme="0" tint="-0.249946592608417"/>
      </top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 style="thin">
        <color rgb="FF17365D"/>
      </left>
      <right/>
      <top/>
      <bottom/>
      <diagonal/>
    </border>
    <border>
      <left/>
      <right style="thin">
        <color rgb="FF17365D"/>
      </right>
      <top style="thin">
        <color rgb="FF17365D"/>
      </top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auto="1"/>
      </top>
      <bottom/>
      <diagonal/>
    </border>
    <border>
      <left style="thin">
        <color theme="4" tint="0.5999633777886288"/>
      </left>
      <right/>
      <top style="thin">
        <color rgb="FFEAF0F6"/>
      </top>
      <bottom/>
      <diagonal/>
    </border>
    <border>
      <left/>
      <right style="thin">
        <color theme="4" tint="0.5999633777886288"/>
      </right>
      <top style="thin">
        <color rgb="FFEAF0F6"/>
      </top>
      <bottom/>
      <diagonal/>
    </border>
    <border>
      <left style="thin">
        <color theme="4" tint="0.5999633777886288"/>
      </left>
      <right/>
      <top/>
      <bottom style="thin">
        <color theme="0"/>
      </bottom>
      <diagonal/>
    </border>
    <border>
      <left/>
      <right style="thin">
        <color theme="4" tint="0.5999633777886288"/>
      </right>
      <top/>
      <bottom style="thin">
        <color theme="3" tint="0.5999633777886288"/>
      </bottom>
      <diagonal/>
    </border>
    <border>
      <left/>
      <right style="thin">
        <color theme="4" tint="0.5999633777886288"/>
      </right>
      <top style="thin">
        <color theme="3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0.5999633777886288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 style="thin">
        <color theme="4" tint="0.5999633777886288"/>
      </right>
      <top style="thin">
        <color rgb="FFB7C3D0"/>
      </top>
      <bottom/>
      <diagonal/>
    </border>
    <border>
      <left style="thin">
        <color theme="4" tint="0.5999633777886288"/>
      </left>
      <right/>
      <top/>
      <bottom style="thin">
        <color rgb="FFB7C3D0"/>
      </bottom>
      <diagonal/>
    </border>
    <border>
      <left/>
      <right style="thin">
        <color theme="4" tint="0.5999633777886288"/>
      </right>
      <top/>
      <bottom style="thin">
        <color rgb="FFB7C3D0"/>
      </bottom>
      <diagonal/>
    </border>
    <border>
      <left style="thin">
        <color theme="4" tint="0.5999633777886288"/>
      </left>
      <right style="thin">
        <color rgb="FFB7C3D0"/>
      </right>
      <top/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/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4" tint="0.599963377788628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4" tint="0.5999633777886288"/>
      </right>
      <top style="thin">
        <color theme="0" tint="-0.3499862666707358"/>
      </top>
      <bottom/>
      <diagonal/>
    </border>
    <border>
      <left style="thin">
        <color theme="4" tint="0.5999633777886288"/>
      </left>
      <right/>
      <top style="thin">
        <color rgb="FFEAF0F6"/>
      </top>
      <bottom style="thin">
        <color theme="3" tint="0.5999633777886288"/>
      </bottom>
      <diagonal/>
    </border>
    <border>
      <left/>
      <right style="thin">
        <color theme="4" tint="0.5999633777886288"/>
      </right>
      <top style="thin">
        <color rgb="FFEAF0F6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4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/>
      </right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/>
      <right style="thin">
        <color theme="4" tint="0.599963377788628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3" tint="-0.499984740745262"/>
      </right>
      <top/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 style="thin">
        <color theme="0" tint="-0.249946592608417"/>
      </left>
      <right/>
      <top/>
      <bottom style="thin">
        <color theme="4" tint="0.5999633777886288"/>
      </bottom>
      <diagonal/>
    </border>
    <border>
      <left style="thin">
        <color theme="3" tint="0.5999633777886288"/>
      </left>
      <right/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/>
      <right/>
      <top style="thin">
        <color theme="0" tint="-0.249946592608417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0" tint="-0.249946592608417"/>
      </top>
      <bottom style="thin">
        <color theme="3" tint="0.5999633777886288"/>
      </bottom>
      <diagonal/>
    </border>
    <border>
      <left style="thick">
        <color rgb="FF17365D"/>
      </left>
      <right style="thick">
        <color rgb="FF17365D"/>
      </right>
      <top style="thick">
        <color rgb="FF17365D"/>
      </top>
      <bottom/>
      <diagonal/>
    </border>
    <border>
      <left style="thick">
        <color rgb="FF17365D"/>
      </left>
      <right style="thick">
        <color rgb="FF17365D"/>
      </right>
      <top/>
      <bottom style="thick">
        <color rgb="FF17365D"/>
      </bottom>
      <diagonal/>
    </border>
    <border>
      <left style="thick">
        <color rgb="FF17365D"/>
      </left>
      <right style="thick">
        <color rgb="FF17365D"/>
      </right>
      <top/>
      <bottom/>
      <diagonal/>
    </border>
    <border>
      <left style="thin">
        <color theme="0"/>
      </left>
      <right/>
      <top style="thin">
        <color theme="0" tint="-0.249946592608417"/>
      </top>
      <bottom style="thin">
        <color theme="3" tint="0.5999633777886288"/>
      </bottom>
      <diagonal/>
    </border>
    <border>
      <left style="thick">
        <color rgb="FF17365D"/>
      </left>
      <right/>
      <top style="thick">
        <color rgb="FF17365D"/>
      </top>
      <bottom/>
      <diagonal/>
    </border>
    <border>
      <left/>
      <right style="thick">
        <color rgb="FF17365D"/>
      </right>
      <top style="thick">
        <color rgb="FF17365D"/>
      </top>
      <bottom/>
      <diagonal/>
    </border>
    <border>
      <left style="thick">
        <color rgb="FF17365D"/>
      </left>
      <right/>
      <top/>
      <bottom style="thick">
        <color rgb="FF17365D"/>
      </bottom>
      <diagonal/>
    </border>
    <border>
      <left/>
      <right style="thick">
        <color rgb="FF17365D"/>
      </right>
      <top/>
      <bottom style="thick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/>
      <right style="thick">
        <color rgb="FF17365D"/>
      </right>
      <top/>
      <bottom/>
      <diagonal/>
    </border>
    <border>
      <left style="thick">
        <color rgb="FF17365D"/>
      </left>
      <right/>
      <top/>
      <bottom/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/>
      <right/>
      <top style="thick">
        <color rgb="FF17365D"/>
      </top>
      <bottom/>
      <diagonal/>
    </border>
    <border>
      <left/>
      <right style="thin">
        <color theme="0" tint="-0.249946592608417"/>
      </right>
      <top style="thin">
        <color theme="0"/>
      </top>
      <bottom/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 style="thin">
        <color rgb="FFD9E1F2"/>
      </right>
      <top style="thin">
        <color theme="3" tint="0.5999633777886288"/>
      </top>
      <bottom/>
      <diagonal/>
    </border>
    <border>
      <left/>
      <right style="thin">
        <color theme="0"/>
      </right>
      <top style="thin">
        <color rgb="FF17365D"/>
      </top>
      <bottom/>
      <diagonal/>
    </border>
    <border>
      <left/>
      <right style="thin">
        <color rgb="FFD9E1F2"/>
      </right>
      <top style="thin">
        <color rgb="FF17365D"/>
      </top>
      <bottom/>
      <diagonal/>
    </border>
    <border>
      <left style="hair">
        <color theme="0" tint="-0.3499862666707358"/>
      </left>
      <right/>
      <top/>
      <bottom/>
      <diagonal/>
    </border>
    <border>
      <left/>
      <right style="medium">
        <color theme="4" tint="0.5999633777886288"/>
      </right>
      <top style="thin">
        <color theme="4" tint="0.5999633777886288"/>
      </top>
      <bottom/>
      <diagonal/>
    </border>
    <border>
      <left/>
      <right style="medium">
        <color theme="4" tint="0.5999633777886288"/>
      </right>
      <top style="medium">
        <color rgb="FF17365D"/>
      </top>
      <bottom/>
      <diagonal/>
    </border>
    <border>
      <left style="thin">
        <color theme="4" tint="0.5998718222602009"/>
      </left>
      <right/>
      <top/>
      <bottom/>
      <diagonal/>
    </border>
    <border>
      <left/>
      <right style="thin">
        <color rgb="FFB7C3D0"/>
      </right>
      <top style="medium">
        <color rgb="FF17365D"/>
      </top>
      <bottom/>
      <diagonal/>
    </border>
    <border>
      <left/>
      <right style="thin">
        <color theme="4" tint="0.5998718222602009"/>
      </right>
      <top/>
      <bottom/>
      <diagonal/>
    </border>
    <border>
      <left/>
      <right/>
      <top style="medium">
        <color theme="4" tint="0.5999633777886288"/>
      </top>
      <bottom/>
      <diagonal/>
    </border>
    <border>
      <left/>
      <right style="thin">
        <color rgb="FFB8C2CC"/>
      </right>
      <top style="medium">
        <color theme="4" tint="0.5999633777886288"/>
      </top>
      <bottom/>
      <diagonal/>
    </border>
    <border>
      <left/>
      <right style="thin">
        <color theme="0" tint="-0.3499862666707358"/>
      </right>
      <top style="thin">
        <color rgb="FFB8C2CC"/>
      </top>
      <bottom/>
      <diagonal/>
    </border>
    <border>
      <left/>
      <right style="thin">
        <color theme="0" tint="-0.3499862666707358"/>
      </right>
      <top style="medium">
        <color rgb="FF142B44"/>
      </top>
      <bottom/>
      <diagonal/>
    </border>
    <border>
      <left/>
      <right/>
      <top style="thin">
        <color theme="4" tint="0.3999450666829432"/>
      </top>
      <bottom/>
      <diagonal/>
    </border>
    <border>
      <left/>
      <right style="medium">
        <color auto="1"/>
      </right>
      <top style="thin">
        <color theme="4" tint="0.3999450666829432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theme="4" tint="0.5999633777886288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theme="0" tint="-0.3499862666707358"/>
      </right>
      <top style="medium">
        <color theme="4" tint="0.5999633777886288"/>
      </top>
      <bottom/>
      <diagonal/>
    </border>
    <border>
      <left/>
      <right style="thin">
        <color theme="0" tint="-0.3499862666707358"/>
      </right>
      <top style="thin">
        <color theme="0"/>
      </top>
      <bottom/>
      <diagonal/>
    </border>
    <border>
      <left/>
      <right style="thin">
        <color theme="0" tint="-0.3499862666707358"/>
      </right>
      <top style="thin">
        <color rgb="FF17365D"/>
      </top>
      <bottom/>
      <diagonal/>
    </border>
    <border>
      <left/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3" tint="0.5999633777886288"/>
      </top>
      <bottom/>
      <diagonal/>
    </border>
  </borders>
  <cellStyleXfs count="5">
    <xf numFmtId="0" fontId="27" fillId="0" borderId="0"/>
    <xf numFmtId="0" fontId="27" fillId="0" borderId="0"/>
    <xf numFmtId="0" fontId="27" fillId="0" borderId="0"/>
    <xf numFmtId="0" fontId="27" fillId="0" borderId="0"/>
    <xf numFmtId="0" fontId="5" fillId="0" borderId="0"/>
  </cellStyleXfs>
  <cellXfs count="1415">
    <xf numFmtId="0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0" borderId="0" applyAlignment="1" pivotButton="0" quotePrefix="0" xfId="0">
      <alignment vertical="center"/>
    </xf>
    <xf numFmtId="0" fontId="9" fillId="4" borderId="0" applyAlignment="1" pivotButton="0" quotePrefix="0" xfId="0">
      <alignment vertical="center"/>
    </xf>
    <xf numFmtId="0" fontId="10" fillId="4" borderId="0" applyAlignment="1" pivotButton="0" quotePrefix="0" xfId="0">
      <alignment vertical="center"/>
    </xf>
    <xf numFmtId="0" fontId="7" fillId="0" borderId="0" pivotButton="0" quotePrefix="0" xfId="0"/>
    <xf numFmtId="0" fontId="8" fillId="0" borderId="0" applyAlignment="1" pivotButton="0" quotePrefix="0" xfId="1">
      <alignment vertical="center" wrapText="1"/>
    </xf>
    <xf numFmtId="0" fontId="17" fillId="0" borderId="0" pivotButton="0" quotePrefix="0" xfId="0"/>
    <xf numFmtId="0" fontId="0" fillId="0" borderId="9" pivotButton="0" quotePrefix="0" xfId="3"/>
    <xf numFmtId="0" fontId="19" fillId="10" borderId="12" applyAlignment="1" pivotButton="0" quotePrefix="0" xfId="3">
      <alignment vertical="center"/>
    </xf>
    <xf numFmtId="0" fontId="0" fillId="0" borderId="12" applyAlignment="1" pivotButton="0" quotePrefix="0" xfId="3">
      <alignment vertical="center" wrapText="1"/>
    </xf>
    <xf numFmtId="0" fontId="18" fillId="13" borderId="20" applyAlignment="1" pivotButton="0" quotePrefix="0" xfId="3">
      <alignment vertical="center"/>
    </xf>
    <xf numFmtId="0" fontId="0" fillId="0" borderId="0" applyAlignment="1" pivotButton="0" quotePrefix="0" xfId="3">
      <alignment vertical="center"/>
    </xf>
    <xf numFmtId="0" fontId="31" fillId="0" borderId="0" pivotButton="0" quotePrefix="0" xfId="2"/>
    <xf numFmtId="0" fontId="18" fillId="13" borderId="26" applyAlignment="1" pivotButton="0" quotePrefix="0" xfId="3">
      <alignment horizontal="center" vertical="center"/>
    </xf>
    <xf numFmtId="0" fontId="35" fillId="17" borderId="28" pivotButton="0" quotePrefix="0" xfId="2"/>
    <xf numFmtId="0" fontId="29" fillId="0" borderId="28" pivotButton="0" quotePrefix="0" xfId="2"/>
    <xf numFmtId="0" fontId="0" fillId="0" borderId="0" applyAlignment="1" pivotButton="0" quotePrefix="0" xfId="1">
      <alignment vertical="center"/>
    </xf>
    <xf numFmtId="0" fontId="52" fillId="27" borderId="29" applyAlignment="1" pivotButton="0" quotePrefix="0" xfId="1">
      <alignment horizontal="center" vertical="center" wrapText="1"/>
    </xf>
    <xf numFmtId="0" fontId="52" fillId="27" borderId="29" applyAlignment="1" pivotButton="0" quotePrefix="0" xfId="1">
      <alignment vertical="center" wrapText="1"/>
    </xf>
    <xf numFmtId="0" fontId="37" fillId="17" borderId="29" applyAlignment="1" pivotButton="0" quotePrefix="0" xfId="1">
      <alignment horizontal="center" vertical="center" wrapText="1"/>
    </xf>
    <xf numFmtId="0" fontId="37" fillId="32" borderId="29" applyAlignment="1" pivotButton="0" quotePrefix="0" xfId="1">
      <alignment horizontal="center" vertical="center" wrapText="1"/>
    </xf>
    <xf numFmtId="0" fontId="37" fillId="32" borderId="29" applyAlignment="1" pivotButton="0" quotePrefix="0" xfId="1">
      <alignment vertical="center" wrapText="1"/>
    </xf>
    <xf numFmtId="0" fontId="59" fillId="0" borderId="58" applyAlignment="1" pivotButton="0" quotePrefix="0" xfId="1">
      <alignment vertical="center"/>
    </xf>
    <xf numFmtId="0" fontId="37" fillId="0" borderId="29" applyAlignment="1" pivotButton="0" quotePrefix="0" xfId="1">
      <alignment vertical="center" wrapText="1"/>
    </xf>
    <xf numFmtId="0" fontId="20" fillId="4" borderId="42" applyAlignment="1" pivotButton="0" quotePrefix="0" xfId="3">
      <alignment vertical="center"/>
    </xf>
    <xf numFmtId="0" fontId="20" fillId="4" borderId="0" applyAlignment="1" pivotButton="0" quotePrefix="0" xfId="3">
      <alignment vertical="center"/>
    </xf>
    <xf numFmtId="0" fontId="74" fillId="0" borderId="0" pivotButton="0" quotePrefix="0" xfId="0"/>
    <xf numFmtId="0" fontId="45" fillId="0" borderId="0" applyAlignment="1" pivotButton="0" quotePrefix="0" xfId="0">
      <alignment horizontal="center" vertical="center"/>
    </xf>
    <xf numFmtId="0" fontId="45" fillId="0" borderId="29" applyAlignment="1" pivotButton="0" quotePrefix="0" xfId="0">
      <alignment vertical="center"/>
    </xf>
    <xf numFmtId="0" fontId="46" fillId="3" borderId="29" applyAlignment="1" pivotButton="0" quotePrefix="0" xfId="0">
      <alignment vertical="center"/>
    </xf>
    <xf numFmtId="0" fontId="65" fillId="3" borderId="29" applyAlignment="1" pivotButton="0" quotePrefix="0" xfId="0">
      <alignment vertical="center"/>
    </xf>
    <xf numFmtId="0" fontId="31" fillId="11" borderId="12" applyAlignment="1" pivotButton="0" quotePrefix="0" xfId="3">
      <alignment vertical="center" wrapText="1"/>
    </xf>
    <xf numFmtId="0" fontId="31" fillId="11" borderId="16" applyAlignment="1" pivotButton="0" quotePrefix="0" xfId="3">
      <alignment vertical="center" wrapText="1"/>
    </xf>
    <xf numFmtId="0" fontId="48" fillId="34" borderId="29" applyAlignment="1" pivotButton="0" quotePrefix="0" xfId="0">
      <alignment horizontal="left"/>
    </xf>
    <xf numFmtId="0" fontId="48" fillId="34" borderId="29" applyAlignment="1" pivotButton="0" quotePrefix="0" xfId="0">
      <alignment horizontal="center"/>
    </xf>
    <xf numFmtId="0" fontId="54" fillId="20" borderId="29" applyAlignment="1" pivotButton="0" quotePrefix="0" xfId="0">
      <alignment horizontal="left" vertical="center"/>
    </xf>
    <xf numFmtId="0" fontId="54" fillId="20" borderId="29" applyAlignment="1" pivotButton="0" quotePrefix="0" xfId="0">
      <alignment horizontal="center" vertical="center"/>
    </xf>
    <xf numFmtId="0" fontId="70" fillId="36" borderId="29" applyAlignment="1" pivotButton="0" quotePrefix="0" xfId="0">
      <alignment horizontal="left" indent="2"/>
    </xf>
    <xf numFmtId="0" fontId="70" fillId="36" borderId="29" applyAlignment="1" pivotButton="0" quotePrefix="0" xfId="0">
      <alignment horizontal="center"/>
    </xf>
    <xf numFmtId="0" fontId="42" fillId="7" borderId="29" applyAlignment="1" pivotButton="0" quotePrefix="0" xfId="0">
      <alignment horizontal="left" indent="3"/>
    </xf>
    <xf numFmtId="0" fontId="42" fillId="6" borderId="29" applyAlignment="1" pivotButton="0" quotePrefix="0" xfId="0">
      <alignment horizontal="left" indent="3"/>
    </xf>
    <xf numFmtId="0" fontId="42" fillId="0" borderId="29" applyAlignment="1" pivotButton="0" quotePrefix="0" xfId="0">
      <alignment horizontal="left" indent="3"/>
    </xf>
    <xf numFmtId="0" fontId="66" fillId="20" borderId="29" applyAlignment="1" pivotButton="0" quotePrefix="0" xfId="0">
      <alignment horizontal="center"/>
    </xf>
    <xf numFmtId="0" fontId="43" fillId="20" borderId="29" applyAlignment="1" pivotButton="0" quotePrefix="0" xfId="0">
      <alignment horizontal="center" vertical="center"/>
    </xf>
    <xf numFmtId="0" fontId="80" fillId="20" borderId="29" applyAlignment="1" pivotButton="0" quotePrefix="0" xfId="0">
      <alignment horizontal="center"/>
    </xf>
    <xf numFmtId="0" fontId="44" fillId="20" borderId="29" applyAlignment="1" pivotButton="0" quotePrefix="0" xfId="0">
      <alignment horizontal="center" vertical="center"/>
    </xf>
    <xf numFmtId="0" fontId="61" fillId="26" borderId="29" applyAlignment="1" pivotButton="0" quotePrefix="0" xfId="0">
      <alignment vertical="center"/>
    </xf>
    <xf numFmtId="0" fontId="64" fillId="26" borderId="29" applyAlignment="1" pivotButton="0" quotePrefix="0" xfId="0">
      <alignment vertical="center"/>
    </xf>
    <xf numFmtId="0" fontId="5" fillId="0" borderId="0" pivotButton="0" quotePrefix="0" xfId="0"/>
    <xf numFmtId="0" fontId="28" fillId="39" borderId="29" applyAlignment="1" pivotButton="0" quotePrefix="0" xfId="0">
      <alignment horizontal="center" vertical="center"/>
    </xf>
    <xf numFmtId="0" fontId="37" fillId="0" borderId="74" applyAlignment="1" pivotButton="0" quotePrefix="0" xfId="1">
      <alignment horizontal="center" vertical="center" wrapText="1"/>
    </xf>
    <xf numFmtId="0" fontId="37" fillId="0" borderId="76" applyAlignment="1" pivotButton="0" quotePrefix="0" xfId="1">
      <alignment horizontal="center" vertical="center" wrapText="1"/>
    </xf>
    <xf numFmtId="0" fontId="57" fillId="3" borderId="81" applyAlignment="1" pivotButton="0" quotePrefix="0" xfId="1">
      <alignment horizontal="center" vertical="center"/>
    </xf>
    <xf numFmtId="0" fontId="37" fillId="0" borderId="83" applyAlignment="1" pivotButton="0" quotePrefix="0" xfId="1">
      <alignment horizontal="center" vertical="center"/>
    </xf>
    <xf numFmtId="0" fontId="37" fillId="0" borderId="65" applyAlignment="1" pivotButton="0" quotePrefix="0" xfId="1">
      <alignment horizontal="center" vertical="center"/>
    </xf>
    <xf numFmtId="0" fontId="37" fillId="0" borderId="85" applyAlignment="1" pivotButton="0" quotePrefix="0" xfId="1">
      <alignment horizontal="center" vertical="center"/>
    </xf>
    <xf numFmtId="0" fontId="59" fillId="0" borderId="97" applyAlignment="1" pivotButton="0" quotePrefix="0" xfId="1">
      <alignment horizontal="left" vertical="center"/>
    </xf>
    <xf numFmtId="0" fontId="13" fillId="34" borderId="109" applyAlignment="1" pivotButton="0" quotePrefix="0" xfId="0">
      <alignment horizontal="center"/>
    </xf>
    <xf numFmtId="0" fontId="14" fillId="2" borderId="110" applyAlignment="1" pivotButton="0" quotePrefix="0" xfId="0">
      <alignment horizontal="center"/>
    </xf>
    <xf numFmtId="0" fontId="15" fillId="36" borderId="110" applyAlignment="1" pivotButton="0" quotePrefix="0" xfId="0">
      <alignment horizontal="center"/>
    </xf>
    <xf numFmtId="0" fontId="16" fillId="7" borderId="110" applyAlignment="1" pivotButton="0" quotePrefix="0" xfId="0">
      <alignment horizontal="center"/>
    </xf>
    <xf numFmtId="0" fontId="16" fillId="6" borderId="110" applyAlignment="1" pivotButton="0" quotePrefix="0" xfId="0">
      <alignment horizontal="center"/>
    </xf>
    <xf numFmtId="0" fontId="16" fillId="0" borderId="110" applyAlignment="1" pivotButton="0" quotePrefix="0" xfId="0">
      <alignment horizontal="center"/>
    </xf>
    <xf numFmtId="0" fontId="12" fillId="2" borderId="110" applyAlignment="1" pivotButton="0" quotePrefix="0" xfId="0">
      <alignment horizontal="center"/>
    </xf>
    <xf numFmtId="0" fontId="86" fillId="5" borderId="64" applyAlignment="1" pivotButton="0" quotePrefix="0" xfId="0">
      <alignment horizontal="center" vertical="center"/>
    </xf>
    <xf numFmtId="0" fontId="30" fillId="20" borderId="64" applyAlignment="1" pivotButton="0" quotePrefix="0" xfId="0">
      <alignment vertical="center"/>
    </xf>
    <xf numFmtId="0" fontId="28" fillId="39" borderId="65" applyAlignment="1" pivotButton="0" quotePrefix="0" xfId="0">
      <alignment horizontal="center" vertical="center"/>
    </xf>
    <xf numFmtId="0" fontId="28" fillId="20" borderId="64" applyAlignment="1" pivotButton="0" quotePrefix="0" xfId="0">
      <alignment vertical="center"/>
    </xf>
    <xf numFmtId="0" fontId="5" fillId="0" borderId="92" pivotButton="0" quotePrefix="0" xfId="0"/>
    <xf numFmtId="0" fontId="5" fillId="0" borderId="91" pivotButton="0" quotePrefix="0" xfId="0"/>
    <xf numFmtId="0" fontId="31" fillId="11" borderId="101" applyAlignment="1" pivotButton="0" quotePrefix="0" xfId="3">
      <alignment vertical="center" wrapText="1"/>
    </xf>
    <xf numFmtId="0" fontId="0" fillId="0" borderId="92" pivotButton="0" quotePrefix="0" xfId="3"/>
    <xf numFmtId="0" fontId="0" fillId="0" borderId="91" pivotButton="0" quotePrefix="0" xfId="3"/>
    <xf numFmtId="0" fontId="0" fillId="0" borderId="124" applyAlignment="1" pivotButton="0" quotePrefix="0" xfId="3">
      <alignment vertical="center"/>
    </xf>
    <xf numFmtId="0" fontId="0" fillId="0" borderId="121" pivotButton="0" quotePrefix="0" xfId="3"/>
    <xf numFmtId="0" fontId="0" fillId="0" borderId="106" pivotButton="0" quotePrefix="0" xfId="3"/>
    <xf numFmtId="0" fontId="22" fillId="10" borderId="121" applyAlignment="1" pivotButton="0" quotePrefix="0" xfId="3">
      <alignment horizontal="center"/>
    </xf>
    <xf numFmtId="0" fontId="77" fillId="40" borderId="126" applyAlignment="1" pivotButton="0" quotePrefix="0" xfId="3">
      <alignment horizontal="center" vertical="center" wrapText="1"/>
    </xf>
    <xf numFmtId="0" fontId="77" fillId="40" borderId="20" applyAlignment="1" pivotButton="0" quotePrefix="0" xfId="3">
      <alignment horizontal="center" vertical="center" wrapText="1"/>
    </xf>
    <xf numFmtId="0" fontId="77" fillId="40" borderId="27" applyAlignment="1" pivotButton="0" quotePrefix="0" xfId="3">
      <alignment horizontal="center" vertical="center" wrapText="1"/>
    </xf>
    <xf numFmtId="0" fontId="20" fillId="4" borderId="101" applyAlignment="1" pivotButton="0" quotePrefix="0" xfId="3">
      <alignment horizontal="center" vertical="center"/>
    </xf>
    <xf numFmtId="0" fontId="47" fillId="0" borderId="30" applyAlignment="1" pivotButton="0" quotePrefix="0" xfId="0">
      <alignment horizontal="center"/>
    </xf>
    <xf numFmtId="0" fontId="61" fillId="0" borderId="64" applyAlignment="1" pivotButton="0" quotePrefix="0" xfId="0">
      <alignment horizontal="center" vertical="center"/>
    </xf>
    <xf numFmtId="0" fontId="46" fillId="3" borderId="64" applyAlignment="1" pivotButton="0" quotePrefix="0" xfId="0">
      <alignment horizontal="center" vertical="center"/>
    </xf>
    <xf numFmtId="0" fontId="45" fillId="26" borderId="64" applyAlignment="1" pivotButton="0" quotePrefix="0" xfId="0">
      <alignment horizontal="center" vertical="center"/>
    </xf>
    <xf numFmtId="0" fontId="54" fillId="35" borderId="64" applyAlignment="1" pivotButton="0" quotePrefix="0" xfId="0">
      <alignment horizontal="center" vertical="center"/>
    </xf>
    <xf numFmtId="0" fontId="45" fillId="0" borderId="64" applyAlignment="1" pivotButton="0" quotePrefix="0" xfId="0">
      <alignment horizontal="center" vertical="center"/>
    </xf>
    <xf numFmtId="0" fontId="45" fillId="0" borderId="65" applyAlignment="1" pivotButton="0" quotePrefix="0" xfId="0">
      <alignment vertical="center"/>
    </xf>
    <xf numFmtId="0" fontId="49" fillId="20" borderId="64" applyAlignment="1" pivotButton="0" quotePrefix="0" xfId="0">
      <alignment horizontal="center" vertical="center"/>
    </xf>
    <xf numFmtId="0" fontId="45" fillId="0" borderId="92" applyAlignment="1" pivotButton="0" quotePrefix="0" xfId="0">
      <alignment horizontal="center" vertical="center"/>
    </xf>
    <xf numFmtId="0" fontId="45" fillId="0" borderId="103" applyAlignment="1" pivotButton="0" quotePrefix="0" xfId="0">
      <alignment horizontal="center" vertical="center"/>
    </xf>
    <xf numFmtId="0" fontId="88" fillId="0" borderId="0" pivotButton="0" quotePrefix="0" xfId="0"/>
    <xf numFmtId="0" fontId="90" fillId="0" borderId="0" pivotButton="0" quotePrefix="0" xfId="0"/>
    <xf numFmtId="0" fontId="88" fillId="0" borderId="60" pivotButton="0" quotePrefix="0" xfId="0"/>
    <xf numFmtId="0" fontId="90" fillId="0" borderId="60" pivotButton="0" quotePrefix="0" xfId="0"/>
    <xf numFmtId="0" fontId="77" fillId="10" borderId="0" applyAlignment="1" pivotButton="0" quotePrefix="0" xfId="3">
      <alignment vertical="center"/>
    </xf>
    <xf numFmtId="0" fontId="77" fillId="10" borderId="60" applyAlignment="1" pivotButton="0" quotePrefix="0" xfId="3">
      <alignment vertical="center"/>
    </xf>
    <xf numFmtId="0" fontId="77" fillId="10" borderId="12" applyAlignment="1" pivotButton="0" quotePrefix="0" xfId="3">
      <alignment horizontal="left" vertical="center"/>
    </xf>
    <xf numFmtId="0" fontId="77" fillId="10" borderId="0" applyAlignment="1" pivotButton="0" quotePrefix="0" xfId="3">
      <alignment horizontal="left" vertical="center"/>
    </xf>
    <xf numFmtId="0" fontId="52" fillId="0" borderId="29" pivotButton="0" quotePrefix="0" xfId="2"/>
    <xf numFmtId="0" fontId="88" fillId="0" borderId="0" applyAlignment="1" pivotButton="0" quotePrefix="0" xfId="0">
      <alignment vertical="center"/>
    </xf>
    <xf numFmtId="0" fontId="61" fillId="6" borderId="0" applyAlignment="1" pivotButton="0" quotePrefix="0" xfId="0">
      <alignment vertical="center"/>
    </xf>
    <xf numFmtId="4" fontId="75" fillId="6" borderId="0" applyAlignment="1" pivotButton="0" quotePrefix="0" xfId="0">
      <alignment vertical="center"/>
    </xf>
    <xf numFmtId="0" fontId="61" fillId="0" borderId="0" applyAlignment="1" pivotButton="0" quotePrefix="0" xfId="0">
      <alignment vertical="center"/>
    </xf>
    <xf numFmtId="4" fontId="75" fillId="0" borderId="0" applyAlignment="1" pivotButton="0" quotePrefix="0" xfId="0">
      <alignment vertical="center"/>
    </xf>
    <xf numFmtId="0" fontId="63" fillId="6" borderId="0" applyAlignment="1" pivotButton="0" quotePrefix="0" xfId="0">
      <alignment vertical="center"/>
    </xf>
    <xf numFmtId="4" fontId="48" fillId="3" borderId="0" applyAlignment="1" pivotButton="0" quotePrefix="0" xfId="0">
      <alignment vertical="center"/>
    </xf>
    <xf numFmtId="0" fontId="63" fillId="0" borderId="0" applyAlignment="1" pivotButton="0" quotePrefix="0" xfId="0">
      <alignment vertical="center"/>
    </xf>
    <xf numFmtId="0" fontId="73" fillId="23" borderId="29" applyAlignment="1" pivotButton="0" quotePrefix="0" xfId="1">
      <alignment vertical="center"/>
    </xf>
    <xf numFmtId="0" fontId="52" fillId="23" borderId="29" applyAlignment="1" pivotButton="0" quotePrefix="0" xfId="1">
      <alignment vertical="center" wrapText="1"/>
    </xf>
    <xf numFmtId="0" fontId="52" fillId="23" borderId="65" applyAlignment="1" pivotButton="0" quotePrefix="0" xfId="1">
      <alignment horizontal="center" vertical="center" wrapText="1"/>
    </xf>
    <xf numFmtId="0" fontId="30" fillId="18" borderId="29" applyAlignment="1" pivotButton="0" quotePrefix="0" xfId="1">
      <alignment horizontal="center" vertical="center" wrapText="1"/>
    </xf>
    <xf numFmtId="0" fontId="30" fillId="33" borderId="29" applyAlignment="1" pivotButton="0" quotePrefix="0" xfId="1">
      <alignment horizontal="center" vertical="center" wrapText="1"/>
    </xf>
    <xf numFmtId="0" fontId="30" fillId="33" borderId="29" applyAlignment="1" pivotButton="0" quotePrefix="0" xfId="1">
      <alignment vertical="center" wrapText="1"/>
    </xf>
    <xf numFmtId="0" fontId="37" fillId="0" borderId="77" applyAlignment="1" pivotButton="0" quotePrefix="0" xfId="1">
      <alignment horizontal="center" vertical="center" wrapText="1"/>
    </xf>
    <xf numFmtId="0" fontId="97" fillId="0" borderId="29" applyAlignment="1" pivotButton="0" quotePrefix="0" xfId="0">
      <alignment horizontal="center" vertical="center"/>
    </xf>
    <xf numFmtId="0" fontId="97" fillId="17" borderId="29" applyAlignment="1" pivotButton="0" quotePrefix="0" xfId="0">
      <alignment horizontal="center" vertical="center"/>
    </xf>
    <xf numFmtId="0" fontId="6" fillId="0" borderId="0" pivotButton="0" quotePrefix="0" xfId="0"/>
    <xf numFmtId="0" fontId="99" fillId="0" borderId="0" pivotButton="0" quotePrefix="0" xfId="0"/>
    <xf numFmtId="0" fontId="96" fillId="0" borderId="0" pivotButton="0" quotePrefix="0" xfId="0"/>
    <xf numFmtId="0" fontId="73" fillId="27" borderId="62" applyAlignment="1" pivotButton="0" quotePrefix="0" xfId="0">
      <alignment vertical="center"/>
    </xf>
    <xf numFmtId="0" fontId="77" fillId="10" borderId="58" applyAlignment="1" pivotButton="0" quotePrefix="0" xfId="3">
      <alignment vertical="center"/>
    </xf>
    <xf numFmtId="0" fontId="77" fillId="10" borderId="23" applyAlignment="1" pivotButton="0" quotePrefix="0" xfId="3">
      <alignment vertical="center"/>
    </xf>
    <xf numFmtId="0" fontId="73" fillId="27" borderId="61" applyAlignment="1" pivotButton="0" quotePrefix="0" xfId="1">
      <alignment vertical="center" wrapText="1"/>
    </xf>
    <xf numFmtId="0" fontId="73" fillId="27" borderId="64" applyAlignment="1" pivotButton="0" quotePrefix="0" xfId="1">
      <alignment vertical="center"/>
    </xf>
    <xf numFmtId="0" fontId="42" fillId="7" borderId="29" applyAlignment="1" pivotButton="0" quotePrefix="0" xfId="0">
      <alignment horizontal="center"/>
    </xf>
    <xf numFmtId="0" fontId="42" fillId="6" borderId="29" applyAlignment="1" pivotButton="0" quotePrefix="0" xfId="0">
      <alignment horizontal="center"/>
    </xf>
    <xf numFmtId="0" fontId="42" fillId="0" borderId="29" applyAlignment="1" pivotButton="0" quotePrefix="0" xfId="0">
      <alignment horizontal="center"/>
    </xf>
    <xf numFmtId="0" fontId="81" fillId="20" borderId="29" applyAlignment="1" pivotButton="0" quotePrefix="0" xfId="0">
      <alignment horizontal="center"/>
    </xf>
    <xf numFmtId="0" fontId="105" fillId="44" borderId="103" applyAlignment="1" pivotButton="0" quotePrefix="0" xfId="3">
      <alignment vertical="center" wrapText="1"/>
    </xf>
    <xf numFmtId="0" fontId="105" fillId="44" borderId="60" applyAlignment="1" pivotButton="0" quotePrefix="0" xfId="3">
      <alignment vertical="center" wrapText="1"/>
    </xf>
    <xf numFmtId="0" fontId="11" fillId="45" borderId="92" applyAlignment="1" pivotButton="0" quotePrefix="0" xfId="3">
      <alignment horizontal="center" wrapText="1"/>
    </xf>
    <xf numFmtId="0" fontId="11" fillId="45" borderId="0" applyAlignment="1" pivotButton="0" quotePrefix="0" xfId="3">
      <alignment horizontal="center" wrapText="1"/>
    </xf>
    <xf numFmtId="0" fontId="11" fillId="45" borderId="91" applyAlignment="1" pivotButton="0" quotePrefix="0" xfId="3">
      <alignment horizontal="center" wrapText="1"/>
    </xf>
    <xf numFmtId="0" fontId="8" fillId="28" borderId="0" applyAlignment="1" pivotButton="0" quotePrefix="0" xfId="1">
      <alignment vertical="center"/>
    </xf>
    <xf numFmtId="0" fontId="8" fillId="43" borderId="60" applyAlignment="1" pivotButton="0" quotePrefix="0" xfId="1">
      <alignment vertical="center"/>
    </xf>
    <xf numFmtId="0" fontId="8" fillId="43" borderId="119" applyAlignment="1" pivotButton="0" quotePrefix="0" xfId="1">
      <alignment vertical="center"/>
    </xf>
    <xf numFmtId="0" fontId="53" fillId="23" borderId="32" applyAlignment="1" pivotButton="0" quotePrefix="0" xfId="0">
      <alignment horizontal="center" vertical="center" wrapText="1"/>
    </xf>
    <xf numFmtId="0" fontId="0" fillId="43" borderId="60" pivotButton="0" quotePrefix="0" xfId="0"/>
    <xf numFmtId="0" fontId="0" fillId="43" borderId="119" pivotButton="0" quotePrefix="0" xfId="0"/>
    <xf numFmtId="0" fontId="53" fillId="48" borderId="99" applyAlignment="1" pivotButton="0" quotePrefix="0" xfId="0">
      <alignment vertical="center" wrapText="1"/>
    </xf>
    <xf numFmtId="0" fontId="53" fillId="48" borderId="0" applyAlignment="1" pivotButton="0" quotePrefix="0" xfId="0">
      <alignment vertical="center" wrapText="1"/>
    </xf>
    <xf numFmtId="0" fontId="104" fillId="28" borderId="33" applyAlignment="1" pivotButton="0" quotePrefix="0" xfId="1">
      <alignment vertical="top"/>
    </xf>
    <xf numFmtId="0" fontId="104" fillId="28" borderId="32" applyAlignment="1" pivotButton="0" quotePrefix="0" xfId="1">
      <alignment vertical="top"/>
    </xf>
    <xf numFmtId="0" fontId="0" fillId="43" borderId="0" pivotButton="0" quotePrefix="0" xfId="2"/>
    <xf numFmtId="0" fontId="22" fillId="46" borderId="12" applyAlignment="1" pivotButton="0" quotePrefix="0" xfId="3">
      <alignment horizontal="center" vertical="center"/>
    </xf>
    <xf numFmtId="0" fontId="20" fillId="47" borderId="0" applyAlignment="1" pivotButton="0" quotePrefix="0" xfId="3">
      <alignment vertical="center"/>
    </xf>
    <xf numFmtId="0" fontId="20" fillId="47" borderId="91" applyAlignment="1" pivotButton="0" quotePrefix="0" xfId="3">
      <alignment vertical="center"/>
    </xf>
    <xf numFmtId="0" fontId="22" fillId="10" borderId="139" applyAlignment="1" pivotButton="0" quotePrefix="0" xfId="3">
      <alignment horizontal="center" vertical="center"/>
    </xf>
    <xf numFmtId="0" fontId="15" fillId="36" borderId="109" applyAlignment="1" pivotButton="0" quotePrefix="0" xfId="0">
      <alignment horizontal="center"/>
    </xf>
    <xf numFmtId="0" fontId="70" fillId="36" borderId="32" applyAlignment="1" pivotButton="0" quotePrefix="0" xfId="0">
      <alignment horizontal="left" indent="2"/>
    </xf>
    <xf numFmtId="0" fontId="70" fillId="36" borderId="32" applyAlignment="1" pivotButton="0" quotePrefix="0" xfId="0">
      <alignment horizontal="center"/>
    </xf>
    <xf numFmtId="0" fontId="14" fillId="2" borderId="111" applyAlignment="1" pivotButton="0" quotePrefix="0" xfId="0">
      <alignment horizontal="center"/>
    </xf>
    <xf numFmtId="0" fontId="54" fillId="20" borderId="112" applyAlignment="1" pivotButton="0" quotePrefix="0" xfId="0">
      <alignment horizontal="left" vertical="center"/>
    </xf>
    <xf numFmtId="0" fontId="54" fillId="20" borderId="112" applyAlignment="1" pivotButton="0" quotePrefix="0" xfId="0">
      <alignment horizontal="center" vertical="center"/>
    </xf>
    <xf numFmtId="0" fontId="83" fillId="4" borderId="0" applyAlignment="1" pivotButton="0" quotePrefix="0" xfId="3">
      <alignment vertical="center"/>
    </xf>
    <xf numFmtId="0" fontId="16" fillId="7" borderId="146" applyAlignment="1" pivotButton="0" quotePrefix="0" xfId="0">
      <alignment horizontal="center"/>
    </xf>
    <xf numFmtId="0" fontId="42" fillId="7" borderId="33" applyAlignment="1" pivotButton="0" quotePrefix="0" xfId="0">
      <alignment horizontal="left" indent="3"/>
    </xf>
    <xf numFmtId="0" fontId="42" fillId="7" borderId="33" applyAlignment="1" pivotButton="0" quotePrefix="0" xfId="0">
      <alignment horizontal="center"/>
    </xf>
    <xf numFmtId="0" fontId="16" fillId="7" borderId="147" applyAlignment="1" pivotButton="0" quotePrefix="0" xfId="0">
      <alignment horizontal="center"/>
    </xf>
    <xf numFmtId="0" fontId="42" fillId="7" borderId="148" applyAlignment="1" pivotButton="0" quotePrefix="0" xfId="0">
      <alignment horizontal="left" indent="3"/>
    </xf>
    <xf numFmtId="0" fontId="42" fillId="7" borderId="148" applyAlignment="1" pivotButton="0" quotePrefix="0" xfId="0">
      <alignment horizontal="center"/>
    </xf>
    <xf numFmtId="0" fontId="16" fillId="6" borderId="150" applyAlignment="1" pivotButton="0" quotePrefix="0" xfId="0">
      <alignment horizontal="center"/>
    </xf>
    <xf numFmtId="0" fontId="16" fillId="7" borderId="150" applyAlignment="1" pivotButton="0" quotePrefix="0" xfId="0">
      <alignment horizontal="center"/>
    </xf>
    <xf numFmtId="0" fontId="14" fillId="2" borderId="150" applyAlignment="1" pivotButton="0" quotePrefix="0" xfId="0">
      <alignment horizontal="center"/>
    </xf>
    <xf numFmtId="0" fontId="16" fillId="0" borderId="150" applyAlignment="1" pivotButton="0" quotePrefix="0" xfId="0">
      <alignment horizontal="center"/>
    </xf>
    <xf numFmtId="0" fontId="16" fillId="7" borderId="151" applyAlignment="1" pivotButton="0" quotePrefix="0" xfId="0">
      <alignment horizontal="center"/>
    </xf>
    <xf numFmtId="0" fontId="42" fillId="7" borderId="152" applyAlignment="1" pivotButton="0" quotePrefix="0" xfId="0">
      <alignment horizontal="left" indent="3"/>
    </xf>
    <xf numFmtId="0" fontId="42" fillId="7" borderId="152" applyAlignment="1" pivotButton="0" quotePrefix="0" xfId="0">
      <alignment horizontal="center"/>
    </xf>
    <xf numFmtId="0" fontId="22" fillId="10" borderId="140" applyAlignment="1" pivotButton="0" quotePrefix="0" xfId="3">
      <alignment horizontal="right" vertical="center"/>
    </xf>
    <xf numFmtId="0" fontId="22" fillId="10" borderId="12" applyAlignment="1" pivotButton="0" quotePrefix="0" xfId="3">
      <alignment horizontal="right" vertical="center"/>
    </xf>
    <xf numFmtId="0" fontId="22" fillId="10" borderId="60" applyAlignment="1" pivotButton="0" quotePrefix="0" xfId="3">
      <alignment horizontal="right" vertical="center"/>
    </xf>
    <xf numFmtId="0" fontId="111" fillId="28" borderId="0" pivotButton="0" quotePrefix="0" xfId="2"/>
    <xf numFmtId="0" fontId="112" fillId="28" borderId="0" pivotButton="0" quotePrefix="0" xfId="2"/>
    <xf numFmtId="0" fontId="113" fillId="42" borderId="101" applyAlignment="1" pivotButton="0" quotePrefix="0" xfId="3">
      <alignment horizontal="center" vertical="center"/>
    </xf>
    <xf numFmtId="0" fontId="77" fillId="10" borderId="139" applyAlignment="1" pivotButton="0" quotePrefix="0" xfId="3">
      <alignment horizontal="left" vertical="center"/>
    </xf>
    <xf numFmtId="0" fontId="77" fillId="10" borderId="154" applyAlignment="1" pivotButton="0" quotePrefix="0" xfId="3">
      <alignment horizontal="left" vertical="center"/>
    </xf>
    <xf numFmtId="0" fontId="92" fillId="20" borderId="157" applyAlignment="1" pivotButton="0" quotePrefix="0" xfId="0">
      <alignment horizontal="center" vertical="center" wrapText="1"/>
    </xf>
    <xf numFmtId="0" fontId="92" fillId="20" borderId="158" applyAlignment="1" pivotButton="0" quotePrefix="0" xfId="0">
      <alignment horizontal="center" vertical="center" wrapText="1"/>
    </xf>
    <xf numFmtId="0" fontId="61" fillId="0" borderId="157" pivotButton="0" quotePrefix="0" xfId="0"/>
    <xf numFmtId="0" fontId="61" fillId="0" borderId="158" pivotButton="0" quotePrefix="0" xfId="0"/>
    <xf numFmtId="0" fontId="46" fillId="3" borderId="157" pivotButton="0" quotePrefix="0" xfId="0"/>
    <xf numFmtId="0" fontId="48" fillId="3" borderId="158" pivotButton="0" quotePrefix="0" xfId="0"/>
    <xf numFmtId="0" fontId="45" fillId="0" borderId="155" pivotButton="0" quotePrefix="0" xfId="0"/>
    <xf numFmtId="0" fontId="45" fillId="0" borderId="157" pivotButton="0" quotePrefix="0" xfId="0"/>
    <xf numFmtId="0" fontId="45" fillId="0" borderId="158" pivotButton="0" quotePrefix="0" xfId="0"/>
    <xf numFmtId="0" fontId="45" fillId="20" borderId="159" applyAlignment="1" pivotButton="0" quotePrefix="0" xfId="0">
      <alignment vertical="center"/>
    </xf>
    <xf numFmtId="0" fontId="54" fillId="20" borderId="160" applyAlignment="1" pivotButton="0" quotePrefix="0" xfId="0">
      <alignment vertical="center"/>
    </xf>
    <xf numFmtId="0" fontId="64" fillId="20" borderId="160" applyAlignment="1" pivotButton="0" quotePrefix="0" xfId="0">
      <alignment vertical="center"/>
    </xf>
    <xf numFmtId="0" fontId="0" fillId="43" borderId="0" applyAlignment="1" pivotButton="0" quotePrefix="0" xfId="0">
      <alignment vertical="center"/>
    </xf>
    <xf numFmtId="0" fontId="77" fillId="10" borderId="124" applyAlignment="1" pivotButton="0" quotePrefix="0" xfId="3">
      <alignment horizontal="left" vertical="center"/>
    </xf>
    <xf numFmtId="0" fontId="77" fillId="10" borderId="103" applyAlignment="1" pivotButton="0" quotePrefix="0" xfId="3">
      <alignment horizontal="left" vertical="center"/>
    </xf>
    <xf numFmtId="0" fontId="66" fillId="20" borderId="116" applyAlignment="1" pivotButton="0" quotePrefix="0" xfId="0">
      <alignment horizontal="center" vertical="center"/>
    </xf>
    <xf numFmtId="0" fontId="45" fillId="4" borderId="104" applyAlignment="1" pivotButton="0" quotePrefix="0" xfId="3">
      <alignment horizontal="center" vertical="center"/>
    </xf>
    <xf numFmtId="0" fontId="66" fillId="28" borderId="99" applyAlignment="1" pivotButton="0" quotePrefix="0" xfId="2">
      <alignment vertical="center"/>
    </xf>
    <xf numFmtId="0" fontId="66" fillId="28" borderId="100" applyAlignment="1" pivotButton="0" quotePrefix="0" xfId="2">
      <alignment vertical="center"/>
    </xf>
    <xf numFmtId="0" fontId="66" fillId="28" borderId="0" applyAlignment="1" pivotButton="0" quotePrefix="0" xfId="2">
      <alignment vertical="center"/>
    </xf>
    <xf numFmtId="0" fontId="66" fillId="28" borderId="91" applyAlignment="1" pivotButton="0" quotePrefix="0" xfId="2">
      <alignment vertical="center"/>
    </xf>
    <xf numFmtId="0" fontId="86" fillId="5" borderId="116" applyAlignment="1" pivotButton="0" quotePrefix="0" xfId="0">
      <alignment horizontal="center" vertical="center"/>
    </xf>
    <xf numFmtId="0" fontId="112" fillId="28" borderId="0" applyAlignment="1" pivotButton="0" quotePrefix="0" xfId="2">
      <alignment horizontal="left" vertical="center"/>
    </xf>
    <xf numFmtId="0" fontId="4" fillId="4" borderId="18" applyAlignment="1" pivotButton="0" quotePrefix="0" xfId="3">
      <alignment horizontal="center" vertical="center"/>
    </xf>
    <xf numFmtId="0" fontId="4" fillId="53" borderId="0" pivotButton="0" quotePrefix="0" xfId="4"/>
    <xf numFmtId="0" fontId="4" fillId="43" borderId="0" pivotButton="0" quotePrefix="0" xfId="4"/>
    <xf numFmtId="0" fontId="119" fillId="0" borderId="0" pivotButton="0" quotePrefix="0" xfId="4"/>
    <xf numFmtId="0" fontId="120" fillId="0" borderId="0" applyAlignment="1" pivotButton="0" quotePrefix="0" xfId="4">
      <alignment vertical="center"/>
    </xf>
    <xf numFmtId="0" fontId="107" fillId="0" borderId="0" pivotButton="0" quotePrefix="0" xfId="4"/>
    <xf numFmtId="0" fontId="106" fillId="0" borderId="0" applyAlignment="1" pivotButton="0" quotePrefix="0" xfId="4">
      <alignment vertical="center"/>
    </xf>
    <xf numFmtId="0" fontId="53" fillId="58" borderId="128" applyAlignment="1" pivotButton="0" quotePrefix="0" xfId="0">
      <alignment horizontal="center" vertical="center" wrapText="1"/>
    </xf>
    <xf numFmtId="0" fontId="53" fillId="58" borderId="112" applyAlignment="1" pivotButton="0" quotePrefix="0" xfId="0">
      <alignment horizontal="center" vertical="center" wrapText="1"/>
    </xf>
    <xf numFmtId="0" fontId="53" fillId="58" borderId="113" applyAlignment="1" pivotButton="0" quotePrefix="0" xfId="0">
      <alignment horizontal="center" vertical="center" wrapText="1"/>
    </xf>
    <xf numFmtId="0" fontId="84" fillId="59" borderId="107" applyAlignment="1" pivotButton="0" quotePrefix="0" xfId="0">
      <alignment horizontal="center" vertical="center" wrapText="1"/>
    </xf>
    <xf numFmtId="0" fontId="82" fillId="59" borderId="32" applyAlignment="1" pivotButton="0" quotePrefix="0" xfId="0">
      <alignment horizontal="center" vertical="center" wrapText="1"/>
    </xf>
    <xf numFmtId="0" fontId="97" fillId="16" borderId="29" applyAlignment="1" pivotButton="0" quotePrefix="0" xfId="0">
      <alignment vertical="center"/>
    </xf>
    <xf numFmtId="0" fontId="52" fillId="27" borderId="1" applyAlignment="1" pivotButton="0" quotePrefix="0" xfId="1">
      <alignment horizontal="center" vertical="center"/>
    </xf>
    <xf numFmtId="0" fontId="77" fillId="10" borderId="14" applyAlignment="1" pivotButton="0" quotePrefix="0" xfId="3">
      <alignment vertical="center"/>
    </xf>
    <xf numFmtId="0" fontId="45" fillId="4" borderId="58" applyAlignment="1" pivotButton="0" quotePrefix="0" xfId="3">
      <alignment horizontal="center" vertical="center"/>
    </xf>
    <xf numFmtId="0" fontId="57" fillId="34" borderId="56" applyAlignment="1" pivotButton="0" quotePrefix="0" xfId="1">
      <alignment horizontal="center" vertical="center" wrapText="1"/>
    </xf>
    <xf numFmtId="0" fontId="52" fillId="23" borderId="29" applyAlignment="1" pivotButton="0" quotePrefix="0" xfId="2">
      <alignment horizontal="center" vertical="center" wrapText="1"/>
    </xf>
    <xf numFmtId="0" fontId="54" fillId="60" borderId="0" applyAlignment="1" pivotButton="0" quotePrefix="0" xfId="0">
      <alignment horizontal="center" vertical="center"/>
    </xf>
    <xf numFmtId="0" fontId="0" fillId="28" borderId="0" pivotButton="0" quotePrefix="0" xfId="0"/>
    <xf numFmtId="0" fontId="125" fillId="60" borderId="0" applyAlignment="1" pivotButton="0" quotePrefix="0" xfId="0">
      <alignment horizontal="left" vertical="center"/>
    </xf>
    <xf numFmtId="0" fontId="125" fillId="0" borderId="91" applyAlignment="1" pivotButton="0" quotePrefix="0" xfId="0">
      <alignment horizontal="center"/>
    </xf>
    <xf numFmtId="0" fontId="125" fillId="0" borderId="0" applyAlignment="1" pivotButton="0" quotePrefix="0" xfId="0">
      <alignment horizontal="center"/>
    </xf>
    <xf numFmtId="0" fontId="125" fillId="0" borderId="0" pivotButton="0" quotePrefix="0" xfId="0"/>
    <xf numFmtId="0" fontId="122" fillId="0" borderId="92" applyAlignment="1" pivotButton="0" quotePrefix="0" xfId="1">
      <alignment horizontal="left" vertical="center"/>
    </xf>
    <xf numFmtId="0" fontId="125" fillId="0" borderId="0" applyAlignment="1" pivotButton="0" quotePrefix="0" xfId="1">
      <alignment horizontal="left" vertical="center"/>
    </xf>
    <xf numFmtId="0" fontId="125" fillId="0" borderId="92" applyAlignment="1" pivotButton="0" quotePrefix="0" xfId="1">
      <alignment horizontal="left" vertical="center"/>
    </xf>
    <xf numFmtId="0" fontId="125" fillId="4" borderId="100" applyAlignment="1" pivotButton="0" quotePrefix="0" xfId="3">
      <alignment horizontal="center" vertical="center"/>
    </xf>
    <xf numFmtId="0" fontId="121" fillId="54" borderId="172" applyAlignment="1" pivotButton="0" quotePrefix="0" xfId="4">
      <alignment vertical="center" wrapText="1"/>
    </xf>
    <xf numFmtId="0" fontId="121" fillId="54" borderId="178" applyAlignment="1" pivotButton="0" quotePrefix="0" xfId="4">
      <alignment vertical="center" wrapText="1"/>
    </xf>
    <xf numFmtId="0" fontId="126" fillId="55" borderId="181" applyAlignment="1" pivotButton="0" quotePrefix="0" xfId="4">
      <alignment vertical="center" wrapText="1"/>
    </xf>
    <xf numFmtId="0" fontId="126" fillId="55" borderId="182" applyAlignment="1" pivotButton="0" quotePrefix="0" xfId="4">
      <alignment vertical="center" wrapText="1"/>
    </xf>
    <xf numFmtId="0" fontId="126" fillId="55" borderId="184" applyAlignment="1" pivotButton="0" quotePrefix="0" xfId="4">
      <alignment vertical="center" wrapText="1"/>
    </xf>
    <xf numFmtId="0" fontId="126" fillId="55" borderId="185" applyAlignment="1" pivotButton="0" quotePrefix="0" xfId="4">
      <alignment vertical="center" wrapText="1"/>
    </xf>
    <xf numFmtId="0" fontId="29" fillId="0" borderId="183" applyAlignment="1" pivotButton="0" quotePrefix="0" xfId="4">
      <alignment vertical="center"/>
    </xf>
    <xf numFmtId="0" fontId="3" fillId="0" borderId="0" pivotButton="0" quotePrefix="0" xfId="4"/>
    <xf numFmtId="2" fontId="126" fillId="55" borderId="192" applyAlignment="1" pivotButton="0" quotePrefix="0" xfId="4">
      <alignment vertical="center" wrapText="1"/>
    </xf>
    <xf numFmtId="2" fontId="129" fillId="56" borderId="192" applyAlignment="1" pivotButton="0" quotePrefix="0" xfId="4">
      <alignment vertical="center" wrapText="1"/>
    </xf>
    <xf numFmtId="2" fontId="126" fillId="55" borderId="183" applyAlignment="1" pivotButton="0" quotePrefix="0" xfId="4">
      <alignment vertical="center" wrapText="1"/>
    </xf>
    <xf numFmtId="2" fontId="129" fillId="56" borderId="183" applyAlignment="1" pivotButton="0" quotePrefix="0" xfId="4">
      <alignment vertical="center" wrapText="1"/>
    </xf>
    <xf numFmtId="0" fontId="122" fillId="0" borderId="0" applyAlignment="1" pivotButton="0" quotePrefix="0" xfId="4">
      <alignment horizontal="left" vertical="center"/>
    </xf>
    <xf numFmtId="0" fontId="125" fillId="4" borderId="12" applyAlignment="1" pivotButton="0" quotePrefix="0" xfId="3">
      <alignment horizontal="center" vertical="center"/>
    </xf>
    <xf numFmtId="0" fontId="125" fillId="0" borderId="0" applyAlignment="1" pivotButton="0" quotePrefix="0" xfId="2">
      <alignment horizontal="center"/>
    </xf>
    <xf numFmtId="0" fontId="133" fillId="0" borderId="0" pivotButton="0" quotePrefix="0" xfId="0"/>
    <xf numFmtId="0" fontId="59" fillId="22" borderId="33" applyAlignment="1" pivotButton="0" quotePrefix="0" xfId="2">
      <alignment horizontal="center" vertical="center" wrapText="1"/>
    </xf>
    <xf numFmtId="0" fontId="35" fillId="0" borderId="162" pivotButton="0" quotePrefix="0" xfId="0"/>
    <xf numFmtId="0" fontId="2" fillId="0" borderId="163" pivotButton="0" quotePrefix="0" xfId="0"/>
    <xf numFmtId="0" fontId="2" fillId="0" borderId="164" pivotButton="0" quotePrefix="0" xfId="0"/>
    <xf numFmtId="0" fontId="52" fillId="69" borderId="0" applyAlignment="1" pivotButton="0" quotePrefix="0" xfId="0">
      <alignment horizontal="center" vertical="center"/>
    </xf>
    <xf numFmtId="0" fontId="35" fillId="70" borderId="163" pivotButton="0" quotePrefix="0" xfId="0"/>
    <xf numFmtId="0" fontId="35" fillId="16" borderId="163" pivotButton="0" quotePrefix="0" xfId="0"/>
    <xf numFmtId="0" fontId="35" fillId="17" borderId="163" pivotButton="0" quotePrefix="0" xfId="0"/>
    <xf numFmtId="0" fontId="37" fillId="17" borderId="32" applyAlignment="1" pivotButton="0" quotePrefix="0" xfId="1">
      <alignment horizontal="center" vertical="center" wrapText="1"/>
    </xf>
    <xf numFmtId="0" fontId="30" fillId="18" borderId="32" applyAlignment="1" pivotButton="0" quotePrefix="0" xfId="1">
      <alignment horizontal="center" vertical="center" wrapText="1"/>
    </xf>
    <xf numFmtId="0" fontId="37" fillId="0" borderId="116" applyAlignment="1" pivotButton="0" quotePrefix="0" xfId="1">
      <alignment horizontal="center" vertical="center" wrapText="1"/>
    </xf>
    <xf numFmtId="0" fontId="37" fillId="0" borderId="32" applyAlignment="1" pivotButton="0" quotePrefix="0" xfId="1">
      <alignment horizontal="center" vertical="center" wrapText="1"/>
    </xf>
    <xf numFmtId="0" fontId="37" fillId="0" borderId="108" applyAlignment="1" pivotButton="0" quotePrefix="0" xfId="1">
      <alignment horizontal="center" vertical="center" wrapText="1"/>
    </xf>
    <xf numFmtId="0" fontId="35" fillId="0" borderId="32" applyAlignment="1" pivotButton="0" quotePrefix="0" xfId="2">
      <alignment horizontal="center" vertical="center"/>
    </xf>
    <xf numFmtId="0" fontId="77" fillId="10" borderId="137" applyAlignment="1" pivotButton="0" quotePrefix="0" xfId="3">
      <alignment horizontal="left" vertical="center"/>
    </xf>
    <xf numFmtId="0" fontId="77" fillId="10" borderId="138" applyAlignment="1" pivotButton="0" quotePrefix="0" xfId="3">
      <alignment horizontal="left" vertical="center"/>
    </xf>
    <xf numFmtId="0" fontId="77" fillId="10" borderId="136" applyAlignment="1" pivotButton="0" quotePrefix="0" xfId="3">
      <alignment horizontal="left" vertical="center"/>
    </xf>
    <xf numFmtId="0" fontId="2" fillId="0" borderId="258" pivotButton="0" quotePrefix="0" xfId="0"/>
    <xf numFmtId="0" fontId="139" fillId="0" borderId="0" pivotButton="0" quotePrefix="0" xfId="0"/>
    <xf numFmtId="0" fontId="140" fillId="0" borderId="0" pivotButton="0" quotePrefix="0" xfId="0"/>
    <xf numFmtId="0" fontId="141" fillId="0" borderId="249" pivotButton="0" quotePrefix="0" xfId="0"/>
    <xf numFmtId="0" fontId="141" fillId="0" borderId="249" applyAlignment="1" pivotButton="0" quotePrefix="0" xfId="0">
      <alignment horizontal="center"/>
    </xf>
    <xf numFmtId="0" fontId="139" fillId="0" borderId="0" applyAlignment="1" pivotButton="0" quotePrefix="0" xfId="0">
      <alignment vertical="center"/>
    </xf>
    <xf numFmtId="0" fontId="34" fillId="0" borderId="162" pivotButton="0" quotePrefix="0" xfId="0"/>
    <xf numFmtId="0" fontId="147" fillId="0" borderId="0" applyAlignment="1" pivotButton="0" quotePrefix="0" xfId="0">
      <alignment vertical="center"/>
    </xf>
    <xf numFmtId="0" fontId="2" fillId="0" borderId="269" pivotButton="0" quotePrefix="0" xfId="0"/>
    <xf numFmtId="0" fontId="149" fillId="0" borderId="243" applyAlignment="1" pivotButton="0" quotePrefix="0" xfId="0">
      <alignment horizontal="center" vertical="center"/>
    </xf>
    <xf numFmtId="0" fontId="53" fillId="26" borderId="270" applyAlignment="1" pivotButton="0" quotePrefix="0" xfId="0">
      <alignment vertical="center"/>
    </xf>
    <xf numFmtId="0" fontId="149" fillId="0" borderId="0" applyAlignment="1" pivotButton="0" quotePrefix="0" xfId="0">
      <alignment horizontal="center" vertical="center"/>
    </xf>
    <xf numFmtId="0" fontId="53" fillId="26" borderId="248" applyAlignment="1" pivotButton="0" quotePrefix="0" xfId="0">
      <alignment vertical="center"/>
    </xf>
    <xf numFmtId="0" fontId="47" fillId="0" borderId="0" pivotButton="0" quotePrefix="0" xfId="0"/>
    <xf numFmtId="0" fontId="150" fillId="0" borderId="0" pivotButton="0" quotePrefix="0" xfId="0"/>
    <xf numFmtId="0" fontId="54" fillId="61" borderId="271" applyAlignment="1" pivotButton="0" quotePrefix="0" xfId="0">
      <alignment horizontal="center"/>
    </xf>
    <xf numFmtId="0" fontId="47" fillId="0" borderId="29" applyAlignment="1" pivotButton="0" quotePrefix="0" xfId="0">
      <alignment vertical="center"/>
    </xf>
    <xf numFmtId="0" fontId="47" fillId="0" borderId="29" applyAlignment="1" pivotButton="0" quotePrefix="0" xfId="0">
      <alignment horizontal="center" vertical="center"/>
    </xf>
    <xf numFmtId="0" fontId="47" fillId="0" borderId="39" applyAlignment="1" pivotButton="0" quotePrefix="0" xfId="0">
      <alignment vertical="center"/>
    </xf>
    <xf numFmtId="0" fontId="58" fillId="75" borderId="38" applyAlignment="1" pivotButton="0" quotePrefix="0" xfId="0">
      <alignment horizontal="center" vertical="center"/>
    </xf>
    <xf numFmtId="0" fontId="58" fillId="18" borderId="29" applyAlignment="1" pivotButton="0" quotePrefix="0" xfId="0">
      <alignment horizontal="center" vertical="center"/>
    </xf>
    <xf numFmtId="0" fontId="152" fillId="70" borderId="0" pivotButton="0" quotePrefix="0" xfId="0"/>
    <xf numFmtId="0" fontId="151" fillId="71" borderId="0" applyAlignment="1" pivotButton="0" quotePrefix="0" xfId="0">
      <alignment vertical="center"/>
    </xf>
    <xf numFmtId="0" fontId="115" fillId="28" borderId="91" applyAlignment="1" pivotButton="0" quotePrefix="0" xfId="2">
      <alignment vertical="center"/>
    </xf>
    <xf numFmtId="0" fontId="145" fillId="28" borderId="91" applyAlignment="1" pivotButton="0" quotePrefix="0" xfId="2">
      <alignment vertical="center"/>
    </xf>
    <xf numFmtId="0" fontId="115" fillId="28" borderId="0" applyAlignment="1" pivotButton="0" quotePrefix="0" xfId="2">
      <alignment vertical="center"/>
    </xf>
    <xf numFmtId="0" fontId="145" fillId="28" borderId="0" applyAlignment="1" pivotButton="0" quotePrefix="0" xfId="2">
      <alignment vertical="center"/>
    </xf>
    <xf numFmtId="0" fontId="0" fillId="43" borderId="0" pivotButton="0" quotePrefix="0" xfId="0"/>
    <xf numFmtId="0" fontId="97" fillId="16" borderId="64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153" fillId="0" borderId="273" applyAlignment="1" pivotButton="0" quotePrefix="0" xfId="0">
      <alignment horizontal="center"/>
    </xf>
    <xf numFmtId="0" fontId="154" fillId="0" borderId="273" applyAlignment="1" pivotButton="0" quotePrefix="0" xfId="0">
      <alignment horizontal="center"/>
    </xf>
    <xf numFmtId="0" fontId="115" fillId="28" borderId="0" applyAlignment="1" pivotButton="0" quotePrefix="0" xfId="2">
      <alignment horizontal="center" vertical="center"/>
    </xf>
    <xf numFmtId="0" fontId="35" fillId="70" borderId="0" pivotButton="0" quotePrefix="0" xfId="0"/>
    <xf numFmtId="0" fontId="2" fillId="0" borderId="0" pivotButton="0" quotePrefix="0" xfId="0"/>
    <xf numFmtId="0" fontId="73" fillId="73" borderId="0" applyAlignment="1" pivotButton="0" quotePrefix="0" xfId="0">
      <alignment horizontal="center" vertical="center"/>
    </xf>
    <xf numFmtId="0" fontId="32" fillId="18" borderId="0" applyAlignment="1" pivotButton="0" quotePrefix="0" xfId="0">
      <alignment horizontal="center" vertical="center"/>
    </xf>
    <xf numFmtId="0" fontId="48" fillId="3" borderId="29" applyAlignment="1" pivotButton="0" quotePrefix="0" xfId="0">
      <alignment vertical="center"/>
    </xf>
    <xf numFmtId="0" fontId="61" fillId="0" borderId="29" applyAlignment="1" pivotButton="0" quotePrefix="0" xfId="0">
      <alignment vertical="center"/>
    </xf>
    <xf numFmtId="0" fontId="61" fillId="0" borderId="29" applyAlignment="1" pivotButton="0" quotePrefix="0" xfId="0">
      <alignment horizontal="center" vertical="center"/>
    </xf>
    <xf numFmtId="4" fontId="75" fillId="0" borderId="29" applyAlignment="1" pivotButton="0" quotePrefix="0" xfId="0">
      <alignment vertical="center"/>
    </xf>
    <xf numFmtId="0" fontId="45" fillId="26" borderId="29" applyAlignment="1" pivotButton="0" quotePrefix="0" xfId="0">
      <alignment vertical="center"/>
    </xf>
    <xf numFmtId="0" fontId="45" fillId="26" borderId="65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3"/>
    <xf numFmtId="0" fontId="77" fillId="10" borderId="12" applyAlignment="1" pivotButton="0" quotePrefix="0" xfId="3">
      <alignment vertical="center"/>
    </xf>
    <xf numFmtId="0" fontId="4" fillId="0" borderId="0" pivotButton="0" quotePrefix="0" xfId="4"/>
    <xf numFmtId="0" fontId="126" fillId="55" borderId="183" applyAlignment="1" pivotButton="0" quotePrefix="0" xfId="4">
      <alignment vertical="center" wrapText="1"/>
    </xf>
    <xf numFmtId="0" fontId="127" fillId="54" borderId="183" applyAlignment="1" pivotButton="0" quotePrefix="0" xfId="4">
      <alignment vertical="center" wrapText="1"/>
    </xf>
    <xf numFmtId="0" fontId="73" fillId="41" borderId="183" applyAlignment="1" pivotButton="0" quotePrefix="0" xfId="4">
      <alignment horizontal="center" vertical="center" wrapText="1"/>
    </xf>
    <xf numFmtId="0" fontId="128" fillId="41" borderId="191" applyAlignment="1" pivotButton="0" quotePrefix="0" xfId="4">
      <alignment horizontal="center" vertical="center" wrapText="1"/>
    </xf>
    <xf numFmtId="0" fontId="126" fillId="55" borderId="192" applyAlignment="1" pivotButton="0" quotePrefix="0" xfId="4">
      <alignment vertical="center" wrapText="1"/>
    </xf>
    <xf numFmtId="0" fontId="8" fillId="0" borderId="0" applyAlignment="1" pivotButton="0" quotePrefix="0" xfId="1">
      <alignment horizontal="center" vertical="center"/>
    </xf>
    <xf numFmtId="0" fontId="37" fillId="0" borderId="64" applyAlignment="1" pivotButton="0" quotePrefix="0" xfId="1">
      <alignment horizontal="center" vertical="center" wrapText="1"/>
    </xf>
    <xf numFmtId="0" fontId="37" fillId="0" borderId="54" applyAlignment="1" pivotButton="0" quotePrefix="0" xfId="1">
      <alignment horizontal="center" vertical="center" wrapText="1"/>
    </xf>
    <xf numFmtId="0" fontId="37" fillId="0" borderId="29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8" fillId="0" borderId="0" applyAlignment="1" pivotButton="0" quotePrefix="0" xfId="1">
      <alignment horizontal="left" vertical="center"/>
    </xf>
    <xf numFmtId="0" fontId="37" fillId="0" borderId="29" applyAlignment="1" pivotButton="0" quotePrefix="0" xfId="1">
      <alignment horizontal="center" vertical="center" wrapText="1"/>
    </xf>
    <xf numFmtId="0" fontId="57" fillId="3" borderId="5" applyAlignment="1" pivotButton="0" quotePrefix="0" xfId="1">
      <alignment horizontal="center" vertical="center"/>
    </xf>
    <xf numFmtId="0" fontId="37" fillId="0" borderId="57" applyAlignment="1" pivotButton="0" quotePrefix="0" xfId="1">
      <alignment horizontal="center" vertical="center"/>
    </xf>
    <xf numFmtId="0" fontId="37" fillId="0" borderId="65" applyAlignment="1" pivotButton="0" quotePrefix="0" xfId="1">
      <alignment horizontal="center" vertical="center" wrapText="1"/>
    </xf>
    <xf numFmtId="0" fontId="37" fillId="0" borderId="55" applyAlignment="1" pivotButton="0" quotePrefix="0" xfId="1">
      <alignment horizontal="center" vertical="center" wrapText="1"/>
    </xf>
    <xf numFmtId="0" fontId="37" fillId="0" borderId="56" applyAlignment="1" pivotButton="0" quotePrefix="0" xfId="1">
      <alignment horizontal="center" vertical="center"/>
    </xf>
    <xf numFmtId="0" fontId="52" fillId="27" borderId="29" applyAlignment="1" pivotButton="0" quotePrefix="0" xfId="1">
      <alignment horizontal="right" vertical="center" wrapText="1"/>
    </xf>
    <xf numFmtId="0" fontId="0" fillId="0" borderId="0" pivotButton="0" quotePrefix="0" xfId="0"/>
    <xf numFmtId="0" fontId="64" fillId="0" borderId="29" pivotButton="0" quotePrefix="0" xfId="0"/>
    <xf numFmtId="0" fontId="52" fillId="23" borderId="39" applyAlignment="1" pivotButton="0" quotePrefix="0" xfId="2">
      <alignment horizontal="center" vertical="center" wrapText="1"/>
    </xf>
    <xf numFmtId="0" fontId="0" fillId="0" borderId="0" pivotButton="0" quotePrefix="0" xfId="2"/>
    <xf numFmtId="0" fontId="45" fillId="4" borderId="102" applyAlignment="1" pivotButton="0" quotePrefix="0" xfId="3">
      <alignment horizontal="center" vertical="center"/>
    </xf>
    <xf numFmtId="0" fontId="45" fillId="4" borderId="106" applyAlignment="1" pivotButton="0" quotePrefix="0" xfId="3">
      <alignment horizontal="center" vertical="center"/>
    </xf>
    <xf numFmtId="0" fontId="45" fillId="4" borderId="101" applyAlignment="1" pivotButton="0" quotePrefix="0" xfId="3">
      <alignment horizontal="center" vertical="center"/>
    </xf>
    <xf numFmtId="0" fontId="47" fillId="0" borderId="30" pivotButton="0" quotePrefix="0" xfId="0"/>
    <xf numFmtId="0" fontId="47" fillId="17" borderId="30" pivotButton="0" quotePrefix="0" xfId="0"/>
    <xf numFmtId="0" fontId="45" fillId="0" borderId="30" pivotButton="0" quotePrefix="0" xfId="0"/>
    <xf numFmtId="0" fontId="45" fillId="0" borderId="129" applyAlignment="1" pivotButton="0" quotePrefix="0" xfId="0">
      <alignment vertical="center" wrapText="1"/>
    </xf>
    <xf numFmtId="0" fontId="45" fillId="0" borderId="129" pivotButton="0" quotePrefix="0" xfId="0"/>
    <xf numFmtId="0" fontId="63" fillId="22" borderId="256" applyAlignment="1" pivotButton="0" quotePrefix="0" xfId="0">
      <alignment vertical="center" wrapText="1"/>
    </xf>
    <xf numFmtId="0" fontId="64" fillId="0" borderId="256" pivotButton="0" quotePrefix="0" xfId="0"/>
    <xf numFmtId="0" fontId="5" fillId="0" borderId="29" pivotButton="0" quotePrefix="0" xfId="2"/>
    <xf numFmtId="0" fontId="62" fillId="0" borderId="33" pivotButton="0" quotePrefix="0" xfId="2"/>
    <xf numFmtId="0" fontId="45" fillId="0" borderId="29" pivotButton="0" quotePrefix="0" xfId="0"/>
    <xf numFmtId="0" fontId="0" fillId="41" borderId="275" pivotButton="0" quotePrefix="0" xfId="0"/>
    <xf numFmtId="0" fontId="0" fillId="0" borderId="0" applyAlignment="1" pivotButton="0" quotePrefix="0" xfId="0">
      <alignment horizontal="center"/>
    </xf>
    <xf numFmtId="0" fontId="53" fillId="26" borderId="244" applyAlignment="1" pivotButton="0" quotePrefix="0" xfId="0">
      <alignment vertical="center"/>
    </xf>
    <xf numFmtId="0" fontId="149" fillId="0" borderId="281" applyAlignment="1" pivotButton="0" quotePrefix="0" xfId="0">
      <alignment horizontal="center" vertical="center"/>
    </xf>
    <xf numFmtId="0" fontId="34" fillId="0" borderId="265" pivotButton="0" quotePrefix="0" xfId="0"/>
    <xf numFmtId="0" fontId="101" fillId="37" borderId="63" applyAlignment="1" pivotButton="0" quotePrefix="0" xfId="0">
      <alignment horizontal="center" vertical="center"/>
    </xf>
    <xf numFmtId="0" fontId="66" fillId="20" borderId="29" applyAlignment="1" pivotButton="0" quotePrefix="0" xfId="0">
      <alignment horizontal="left" vertical="center"/>
    </xf>
    <xf numFmtId="0" fontId="45" fillId="0" borderId="137" pivotButton="0" quotePrefix="0" xfId="0"/>
    <xf numFmtId="0" fontId="28" fillId="20" borderId="32" applyAlignment="1" pivotButton="0" quotePrefix="0" xfId="0">
      <alignment vertical="center"/>
    </xf>
    <xf numFmtId="0" fontId="28" fillId="20" borderId="29" applyAlignment="1" pivotButton="0" quotePrefix="0" xfId="0">
      <alignment vertical="center"/>
    </xf>
    <xf numFmtId="0" fontId="45" fillId="0" borderId="0" pivotButton="0" quotePrefix="0" xfId="0"/>
    <xf numFmtId="0" fontId="156" fillId="28" borderId="0" applyAlignment="1" pivotButton="0" quotePrefix="0" xfId="2">
      <alignment horizontal="left" vertical="center"/>
    </xf>
    <xf numFmtId="0" fontId="138" fillId="25" borderId="271" applyAlignment="1" pivotButton="0" quotePrefix="0" xfId="0">
      <alignment horizontal="center" vertical="center" wrapText="1"/>
    </xf>
    <xf numFmtId="0" fontId="143" fillId="74" borderId="286" applyAlignment="1" pivotButton="0" quotePrefix="0" xfId="0">
      <alignment horizontal="center" vertical="center" wrapText="1"/>
    </xf>
    <xf numFmtId="0" fontId="142" fillId="17" borderId="286" applyAlignment="1" pivotButton="0" quotePrefix="0" xfId="0">
      <alignment vertical="center" wrapText="1"/>
    </xf>
    <xf numFmtId="0" fontId="142" fillId="16" borderId="286" applyAlignment="1" pivotButton="0" quotePrefix="0" xfId="0">
      <alignment vertical="center" wrapText="1"/>
    </xf>
    <xf numFmtId="0" fontId="139" fillId="0" borderId="286" applyAlignment="1" pivotButton="0" quotePrefix="0" xfId="0">
      <alignment horizontal="center" vertical="center" wrapText="1"/>
    </xf>
    <xf numFmtId="0" fontId="141" fillId="28" borderId="286" applyAlignment="1" pivotButton="0" quotePrefix="0" xfId="0">
      <alignment vertical="center" wrapText="1"/>
    </xf>
    <xf numFmtId="0" fontId="139" fillId="0" borderId="286" applyAlignment="1" pivotButton="0" quotePrefix="0" xfId="0">
      <alignment vertical="center" wrapText="1"/>
    </xf>
    <xf numFmtId="0" fontId="80" fillId="75" borderId="286" applyAlignment="1" pivotButton="0" quotePrefix="0" xfId="0">
      <alignment horizontal="center" vertical="center" wrapText="1"/>
    </xf>
    <xf numFmtId="0" fontId="144" fillId="17" borderId="286" applyAlignment="1" pivotButton="0" quotePrefix="0" xfId="0">
      <alignment horizontal="center" vertical="center" wrapText="1"/>
    </xf>
    <xf numFmtId="0" fontId="144" fillId="16" borderId="286" applyAlignment="1" pivotButton="0" quotePrefix="0" xfId="0">
      <alignment horizontal="center" vertical="center" wrapText="1"/>
    </xf>
    <xf numFmtId="0" fontId="140" fillId="0" borderId="286" applyAlignment="1" pivotButton="0" quotePrefix="0" xfId="0">
      <alignment vertical="center" wrapText="1"/>
    </xf>
    <xf numFmtId="0" fontId="140" fillId="0" borderId="286" applyAlignment="1" pivotButton="0" quotePrefix="0" xfId="0">
      <alignment horizontal="center" vertical="center" wrapText="1"/>
    </xf>
    <xf numFmtId="0" fontId="80" fillId="75" borderId="287" applyAlignment="1" pivotButton="0" quotePrefix="0" xfId="0">
      <alignment horizontal="center" vertical="center" wrapText="1"/>
    </xf>
    <xf numFmtId="0" fontId="144" fillId="17" borderId="287" applyAlignment="1" pivotButton="0" quotePrefix="0" xfId="0">
      <alignment horizontal="center" vertical="center" wrapText="1"/>
    </xf>
    <xf numFmtId="0" fontId="144" fillId="16" borderId="287" applyAlignment="1" pivotButton="0" quotePrefix="0" xfId="0">
      <alignment horizontal="center" vertical="center" wrapText="1"/>
    </xf>
    <xf numFmtId="0" fontId="140" fillId="0" borderId="287" applyAlignment="1" pivotButton="0" quotePrefix="0" xfId="0">
      <alignment vertical="center" wrapText="1"/>
    </xf>
    <xf numFmtId="0" fontId="140" fillId="0" borderId="287" applyAlignment="1" pivotButton="0" quotePrefix="0" xfId="0">
      <alignment horizontal="center" vertical="center" wrapText="1"/>
    </xf>
    <xf numFmtId="0" fontId="146" fillId="25" borderId="282" applyAlignment="1" pivotButton="0" quotePrefix="0" xfId="0">
      <alignment horizontal="center" vertical="center" wrapText="1"/>
    </xf>
    <xf numFmtId="0" fontId="146" fillId="25" borderId="288" applyAlignment="1" pivotButton="0" quotePrefix="0" xfId="0">
      <alignment horizontal="center" vertical="center" wrapText="1"/>
    </xf>
    <xf numFmtId="0" fontId="146" fillId="25" borderId="289" applyAlignment="1" pivotButton="0" quotePrefix="0" xfId="0">
      <alignment horizontal="center" vertical="center" wrapText="1"/>
    </xf>
    <xf numFmtId="164" fontId="97" fillId="17" borderId="29" applyAlignment="1" pivotButton="0" quotePrefix="0" xfId="0">
      <alignment horizontal="center" vertical="center"/>
    </xf>
    <xf numFmtId="165" fontId="75" fillId="6" borderId="0" applyAlignment="1" pivotButton="0" quotePrefix="0" xfId="0">
      <alignment vertical="center"/>
    </xf>
    <xf numFmtId="165" fontId="75" fillId="0" borderId="0" applyAlignment="1" pivotButton="0" quotePrefix="0" xfId="0">
      <alignment vertical="center"/>
    </xf>
    <xf numFmtId="165" fontId="48" fillId="3" borderId="0" applyAlignment="1" pivotButton="0" quotePrefix="0" xfId="0">
      <alignment vertical="center"/>
    </xf>
    <xf numFmtId="164" fontId="139" fillId="0" borderId="286" applyAlignment="1" pivotButton="0" quotePrefix="0" xfId="0">
      <alignment vertical="center" wrapText="1"/>
    </xf>
    <xf numFmtId="165" fontId="139" fillId="0" borderId="286" applyAlignment="1" pivotButton="0" quotePrefix="0" xfId="0">
      <alignment vertical="center" wrapText="1"/>
    </xf>
    <xf numFmtId="166" fontId="139" fillId="0" borderId="286" applyAlignment="1" pivotButton="0" quotePrefix="0" xfId="0">
      <alignment vertical="center" wrapText="1"/>
    </xf>
    <xf numFmtId="164" fontId="140" fillId="0" borderId="287" applyAlignment="1" pivotButton="0" quotePrefix="0" xfId="0">
      <alignment vertical="center" wrapText="1"/>
    </xf>
    <xf numFmtId="165" fontId="140" fillId="0" borderId="287" applyAlignment="1" pivotButton="0" quotePrefix="0" xfId="0">
      <alignment vertical="center" wrapText="1"/>
    </xf>
    <xf numFmtId="164" fontId="140" fillId="0" borderId="286" applyAlignment="1" pivotButton="0" quotePrefix="0" xfId="0">
      <alignment vertical="center" wrapText="1"/>
    </xf>
    <xf numFmtId="165" fontId="140" fillId="0" borderId="286" applyAlignment="1" pivotButton="0" quotePrefix="0" xfId="0">
      <alignment vertical="center" wrapText="1"/>
    </xf>
    <xf numFmtId="166" fontId="47" fillId="0" borderId="29" applyAlignment="1" pivotButton="0" quotePrefix="0" xfId="0">
      <alignment horizontal="center" vertical="center"/>
    </xf>
    <xf numFmtId="167" fontId="75" fillId="0" borderId="29" applyAlignment="1" pivotButton="0" quotePrefix="0" xfId="0">
      <alignment vertical="center"/>
    </xf>
    <xf numFmtId="167" fontId="61" fillId="0" borderId="65" applyAlignment="1" pivotButton="0" quotePrefix="0" xfId="0">
      <alignment vertical="center"/>
    </xf>
    <xf numFmtId="167" fontId="48" fillId="3" borderId="65" applyAlignment="1" pivotButton="0" quotePrefix="0" xfId="0">
      <alignment vertical="center"/>
    </xf>
    <xf numFmtId="167" fontId="54" fillId="35" borderId="65" applyAlignment="1" pivotButton="0" quotePrefix="0" xfId="0">
      <alignment vertical="center"/>
    </xf>
    <xf numFmtId="165" fontId="63" fillId="26" borderId="29" applyAlignment="1" pivotButton="0" quotePrefix="0" xfId="0">
      <alignment vertical="center"/>
    </xf>
    <xf numFmtId="167" fontId="63" fillId="26" borderId="65" applyAlignment="1" pivotButton="0" quotePrefix="0" xfId="0">
      <alignment vertical="center"/>
    </xf>
    <xf numFmtId="167" fontId="66" fillId="20" borderId="65" applyAlignment="1" pivotButton="0" quotePrefix="0" xfId="0">
      <alignment vertical="center"/>
    </xf>
    <xf numFmtId="167" fontId="88" fillId="0" borderId="91" pivotButton="0" quotePrefix="0" xfId="0"/>
    <xf numFmtId="167" fontId="88" fillId="0" borderId="119" pivotButton="0" quotePrefix="0" xfId="0"/>
    <xf numFmtId="167" fontId="61" fillId="0" borderId="158" pivotButton="0" quotePrefix="0" xfId="0"/>
    <xf numFmtId="165" fontId="61" fillId="0" borderId="158" pivotButton="0" quotePrefix="0" xfId="0"/>
    <xf numFmtId="167" fontId="48" fillId="3" borderId="158" pivotButton="0" quotePrefix="0" xfId="0"/>
    <xf numFmtId="165" fontId="48" fillId="3" borderId="158" pivotButton="0" quotePrefix="0" xfId="0"/>
    <xf numFmtId="167" fontId="54" fillId="20" borderId="160" applyAlignment="1" pivotButton="0" quotePrefix="0" xfId="0">
      <alignment vertical="center"/>
    </xf>
    <xf numFmtId="167" fontId="88" fillId="0" borderId="0" applyAlignment="1" pivotButton="0" quotePrefix="0" xfId="0">
      <alignment vertical="center"/>
    </xf>
    <xf numFmtId="166" fontId="48" fillId="34" borderId="29" applyAlignment="1" pivotButton="0" quotePrefix="0" xfId="0">
      <alignment horizontal="center"/>
    </xf>
    <xf numFmtId="166" fontId="54" fillId="20" borderId="112" applyAlignment="1" pivotButton="0" quotePrefix="0" xfId="0">
      <alignment horizontal="center" vertical="center"/>
    </xf>
    <xf numFmtId="166" fontId="70" fillId="36" borderId="32" applyAlignment="1" pivotButton="0" quotePrefix="0" xfId="0">
      <alignment horizontal="center"/>
    </xf>
    <xf numFmtId="166" fontId="42" fillId="7" borderId="29" applyAlignment="1" pivotButton="0" quotePrefix="0" xfId="0">
      <alignment horizontal="center"/>
    </xf>
    <xf numFmtId="166" fontId="42" fillId="6" borderId="29" applyAlignment="1" pivotButton="0" quotePrefix="0" xfId="0">
      <alignment horizontal="center"/>
    </xf>
    <xf numFmtId="166" fontId="70" fillId="36" borderId="29" applyAlignment="1" pivotButton="0" quotePrefix="0" xfId="0">
      <alignment horizontal="center"/>
    </xf>
    <xf numFmtId="166" fontId="54" fillId="20" borderId="29" applyAlignment="1" pivotButton="0" quotePrefix="0" xfId="0">
      <alignment horizontal="center" vertical="center"/>
    </xf>
    <xf numFmtId="166" fontId="42" fillId="0" borderId="29" applyAlignment="1" pivotButton="0" quotePrefix="0" xfId="0">
      <alignment horizontal="center"/>
    </xf>
    <xf numFmtId="166" fontId="43" fillId="20" borderId="29" applyAlignment="1" pivotButton="0" quotePrefix="0" xfId="0">
      <alignment horizontal="center" vertical="center"/>
    </xf>
    <xf numFmtId="166" fontId="44" fillId="20" borderId="29" applyAlignment="1" pivotButton="0" quotePrefix="0" xfId="0">
      <alignment horizontal="center" vertical="center"/>
    </xf>
    <xf numFmtId="166" fontId="42" fillId="7" borderId="33" applyAlignment="1" pivotButton="0" quotePrefix="0" xfId="0">
      <alignment horizontal="center"/>
    </xf>
    <xf numFmtId="166" fontId="42" fillId="7" borderId="148" applyAlignment="1" pivotButton="0" quotePrefix="0" xfId="0">
      <alignment horizontal="center"/>
    </xf>
    <xf numFmtId="166" fontId="42" fillId="7" borderId="152" applyAlignment="1" pivotButton="0" quotePrefix="0" xfId="0">
      <alignment horizontal="center"/>
    </xf>
    <xf numFmtId="164" fontId="0" fillId="11" borderId="12" applyAlignment="1" pivotButton="0" quotePrefix="0" xfId="3">
      <alignment horizontal="center" vertical="center"/>
    </xf>
    <xf numFmtId="164" fontId="22" fillId="12" borderId="12" applyAlignment="1" pivotButton="0" quotePrefix="0" xfId="3">
      <alignment vertical="center"/>
    </xf>
    <xf numFmtId="166" fontId="126" fillId="55" borderId="184" applyAlignment="1" pivotButton="0" quotePrefix="0" xfId="4">
      <alignment vertical="center" wrapText="1"/>
    </xf>
    <xf numFmtId="166" fontId="126" fillId="55" borderId="185" applyAlignment="1" pivotButton="0" quotePrefix="0" xfId="4">
      <alignment vertical="center" wrapText="1"/>
    </xf>
    <xf numFmtId="166" fontId="126" fillId="55" borderId="183" applyAlignment="1" pivotButton="0" quotePrefix="0" xfId="4">
      <alignment vertical="center" wrapText="1"/>
    </xf>
    <xf numFmtId="165" fontId="129" fillId="56" borderId="192" applyAlignment="1" pivotButton="0" quotePrefix="0" xfId="4">
      <alignment vertical="center" wrapText="1"/>
    </xf>
    <xf numFmtId="165" fontId="129" fillId="56" borderId="183" applyAlignment="1" pivotButton="0" quotePrefix="0" xfId="4">
      <alignment vertical="center" wrapText="1"/>
    </xf>
    <xf numFmtId="166" fontId="126" fillId="55" borderId="182" applyAlignment="1" pivotButton="0" quotePrefix="0" xfId="4">
      <alignment vertical="center" wrapText="1"/>
    </xf>
    <xf numFmtId="168" fontId="126" fillId="55" borderId="185" applyAlignment="1" pivotButton="0" quotePrefix="0" xfId="4">
      <alignment vertical="center" wrapText="1"/>
    </xf>
    <xf numFmtId="168" fontId="126" fillId="55" borderId="183" applyAlignment="1" pivotButton="0" quotePrefix="0" xfId="4">
      <alignment vertical="center" wrapText="1"/>
    </xf>
    <xf numFmtId="165" fontId="47" fillId="16" borderId="30" applyAlignment="1" pivotButton="0" quotePrefix="0" xfId="0">
      <alignment horizontal="center"/>
    </xf>
    <xf numFmtId="165" fontId="47" fillId="17" borderId="30" applyAlignment="1" pivotButton="0" quotePrefix="0" xfId="0">
      <alignment horizontal="center"/>
    </xf>
    <xf numFmtId="165" fontId="43" fillId="18" borderId="133" applyAlignment="1" pivotButton="0" quotePrefix="0" xfId="0">
      <alignment horizontal="center"/>
    </xf>
    <xf numFmtId="165" fontId="47" fillId="16" borderId="30" pivotButton="0" quotePrefix="0" xfId="0"/>
    <xf numFmtId="165" fontId="43" fillId="18" borderId="133" pivotButton="0" quotePrefix="0" xfId="0"/>
    <xf numFmtId="165" fontId="48" fillId="3" borderId="30" pivotButton="0" quotePrefix="0" xfId="0"/>
    <xf numFmtId="165" fontId="58" fillId="19" borderId="133" pivotButton="0" quotePrefix="0" xfId="0"/>
    <xf numFmtId="165" fontId="35" fillId="16" borderId="32" applyAlignment="1" pivotButton="0" quotePrefix="0" xfId="2">
      <alignment horizontal="center" vertical="center"/>
    </xf>
    <xf numFmtId="165" fontId="35" fillId="17" borderId="32" applyAlignment="1" pivotButton="0" quotePrefix="0" xfId="2">
      <alignment horizontal="center" vertical="center"/>
    </xf>
    <xf numFmtId="165" fontId="33" fillId="18" borderId="257" applyAlignment="1" pivotButton="0" quotePrefix="0" xfId="2">
      <alignment horizontal="center" vertical="center"/>
    </xf>
    <xf numFmtId="165" fontId="56" fillId="19" borderId="28" applyAlignment="1" pivotButton="0" quotePrefix="0" xfId="2">
      <alignment horizontal="center"/>
    </xf>
    <xf numFmtId="0" fontId="0" fillId="0" borderId="29" pivotButton="0" quotePrefix="0" xfId="0"/>
    <xf numFmtId="0" fontId="0" fillId="0" borderId="32" pivotButton="0" quotePrefix="0" xfId="0"/>
    <xf numFmtId="0" fontId="45" fillId="4" borderId="98" applyAlignment="1" pivotButton="0" quotePrefix="0" xfId="3">
      <alignment horizontal="center" vertical="center"/>
    </xf>
    <xf numFmtId="0" fontId="0" fillId="0" borderId="33" pivotButton="0" quotePrefix="0" xfId="0"/>
    <xf numFmtId="0" fontId="45" fillId="0" borderId="30" applyAlignment="1" pivotButton="0" quotePrefix="0" xfId="0">
      <alignment vertical="center" wrapText="1"/>
    </xf>
    <xf numFmtId="0" fontId="0" fillId="0" borderId="275" pivotButton="0" quotePrefix="0" xfId="0"/>
    <xf numFmtId="0" fontId="5" fillId="0" borderId="29" applyAlignment="1" pivotButton="0" quotePrefix="0" xfId="2">
      <alignment horizontal="center" vertical="center" wrapText="1"/>
    </xf>
    <xf numFmtId="169" fontId="159" fillId="3" borderId="169" applyAlignment="1" pivotButton="0" quotePrefix="0" xfId="0">
      <alignment vertical="center"/>
    </xf>
    <xf numFmtId="169" fontId="159" fillId="3" borderId="65" applyAlignment="1" pivotButton="0" quotePrefix="0" xfId="0">
      <alignment vertical="center"/>
    </xf>
    <xf numFmtId="169" fontId="87" fillId="49" borderId="114" applyAlignment="1" pivotButton="0" quotePrefix="0" xfId="0">
      <alignment vertical="center"/>
    </xf>
    <xf numFmtId="169" fontId="37" fillId="28" borderId="167" applyAlignment="1" pivotButton="0" quotePrefix="0" xfId="0">
      <alignment vertical="center"/>
    </xf>
    <xf numFmtId="169" fontId="37" fillId="28" borderId="65" applyAlignment="1" pivotButton="0" quotePrefix="0" xfId="0">
      <alignment vertical="center"/>
    </xf>
    <xf numFmtId="169" fontId="157" fillId="16" borderId="65" applyAlignment="1" pivotButton="0" quotePrefix="0" xfId="0">
      <alignment vertical="center"/>
    </xf>
    <xf numFmtId="0" fontId="0" fillId="0" borderId="0" pivotButton="0" quotePrefix="0" xfId="0"/>
    <xf numFmtId="169" fontId="97" fillId="26" borderId="29" applyAlignment="1" pivotButton="0" quotePrefix="0" xfId="0">
      <alignment vertical="center"/>
    </xf>
    <xf numFmtId="169" fontId="98" fillId="26" borderId="29" applyAlignment="1" pivotButton="0" quotePrefix="0" xfId="0">
      <alignment vertical="center"/>
    </xf>
    <xf numFmtId="0" fontId="52" fillId="0" borderId="97" applyAlignment="1" pivotButton="0" quotePrefix="0" xfId="1">
      <alignment horizontal="left" vertical="center"/>
    </xf>
    <xf numFmtId="0" fontId="52" fillId="0" borderId="58" applyAlignment="1" pivotButton="0" quotePrefix="0" xfId="1">
      <alignment vertical="center"/>
    </xf>
    <xf numFmtId="0" fontId="54" fillId="25" borderId="33" applyAlignment="1" pivotButton="0" quotePrefix="0" xfId="0">
      <alignment horizontal="center" vertical="center"/>
    </xf>
    <xf numFmtId="0" fontId="54" fillId="25" borderId="35" applyAlignment="1" pivotButton="0" quotePrefix="0" xfId="0">
      <alignment horizontal="center" vertical="center"/>
    </xf>
    <xf numFmtId="0" fontId="45" fillId="4" borderId="311" applyAlignment="1" pivotButton="0" quotePrefix="0" xfId="3">
      <alignment horizontal="center" vertical="center"/>
    </xf>
    <xf numFmtId="0" fontId="45" fillId="4" borderId="313" applyAlignment="1" pivotButton="0" quotePrefix="0" xfId="3">
      <alignment horizontal="center" vertical="center"/>
    </xf>
    <xf numFmtId="0" fontId="113" fillId="42" borderId="313" applyAlignment="1" pivotButton="0" quotePrefix="0" xfId="3">
      <alignment horizontal="center" vertical="center"/>
    </xf>
    <xf numFmtId="0" fontId="45" fillId="4" borderId="315" applyAlignment="1" pivotButton="0" quotePrefix="0" xfId="3">
      <alignment horizontal="center" vertical="center"/>
    </xf>
    <xf numFmtId="0" fontId="66" fillId="25" borderId="40" applyAlignment="1" pivotButton="0" quotePrefix="0" xfId="0">
      <alignment horizontal="center" vertical="center"/>
    </xf>
    <xf numFmtId="0" fontId="0" fillId="0" borderId="258" pivotButton="0" quotePrefix="0" xfId="0"/>
    <xf numFmtId="0" fontId="55" fillId="18" borderId="38" applyAlignment="1" pivotButton="0" quotePrefix="0" xfId="0">
      <alignment horizontal="center" vertical="center"/>
    </xf>
    <xf numFmtId="0" fontId="37" fillId="0" borderId="29" pivotButton="0" quotePrefix="0" xfId="0"/>
    <xf numFmtId="0" fontId="37" fillId="16" borderId="29" applyAlignment="1" pivotButton="0" quotePrefix="0" xfId="0">
      <alignment horizontal="center" vertical="center"/>
    </xf>
    <xf numFmtId="170" fontId="37" fillId="17" borderId="39" pivotButton="0" quotePrefix="0" xfId="0"/>
    <xf numFmtId="0" fontId="0" fillId="0" borderId="316" pivotButton="0" quotePrefix="0" xfId="0"/>
    <xf numFmtId="0" fontId="20" fillId="0" borderId="0" applyAlignment="1" pivotButton="0" quotePrefix="0" xfId="0">
      <alignment horizontal="center" vertical="center"/>
    </xf>
    <xf numFmtId="0" fontId="22" fillId="10" borderId="310" applyAlignment="1" pivotButton="0" quotePrefix="0" xfId="3">
      <alignment horizontal="left" vertical="center"/>
    </xf>
    <xf numFmtId="0" fontId="22" fillId="10" borderId="312" applyAlignment="1" pivotButton="0" quotePrefix="0" xfId="3">
      <alignment horizontal="left" vertical="center"/>
    </xf>
    <xf numFmtId="0" fontId="82" fillId="10" borderId="310" applyAlignment="1" pivotButton="0" quotePrefix="0" xfId="3">
      <alignment horizontal="left" vertical="center"/>
    </xf>
    <xf numFmtId="0" fontId="82" fillId="10" borderId="312" applyAlignment="1" pivotButton="0" quotePrefix="0" xfId="3">
      <alignment horizontal="left" vertical="center"/>
    </xf>
    <xf numFmtId="0" fontId="149" fillId="42" borderId="313" applyAlignment="1" pivotButton="0" quotePrefix="0" xfId="3">
      <alignment horizontal="center" vertical="center"/>
    </xf>
    <xf numFmtId="0" fontId="82" fillId="10" borderId="314" applyAlignment="1" pivotButton="0" quotePrefix="0" xfId="3">
      <alignment horizontal="left" vertical="center"/>
    </xf>
    <xf numFmtId="0" fontId="0" fillId="0" borderId="318" pivotButton="0" quotePrefix="0" xfId="0"/>
    <xf numFmtId="0" fontId="22" fillId="10" borderId="319" applyAlignment="1" pivotButton="0" quotePrefix="0" xfId="3">
      <alignment horizontal="left" vertical="center"/>
    </xf>
    <xf numFmtId="0" fontId="45" fillId="4" borderId="320" applyAlignment="1" pivotButton="0" quotePrefix="0" xfId="3">
      <alignment horizontal="center" vertical="center"/>
    </xf>
    <xf numFmtId="0" fontId="55" fillId="18" borderId="30" applyAlignment="1" pivotButton="0" quotePrefix="0" xfId="0">
      <alignment horizontal="center"/>
    </xf>
    <xf numFmtId="0" fontId="37" fillId="0" borderId="30" pivotButton="0" quotePrefix="0" xfId="0"/>
    <xf numFmtId="0" fontId="37" fillId="16" borderId="30" applyAlignment="1" pivotButton="0" quotePrefix="0" xfId="0">
      <alignment horizontal="center"/>
    </xf>
    <xf numFmtId="170" fontId="37" fillId="17" borderId="30" pivotButton="0" quotePrefix="0" xfId="0"/>
    <xf numFmtId="0" fontId="55" fillId="18" borderId="129" applyAlignment="1" pivotButton="0" quotePrefix="0" xfId="0">
      <alignment horizontal="center"/>
    </xf>
    <xf numFmtId="0" fontId="37" fillId="0" borderId="129" pivotButton="0" quotePrefix="0" xfId="0"/>
    <xf numFmtId="0" fontId="37" fillId="16" borderId="129" applyAlignment="1" pivotButton="0" quotePrefix="0" xfId="0">
      <alignment horizontal="center"/>
    </xf>
    <xf numFmtId="170" fontId="37" fillId="17" borderId="129" pivotButton="0" quotePrefix="0" xfId="0"/>
    <xf numFmtId="0" fontId="28" fillId="25" borderId="321" applyAlignment="1" pivotButton="0" quotePrefix="0" xfId="0">
      <alignment horizontal="center" vertical="center"/>
    </xf>
    <xf numFmtId="0" fontId="41" fillId="25" borderId="26" applyAlignment="1" pivotButton="0" quotePrefix="0" xfId="0">
      <alignment horizontal="center" vertical="center"/>
    </xf>
    <xf numFmtId="0" fontId="41" fillId="25" borderId="283" applyAlignment="1" pivotButton="0" quotePrefix="0" xfId="0">
      <alignment horizontal="center" vertical="center"/>
    </xf>
    <xf numFmtId="0" fontId="20" fillId="0" borderId="258" applyAlignment="1" pivotButton="0" quotePrefix="0" xfId="0">
      <alignment horizontal="center" vertical="center"/>
    </xf>
    <xf numFmtId="0" fontId="40" fillId="25" borderId="322" applyAlignment="1" pivotButton="0" quotePrefix="0" xfId="0">
      <alignment horizontal="center" vertical="center"/>
    </xf>
    <xf numFmtId="0" fontId="40" fillId="25" borderId="293" applyAlignment="1" pivotButton="0" quotePrefix="0" xfId="0">
      <alignment horizontal="center" vertical="center"/>
    </xf>
    <xf numFmtId="0" fontId="40" fillId="25" borderId="323" applyAlignment="1" pivotButton="0" quotePrefix="0" xfId="0">
      <alignment horizontal="center" vertical="center"/>
    </xf>
    <xf numFmtId="0" fontId="55" fillId="18" borderId="30" applyAlignment="1" pivotButton="0" quotePrefix="0" xfId="0">
      <alignment horizontal="center" vertical="center"/>
    </xf>
    <xf numFmtId="0" fontId="0" fillId="0" borderId="0" pivotButton="0" quotePrefix="0" xfId="0"/>
    <xf numFmtId="0" fontId="125" fillId="0" borderId="0" applyAlignment="1" pivotButton="0" quotePrefix="0" xfId="0">
      <alignment horizontal="right" vertical="center"/>
    </xf>
    <xf numFmtId="0" fontId="125" fillId="0" borderId="0" applyAlignment="1" pivotButton="0" quotePrefix="0" xfId="0">
      <alignment horizontal="right"/>
    </xf>
    <xf numFmtId="0" fontId="125" fillId="60" borderId="0" applyAlignment="1" pivotButton="0" quotePrefix="0" xfId="0">
      <alignment horizontal="right" vertical="center"/>
    </xf>
    <xf numFmtId="0" fontId="122" fillId="0" borderId="0" applyAlignment="1" pivotButton="0" quotePrefix="0" xfId="0">
      <alignment horizontal="right"/>
    </xf>
    <xf numFmtId="0" fontId="141" fillId="0" borderId="38" applyAlignment="1" pivotButton="0" quotePrefix="0" xfId="0">
      <alignment vertical="center"/>
    </xf>
    <xf numFmtId="0" fontId="141" fillId="0" borderId="29" applyAlignment="1" pivotButton="0" quotePrefix="0" xfId="0">
      <alignment vertical="center"/>
    </xf>
    <xf numFmtId="0" fontId="141" fillId="0" borderId="29" applyAlignment="1" pivotButton="0" quotePrefix="0" xfId="0">
      <alignment horizontal="center" vertical="center"/>
    </xf>
    <xf numFmtId="0" fontId="139" fillId="0" borderId="29" applyAlignment="1" pivotButton="0" quotePrefix="0" xfId="0">
      <alignment vertical="center"/>
    </xf>
    <xf numFmtId="0" fontId="139" fillId="0" borderId="39" applyAlignment="1" pivotButton="0" quotePrefix="0" xfId="0">
      <alignment vertical="center"/>
    </xf>
    <xf numFmtId="0" fontId="139" fillId="25" borderId="29" applyAlignment="1" pivotButton="0" quotePrefix="0" xfId="0">
      <alignment vertical="center"/>
    </xf>
    <xf numFmtId="0" fontId="139" fillId="25" borderId="39" applyAlignment="1" pivotButton="0" quotePrefix="0" xfId="0">
      <alignment vertical="center"/>
    </xf>
    <xf numFmtId="0" fontId="162" fillId="0" borderId="0" applyAlignment="1" pivotButton="0" quotePrefix="0" xfId="0">
      <alignment horizontal="right"/>
    </xf>
    <xf numFmtId="0" fontId="125" fillId="0" borderId="91" applyAlignment="1" pivotButton="0" quotePrefix="0" xfId="0">
      <alignment horizontal="right"/>
    </xf>
    <xf numFmtId="0" fontId="125" fillId="0" borderId="285" applyAlignment="1" pivotButton="0" quotePrefix="0" xfId="0">
      <alignment horizontal="right"/>
    </xf>
    <xf numFmtId="0" fontId="125" fillId="4" borderId="0" applyAlignment="1" pivotButton="0" quotePrefix="0" xfId="3">
      <alignment horizontal="right" vertical="center"/>
    </xf>
    <xf numFmtId="0" fontId="122" fillId="0" borderId="0" applyAlignment="1" pivotButton="0" quotePrefix="0" xfId="4">
      <alignment horizontal="right" vertical="center"/>
    </xf>
    <xf numFmtId="0" fontId="125" fillId="4" borderId="12" applyAlignment="1" pivotButton="0" quotePrefix="0" xfId="3">
      <alignment horizontal="right" vertical="center"/>
    </xf>
    <xf numFmtId="165" fontId="35" fillId="17" borderId="0" applyAlignment="1" pivotButton="0" quotePrefix="0" xfId="2">
      <alignment horizontal="center" vertical="center"/>
    </xf>
    <xf numFmtId="0" fontId="53" fillId="23" borderId="37" applyAlignment="1" pivotButton="0" quotePrefix="0" xfId="0">
      <alignment horizontal="center" vertical="center" wrapText="1"/>
    </xf>
    <xf numFmtId="0" fontId="77" fillId="10" borderId="103" applyAlignment="1" pivotButton="0" quotePrefix="0" xfId="3">
      <alignment vertical="center"/>
    </xf>
    <xf numFmtId="0" fontId="77" fillId="10" borderId="97" applyAlignment="1" pivotButton="0" quotePrefix="0" xfId="3">
      <alignment vertical="center"/>
    </xf>
    <xf numFmtId="0" fontId="77" fillId="10" borderId="361" applyAlignment="1" pivotButton="0" quotePrefix="0" xfId="3">
      <alignment vertical="center"/>
    </xf>
    <xf numFmtId="0" fontId="160" fillId="0" borderId="28" pivotButton="0" quotePrefix="0" xfId="0"/>
    <xf numFmtId="0" fontId="0" fillId="0" borderId="0" pivotButton="0" quotePrefix="0" xfId="0"/>
    <xf numFmtId="0" fontId="0" fillId="0" borderId="29" pivotButton="0" quotePrefix="0" xfId="0"/>
    <xf numFmtId="0" fontId="0" fillId="0" borderId="1" pivotButton="0" quotePrefix="0" xfId="0"/>
    <xf numFmtId="0" fontId="0" fillId="0" borderId="152" pivotButton="0" quotePrefix="0" xfId="0"/>
    <xf numFmtId="0" fontId="158" fillId="0" borderId="29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77" fillId="10" borderId="12" applyAlignment="1" pivotButton="0" quotePrefix="0" xfId="3">
      <alignment vertical="center"/>
    </xf>
    <xf numFmtId="0" fontId="77" fillId="10" borderId="16" applyAlignment="1" pivotButton="0" quotePrefix="0" xfId="3">
      <alignment vertical="center"/>
    </xf>
    <xf numFmtId="0" fontId="82" fillId="0" borderId="0" applyAlignment="1" pivotButton="0" quotePrefix="0" xfId="0">
      <alignment vertical="center"/>
    </xf>
    <xf numFmtId="0" fontId="73" fillId="26" borderId="163" applyAlignment="1" pivotButton="0" quotePrefix="0" xfId="0">
      <alignment vertical="center"/>
    </xf>
    <xf numFmtId="0" fontId="4" fillId="16" borderId="163" applyAlignment="1" pivotButton="0" quotePrefix="0" xfId="0">
      <alignment vertical="center"/>
    </xf>
    <xf numFmtId="0" fontId="30" fillId="20" borderId="362" applyAlignment="1" pivotButton="0" quotePrefix="0" xfId="0">
      <alignment vertical="center"/>
    </xf>
    <xf numFmtId="0" fontId="28" fillId="39" borderId="32" applyAlignment="1" pivotButton="0" quotePrefix="0" xfId="0">
      <alignment horizontal="center" vertical="center"/>
    </xf>
    <xf numFmtId="0" fontId="28" fillId="39" borderId="0" applyAlignment="1" pivotButton="0" quotePrefix="0" xfId="0">
      <alignment horizontal="center" vertical="center"/>
    </xf>
    <xf numFmtId="0" fontId="28" fillId="39" borderId="145" applyAlignment="1" pivotButton="0" quotePrefix="0" xfId="0">
      <alignment horizontal="center" vertical="center"/>
    </xf>
    <xf numFmtId="0" fontId="73" fillId="26" borderId="162" applyAlignment="1" pivotButton="0" quotePrefix="0" xfId="0">
      <alignment vertical="center"/>
    </xf>
    <xf numFmtId="0" fontId="73" fillId="16" borderId="164" applyAlignment="1" pivotButton="0" quotePrefix="0" xfId="0">
      <alignment vertical="center"/>
    </xf>
    <xf numFmtId="0" fontId="87" fillId="5" borderId="363" applyAlignment="1" pivotButton="0" quotePrefix="0" xfId="0">
      <alignment horizontal="center" vertical="center"/>
    </xf>
    <xf numFmtId="0" fontId="28" fillId="20" borderId="364" applyAlignment="1" pivotButton="0" quotePrefix="0" xfId="0">
      <alignment vertical="center"/>
    </xf>
    <xf numFmtId="0" fontId="161" fillId="0" borderId="58" applyAlignment="1" pivotButton="0" quotePrefix="0" xfId="1">
      <alignment horizontal="center" vertical="center"/>
    </xf>
    <xf numFmtId="0" fontId="0" fillId="0" borderId="0" pivotButton="0" quotePrefix="0" xfId="0"/>
    <xf numFmtId="0" fontId="5" fillId="16" borderId="108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108" pivotButton="0" quotePrefix="0" xfId="0"/>
    <xf numFmtId="0" fontId="97" fillId="16" borderId="64" applyAlignment="1" pivotButton="0" quotePrefix="0" xfId="0">
      <alignment vertical="center"/>
    </xf>
    <xf numFmtId="0" fontId="0" fillId="0" borderId="29" pivotButton="0" quotePrefix="0" xfId="0"/>
    <xf numFmtId="0" fontId="157" fillId="26" borderId="64" applyAlignment="1" pivotButton="0" quotePrefix="0" xfId="0">
      <alignment horizontal="left" vertical="center"/>
    </xf>
    <xf numFmtId="0" fontId="158" fillId="0" borderId="29" pivotButton="0" quotePrefix="0" xfId="0"/>
    <xf numFmtId="0" fontId="32" fillId="20" borderId="0" applyAlignment="1" pivotButton="0" quotePrefix="0" xfId="0">
      <alignment horizontal="center" vertical="center"/>
    </xf>
    <xf numFmtId="0" fontId="97" fillId="16" borderId="166" applyAlignment="1" pivotButton="0" quotePrefix="0" xfId="0">
      <alignment vertical="center"/>
    </xf>
    <xf numFmtId="0" fontId="28" fillId="25" borderId="0" applyAlignment="1" pivotButton="0" quotePrefix="0" xfId="0">
      <alignment horizontal="center"/>
    </xf>
    <xf numFmtId="0" fontId="5" fillId="16" borderId="168" applyAlignment="1" pivotButton="0" quotePrefix="0" xfId="0">
      <alignment horizontal="center" vertical="center"/>
    </xf>
    <xf numFmtId="0" fontId="0" fillId="0" borderId="152" pivotButton="0" quotePrefix="0" xfId="0"/>
    <xf numFmtId="0" fontId="85" fillId="52" borderId="91" applyAlignment="1" pivotButton="0" quotePrefix="0" xfId="0">
      <alignment horizontal="center" vertical="center"/>
    </xf>
    <xf numFmtId="0" fontId="0" fillId="0" borderId="91" pivotButton="0" quotePrefix="0" xfId="0"/>
    <xf numFmtId="0" fontId="1" fillId="16" borderId="65" applyAlignment="1" pivotButton="0" quotePrefix="0" xfId="0">
      <alignment horizontal="center" vertical="center"/>
    </xf>
    <xf numFmtId="0" fontId="0" fillId="0" borderId="65" pivotButton="0" quotePrefix="0" xfId="0"/>
    <xf numFmtId="0" fontId="52" fillId="41" borderId="163" applyAlignment="1" pivotButton="0" quotePrefix="0" xfId="0">
      <alignment horizontal="center" vertical="center"/>
    </xf>
    <xf numFmtId="0" fontId="0" fillId="0" borderId="163" pivotButton="0" quotePrefix="0" xfId="0"/>
    <xf numFmtId="0" fontId="38" fillId="3" borderId="29" applyAlignment="1" pivotButton="0" quotePrefix="0" xfId="0">
      <alignment horizontal="center" vertical="center"/>
    </xf>
    <xf numFmtId="0" fontId="5" fillId="16" borderId="64" applyAlignment="1" pivotButton="0" quotePrefix="0" xfId="0">
      <alignment vertical="center"/>
    </xf>
    <xf numFmtId="0" fontId="29" fillId="16" borderId="163" applyAlignment="1" pivotButton="0" quotePrefix="0" xfId="0">
      <alignment horizontal="center" vertical="center"/>
    </xf>
    <xf numFmtId="0" fontId="0" fillId="0" borderId="164" pivotButton="0" quotePrefix="0" xfId="0"/>
    <xf numFmtId="0" fontId="66" fillId="25" borderId="100" applyAlignment="1" pivotButton="0" quotePrefix="0" xfId="2">
      <alignment horizontal="center" vertical="center"/>
    </xf>
    <xf numFmtId="0" fontId="0" fillId="0" borderId="100" pivotButton="0" quotePrefix="0" xfId="0"/>
    <xf numFmtId="0" fontId="115" fillId="28" borderId="0" applyAlignment="1" pivotButton="0" quotePrefix="0" xfId="2">
      <alignment horizontal="center" vertical="center"/>
    </xf>
    <xf numFmtId="0" fontId="116" fillId="28" borderId="0" applyAlignment="1" pivotButton="0" quotePrefix="0" xfId="0">
      <alignment horizontal="center" vertical="center"/>
    </xf>
    <xf numFmtId="0" fontId="73" fillId="41" borderId="163" applyAlignment="1" pivotButton="0" quotePrefix="0" xfId="0">
      <alignment horizontal="center" vertical="center"/>
    </xf>
    <xf numFmtId="0" fontId="82" fillId="0" borderId="163" applyAlignment="1" pivotButton="0" quotePrefix="0" xfId="0">
      <alignment horizontal="center"/>
    </xf>
    <xf numFmtId="0" fontId="101" fillId="0" borderId="98" applyAlignment="1" pivotButton="0" quotePrefix="0" xfId="1">
      <alignment vertical="center"/>
    </xf>
    <xf numFmtId="0" fontId="149" fillId="0" borderId="98" pivotButton="0" quotePrefix="0" xfId="0"/>
    <xf numFmtId="0" fontId="87" fillId="49" borderId="105" applyAlignment="1" pivotButton="0" quotePrefix="0" xfId="0">
      <alignment horizontal="center" vertical="center"/>
    </xf>
    <xf numFmtId="0" fontId="160" fillId="0" borderId="28" pivotButton="0" quotePrefix="0" xfId="0"/>
    <xf numFmtId="0" fontId="117" fillId="41" borderId="0" applyAlignment="1" pivotButton="0" quotePrefix="0" xfId="0">
      <alignment horizontal="center" vertical="center"/>
    </xf>
    <xf numFmtId="0" fontId="5" fillId="16" borderId="365" applyAlignment="1" pivotButton="0" quotePrefix="0" xfId="0">
      <alignment horizontal="center"/>
    </xf>
    <xf numFmtId="0" fontId="0" fillId="0" borderId="366" pivotButton="0" quotePrefix="0" xfId="0"/>
    <xf numFmtId="0" fontId="0" fillId="0" borderId="367" pivotButton="0" quotePrefix="0" xfId="0"/>
    <xf numFmtId="0" fontId="52" fillId="27" borderId="70" applyAlignment="1" pivotButton="0" quotePrefix="0" xfId="1">
      <alignment horizontal="center" vertical="center"/>
    </xf>
    <xf numFmtId="0" fontId="0" fillId="0" borderId="1" pivotButton="0" quotePrefix="0" xfId="0"/>
    <xf numFmtId="0" fontId="161" fillId="0" borderId="98" applyAlignment="1" pivotButton="0" quotePrefix="0" xfId="1">
      <alignment vertical="center"/>
    </xf>
    <xf numFmtId="0" fontId="52" fillId="27" borderId="71" applyAlignment="1" pivotButton="0" quotePrefix="0" xfId="1">
      <alignment horizontal="center" vertical="center"/>
    </xf>
    <xf numFmtId="0" fontId="0" fillId="0" borderId="71" pivotButton="0" quotePrefix="0" xfId="0"/>
    <xf numFmtId="0" fontId="38" fillId="3" borderId="152" applyAlignment="1" pivotButton="0" quotePrefix="0" xfId="0">
      <alignment horizontal="center" vertical="center"/>
    </xf>
    <xf numFmtId="0" fontId="66" fillId="25" borderId="308" applyAlignment="1" pivotButton="0" quotePrefix="0" xfId="2">
      <alignment horizontal="center"/>
    </xf>
    <xf numFmtId="0" fontId="66" fillId="25" borderId="309" applyAlignment="1" pivotButton="0" quotePrefix="0" xfId="2">
      <alignment horizontal="center"/>
    </xf>
    <xf numFmtId="0" fontId="32" fillId="25" borderId="0" applyAlignment="1" pivotButton="0" quotePrefix="0" xfId="0">
      <alignment horizontal="center" vertical="center"/>
    </xf>
    <xf numFmtId="0" fontId="0" fillId="43" borderId="317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102" fillId="20" borderId="0" applyAlignment="1" pivotButton="0" quotePrefix="0" xfId="0">
      <alignment horizontal="center" vertical="center"/>
    </xf>
    <xf numFmtId="0" fontId="76" fillId="0" borderId="0" applyAlignment="1" pivotButton="0" quotePrefix="0" xfId="0">
      <alignment vertical="center" wrapText="1"/>
    </xf>
    <xf numFmtId="0" fontId="114" fillId="28" borderId="91" applyAlignment="1" pivotButton="0" quotePrefix="0" xfId="2">
      <alignment horizontal="center" vertical="center"/>
    </xf>
    <xf numFmtId="0" fontId="76" fillId="6" borderId="0" applyAlignment="1" pivotButton="0" quotePrefix="0" xfId="0">
      <alignment vertical="center"/>
    </xf>
    <xf numFmtId="0" fontId="54" fillId="20" borderId="0" applyAlignment="1" pivotButton="0" quotePrefix="0" xfId="0">
      <alignment horizontal="center" vertical="center"/>
    </xf>
    <xf numFmtId="0" fontId="76" fillId="0" borderId="0" applyAlignment="1" pivotButton="0" quotePrefix="0" xfId="0">
      <alignment vertical="center"/>
    </xf>
    <xf numFmtId="0" fontId="115" fillId="28" borderId="91" applyAlignment="1" pivotButton="0" quotePrefix="0" xfId="2">
      <alignment horizontal="center" vertical="center"/>
    </xf>
    <xf numFmtId="0" fontId="45" fillId="0" borderId="0" applyAlignment="1" pivotButton="0" quotePrefix="0" xfId="0">
      <alignment vertical="center"/>
    </xf>
    <xf numFmtId="0" fontId="94" fillId="52" borderId="60" applyAlignment="1" pivotButton="0" quotePrefix="0" xfId="0">
      <alignment horizontal="center" vertical="center" wrapText="1"/>
    </xf>
    <xf numFmtId="0" fontId="0" fillId="0" borderId="60" pivotButton="0" quotePrefix="0" xfId="0"/>
    <xf numFmtId="0" fontId="93" fillId="20" borderId="0" applyAlignment="1" pivotButton="0" quotePrefix="0" xfId="0">
      <alignment horizontal="center" vertical="center"/>
    </xf>
    <xf numFmtId="0" fontId="0" fillId="0" borderId="24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45" pivotButton="0" quotePrefix="0" xfId="0"/>
    <xf numFmtId="0" fontId="45" fillId="4" borderId="149" applyAlignment="1" pivotButton="0" quotePrefix="0" xfId="3">
      <alignment horizontal="center" vertical="center"/>
    </xf>
    <xf numFmtId="0" fontId="0" fillId="0" borderId="149" pivotButton="0" quotePrefix="0" xfId="0"/>
    <xf numFmtId="0" fontId="45" fillId="4" borderId="156" applyAlignment="1" pivotButton="0" quotePrefix="0" xfId="3">
      <alignment horizontal="center" vertical="center"/>
    </xf>
    <xf numFmtId="0" fontId="0" fillId="0" borderId="156" pivotButton="0" quotePrefix="0" xfId="0"/>
    <xf numFmtId="0" fontId="154" fillId="0" borderId="258" applyAlignment="1" pivotButton="0" quotePrefix="0" xfId="0">
      <alignment horizontal="center"/>
    </xf>
    <xf numFmtId="0" fontId="0" fillId="0" borderId="273" pivotButton="0" quotePrefix="0" xfId="0"/>
    <xf numFmtId="0" fontId="0" fillId="0" borderId="274" pivotButton="0" quotePrefix="0" xfId="0"/>
    <xf numFmtId="0" fontId="66" fillId="25" borderId="7" applyAlignment="1" pivotButton="0" quotePrefix="0" xfId="2">
      <alignment horizontal="center"/>
    </xf>
    <xf numFmtId="0" fontId="0" fillId="0" borderId="31" pivotButton="0" quotePrefix="0" xfId="0"/>
    <xf numFmtId="0" fontId="0" fillId="0" borderId="242" pivotButton="0" quotePrefix="0" xfId="0"/>
    <xf numFmtId="0" fontId="153" fillId="0" borderId="258" applyAlignment="1" pivotButton="0" quotePrefix="0" xfId="0">
      <alignment horizontal="center"/>
    </xf>
    <xf numFmtId="0" fontId="45" fillId="4" borderId="272" applyAlignment="1" pivotButton="0" quotePrefix="0" xfId="3">
      <alignment horizontal="center" vertical="center"/>
    </xf>
    <xf numFmtId="0" fontId="0" fillId="0" borderId="272" pivotButton="0" quotePrefix="0" xfId="0"/>
    <xf numFmtId="0" fontId="0" fillId="0" borderId="241" applyAlignment="1" pivotButton="0" quotePrefix="0" xfId="0">
      <alignment horizontal="center"/>
    </xf>
    <xf numFmtId="0" fontId="0" fillId="0" borderId="241" pivotButton="0" quotePrefix="0" xfId="0"/>
    <xf numFmtId="0" fontId="113" fillId="42" borderId="156" applyAlignment="1" pivotButton="0" quotePrefix="0" xfId="3">
      <alignment horizontal="center" vertical="center"/>
    </xf>
    <xf numFmtId="0" fontId="134" fillId="61" borderId="259" applyAlignment="1" pivotButton="0" quotePrefix="0" xfId="0">
      <alignment horizontal="center" vertical="center"/>
    </xf>
    <xf numFmtId="0" fontId="0" fillId="0" borderId="285" pivotButton="0" quotePrefix="0" xfId="0"/>
    <xf numFmtId="0" fontId="0" fillId="0" borderId="290" pivotButton="0" quotePrefix="0" xfId="0"/>
    <xf numFmtId="0" fontId="41" fillId="62" borderId="246" applyAlignment="1" pivotButton="0" quotePrefix="0" xfId="0">
      <alignment horizontal="center" vertical="center"/>
    </xf>
    <xf numFmtId="0" fontId="0" fillId="0" borderId="246" pivotButton="0" quotePrefix="0" xfId="0"/>
    <xf numFmtId="0" fontId="137" fillId="0" borderId="262" pivotButton="0" quotePrefix="0" xfId="0"/>
    <xf numFmtId="0" fontId="0" fillId="0" borderId="247" pivotButton="0" quotePrefix="0" xfId="0"/>
    <xf numFmtId="0" fontId="0" fillId="0" borderId="248" pivotButton="0" quotePrefix="0" xfId="0"/>
    <xf numFmtId="0" fontId="135" fillId="64" borderId="0" applyAlignment="1" pivotButton="0" quotePrefix="0" xfId="0">
      <alignment horizontal="center" vertical="center"/>
    </xf>
    <xf numFmtId="0" fontId="135" fillId="66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0" fillId="61" borderId="0" applyAlignment="1" pivotButton="0" quotePrefix="0" xfId="0">
      <alignment horizontal="center" vertical="center"/>
    </xf>
    <xf numFmtId="0" fontId="101" fillId="68" borderId="0" applyAlignment="1" pivotButton="0" quotePrefix="0" xfId="0">
      <alignment horizontal="center" vertical="center"/>
    </xf>
    <xf numFmtId="0" fontId="41" fillId="64" borderId="0" applyAlignment="1" pivotButton="0" quotePrefix="0" xfId="0">
      <alignment horizontal="center" vertical="center"/>
    </xf>
    <xf numFmtId="0" fontId="41" fillId="66" borderId="0" applyAlignment="1" pivotButton="0" quotePrefix="0" xfId="0">
      <alignment horizontal="center" vertical="center"/>
    </xf>
    <xf numFmtId="0" fontId="137" fillId="0" borderId="260" pivotButton="0" quotePrefix="0" xfId="0"/>
    <xf numFmtId="0" fontId="0" fillId="0" borderId="261" pivotButton="0" quotePrefix="0" xfId="0"/>
    <xf numFmtId="0" fontId="0" fillId="0" borderId="292" pivotButton="0" quotePrefix="0" xfId="0"/>
    <xf numFmtId="0" fontId="114" fillId="28" borderId="0" applyAlignment="1" pivotButton="0" quotePrefix="0" xfId="2">
      <alignment horizontal="center" vertical="center"/>
    </xf>
    <xf numFmtId="0" fontId="45" fillId="4" borderId="153" applyAlignment="1" pivotButton="0" quotePrefix="0" xfId="3">
      <alignment horizontal="center" vertical="center"/>
    </xf>
    <xf numFmtId="0" fontId="0" fillId="0" borderId="153" pivotButton="0" quotePrefix="0" xfId="0"/>
    <xf numFmtId="0" fontId="136" fillId="72" borderId="161" applyAlignment="1" pivotButton="0" quotePrefix="0" xfId="0">
      <alignment vertical="center" wrapText="1"/>
    </xf>
    <xf numFmtId="0" fontId="0" fillId="0" borderId="165" pivotButton="0" quotePrefix="0" xfId="0"/>
    <xf numFmtId="0" fontId="0" fillId="0" borderId="198" pivotButton="0" quotePrefix="0" xfId="0"/>
    <xf numFmtId="0" fontId="0" fillId="0" borderId="265" pivotButton="0" quotePrefix="0" xfId="0"/>
    <xf numFmtId="0" fontId="0" fillId="0" borderId="266" pivotButton="0" quotePrefix="0" xfId="0"/>
    <xf numFmtId="0" fontId="0" fillId="0" borderId="267" pivotButton="0" quotePrefix="0" xfId="0"/>
    <xf numFmtId="0" fontId="0" fillId="0" borderId="250" pivotButton="0" quotePrefix="0" xfId="0"/>
    <xf numFmtId="0" fontId="0" fillId="0" borderId="268" pivotButton="0" quotePrefix="0" xfId="0"/>
    <xf numFmtId="0" fontId="2" fillId="43" borderId="241" applyAlignment="1" pivotButton="0" quotePrefix="0" xfId="0">
      <alignment horizontal="center"/>
    </xf>
    <xf numFmtId="0" fontId="40" fillId="67" borderId="0" applyAlignment="1" pivotButton="0" quotePrefix="0" xfId="0">
      <alignment horizontal="center" vertical="center"/>
    </xf>
    <xf numFmtId="0" fontId="40" fillId="61" borderId="270" applyAlignment="1" pivotButton="0" quotePrefix="0" xfId="0">
      <alignment horizontal="center" vertical="center"/>
    </xf>
    <xf numFmtId="0" fontId="41" fillId="65" borderId="0" applyAlignment="1" pivotButton="0" quotePrefix="0" xfId="0">
      <alignment horizontal="center" vertical="center"/>
    </xf>
    <xf numFmtId="0" fontId="137" fillId="0" borderId="263" pivotButton="0" quotePrefix="0" xfId="0"/>
    <xf numFmtId="0" fontId="0" fillId="0" borderId="264" pivotButton="0" quotePrefix="0" xfId="0"/>
    <xf numFmtId="0" fontId="0" fillId="0" borderId="291" pivotButton="0" quotePrefix="0" xfId="0"/>
    <xf numFmtId="0" fontId="2" fillId="0" borderId="258" applyAlignment="1" pivotButton="0" quotePrefix="0" xfId="0">
      <alignment horizontal="center"/>
    </xf>
    <xf numFmtId="0" fontId="135" fillId="65" borderId="0" applyAlignment="1" pivotButton="0" quotePrefix="0" xfId="0">
      <alignment horizontal="center" vertical="center"/>
    </xf>
    <xf numFmtId="0" fontId="135" fillId="62" borderId="246" applyAlignment="1" pivotButton="0" quotePrefix="0" xfId="0">
      <alignment horizontal="center" vertical="center"/>
    </xf>
    <xf numFmtId="0" fontId="66" fillId="25" borderId="280" applyAlignment="1" pivotButton="0" quotePrefix="0" xfId="2">
      <alignment horizontal="center"/>
    </xf>
    <xf numFmtId="0" fontId="0" fillId="0" borderId="26" pivotButton="0" quotePrefix="0" xfId="0"/>
    <xf numFmtId="0" fontId="0" fillId="0" borderId="294" pivotButton="0" quotePrefix="0" xfId="0"/>
    <xf numFmtId="0" fontId="153" fillId="0" borderId="258" applyAlignment="1" pivotButton="0" quotePrefix="0" xfId="0">
      <alignment horizontal="center" vertical="center"/>
    </xf>
    <xf numFmtId="0" fontId="138" fillId="35" borderId="38" applyAlignment="1" pivotButton="0" quotePrefix="0" xfId="0">
      <alignment vertical="center"/>
    </xf>
    <xf numFmtId="0" fontId="139" fillId="0" borderId="29" applyAlignment="1" pivotButton="0" quotePrefix="0" xfId="0">
      <alignment vertical="center"/>
    </xf>
    <xf numFmtId="0" fontId="139" fillId="0" borderId="39" applyAlignment="1" pivotButton="0" quotePrefix="0" xfId="0">
      <alignment vertical="center"/>
    </xf>
    <xf numFmtId="0" fontId="66" fillId="25" borderId="0" applyAlignment="1" pivotButton="0" quotePrefix="0" xfId="2">
      <alignment horizontal="center"/>
    </xf>
    <xf numFmtId="0" fontId="0" fillId="0" borderId="0" applyAlignment="1" pivotButton="0" quotePrefix="0" xfId="0">
      <alignment vertical="center"/>
    </xf>
    <xf numFmtId="0" fontId="139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8" fillId="25" borderId="0" applyAlignment="1" pivotButton="0" quotePrefix="0" xfId="0">
      <alignment horizontal="center" vertical="center"/>
    </xf>
    <xf numFmtId="0" fontId="2" fillId="0" borderId="0" pivotButton="0" quotePrefix="0" xfId="0"/>
    <xf numFmtId="0" fontId="145" fillId="28" borderId="91" applyAlignment="1" pivotButton="0" quotePrefix="0" xfId="2">
      <alignment horizontal="center" vertical="center"/>
    </xf>
    <xf numFmtId="0" fontId="73" fillId="73" borderId="0" applyAlignment="1" pivotButton="0" quotePrefix="0" xfId="0">
      <alignment horizontal="center" vertical="center"/>
    </xf>
    <xf numFmtId="0" fontId="132" fillId="0" borderId="0" applyAlignment="1" pivotButton="0" quotePrefix="0" xfId="0">
      <alignment horizontal="center" vertical="center"/>
    </xf>
    <xf numFmtId="0" fontId="92" fillId="25" borderId="282" applyAlignment="1" pivotButton="0" quotePrefix="0" xfId="0">
      <alignment horizontal="center"/>
    </xf>
    <xf numFmtId="0" fontId="0" fillId="0" borderId="295" pivotButton="0" quotePrefix="0" xfId="0"/>
    <xf numFmtId="0" fontId="32" fillId="76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/>
    </xf>
    <xf numFmtId="0" fontId="131" fillId="71" borderId="245" applyAlignment="1" pivotButton="0" quotePrefix="0" xfId="0">
      <alignment horizontal="center"/>
    </xf>
    <xf numFmtId="0" fontId="27" fillId="0" borderId="245" applyAlignment="1" pivotButton="0" quotePrefix="0" xfId="0">
      <alignment horizontal="center"/>
    </xf>
    <xf numFmtId="0" fontId="32" fillId="61" borderId="0" applyAlignment="1" pivotButton="0" quotePrefix="0" xfId="0">
      <alignment horizontal="center" vertical="center"/>
    </xf>
    <xf numFmtId="0" fontId="131" fillId="62" borderId="0" pivotButton="0" quotePrefix="0" xfId="0"/>
    <xf numFmtId="0" fontId="27" fillId="63" borderId="0" applyAlignment="1" pivotButton="0" quotePrefix="0" xfId="0">
      <alignment vertical="center" wrapText="1"/>
    </xf>
    <xf numFmtId="0" fontId="148" fillId="0" borderId="0" applyAlignment="1" pivotButton="0" quotePrefix="0" xfId="0">
      <alignment horizontal="center" vertical="center"/>
    </xf>
    <xf numFmtId="0" fontId="32" fillId="28" borderId="0" applyAlignment="1" pivotButton="0" quotePrefix="0" xfId="0">
      <alignment horizontal="center" vertical="center"/>
    </xf>
    <xf numFmtId="0" fontId="130" fillId="25" borderId="0" applyAlignment="1" pivotButton="0" quotePrefix="0" xfId="0">
      <alignment horizontal="center"/>
    </xf>
    <xf numFmtId="0" fontId="32" fillId="18" borderId="0" applyAlignment="1" pivotButton="0" quotePrefix="0" xfId="0">
      <alignment horizontal="center" vertical="center"/>
    </xf>
    <xf numFmtId="0" fontId="110" fillId="61" borderId="0" applyAlignment="1" pivotButton="0" quotePrefix="0" xfId="0">
      <alignment horizontal="center" vertical="center"/>
    </xf>
    <xf numFmtId="0" fontId="48" fillId="3" borderId="29" applyAlignment="1" pivotButton="0" quotePrefix="0" xfId="0">
      <alignment vertical="center"/>
    </xf>
    <xf numFmtId="0" fontId="66" fillId="20" borderId="108" applyAlignment="1" pivotButton="0" quotePrefix="0" xfId="0">
      <alignment vertical="center"/>
    </xf>
    <xf numFmtId="0" fontId="61" fillId="0" borderId="29" applyAlignment="1" pivotButton="0" quotePrefix="0" xfId="0">
      <alignment vertical="center"/>
    </xf>
    <xf numFmtId="0" fontId="61" fillId="0" borderId="65" applyAlignment="1" pivotButton="0" quotePrefix="0" xfId="0">
      <alignment vertical="center"/>
    </xf>
    <xf numFmtId="0" fontId="66" fillId="20" borderId="29" applyAlignment="1" pivotButton="0" quotePrefix="0" xfId="0">
      <alignment vertical="center"/>
    </xf>
    <xf numFmtId="0" fontId="111" fillId="28" borderId="91" applyAlignment="1" pivotButton="0" quotePrefix="0" xfId="2">
      <alignment vertical="center"/>
    </xf>
    <xf numFmtId="0" fontId="155" fillId="3" borderId="199" applyAlignment="1" pivotButton="0" quotePrefix="0" xfId="0">
      <alignment horizontal="center" vertical="center" wrapText="1"/>
    </xf>
    <xf numFmtId="0" fontId="0" fillId="0" borderId="99" pivotButton="0" quotePrefix="0" xfId="0"/>
    <xf numFmtId="0" fontId="54" fillId="35" borderId="29" applyAlignment="1" pivotButton="0" quotePrefix="0" xfId="0">
      <alignment vertical="center"/>
    </xf>
    <xf numFmtId="0" fontId="45" fillId="26" borderId="29" applyAlignment="1" pivotButton="0" quotePrefix="0" xfId="0">
      <alignment vertical="center"/>
    </xf>
    <xf numFmtId="0" fontId="66" fillId="20" borderId="29" applyAlignment="1" pivotButton="0" quotePrefix="0" xfId="0">
      <alignment horizontal="left" vertical="center"/>
    </xf>
    <xf numFmtId="0" fontId="45" fillId="26" borderId="65" applyAlignment="1" pivotButton="0" quotePrefix="0" xfId="0">
      <alignment vertical="center"/>
    </xf>
    <xf numFmtId="0" fontId="58" fillId="49" borderId="60" applyAlignment="1" pivotButton="0" quotePrefix="0" xfId="0">
      <alignment horizontal="center" vertical="center" wrapText="1"/>
    </xf>
    <xf numFmtId="0" fontId="73" fillId="27" borderId="61" applyAlignment="1" pivotButton="0" quotePrefix="0" xfId="0">
      <alignment horizontal="left" vertical="center"/>
    </xf>
    <xf numFmtId="0" fontId="0" fillId="0" borderId="62" pivotButton="0" quotePrefix="0" xfId="0"/>
    <xf numFmtId="0" fontId="101" fillId="37" borderId="62" applyAlignment="1" pivotButton="0" quotePrefix="0" xfId="0">
      <alignment horizontal="center" vertical="center"/>
    </xf>
    <xf numFmtId="0" fontId="66" fillId="25" borderId="199" applyAlignment="1" pivotButton="0" quotePrefix="0" xfId="2">
      <alignment horizontal="center"/>
    </xf>
    <xf numFmtId="0" fontId="64" fillId="20" borderId="296" applyAlignment="1" pivotButton="0" quotePrefix="0" xfId="0">
      <alignment vertical="center"/>
    </xf>
    <xf numFmtId="167" fontId="61" fillId="0" borderId="201" pivotButton="0" quotePrefix="0" xfId="0"/>
    <xf numFmtId="167" fontId="48" fillId="3" borderId="201" pivotButton="0" quotePrefix="0" xfId="0"/>
    <xf numFmtId="0" fontId="45" fillId="4" borderId="139" applyAlignment="1" pivotButton="0" quotePrefix="0" xfId="3">
      <alignment horizontal="center" vertical="center"/>
    </xf>
    <xf numFmtId="0" fontId="95" fillId="34" borderId="139" applyAlignment="1" pivotButton="0" quotePrefix="0" xfId="0">
      <alignment horizontal="center" vertical="center"/>
    </xf>
    <xf numFmtId="0" fontId="0" fillId="0" borderId="137" pivotButton="0" quotePrefix="0" xfId="0"/>
    <xf numFmtId="0" fontId="110" fillId="20" borderId="200" applyAlignment="1" pivotButton="0" quotePrefix="0" xfId="0">
      <alignment horizontal="center" vertical="center"/>
    </xf>
    <xf numFmtId="0" fontId="0" fillId="0" borderId="136" pivotButton="0" quotePrefix="0" xfId="0"/>
    <xf numFmtId="0" fontId="92" fillId="20" borderId="201" applyAlignment="1" pivotButton="0" quotePrefix="0" xfId="0">
      <alignment horizontal="center" vertical="center" wrapText="1"/>
    </xf>
    <xf numFmtId="0" fontId="45" fillId="0" borderId="201" pivotButton="0" quotePrefix="0" xfId="0"/>
    <xf numFmtId="0" fontId="113" fillId="42" borderId="139" applyAlignment="1" pivotButton="0" quotePrefix="0" xfId="3">
      <alignment horizontal="center" vertical="center"/>
    </xf>
    <xf numFmtId="0" fontId="45" fillId="0" borderId="156" pivotButton="0" quotePrefix="0" xfId="0"/>
    <xf numFmtId="0" fontId="45" fillId="4" borderId="154" applyAlignment="1" pivotButton="0" quotePrefix="0" xfId="3">
      <alignment horizontal="center" vertical="center"/>
    </xf>
    <xf numFmtId="167" fontId="45" fillId="0" borderId="156" pivotButton="0" quotePrefix="0" xfId="0"/>
    <xf numFmtId="0" fontId="100" fillId="52" borderId="0" applyAlignment="1" pivotButton="0" quotePrefix="0" xfId="0">
      <alignment horizontal="center" vertical="center" wrapText="1"/>
    </xf>
    <xf numFmtId="167" fontId="61" fillId="0" borderId="284" pivotButton="0" quotePrefix="0" xfId="0"/>
    <xf numFmtId="0" fontId="42" fillId="7" borderId="153" applyAlignment="1" pivotButton="0" quotePrefix="0" xfId="0">
      <alignment horizontal="center"/>
    </xf>
    <xf numFmtId="0" fontId="42" fillId="6" borderId="0" applyAlignment="1" pivotButton="0" quotePrefix="0" xfId="0">
      <alignment horizontal="center"/>
    </xf>
    <xf numFmtId="0" fontId="42" fillId="7" borderId="149" applyAlignment="1" pivotButton="0" quotePrefix="0" xfId="0">
      <alignment horizontal="center"/>
    </xf>
    <xf numFmtId="0" fontId="0" fillId="0" borderId="138" pivotButton="0" quotePrefix="0" xfId="0"/>
    <xf numFmtId="0" fontId="42" fillId="7" borderId="145" applyAlignment="1" pivotButton="0" quotePrefix="0" xfId="0">
      <alignment horizontal="center"/>
    </xf>
    <xf numFmtId="0" fontId="0" fillId="0" borderId="145" pivotButton="0" quotePrefix="0" xfId="0"/>
    <xf numFmtId="0" fontId="42" fillId="7" borderId="0" applyAlignment="1" pivotButton="0" quotePrefix="0" xfId="0">
      <alignment horizontal="center"/>
    </xf>
    <xf numFmtId="0" fontId="81" fillId="20" borderId="0" applyAlignment="1" pivotButton="0" quotePrefix="0" xfId="0">
      <alignment horizontal="center"/>
    </xf>
    <xf numFmtId="0" fontId="70" fillId="36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20" fillId="51" borderId="142" applyAlignment="1" pivotButton="0" quotePrefix="0" xfId="3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66" fillId="25" borderId="139" applyAlignment="1" pivotButton="0" quotePrefix="0" xfId="0">
      <alignment horizontal="center"/>
    </xf>
    <xf numFmtId="0" fontId="109" fillId="28" borderId="145" applyAlignment="1" pivotButton="0" quotePrefix="0" xfId="1">
      <alignment horizontal="center" vertical="center"/>
    </xf>
    <xf numFmtId="0" fontId="20" fillId="51" borderId="144" applyAlignment="1" pivotButton="0" quotePrefix="0" xfId="3">
      <alignment horizontal="center" vertical="center"/>
    </xf>
    <xf numFmtId="0" fontId="0" fillId="0" borderId="144" pivotButton="0" quotePrefix="0" xfId="0"/>
    <xf numFmtId="0" fontId="0" fillId="0" borderId="145" applyAlignment="1" pivotButton="0" quotePrefix="0" xfId="0">
      <alignment horizontal="center"/>
    </xf>
    <xf numFmtId="0" fontId="54" fillId="20" borderId="119" applyAlignment="1" pivotButton="0" quotePrefix="0" xfId="0">
      <alignment horizontal="center" vertical="center"/>
    </xf>
    <xf numFmtId="0" fontId="0" fillId="0" borderId="119" pivotButton="0" quotePrefix="0" xfId="0"/>
    <xf numFmtId="0" fontId="28" fillId="25" borderId="60" applyAlignment="1" pivotButton="0" quotePrefix="0" xfId="1">
      <alignment horizontal="center" vertical="center"/>
    </xf>
    <xf numFmtId="0" fontId="73" fillId="37" borderId="62" applyAlignment="1" pivotButton="0" quotePrefix="0" xfId="1">
      <alignment vertical="center" wrapText="1"/>
    </xf>
    <xf numFmtId="0" fontId="82" fillId="59" borderId="91" applyAlignment="1" pivotButton="0" quotePrefix="0" xfId="0">
      <alignment horizontal="center" vertical="center" wrapText="1"/>
    </xf>
    <xf numFmtId="0" fontId="42" fillId="0" borderId="145" applyAlignment="1" pivotButton="0" quotePrefix="0" xfId="0">
      <alignment horizontal="center"/>
    </xf>
    <xf numFmtId="0" fontId="81" fillId="20" borderId="145" applyAlignment="1" pivotButton="0" quotePrefix="0" xfId="0">
      <alignment horizontal="center"/>
    </xf>
    <xf numFmtId="0" fontId="42" fillId="6" borderId="145" applyAlignment="1" pivotButton="0" quotePrefix="0" xfId="0">
      <alignment horizontal="center"/>
    </xf>
    <xf numFmtId="0" fontId="73" fillId="38" borderId="29" applyAlignment="1" pivotButton="0" quotePrefix="0" xfId="1">
      <alignment vertical="center"/>
    </xf>
    <xf numFmtId="0" fontId="20" fillId="51" borderId="143" applyAlignment="1" pivotButton="0" quotePrefix="0" xfId="3">
      <alignment horizontal="center" vertical="center"/>
    </xf>
    <xf numFmtId="0" fontId="0" fillId="0" borderId="143" pivotButton="0" quotePrefix="0" xfId="0"/>
    <xf numFmtId="0" fontId="73" fillId="3" borderId="29" applyAlignment="1" pivotButton="0" quotePrefix="0" xfId="1">
      <alignment horizontal="center" vertical="center" wrapText="1"/>
    </xf>
    <xf numFmtId="0" fontId="60" fillId="34" borderId="91" applyAlignment="1" pivotButton="0" quotePrefix="0" xfId="0">
      <alignment horizontal="center"/>
    </xf>
    <xf numFmtId="0" fontId="79" fillId="3" borderId="130" applyAlignment="1" pivotButton="0" quotePrefix="0" xfId="0">
      <alignment horizontal="center" vertical="center" wrapText="1"/>
    </xf>
    <xf numFmtId="0" fontId="0" fillId="0" borderId="130" pivotButton="0" quotePrefix="0" xfId="0"/>
    <xf numFmtId="0" fontId="80" fillId="20" borderId="0" applyAlignment="1" pivotButton="0" quotePrefix="0" xfId="0">
      <alignment horizontal="center"/>
    </xf>
    <xf numFmtId="0" fontId="104" fillId="28" borderId="145" applyAlignment="1" pivotButton="0" quotePrefix="0" xfId="1">
      <alignment horizontal="center" vertical="top"/>
    </xf>
    <xf numFmtId="0" fontId="11" fillId="9" borderId="199" applyAlignment="1" pivotButton="0" quotePrefix="0" xfId="3">
      <alignment horizontal="center" wrapText="1"/>
    </xf>
    <xf numFmtId="0" fontId="0" fillId="0" borderId="92" pivotButton="0" quotePrefix="0" xfId="0"/>
    <xf numFmtId="0" fontId="0" fillId="0" borderId="0" pivotButton="0" quotePrefix="0" xfId="3"/>
    <xf numFmtId="0" fontId="22" fillId="4" borderId="18" applyAlignment="1" pivotButton="0" quotePrefix="0" xfId="3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45" fillId="10" borderId="106" applyAlignment="1" pivotButton="0" quotePrefix="0" xfId="3">
      <alignment horizontal="left" vertical="top" wrapText="1"/>
    </xf>
    <xf numFmtId="0" fontId="0" fillId="0" borderId="106" pivotButton="0" quotePrefix="0" xfId="0"/>
    <xf numFmtId="0" fontId="24" fillId="14" borderId="120" applyAlignment="1" pivotButton="0" quotePrefix="0" xfId="3">
      <alignment horizontal="center" vertical="center"/>
    </xf>
    <xf numFmtId="0" fontId="0" fillId="0" borderId="19" pivotButton="0" quotePrefix="0" xfId="0"/>
    <xf numFmtId="0" fontId="0" fillId="0" borderId="124" pivotButton="0" quotePrefix="0" xfId="0"/>
    <xf numFmtId="0" fontId="0" fillId="10" borderId="12" applyAlignment="1" pivotButton="0" quotePrefix="0" xfId="3">
      <alignment horizontal="left" vertical="center"/>
    </xf>
    <xf numFmtId="0" fontId="77" fillId="40" borderId="21" applyAlignment="1" pivotButton="0" quotePrefix="0" xfId="3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10" fontId="23" fillId="11" borderId="12" applyAlignment="1" pivotButton="0" quotePrefix="0" xfId="3">
      <alignment vertical="center"/>
    </xf>
    <xf numFmtId="0" fontId="0" fillId="10" borderId="0" applyAlignment="1" pivotButton="0" quotePrefix="0" xfId="3">
      <alignment horizontal="left" vertical="center"/>
    </xf>
    <xf numFmtId="0" fontId="77" fillId="10" borderId="120" applyAlignment="1" pivotButton="0" quotePrefix="0" xfId="3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9" borderId="22" applyAlignment="1" pivotButton="0" quotePrefix="0" xfId="3">
      <alignment horizontal="center" vertical="center"/>
    </xf>
    <xf numFmtId="0" fontId="26" fillId="10" borderId="22" applyAlignment="1" pivotButton="0" quotePrefix="0" xfId="3">
      <alignment horizontal="left" vertical="top" wrapText="1"/>
    </xf>
    <xf numFmtId="0" fontId="0" fillId="0" borderId="11" pivotButton="0" quotePrefix="0" xfId="0"/>
    <xf numFmtId="0" fontId="0" fillId="0" borderId="14" pivotButton="0" quotePrefix="0" xfId="0"/>
    <xf numFmtId="0" fontId="22" fillId="4" borderId="25" applyAlignment="1" pivotButton="0" quotePrefix="0" xfId="3">
      <alignment horizontal="center"/>
    </xf>
    <xf numFmtId="0" fontId="0" fillId="0" borderId="210" pivotButton="0" quotePrefix="0" xfId="0"/>
    <xf numFmtId="0" fontId="0" fillId="0" borderId="211" pivotButton="0" quotePrefix="0" xfId="0"/>
    <xf numFmtId="0" fontId="18" fillId="9" borderId="208" applyAlignment="1" pivotButton="0" quotePrefix="0" xfId="3">
      <alignment vertical="center"/>
    </xf>
    <xf numFmtId="0" fontId="0" fillId="0" borderId="132" applyAlignment="1" pivotButton="0" quotePrefix="0" xfId="3">
      <alignment vertical="center" wrapText="1"/>
    </xf>
    <xf numFmtId="0" fontId="0" fillId="0" borderId="132" pivotButton="0" quotePrefix="0" xfId="0"/>
    <xf numFmtId="0" fontId="24" fillId="14" borderId="120" applyAlignment="1" pivotButton="0" quotePrefix="0" xfId="3">
      <alignment horizontal="center" vertical="center" wrapText="1"/>
    </xf>
    <xf numFmtId="0" fontId="78" fillId="11" borderId="18" applyAlignment="1" pivotButton="0" quotePrefix="0" xfId="3">
      <alignment horizontal="center" vertical="center" wrapText="1"/>
    </xf>
    <xf numFmtId="0" fontId="0" fillId="0" borderId="23" applyAlignment="1" pivotButton="0" quotePrefix="0" xfId="3">
      <alignment horizontal="center" vertical="center"/>
    </xf>
    <xf numFmtId="0" fontId="22" fillId="4" borderId="24" applyAlignment="1" pivotButton="0" quotePrefix="0" xfId="3">
      <alignment horizontal="center"/>
    </xf>
    <xf numFmtId="0" fontId="0" fillId="0" borderId="202" pivotButton="0" quotePrefix="0" xfId="0"/>
    <xf numFmtId="0" fontId="0" fillId="0" borderId="203" pivotButton="0" quotePrefix="0" xfId="0"/>
    <xf numFmtId="0" fontId="0" fillId="0" borderId="205" pivotButton="0" quotePrefix="0" xfId="0"/>
    <xf numFmtId="0" fontId="0" fillId="0" borderId="206" pivotButton="0" quotePrefix="0" xfId="0"/>
    <xf numFmtId="0" fontId="0" fillId="0" borderId="207" pivotButton="0" quotePrefix="0" xfId="0"/>
    <xf numFmtId="0" fontId="23" fillId="12" borderId="12" applyAlignment="1" pivotButton="0" quotePrefix="0" xfId="3">
      <alignment vertical="center"/>
    </xf>
    <xf numFmtId="0" fontId="21" fillId="9" borderId="120" applyAlignment="1" pivotButton="0" quotePrefix="0" xfId="3">
      <alignment horizontal="center" vertical="center"/>
    </xf>
    <xf numFmtId="0" fontId="0" fillId="0" borderId="24" applyAlignment="1" pivotButton="0" quotePrefix="0" xfId="3">
      <alignment horizontal="center" vertical="center"/>
    </xf>
    <xf numFmtId="0" fontId="25" fillId="0" borderId="22" pivotButton="0" quotePrefix="0" xfId="3"/>
    <xf numFmtId="0" fontId="18" fillId="9" borderId="125" applyAlignment="1" pivotButton="0" quotePrefix="0" xfId="3">
      <alignment vertical="center"/>
    </xf>
    <xf numFmtId="0" fontId="77" fillId="10" borderId="124" applyAlignment="1" pivotButton="0" quotePrefix="0" xfId="3">
      <alignment vertical="center"/>
    </xf>
    <xf numFmtId="0" fontId="77" fillId="10" borderId="23" applyAlignment="1" pivotButton="0" quotePrefix="0" xfId="3">
      <alignment horizontal="center" vertical="center"/>
    </xf>
    <xf numFmtId="0" fontId="77" fillId="10" borderId="24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09" pivotButton="0" quotePrefix="0" xfId="0"/>
    <xf numFmtId="0" fontId="23" fillId="11" borderId="12" applyAlignment="1" pivotButton="0" quotePrefix="0" xfId="3">
      <alignment vertical="center"/>
    </xf>
    <xf numFmtId="0" fontId="24" fillId="14" borderId="22" applyAlignment="1" pivotButton="0" quotePrefix="0" xfId="3">
      <alignment horizontal="center" vertical="center"/>
    </xf>
    <xf numFmtId="0" fontId="0" fillId="0" borderId="120" applyAlignment="1" pivotButton="0" quotePrefix="0" xfId="3">
      <alignment horizontal="center" vertical="center"/>
    </xf>
    <xf numFmtId="0" fontId="45" fillId="4" borderId="13" applyAlignment="1" pivotButton="0" quotePrefix="0" xfId="3">
      <alignment horizontal="center" vertical="center"/>
    </xf>
    <xf numFmtId="0" fontId="18" fillId="9" borderId="127" applyAlignment="1" pivotButton="0" quotePrefix="0" xfId="3">
      <alignment vertical="center"/>
    </xf>
    <xf numFmtId="0" fontId="23" fillId="11" borderId="0" applyAlignment="1" pivotButton="0" quotePrefix="0" xfId="3">
      <alignment vertical="center"/>
    </xf>
    <xf numFmtId="0" fontId="18" fillId="9" borderId="120" applyAlignment="1" pivotButton="0" quotePrefix="0" xfId="3">
      <alignment vertical="center"/>
    </xf>
    <xf numFmtId="0" fontId="45" fillId="10" borderId="213" applyAlignment="1" pivotButton="0" quotePrefix="0" xfId="3">
      <alignment vertical="top" wrapText="1"/>
    </xf>
    <xf numFmtId="0" fontId="77" fillId="10" borderId="16" applyAlignment="1" pivotButton="0" quotePrefix="0" xfId="3">
      <alignment vertical="center"/>
    </xf>
    <xf numFmtId="0" fontId="25" fillId="0" borderId="120" pivotButton="0" quotePrefix="0" xfId="3"/>
    <xf numFmtId="0" fontId="0" fillId="0" borderId="101" applyAlignment="1" pivotButton="0" quotePrefix="0" xfId="3">
      <alignment horizontal="center"/>
    </xf>
    <xf numFmtId="0" fontId="0" fillId="0" borderId="101" pivotButton="0" quotePrefix="0" xfId="0"/>
    <xf numFmtId="0" fontId="77" fillId="10" borderId="16" applyAlignment="1" pivotButton="0" quotePrefix="0" xfId="3">
      <alignment horizontal="left" vertical="center"/>
    </xf>
    <xf numFmtId="0" fontId="0" fillId="0" borderId="216" applyAlignment="1" pivotButton="0" quotePrefix="0" xfId="3">
      <alignment horizontal="center"/>
    </xf>
    <xf numFmtId="0" fontId="0" fillId="0" borderId="134" pivotButton="0" quotePrefix="0" xfId="0"/>
    <xf numFmtId="0" fontId="105" fillId="44" borderId="92" applyAlignment="1" pivotButton="0" quotePrefix="0" xfId="3">
      <alignment horizontal="center" vertical="center" wrapText="1"/>
    </xf>
    <xf numFmtId="0" fontId="18" fillId="9" borderId="126" applyAlignment="1" pivotButton="0" quotePrefix="0" xfId="3">
      <alignment vertical="center"/>
    </xf>
    <xf numFmtId="0" fontId="77" fillId="10" borderId="12" applyAlignment="1" pivotButton="0" quotePrefix="0" xfId="3">
      <alignment vertical="center"/>
    </xf>
    <xf numFmtId="0" fontId="31" fillId="11" borderId="0" applyAlignment="1" pivotButton="0" quotePrefix="0" xfId="3">
      <alignment horizontal="center" vertical="center" wrapText="1"/>
    </xf>
    <xf numFmtId="0" fontId="18" fillId="9" borderId="123" applyAlignment="1" pivotButton="0" quotePrefix="0" xfId="3">
      <alignment vertical="center"/>
    </xf>
    <xf numFmtId="0" fontId="0" fillId="0" borderId="215" pivotButton="0" quotePrefix="0" xfId="0"/>
    <xf numFmtId="0" fontId="45" fillId="4" borderId="122" applyAlignment="1" pivotButton="0" quotePrefix="0" xfId="3">
      <alignment horizontal="center" vertical="center"/>
    </xf>
    <xf numFmtId="0" fontId="0" fillId="0" borderId="122" pivotButton="0" quotePrefix="0" xfId="0"/>
    <xf numFmtId="0" fontId="31" fillId="11" borderId="15" applyAlignment="1" pivotButton="0" quotePrefix="0" xfId="3">
      <alignment horizontal="center" vertical="center" wrapText="1"/>
    </xf>
    <xf numFmtId="0" fontId="109" fillId="44" borderId="92" applyAlignment="1" pivotButton="0" quotePrefix="0" xfId="3">
      <alignment horizontal="center" vertical="center" wrapText="1"/>
    </xf>
    <xf numFmtId="0" fontId="45" fillId="10" borderId="212" applyAlignment="1" pivotButton="0" quotePrefix="0" xfId="3">
      <alignment horizontal="left" vertical="top" wrapText="1"/>
    </xf>
    <xf numFmtId="0" fontId="77" fillId="10" borderId="92" applyAlignment="1" pivotButton="0" quotePrefix="0" xfId="3">
      <alignment vertical="center"/>
    </xf>
    <xf numFmtId="0" fontId="31" fillId="11" borderId="12" applyAlignment="1" pivotButton="0" quotePrefix="0" xfId="3">
      <alignment horizontal="center" vertical="center" wrapText="1"/>
    </xf>
    <xf numFmtId="0" fontId="0" fillId="0" borderId="131" applyAlignment="1" pivotButton="0" quotePrefix="0" xfId="3">
      <alignment vertical="center" wrapText="1"/>
    </xf>
    <xf numFmtId="0" fontId="0" fillId="0" borderId="214" pivotButton="0" quotePrefix="0" xfId="0"/>
    <xf numFmtId="0" fontId="0" fillId="0" borderId="131" pivotButton="0" quotePrefix="0" xfId="0"/>
    <xf numFmtId="0" fontId="78" fillId="11" borderId="17" applyAlignment="1" pivotButton="0" quotePrefix="0" xfId="3">
      <alignment horizontal="center" vertical="center" wrapText="1"/>
    </xf>
    <xf numFmtId="0" fontId="0" fillId="0" borderId="17" pivotButton="0" quotePrefix="0" xfId="0"/>
    <xf numFmtId="0" fontId="106" fillId="55" borderId="0" applyAlignment="1" pivotButton="0" quotePrefix="0" xfId="4">
      <alignment horizontal="center" vertical="center" wrapText="1"/>
    </xf>
    <xf numFmtId="0" fontId="4" fillId="0" borderId="0" pivotButton="0" quotePrefix="0" xfId="4"/>
    <xf numFmtId="0" fontId="124" fillId="57" borderId="183" applyAlignment="1" pivotButton="0" quotePrefix="0" xfId="4">
      <alignment horizontal="center" vertical="center" wrapText="1"/>
    </xf>
    <xf numFmtId="0" fontId="0" fillId="0" borderId="185" pivotButton="0" quotePrefix="0" xfId="0"/>
    <xf numFmtId="0" fontId="126" fillId="55" borderId="183" applyAlignment="1" pivotButton="0" quotePrefix="0" xfId="4">
      <alignment vertical="center" wrapText="1"/>
    </xf>
    <xf numFmtId="0" fontId="0" fillId="0" borderId="184" pivotButton="0" quotePrefix="0" xfId="0"/>
    <xf numFmtId="0" fontId="127" fillId="54" borderId="175" applyAlignment="1" pivotButton="0" quotePrefix="0" xfId="4">
      <alignment horizontal="left" vertical="center" wrapText="1"/>
    </xf>
    <xf numFmtId="0" fontId="40" fillId="25" borderId="180" applyAlignment="1" pivotButton="0" quotePrefix="0" xfId="4">
      <alignment horizontal="left" vertical="center"/>
    </xf>
    <xf numFmtId="0" fontId="0" fillId="0" borderId="180" pivotButton="0" quotePrefix="0" xfId="0"/>
    <xf numFmtId="0" fontId="127" fillId="54" borderId="217" applyAlignment="1" pivotButton="0" quotePrefix="0" xfId="4">
      <alignment vertical="center" wrapText="1"/>
    </xf>
    <xf numFmtId="0" fontId="0" fillId="0" borderId="182" pivotButton="0" quotePrefix="0" xfId="0"/>
    <xf numFmtId="0" fontId="126" fillId="54" borderId="183" applyAlignment="1" pivotButton="0" quotePrefix="0" xfId="4">
      <alignment vertical="center" wrapText="1"/>
    </xf>
    <xf numFmtId="0" fontId="0" fillId="0" borderId="186" pivotButton="0" quotePrefix="0" xfId="0"/>
    <xf numFmtId="0" fontId="0" fillId="0" borderId="187" pivotButton="0" quotePrefix="0" xfId="0"/>
    <xf numFmtId="0" fontId="0" fillId="0" borderId="188" pivotButton="0" quotePrefix="0" xfId="0"/>
    <xf numFmtId="0" fontId="0" fillId="0" borderId="189" pivotButton="0" quotePrefix="0" xfId="0"/>
    <xf numFmtId="0" fontId="0" fillId="0" borderId="190" pivotButton="0" quotePrefix="0" xfId="0"/>
    <xf numFmtId="0" fontId="127" fillId="54" borderId="173" applyAlignment="1" pivotButton="0" quotePrefix="0" xfId="4">
      <alignment horizontal="left" vertical="center" wrapText="1"/>
    </xf>
    <xf numFmtId="0" fontId="0" fillId="0" borderId="181" pivotButton="0" quotePrefix="0" xfId="0"/>
    <xf numFmtId="0" fontId="126" fillId="55" borderId="183" applyAlignment="1" pivotButton="0" quotePrefix="0" xfId="4">
      <alignment horizontal="center" vertical="center" wrapText="1"/>
    </xf>
    <xf numFmtId="0" fontId="127" fillId="54" borderId="217" applyAlignment="1" pivotButton="0" quotePrefix="0" xfId="4">
      <alignment horizontal="left" vertical="center" wrapText="1"/>
    </xf>
    <xf numFmtId="0" fontId="126" fillId="55" borderId="183" applyAlignment="1" pivotButton="0" quotePrefix="0" xfId="4">
      <alignment horizontal="left" vertical="center" wrapText="1"/>
    </xf>
    <xf numFmtId="0" fontId="123" fillId="28" borderId="217" applyAlignment="1" pivotButton="0" quotePrefix="0" xfId="4">
      <alignment horizontal="center" vertical="center"/>
    </xf>
    <xf numFmtId="0" fontId="0" fillId="0" borderId="193" pivotButton="0" quotePrefix="0" xfId="0"/>
    <xf numFmtId="0" fontId="0" fillId="0" borderId="195" pivotButton="0" quotePrefix="0" xfId="0"/>
    <xf numFmtId="0" fontId="0" fillId="0" borderId="196" pivotButton="0" quotePrefix="0" xfId="0"/>
    <xf numFmtId="0" fontId="0" fillId="0" borderId="197" pivotButton="0" quotePrefix="0" xfId="0"/>
    <xf numFmtId="0" fontId="127" fillId="54" borderId="175" applyAlignment="1" pivotButton="0" quotePrefix="0" xfId="4">
      <alignment vertical="center" wrapText="1"/>
    </xf>
    <xf numFmtId="0" fontId="127" fillId="54" borderId="183" applyAlignment="1" pivotButton="0" quotePrefix="0" xfId="4">
      <alignment vertical="center" wrapText="1"/>
    </xf>
    <xf numFmtId="0" fontId="40" fillId="25" borderId="0" applyAlignment="1" pivotButton="0" quotePrefix="0" xfId="4">
      <alignment horizontal="center" vertical="center"/>
    </xf>
    <xf numFmtId="0" fontId="126" fillId="55" borderId="221" applyAlignment="1" pivotButton="0" quotePrefix="0" xfId="4">
      <alignment horizontal="center" vertical="center"/>
    </xf>
    <xf numFmtId="0" fontId="0" fillId="0" borderId="179" pivotButton="0" quotePrefix="0" xfId="0"/>
    <xf numFmtId="0" fontId="127" fillId="55" borderId="183" applyAlignment="1" pivotButton="0" quotePrefix="0" xfId="4">
      <alignment horizontal="center" wrapText="1"/>
    </xf>
    <xf numFmtId="0" fontId="73" fillId="41" borderId="183" applyAlignment="1" pivotButton="0" quotePrefix="0" xfId="4">
      <alignment horizontal="center" vertical="center" wrapText="1"/>
    </xf>
    <xf numFmtId="0" fontId="122" fillId="28" borderId="217" applyAlignment="1" pivotButton="0" quotePrefix="0" xfId="4">
      <alignment horizontal="center" vertical="center" wrapText="1"/>
    </xf>
    <xf numFmtId="0" fontId="126" fillId="55" borderId="219" applyAlignment="1" pivotButton="0" quotePrefix="0" xfId="4">
      <alignment horizontal="center" vertical="center"/>
    </xf>
    <xf numFmtId="0" fontId="0" fillId="0" borderId="174" pivotButton="0" quotePrefix="0" xfId="0"/>
    <xf numFmtId="0" fontId="118" fillId="28" borderId="177" applyAlignment="1" pivotButton="0" quotePrefix="0" xfId="4">
      <alignment horizontal="center" vertical="center"/>
    </xf>
    <xf numFmtId="0" fontId="0" fillId="0" borderId="177" pivotButton="0" quotePrefix="0" xfId="0"/>
    <xf numFmtId="0" fontId="3" fillId="0" borderId="183" applyAlignment="1" pivotButton="0" quotePrefix="0" xfId="4">
      <alignment horizontal="center"/>
    </xf>
    <xf numFmtId="0" fontId="118" fillId="25" borderId="0" applyAlignment="1" pivotButton="0" quotePrefix="0" xfId="4">
      <alignment horizontal="center" vertical="center"/>
    </xf>
    <xf numFmtId="0" fontId="40" fillId="25" borderId="218" applyAlignment="1" pivotButton="0" quotePrefix="0" xfId="4">
      <alignment horizontal="center" vertical="center"/>
    </xf>
    <xf numFmtId="0" fontId="0" fillId="0" borderId="170" pivotButton="0" quotePrefix="0" xfId="0"/>
    <xf numFmtId="0" fontId="0" fillId="0" borderId="171" pivotButton="0" quotePrefix="0" xfId="0"/>
    <xf numFmtId="0" fontId="126" fillId="55" borderId="192" applyAlignment="1" pivotButton="0" quotePrefix="0" xfId="4">
      <alignment vertical="center" wrapText="1"/>
    </xf>
    <xf numFmtId="0" fontId="0" fillId="0" borderId="222" pivotButton="0" quotePrefix="0" xfId="0"/>
    <xf numFmtId="0" fontId="0" fillId="0" borderId="223" pivotButton="0" quotePrefix="0" xfId="0"/>
    <xf numFmtId="0" fontId="3" fillId="0" borderId="194" pivotButton="0" quotePrefix="0" xfId="4"/>
    <xf numFmtId="0" fontId="0" fillId="0" borderId="194" pivotButton="0" quotePrefix="0" xfId="0"/>
    <xf numFmtId="0" fontId="126" fillId="55" borderId="217" applyAlignment="1" pivotButton="0" quotePrefix="0" xfId="4">
      <alignment vertical="center" wrapText="1"/>
    </xf>
    <xf numFmtId="0" fontId="127" fillId="54" borderId="183" applyAlignment="1" pivotButton="0" quotePrefix="0" xfId="4">
      <alignment horizontal="left" vertical="center" wrapText="1"/>
    </xf>
    <xf numFmtId="0" fontId="128" fillId="41" borderId="191" applyAlignment="1" pivotButton="0" quotePrefix="0" xfId="4">
      <alignment horizontal="center" vertical="center" wrapText="1"/>
    </xf>
    <xf numFmtId="0" fontId="0" fillId="0" borderId="191" pivotButton="0" quotePrefix="0" xfId="0"/>
    <xf numFmtId="0" fontId="126" fillId="55" borderId="220" applyAlignment="1" pivotButton="0" quotePrefix="0" xfId="4">
      <alignment horizontal="center" vertical="center"/>
    </xf>
    <xf numFmtId="0" fontId="0" fillId="0" borderId="176" pivotButton="0" quotePrefix="0" xfId="0"/>
    <xf numFmtId="166" fontId="126" fillId="55" borderId="183" applyAlignment="1" pivotButton="0" quotePrefix="0" xfId="4">
      <alignment vertical="center" wrapText="1"/>
    </xf>
    <xf numFmtId="0" fontId="126" fillId="55" borderId="217" applyAlignment="1" pivotButton="0" quotePrefix="0" xfId="4">
      <alignment horizontal="center" vertical="center" wrapText="1"/>
    </xf>
    <xf numFmtId="0" fontId="104" fillId="28" borderId="0" applyAlignment="1" pivotButton="0" quotePrefix="0" xfId="1">
      <alignment horizontal="center" vertical="top"/>
    </xf>
    <xf numFmtId="0" fontId="8" fillId="0" borderId="0" applyAlignment="1" pivotButton="0" quotePrefix="0" xfId="1">
      <alignment horizontal="center" vertical="center"/>
    </xf>
    <xf numFmtId="0" fontId="77" fillId="11" borderId="65" applyAlignment="1" pivotButton="0" quotePrefix="0" xfId="3">
      <alignment vertical="center"/>
    </xf>
    <xf numFmtId="0" fontId="37" fillId="0" borderId="56" applyAlignment="1" pivotButton="0" quotePrefix="0" xfId="1">
      <alignment horizontal="left" vertical="center"/>
    </xf>
    <xf numFmtId="0" fontId="0" fillId="0" borderId="56" pivotButton="0" quotePrefix="0" xfId="0"/>
    <xf numFmtId="0" fontId="59" fillId="3" borderId="67" applyAlignment="1" pivotButton="0" quotePrefix="0" xfId="1">
      <alignment horizontal="center" vertical="center"/>
    </xf>
    <xf numFmtId="0" fontId="0" fillId="0" borderId="94" pivotButton="0" quotePrefix="0" xfId="0"/>
    <xf numFmtId="0" fontId="37" fillId="0" borderId="64" applyAlignment="1" pivotButton="0" quotePrefix="0" xfId="1">
      <alignment horizontal="center" vertical="center" wrapText="1"/>
    </xf>
    <xf numFmtId="0" fontId="52" fillId="27" borderId="29" applyAlignment="1" pivotButton="0" quotePrefix="0" xfId="1">
      <alignment horizontal="left" vertical="center" wrapText="1"/>
    </xf>
    <xf numFmtId="0" fontId="34" fillId="0" borderId="58" applyAlignment="1" pivotButton="0" quotePrefix="0" xfId="1">
      <alignment horizontal="left" vertical="center"/>
    </xf>
    <xf numFmtId="0" fontId="0" fillId="0" borderId="58" pivotButton="0" quotePrefix="0" xfId="0"/>
    <xf numFmtId="0" fontId="37" fillId="0" borderId="54" applyAlignment="1" pivotButton="0" quotePrefix="0" xfId="1">
      <alignment horizontal="center" vertical="center" wrapText="1"/>
    </xf>
    <xf numFmtId="0" fontId="0" fillId="0" borderId="54" pivotButton="0" quotePrefix="0" xfId="0"/>
    <xf numFmtId="164" fontId="37" fillId="4" borderId="65" applyAlignment="1" pivotButton="0" quotePrefix="0" xfId="1">
      <alignment vertical="center" wrapText="1"/>
    </xf>
    <xf numFmtId="0" fontId="57" fillId="23" borderId="80" applyAlignment="1" pivotButton="0" quotePrefix="0" xfId="1">
      <alignment horizontal="center" vertical="center"/>
    </xf>
    <xf numFmtId="0" fontId="0" fillId="0" borderId="53" pivotButton="0" quotePrefix="0" xfId="0"/>
    <xf numFmtId="0" fontId="0" fillId="0" borderId="80" pivotButton="0" quotePrefix="0" xfId="0"/>
    <xf numFmtId="0" fontId="37" fillId="0" borderId="29" applyAlignment="1" pivotButton="0" quotePrefix="0" xfId="1">
      <alignment horizontal="center" vertical="center"/>
    </xf>
    <xf numFmtId="0" fontId="41" fillId="21" borderId="66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0" fillId="0" borderId="204" pivotButton="0" quotePrefix="0" xfId="0"/>
    <xf numFmtId="0" fontId="37" fillId="0" borderId="64" applyAlignment="1" pivotButton="0" quotePrefix="0" xfId="1">
      <alignment horizontal="left" vertical="center" wrapText="1"/>
    </xf>
    <xf numFmtId="0" fontId="37" fillId="0" borderId="84" applyAlignment="1" pivotButton="0" quotePrefix="0" xfId="1">
      <alignment horizontal="left" vertical="center"/>
    </xf>
    <xf numFmtId="0" fontId="0" fillId="0" borderId="57" pivotButton="0" quotePrefix="0" xfId="0"/>
    <xf numFmtId="0" fontId="37" fillId="0" borderId="29" applyAlignment="1" pivotButton="0" quotePrefix="0" xfId="1">
      <alignment horizontal="left" vertical="center"/>
    </xf>
    <xf numFmtId="0" fontId="37" fillId="0" borderId="86" applyAlignment="1" pivotButton="0" quotePrefix="0" xfId="1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" fillId="0" borderId="0" applyAlignment="1" pivotButton="0" quotePrefix="0" xfId="1">
      <alignment horizontal="left" vertical="center"/>
    </xf>
    <xf numFmtId="0" fontId="37" fillId="16" borderId="29" applyAlignment="1" pivotButton="0" quotePrefix="0" xfId="1">
      <alignment horizontal="left" vertical="center" wrapText="1"/>
    </xf>
    <xf numFmtId="0" fontId="37" fillId="0" borderId="64" applyAlignment="1" pivotButton="0" quotePrefix="0" xfId="1">
      <alignment horizontal="left" vertical="center"/>
    </xf>
    <xf numFmtId="0" fontId="37" fillId="0" borderId="29" applyAlignment="1" pivotButton="0" quotePrefix="0" xfId="1">
      <alignment horizontal="center" vertical="center" wrapText="1"/>
    </xf>
    <xf numFmtId="0" fontId="56" fillId="25" borderId="119" applyAlignment="1" pivotButton="0" quotePrefix="0" xfId="1">
      <alignment horizontal="center" vertical="center"/>
    </xf>
    <xf numFmtId="0" fontId="45" fillId="4" borderId="98" applyAlignment="1" pivotButton="0" quotePrefix="0" xfId="3">
      <alignment horizontal="center" vertical="center"/>
    </xf>
    <xf numFmtId="0" fontId="0" fillId="0" borderId="98" pivotButton="0" quotePrefix="0" xfId="0"/>
    <xf numFmtId="0" fontId="37" fillId="16" borderId="32" applyAlignment="1" pivotButton="0" quotePrefix="0" xfId="1">
      <alignment horizontal="left" vertical="center" wrapText="1"/>
    </xf>
    <xf numFmtId="0" fontId="37" fillId="0" borderId="82" applyAlignment="1" pivotButton="0" quotePrefix="0" xfId="1">
      <alignment horizontal="left" vertical="center"/>
    </xf>
    <xf numFmtId="0" fontId="37" fillId="0" borderId="87" applyAlignment="1" pivotButton="0" quotePrefix="0" xfId="1">
      <alignment horizontal="center" vertical="center" wrapText="1"/>
    </xf>
    <xf numFmtId="0" fontId="0" fillId="0" borderId="235" pivotButton="0" quotePrefix="0" xfId="0"/>
    <xf numFmtId="0" fontId="0" fillId="0" borderId="236" pivotButton="0" quotePrefix="0" xfId="0"/>
    <xf numFmtId="0" fontId="59" fillId="3" borderId="6" applyAlignment="1" pivotButton="0" quotePrefix="0" xfId="1">
      <alignment horizontal="center" vertical="center" wrapText="1"/>
    </xf>
    <xf numFmtId="0" fontId="0" fillId="0" borderId="3" pivotButton="0" quotePrefix="0" xfId="0"/>
    <xf numFmtId="0" fontId="37" fillId="0" borderId="65" applyAlignment="1" pivotButton="0" quotePrefix="0" xfId="1">
      <alignment horizontal="center" vertical="center" wrapText="1"/>
    </xf>
    <xf numFmtId="0" fontId="73" fillId="27" borderId="64" applyAlignment="1" pivotButton="0" quotePrefix="0" xfId="1">
      <alignment horizontal="left" vertical="center"/>
    </xf>
    <xf numFmtId="0" fontId="57" fillId="3" borderId="5" applyAlignment="1" pivotButton="0" quotePrefix="0" xfId="1">
      <alignment horizontal="center" vertical="center"/>
    </xf>
    <xf numFmtId="0" fontId="0" fillId="0" borderId="8" pivotButton="0" quotePrefix="0" xfId="0"/>
    <xf numFmtId="0" fontId="57" fillId="34" borderId="83" applyAlignment="1" pivotButton="0" quotePrefix="0" xfId="1">
      <alignment horizontal="center" vertical="center" wrapText="1"/>
    </xf>
    <xf numFmtId="0" fontId="0" fillId="0" borderId="83" pivotButton="0" quotePrefix="0" xfId="0"/>
    <xf numFmtId="0" fontId="36" fillId="3" borderId="65" applyAlignment="1" pivotButton="0" quotePrefix="0" xfId="1">
      <alignment horizontal="center" vertical="center" wrapText="1"/>
    </xf>
    <xf numFmtId="0" fontId="37" fillId="0" borderId="57" applyAlignment="1" pivotButton="0" quotePrefix="0" xfId="1">
      <alignment horizontal="center" vertical="center"/>
    </xf>
    <xf numFmtId="0" fontId="57" fillId="3" borderId="225" applyAlignment="1" pivotButton="0" quotePrefix="0" xfId="1">
      <alignment horizontal="center" vertical="center" wrapText="1"/>
    </xf>
    <xf numFmtId="0" fontId="0" fillId="0" borderId="44" pivotButton="0" quotePrefix="0" xfId="0"/>
    <xf numFmtId="0" fontId="0" fillId="0" borderId="73" pivotButton="0" quotePrefix="0" xfId="0"/>
    <xf numFmtId="0" fontId="52" fillId="23" borderId="29" applyAlignment="1" pivotButton="0" quotePrefix="0" xfId="1">
      <alignment horizontal="center" vertical="center"/>
    </xf>
    <xf numFmtId="0" fontId="66" fillId="25" borderId="100" applyAlignment="1" pivotButton="0" quotePrefix="0" xfId="2">
      <alignment horizontal="center"/>
    </xf>
    <xf numFmtId="0" fontId="57" fillId="34" borderId="79" applyAlignment="1" pivotButton="0" quotePrefix="0" xfId="1">
      <alignment horizontal="center" vertical="center"/>
    </xf>
    <xf numFmtId="0" fontId="41" fillId="21" borderId="69" applyAlignment="1" pivotButton="0" quotePrefix="0" xfId="1">
      <alignment horizontal="center" vertical="center"/>
    </xf>
    <xf numFmtId="0" fontId="72" fillId="0" borderId="8" applyAlignment="1" pivotButton="0" quotePrefix="0" xfId="1">
      <alignment horizontal="center" vertical="center"/>
    </xf>
    <xf numFmtId="0" fontId="37" fillId="0" borderId="55" applyAlignment="1" pivotButton="0" quotePrefix="0" xfId="1">
      <alignment horizontal="center" vertical="center" wrapText="1"/>
    </xf>
    <xf numFmtId="0" fontId="0" fillId="0" borderId="55" pivotButton="0" quotePrefix="0" xfId="0"/>
    <xf numFmtId="0" fontId="41" fillId="21" borderId="4" applyAlignment="1" pivotButton="0" quotePrefix="0" xfId="1">
      <alignment horizontal="center" vertical="center"/>
    </xf>
    <xf numFmtId="0" fontId="0" fillId="0" borderId="230" pivotButton="0" quotePrefix="0" xfId="0"/>
    <xf numFmtId="0" fontId="0" fillId="0" borderId="232" pivotButton="0" quotePrefix="0" xfId="0"/>
    <xf numFmtId="164" fontId="37" fillId="4" borderId="75" applyAlignment="1" pivotButton="0" quotePrefix="0" xfId="1">
      <alignment vertical="center" wrapText="1"/>
    </xf>
    <xf numFmtId="0" fontId="0" fillId="0" borderId="75" pivotButton="0" quotePrefix="0" xfId="0"/>
    <xf numFmtId="0" fontId="52" fillId="27" borderId="29" applyAlignment="1" pivotButton="0" quotePrefix="0" xfId="1">
      <alignment horizontal="right" vertical="center"/>
    </xf>
    <xf numFmtId="0" fontId="59" fillId="3" borderId="6" applyAlignment="1" pivotButton="0" quotePrefix="0" xfId="1">
      <alignment horizontal="center" vertical="center"/>
    </xf>
    <xf numFmtId="0" fontId="77" fillId="11" borderId="100" applyAlignment="1" pivotButton="0" quotePrefix="0" xfId="3">
      <alignment horizontal="left" vertical="center"/>
    </xf>
    <xf numFmtId="0" fontId="57" fillId="3" borderId="226" applyAlignment="1" pivotButton="0" quotePrefix="0" xfId="1">
      <alignment horizontal="center" vertical="center"/>
    </xf>
    <xf numFmtId="0" fontId="52" fillId="3" borderId="29" applyAlignment="1" pivotButton="0" quotePrefix="0" xfId="1">
      <alignment vertical="center"/>
    </xf>
    <xf numFmtId="0" fontId="57" fillId="3" borderId="226" applyAlignment="1" pivotButton="0" quotePrefix="0" xfId="1">
      <alignment horizontal="center" vertical="center" wrapText="1"/>
    </xf>
    <xf numFmtId="0" fontId="41" fillId="21" borderId="2" applyAlignment="1" pivotButton="0" quotePrefix="0" xfId="1">
      <alignment horizontal="center" vertical="center"/>
    </xf>
    <xf numFmtId="0" fontId="0" fillId="0" borderId="231" pivotButton="0" quotePrefix="0" xfId="0"/>
    <xf numFmtId="0" fontId="103" fillId="3" borderId="226" applyAlignment="1" pivotButton="0" quotePrefix="0" xfId="1">
      <alignment horizontal="center" vertical="center"/>
    </xf>
    <xf numFmtId="0" fontId="0" fillId="0" borderId="52" pivotButton="0" quotePrefix="0" xfId="0"/>
    <xf numFmtId="0" fontId="71" fillId="31" borderId="228" applyAlignment="1" pivotButton="0" quotePrefix="0" xfId="1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71" fillId="31" borderId="224" applyAlignment="1" pivotButton="0" quotePrefix="0" xfId="1">
      <alignment horizontal="center" vertical="center"/>
    </xf>
    <xf numFmtId="0" fontId="0" fillId="0" borderId="93" pivotButton="0" quotePrefix="0" xfId="0"/>
    <xf numFmtId="0" fontId="72" fillId="0" borderId="3" applyAlignment="1" pivotButton="0" quotePrefix="0" xfId="1">
      <alignment horizontal="center" vertical="center"/>
    </xf>
    <xf numFmtId="0" fontId="59" fillId="8" borderId="95" applyAlignment="1" pivotButton="0" quotePrefix="0" xfId="1">
      <alignment horizontal="center" vertical="center"/>
    </xf>
    <xf numFmtId="0" fontId="0" fillId="0" borderId="59" pivotButton="0" quotePrefix="0" xfId="0"/>
    <xf numFmtId="0" fontId="59" fillId="8" borderId="96" applyAlignment="1" pivotButton="0" quotePrefix="0" xfId="1">
      <alignment horizontal="center" vertical="center"/>
    </xf>
    <xf numFmtId="0" fontId="0" fillId="0" borderId="96" pivotButton="0" quotePrefix="0" xfId="0"/>
    <xf numFmtId="0" fontId="56" fillId="20" borderId="69" applyAlignment="1" pivotButton="0" quotePrefix="0" xfId="1">
      <alignment horizontal="center" vertical="center"/>
    </xf>
    <xf numFmtId="0" fontId="37" fillId="0" borderId="83" applyAlignment="1" pivotButton="0" quotePrefix="0" xfId="1">
      <alignment horizontal="center" vertical="center" wrapText="1"/>
    </xf>
    <xf numFmtId="164" fontId="37" fillId="4" borderId="77" applyAlignment="1" pivotButton="0" quotePrefix="0" xfId="1">
      <alignment vertical="center" wrapText="1"/>
    </xf>
    <xf numFmtId="0" fontId="0" fillId="0" borderId="77" pivotButton="0" quotePrefix="0" xfId="0"/>
    <xf numFmtId="0" fontId="37" fillId="0" borderId="82" applyAlignment="1" pivotButton="0" quotePrefix="0" xfId="1">
      <alignment horizontal="center" vertical="center" wrapText="1"/>
    </xf>
    <xf numFmtId="0" fontId="45" fillId="4" borderId="119" applyAlignment="1" pivotButton="0" quotePrefix="0" xfId="3">
      <alignment horizontal="center" vertical="center"/>
    </xf>
    <xf numFmtId="0" fontId="37" fillId="0" borderId="98" applyAlignment="1" pivotButton="0" quotePrefix="0" xfId="1">
      <alignment horizontal="center" vertical="center"/>
    </xf>
    <xf numFmtId="0" fontId="57" fillId="3" borderId="227" applyAlignment="1" pivotButton="0" quotePrefix="0" xfId="1">
      <alignment horizontal="center" vertical="center"/>
    </xf>
    <xf numFmtId="0" fontId="0" fillId="0" borderId="72" pivotButton="0" quotePrefix="0" xfId="0"/>
    <xf numFmtId="0" fontId="59" fillId="3" borderId="68" applyAlignment="1" pivotButton="0" quotePrefix="0" xfId="1">
      <alignment horizontal="center" vertical="center" wrapText="1"/>
    </xf>
    <xf numFmtId="0" fontId="0" fillId="0" borderId="297" pivotButton="0" quotePrefix="0" xfId="0"/>
    <xf numFmtId="0" fontId="72" fillId="0" borderId="94" applyAlignment="1" pivotButton="0" quotePrefix="0" xfId="1">
      <alignment horizontal="center" vertical="center"/>
    </xf>
    <xf numFmtId="0" fontId="56" fillId="20" borderId="78" applyAlignment="1" pivotButton="0" quotePrefix="0" xfId="1">
      <alignment horizontal="center" vertical="center"/>
    </xf>
    <xf numFmtId="0" fontId="0" fillId="0" borderId="239" pivotButton="0" quotePrefix="0" xfId="0"/>
    <xf numFmtId="0" fontId="0" fillId="0" borderId="240" pivotButton="0" quotePrefix="0" xfId="0"/>
    <xf numFmtId="0" fontId="57" fillId="3" borderId="69" applyAlignment="1" pivotButton="0" quotePrefix="0" xfId="1">
      <alignment horizontal="center" vertical="center"/>
    </xf>
    <xf numFmtId="0" fontId="37" fillId="0" borderId="56" applyAlignment="1" pivotButton="0" quotePrefix="0" xfId="1">
      <alignment horizontal="center" vertical="center"/>
    </xf>
    <xf numFmtId="0" fontId="37" fillId="0" borderId="84" applyAlignment="1" pivotButton="0" quotePrefix="0" xfId="1">
      <alignment horizontal="center" vertical="center" wrapText="1"/>
    </xf>
    <xf numFmtId="0" fontId="34" fillId="0" borderId="98" applyAlignment="1" pivotButton="0" quotePrefix="0" xfId="1">
      <alignment horizontal="center" vertical="center"/>
    </xf>
    <xf numFmtId="0" fontId="71" fillId="31" borderId="229" applyAlignment="1" pivotButton="0" quotePrefix="0" xfId="1">
      <alignment horizontal="center" vertical="center"/>
    </xf>
    <xf numFmtId="0" fontId="37" fillId="0" borderId="85" applyAlignment="1" pivotButton="0" quotePrefix="0" xfId="1">
      <alignment horizontal="center" vertical="center" wrapText="1"/>
    </xf>
    <xf numFmtId="0" fontId="0" fillId="0" borderId="85" pivotButton="0" quotePrefix="0" xfId="0"/>
    <xf numFmtId="0" fontId="69" fillId="20" borderId="92" applyAlignment="1" pivotButton="0" quotePrefix="0" xfId="1">
      <alignment horizontal="center" vertical="center" wrapText="1"/>
    </xf>
    <xf numFmtId="0" fontId="52" fillId="3" borderId="29" applyAlignment="1" pivotButton="0" quotePrefix="0" xfId="1">
      <alignment horizontal="center" vertical="center" wrapText="1"/>
    </xf>
    <xf numFmtId="0" fontId="73" fillId="27" borderId="61" applyAlignment="1" pivotButton="0" quotePrefix="0" xfId="1">
      <alignment horizontal="left" vertical="center" wrapText="1"/>
    </xf>
    <xf numFmtId="0" fontId="37" fillId="0" borderId="88" applyAlignment="1" pivotButton="0" quotePrefix="0" xfId="1">
      <alignment horizontal="center" vertical="center" wrapText="1"/>
    </xf>
    <xf numFmtId="0" fontId="0" fillId="0" borderId="237" pivotButton="0" quotePrefix="0" xfId="0"/>
    <xf numFmtId="0" fontId="0" fillId="0" borderId="238" pivotButton="0" quotePrefix="0" xfId="0"/>
    <xf numFmtId="0" fontId="57" fillId="34" borderId="82" applyAlignment="1" pivotButton="0" quotePrefix="0" xfId="1">
      <alignment horizontal="center" vertical="center" wrapText="1"/>
    </xf>
    <xf numFmtId="0" fontId="41" fillId="21" borderId="89" applyAlignment="1" pivotButton="0" quotePrefix="0" xfId="1">
      <alignment horizontal="center" vertical="center"/>
    </xf>
    <xf numFmtId="0" fontId="52" fillId="27" borderId="29" applyAlignment="1" pivotButton="0" quotePrefix="0" xfId="1">
      <alignment horizontal="right" vertical="center" wrapText="1"/>
    </xf>
    <xf numFmtId="0" fontId="108" fillId="28" borderId="0" applyAlignment="1" pivotButton="0" quotePrefix="0" xfId="1">
      <alignment horizontal="center" vertical="center"/>
    </xf>
    <xf numFmtId="0" fontId="41" fillId="21" borderId="90" applyAlignment="1" pivotButton="0" quotePrefix="0" xfId="1">
      <alignment horizontal="center" vertical="center"/>
    </xf>
    <xf numFmtId="0" fontId="37" fillId="0" borderId="57" applyAlignment="1" pivotButton="0" quotePrefix="0" xfId="1">
      <alignment horizontal="left" vertical="center"/>
    </xf>
    <xf numFmtId="0" fontId="54" fillId="21" borderId="304" applyAlignment="1" pivotButton="0" quotePrefix="0" xfId="0">
      <alignment horizontal="center" vertical="center" wrapText="1"/>
    </xf>
    <xf numFmtId="0" fontId="0" fillId="0" borderId="135" pivotButton="0" quotePrefix="0" xfId="0"/>
    <xf numFmtId="0" fontId="52" fillId="23" borderId="65" applyAlignment="1" pivotButton="0" quotePrefix="0" xfId="2">
      <alignment horizontal="center" vertical="center" wrapText="1"/>
    </xf>
    <xf numFmtId="0" fontId="0" fillId="0" borderId="39" pivotButton="0" quotePrefix="0" xfId="0"/>
    <xf numFmtId="0" fontId="47" fillId="0" borderId="30" applyAlignment="1" pivotButton="0" quotePrefix="0" xfId="0">
      <alignment horizontal="left" vertical="center" wrapText="1"/>
    </xf>
    <xf numFmtId="165" fontId="46" fillId="16" borderId="255" applyAlignment="1" pivotButton="0" quotePrefix="0" xfId="0">
      <alignment horizontal="center" vertical="center" wrapText="1"/>
    </xf>
    <xf numFmtId="0" fontId="0" fillId="0" borderId="350" pivotButton="0" quotePrefix="0" xfId="0"/>
    <xf numFmtId="0" fontId="63" fillId="3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54" fillId="21" borderId="345" applyAlignment="1" pivotButton="0" quotePrefix="0" xfId="0">
      <alignment horizontal="center" vertical="center" wrapText="1"/>
    </xf>
    <xf numFmtId="0" fontId="0" fillId="0" borderId="346" pivotButton="0" quotePrefix="0" xfId="0"/>
    <xf numFmtId="0" fontId="45" fillId="0" borderId="30" applyAlignment="1" pivotButton="0" quotePrefix="0" xfId="0">
      <alignment horizontal="center" vertical="center" wrapText="1"/>
    </xf>
    <xf numFmtId="0" fontId="0" fillId="28" borderId="0" applyAlignment="1" pivotButton="0" quotePrefix="0" xfId="0">
      <alignment horizontal="center"/>
    </xf>
    <xf numFmtId="0" fontId="54" fillId="21" borderId="40" applyAlignment="1" pivotButton="0" quotePrefix="0" xfId="0">
      <alignment horizontal="center" vertical="center" wrapText="1"/>
    </xf>
    <xf numFmtId="0" fontId="54" fillId="21" borderId="0" applyAlignment="1" pivotButton="0" quotePrefix="0" xfId="0">
      <alignment horizontal="center" vertical="center" wrapText="1"/>
    </xf>
    <xf numFmtId="0" fontId="54" fillId="21" borderId="43" applyAlignment="1" pivotButton="0" quotePrefix="0" xfId="0">
      <alignment horizontal="center" vertical="center" wrapText="1"/>
    </xf>
    <xf numFmtId="0" fontId="63" fillId="22" borderId="256" applyAlignment="1" pivotButton="0" quotePrefix="0" xfId="0">
      <alignment horizontal="center" vertical="center" wrapText="1"/>
    </xf>
    <xf numFmtId="0" fontId="0" fillId="0" borderId="256" pivotButton="0" quotePrefix="0" xfId="0"/>
    <xf numFmtId="167" fontId="47" fillId="0" borderId="36" applyAlignment="1" pivotButton="0" quotePrefix="0" xfId="0">
      <alignment vertical="center" wrapText="1"/>
    </xf>
    <xf numFmtId="0" fontId="0" fillId="0" borderId="37" pivotButton="0" quotePrefix="0" xfId="0"/>
    <xf numFmtId="0" fontId="45" fillId="0" borderId="38" applyAlignment="1" pivotButton="0" quotePrefix="0" xfId="0">
      <alignment vertical="center" wrapText="1"/>
    </xf>
    <xf numFmtId="0" fontId="53" fillId="29" borderId="38" applyAlignment="1" pivotButton="0" quotePrefix="0" xfId="0">
      <alignment horizontal="left" vertical="center" wrapText="1"/>
    </xf>
    <xf numFmtId="0" fontId="45" fillId="0" borderId="29" applyAlignment="1" pivotButton="0" quotePrefix="0" xfId="0">
      <alignment vertical="center" wrapText="1"/>
    </xf>
    <xf numFmtId="0" fontId="45" fillId="16" borderId="29" applyAlignment="1" pivotButton="0" quotePrefix="0" xfId="0">
      <alignment vertical="center" wrapText="1"/>
    </xf>
    <xf numFmtId="0" fontId="67" fillId="0" borderId="30" applyAlignment="1" pivotButton="0" quotePrefix="0" xfId="0">
      <alignment horizontal="left" vertical="center"/>
    </xf>
    <xf numFmtId="0" fontId="0" fillId="0" borderId="129" pivotButton="0" quotePrefix="0" xfId="0"/>
    <xf numFmtId="0" fontId="45" fillId="0" borderId="302" applyAlignment="1" pivotButton="0" quotePrefix="0" xfId="0">
      <alignment horizontal="center" vertical="center" wrapText="1"/>
    </xf>
    <xf numFmtId="0" fontId="47" fillId="0" borderId="30" applyAlignment="1" pivotButton="0" quotePrefix="0" xfId="0">
      <alignment vertical="center" wrapText="1"/>
    </xf>
    <xf numFmtId="0" fontId="45" fillId="0" borderId="298" applyAlignment="1" pivotButton="0" quotePrefix="0" xfId="0">
      <alignment horizontal="center" vertical="center" wrapText="1"/>
    </xf>
    <xf numFmtId="0" fontId="0" fillId="0" borderId="279" pivotButton="0" quotePrefix="0" xfId="0"/>
    <xf numFmtId="167" fontId="45" fillId="0" borderId="298" applyAlignment="1" pivotButton="0" quotePrefix="0" xfId="0">
      <alignment horizontal="center" vertical="center" wrapText="1"/>
    </xf>
    <xf numFmtId="0" fontId="45" fillId="16" borderId="29" applyAlignment="1" pivotButton="0" quotePrefix="0" xfId="0">
      <alignment horizontal="center" vertical="center" wrapText="1"/>
    </xf>
    <xf numFmtId="0" fontId="53" fillId="30" borderId="32" applyAlignment="1" pivotButton="0" quotePrefix="0" xfId="0">
      <alignment horizontal="center" vertical="center" wrapText="1"/>
    </xf>
    <xf numFmtId="167" fontId="47" fillId="0" borderId="129" applyAlignment="1" pivotButton="0" quotePrefix="0" xfId="0">
      <alignment horizontal="center" vertical="center" wrapText="1"/>
    </xf>
    <xf numFmtId="0" fontId="65" fillId="3" borderId="38" applyAlignment="1" pivotButton="0" quotePrefix="0" xfId="0">
      <alignment horizontal="center" vertical="center" wrapText="1"/>
    </xf>
    <xf numFmtId="0" fontId="45" fillId="17" borderId="29" applyAlignment="1" pivotButton="0" quotePrefix="0" xfId="0">
      <alignment horizontal="center" vertical="center" wrapText="1"/>
    </xf>
    <xf numFmtId="0" fontId="45" fillId="0" borderId="30" applyAlignment="1" pivotButton="0" quotePrefix="0" xfId="0">
      <alignment vertical="center" wrapText="1"/>
    </xf>
    <xf numFmtId="0" fontId="48" fillId="34" borderId="112" applyAlignment="1" pivotButton="0" quotePrefix="0" xfId="0">
      <alignment horizontal="center" vertical="center" wrapText="1"/>
    </xf>
    <xf numFmtId="0" fontId="48" fillId="34" borderId="113" applyAlignment="1" pivotButton="0" quotePrefix="0" xfId="0">
      <alignment horizontal="center" vertical="center" wrapText="1"/>
    </xf>
    <xf numFmtId="165" fontId="37" fillId="16" borderId="112" applyAlignment="1" pivotButton="0" quotePrefix="0" xfId="2">
      <alignment horizontal="center" vertical="center" wrapText="1"/>
    </xf>
    <xf numFmtId="165" fontId="37" fillId="16" borderId="352" applyAlignment="1" pivotButton="0" quotePrefix="0" xfId="2">
      <alignment horizontal="center" vertical="center" wrapText="1"/>
    </xf>
    <xf numFmtId="0" fontId="51" fillId="0" borderId="40" applyAlignment="1" pivotButton="0" quotePrefix="0" xfId="0">
      <alignment horizontal="center" vertical="center" wrapText="1"/>
    </xf>
    <xf numFmtId="0" fontId="0" fillId="0" borderId="0" pivotButton="0" quotePrefix="0" xfId="0"/>
    <xf numFmtId="0" fontId="45" fillId="0" borderId="91" applyAlignment="1" pivotButton="0" quotePrefix="0" xfId="0">
      <alignment horizontal="center" vertical="center" wrapText="1"/>
    </xf>
    <xf numFmtId="0" fontId="0" fillId="0" borderId="43" pivotButton="0" quotePrefix="0" xfId="0"/>
    <xf numFmtId="0" fontId="48" fillId="3" borderId="353" applyAlignment="1" pivotButton="0" quotePrefix="0" xfId="0">
      <alignment horizontal="center" vertical="center" wrapText="1"/>
    </xf>
    <xf numFmtId="0" fontId="0" fillId="0" borderId="334" pivotButton="0" quotePrefix="0" xfId="0"/>
    <xf numFmtId="0" fontId="0" fillId="16" borderId="32" pivotButton="0" quotePrefix="0" xfId="0"/>
    <xf numFmtId="0" fontId="88" fillId="24" borderId="357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5" pivotButton="0" quotePrefix="0" xfId="0"/>
    <xf numFmtId="0" fontId="0" fillId="0" borderId="40" pivotButton="0" quotePrefix="0" xfId="0"/>
    <xf numFmtId="0" fontId="0" fillId="0" borderId="118" pivotButton="0" quotePrefix="0" xfId="0"/>
    <xf numFmtId="0" fontId="52" fillId="3" borderId="39" applyAlignment="1" pivotButton="0" quotePrefix="0" xfId="2">
      <alignment horizontal="center" vertical="center" wrapText="1"/>
    </xf>
    <xf numFmtId="0" fontId="52" fillId="27" borderId="29" applyAlignment="1" pivotButton="0" quotePrefix="0" xfId="2">
      <alignment vertical="center" wrapText="1"/>
    </xf>
    <xf numFmtId="167" fontId="52" fillId="23" borderId="65" applyAlignment="1" pivotButton="0" quotePrefix="0" xfId="2">
      <alignment horizontal="center" vertical="center" wrapText="1"/>
    </xf>
    <xf numFmtId="0" fontId="52" fillId="3" borderId="39" applyAlignment="1" pivotButton="0" quotePrefix="0" xfId="2">
      <alignment vertical="center" wrapText="1"/>
    </xf>
    <xf numFmtId="0" fontId="63" fillId="30" borderId="254" applyAlignment="1" pivotButton="0" quotePrefix="0" xfId="0">
      <alignment horizontal="center" vertical="center" wrapText="1"/>
    </xf>
    <xf numFmtId="0" fontId="0" fillId="0" borderId="34" pivotButton="0" quotePrefix="0" xfId="0"/>
    <xf numFmtId="0" fontId="60" fillId="3" borderId="252" applyAlignment="1" pivotButton="0" quotePrefix="0" xfId="0">
      <alignment horizontal="center" vertical="center" wrapText="1"/>
    </xf>
    <xf numFmtId="0" fontId="0" fillId="0" borderId="252" pivotButton="0" quotePrefix="0" xfId="0"/>
    <xf numFmtId="0" fontId="60" fillId="3" borderId="347" applyAlignment="1" pivotButton="0" quotePrefix="0" xfId="0">
      <alignment horizontal="center" vertical="center" wrapText="1"/>
    </xf>
    <xf numFmtId="165" fontId="46" fillId="16" borderId="163" applyAlignment="1" pivotButton="0" quotePrefix="0" xfId="0">
      <alignment horizontal="center" vertical="center" wrapText="1"/>
    </xf>
    <xf numFmtId="0" fontId="60" fillId="3" borderId="253" applyAlignment="1" pivotButton="0" quotePrefix="0" xfId="0">
      <alignment horizontal="center" vertical="center" wrapText="1"/>
    </xf>
    <xf numFmtId="0" fontId="0" fillId="0" borderId="348" pivotButton="0" quotePrefix="0" xfId="0"/>
    <xf numFmtId="167" fontId="50" fillId="16" borderId="112" applyAlignment="1" pivotButton="0" quotePrefix="0" xfId="0">
      <alignment horizontal="center" vertical="center" wrapText="1"/>
    </xf>
    <xf numFmtId="0" fontId="0" fillId="0" borderId="112" pivotButton="0" quotePrefix="0" xfId="0"/>
    <xf numFmtId="0" fontId="63" fillId="22" borderId="250" applyAlignment="1" pivotButton="0" quotePrefix="0" xfId="0">
      <alignment horizontal="center" vertical="center" wrapText="1"/>
    </xf>
    <xf numFmtId="0" fontId="67" fillId="0" borderId="300" applyAlignment="1" pivotButton="0" quotePrefix="0" xfId="0">
      <alignment horizontal="center" vertical="center" wrapText="1"/>
    </xf>
    <xf numFmtId="167" fontId="45" fillId="0" borderId="30" applyAlignment="1" pivotButton="0" quotePrefix="0" xfId="0">
      <alignment vertical="center" wrapText="1"/>
    </xf>
    <xf numFmtId="0" fontId="32" fillId="20" borderId="92" applyAlignment="1" pivotButton="0" quotePrefix="0" xfId="0">
      <alignment horizontal="center" vertical="center" wrapText="1"/>
    </xf>
    <xf numFmtId="167" fontId="65" fillId="3" borderId="91" applyAlignment="1" pivotButton="0" quotePrefix="0" xfId="0">
      <alignment horizontal="right" vertical="center" wrapText="1"/>
    </xf>
    <xf numFmtId="167" fontId="47" fillId="0" borderId="40" applyAlignment="1" pivotButton="0" quotePrefix="0" xfId="0">
      <alignment vertical="center" wrapText="1"/>
    </xf>
    <xf numFmtId="0" fontId="45" fillId="0" borderId="91" applyAlignment="1" pivotButton="0" quotePrefix="0" xfId="0">
      <alignment vertical="center" wrapText="1"/>
    </xf>
    <xf numFmtId="167" fontId="45" fillId="0" borderId="30" applyAlignment="1" pivotButton="0" quotePrefix="0" xfId="0">
      <alignment horizontal="center" vertical="center" wrapText="1"/>
    </xf>
    <xf numFmtId="167" fontId="65" fillId="3" borderId="29" applyAlignment="1" pivotButton="0" quotePrefix="0" xfId="0">
      <alignment horizontal="right" vertical="center" wrapText="1"/>
    </xf>
    <xf numFmtId="0" fontId="45" fillId="4" borderId="100" applyAlignment="1" pivotButton="0" quotePrefix="0" xfId="3">
      <alignment horizontal="center" vertical="center"/>
    </xf>
    <xf numFmtId="0" fontId="45" fillId="0" borderId="343" applyAlignment="1" pivotButton="0" quotePrefix="0" xfId="0">
      <alignment horizontal="center" vertical="center" wrapText="1"/>
    </xf>
    <xf numFmtId="0" fontId="0" fillId="0" borderId="344" pivotButton="0" quotePrefix="0" xfId="0"/>
    <xf numFmtId="0" fontId="45" fillId="0" borderId="38" applyAlignment="1" pivotButton="0" quotePrefix="0" xfId="0">
      <alignment horizontal="center" vertical="center" wrapText="1"/>
    </xf>
    <xf numFmtId="0" fontId="60" fillId="58" borderId="91" applyAlignment="1" pivotButton="0" quotePrefix="0" xfId="0">
      <alignment horizontal="center" vertical="center" wrapText="1"/>
    </xf>
    <xf numFmtId="167" fontId="45" fillId="0" borderId="298" applyAlignment="1" pivotButton="0" quotePrefix="0" xfId="0">
      <alignment vertical="center" wrapText="1"/>
    </xf>
    <xf numFmtId="0" fontId="54" fillId="21" borderId="300" applyAlignment="1" pivotButton="0" quotePrefix="0" xfId="0">
      <alignment horizontal="center" vertical="center" wrapText="1"/>
    </xf>
    <xf numFmtId="0" fontId="0" fillId="17" borderId="32" pivotButton="0" quotePrefix="0" xfId="0"/>
    <xf numFmtId="167" fontId="45" fillId="0" borderId="299" applyAlignment="1" pivotButton="0" quotePrefix="0" xfId="0">
      <alignment horizontal="center" vertical="center" wrapText="1"/>
    </xf>
    <xf numFmtId="0" fontId="67" fillId="0" borderId="30" applyAlignment="1" pivotButton="0" quotePrefix="0" xfId="0">
      <alignment horizontal="center" vertical="center" wrapText="1"/>
    </xf>
    <xf numFmtId="0" fontId="0" fillId="0" borderId="36" pivotButton="0" quotePrefix="0" xfId="0"/>
    <xf numFmtId="0" fontId="48" fillId="15" borderId="307" applyAlignment="1" pivotButton="0" quotePrefix="0" xfId="0">
      <alignment horizontal="center" vertical="center" wrapText="1"/>
    </xf>
    <xf numFmtId="0" fontId="0" fillId="0" borderId="306" pivotButton="0" quotePrefix="0" xfId="0"/>
    <xf numFmtId="0" fontId="51" fillId="0" borderId="91" applyAlignment="1" pivotButton="0" quotePrefix="0" xfId="0">
      <alignment horizontal="center" vertical="center" wrapText="1"/>
    </xf>
    <xf numFmtId="0" fontId="89" fillId="14" borderId="30" applyAlignment="1" pivotButton="0" quotePrefix="0" xfId="3">
      <alignment horizontal="center" vertical="center"/>
    </xf>
    <xf numFmtId="0" fontId="45" fillId="0" borderId="355" applyAlignment="1" pivotButton="0" quotePrefix="0" xfId="0">
      <alignment horizontal="center" vertical="center" wrapText="1"/>
    </xf>
    <xf numFmtId="0" fontId="0" fillId="0" borderId="356" pivotButton="0" quotePrefix="0" xfId="0"/>
    <xf numFmtId="0" fontId="45" fillId="0" borderId="298" applyAlignment="1" pivotButton="0" quotePrefix="0" xfId="0">
      <alignment vertical="center" wrapText="1"/>
    </xf>
    <xf numFmtId="0" fontId="0" fillId="0" borderId="277" pivotButton="0" quotePrefix="0" xfId="0"/>
    <xf numFmtId="167" fontId="50" fillId="16" borderId="108" applyAlignment="1" pivotButton="0" quotePrefix="0" xfId="0">
      <alignment horizontal="center" vertical="center" wrapText="1"/>
    </xf>
    <xf numFmtId="167" fontId="48" fillId="3" borderId="299" applyAlignment="1" pivotButton="0" quotePrefix="0" xfId="0">
      <alignment vertical="center" wrapText="1"/>
    </xf>
    <xf numFmtId="0" fontId="63" fillId="30" borderId="351" applyAlignment="1" pivotButton="0" quotePrefix="0" xfId="0">
      <alignment horizontal="center" vertical="center" wrapText="1"/>
    </xf>
    <xf numFmtId="0" fontId="0" fillId="0" borderId="328" pivotButton="0" quotePrefix="0" xfId="0"/>
    <xf numFmtId="167" fontId="47" fillId="0" borderId="40" applyAlignment="1" pivotButton="0" quotePrefix="0" xfId="0">
      <alignment horizontal="center" vertical="center" wrapText="1"/>
    </xf>
    <xf numFmtId="0" fontId="53" fillId="30" borderId="36" applyAlignment="1" pivotButton="0" quotePrefix="0" xfId="0">
      <alignment horizontal="center" vertical="center" wrapText="1"/>
    </xf>
    <xf numFmtId="0" fontId="66" fillId="20" borderId="302" applyAlignment="1" pivotButton="0" quotePrefix="0" xfId="0">
      <alignment horizontal="center" vertical="center" wrapText="1"/>
    </xf>
    <xf numFmtId="0" fontId="67" fillId="0" borderId="304" applyAlignment="1" pivotButton="0" quotePrefix="0" xfId="0">
      <alignment horizontal="center" vertical="center" wrapText="1"/>
    </xf>
    <xf numFmtId="0" fontId="56" fillId="25" borderId="324" applyAlignment="1" pivotButton="0" quotePrefix="0" xfId="1">
      <alignment horizontal="center" vertical="center"/>
    </xf>
    <xf numFmtId="0" fontId="53" fillId="29" borderId="342" applyAlignment="1" pivotButton="0" quotePrefix="0" xfId="0">
      <alignment horizontal="left" vertical="center" wrapText="1"/>
    </xf>
    <xf numFmtId="0" fontId="63" fillId="22" borderId="251" applyAlignment="1" pivotButton="0" quotePrefix="0" xfId="0">
      <alignment horizontal="center" vertical="center" wrapText="1"/>
    </xf>
    <xf numFmtId="0" fontId="0" fillId="0" borderId="329" pivotButton="0" quotePrefix="0" xfId="0"/>
    <xf numFmtId="0" fontId="53" fillId="30" borderId="108" applyAlignment="1" pivotButton="0" quotePrefix="0" xfId="0">
      <alignment horizontal="center" vertical="center" wrapText="1"/>
    </xf>
    <xf numFmtId="0" fontId="48" fillId="3" borderId="30" applyAlignment="1" pivotButton="0" quotePrefix="0" xfId="0">
      <alignment horizontal="center" vertical="center" wrapText="1"/>
    </xf>
    <xf numFmtId="165" fontId="46" fillId="16" borderId="349" applyAlignment="1" pivotButton="0" quotePrefix="0" xfId="0">
      <alignment horizontal="center" vertical="center" wrapText="1"/>
    </xf>
    <xf numFmtId="0" fontId="66" fillId="20" borderId="36" applyAlignment="1" pivotButton="0" quotePrefix="0" xfId="0">
      <alignment horizontal="center" vertical="center" wrapText="1"/>
    </xf>
    <xf numFmtId="0" fontId="60" fillId="58" borderId="38" applyAlignment="1" pivotButton="0" quotePrefix="0" xfId="0">
      <alignment horizontal="center" vertical="center" wrapText="1"/>
    </xf>
    <xf numFmtId="0" fontId="45" fillId="0" borderId="117" applyAlignment="1" pivotButton="0" quotePrefix="0" xfId="0">
      <alignment vertical="center" wrapText="1"/>
    </xf>
    <xf numFmtId="0" fontId="63" fillId="22" borderId="333" applyAlignment="1" pivotButton="0" quotePrefix="0" xfId="0">
      <alignment horizontal="center" vertical="center" wrapText="1"/>
    </xf>
    <xf numFmtId="0" fontId="48" fillId="34" borderId="341" applyAlignment="1" pivotButton="0" quotePrefix="0" xfId="0">
      <alignment horizontal="center" vertical="center" wrapText="1"/>
    </xf>
    <xf numFmtId="0" fontId="88" fillId="24" borderId="301" applyAlignment="1" pivotButton="0" quotePrefix="0" xfId="0">
      <alignment horizontal="center" vertical="center" wrapText="1"/>
    </xf>
    <xf numFmtId="0" fontId="48" fillId="15" borderId="303" applyAlignment="1" pivotButton="0" quotePrefix="0" xfId="0">
      <alignment horizontal="center" vertical="center" wrapText="1"/>
    </xf>
    <xf numFmtId="0" fontId="45" fillId="0" borderId="299" applyAlignment="1" pivotButton="0" quotePrefix="0" xfId="0">
      <alignment horizontal="center" vertical="center" wrapText="1"/>
    </xf>
    <xf numFmtId="0" fontId="66" fillId="20" borderId="354" applyAlignment="1" pivotButton="0" quotePrefix="0" xfId="0">
      <alignment horizontal="center" vertical="center" wrapText="1"/>
    </xf>
    <xf numFmtId="0" fontId="45" fillId="17" borderId="29" applyAlignment="1" pivotButton="0" quotePrefix="0" xfId="0">
      <alignment vertical="center" wrapText="1"/>
    </xf>
    <xf numFmtId="0" fontId="48" fillId="15" borderId="360" applyAlignment="1" pivotButton="0" quotePrefix="0" xfId="0">
      <alignment horizontal="center" vertical="center" wrapText="1"/>
    </xf>
    <xf numFmtId="0" fontId="45" fillId="0" borderId="300" applyAlignment="1" pivotButton="0" quotePrefix="0" xfId="0">
      <alignment horizontal="center" vertical="center" wrapText="1"/>
    </xf>
    <xf numFmtId="0" fontId="65" fillId="3" borderId="0" applyAlignment="1" pivotButton="0" quotePrefix="0" xfId="0">
      <alignment horizontal="center" vertical="center" wrapText="1"/>
    </xf>
    <xf numFmtId="0" fontId="89" fillId="14" borderId="302" applyAlignment="1" pivotButton="0" quotePrefix="0" xfId="3">
      <alignment horizontal="center" vertical="center"/>
    </xf>
    <xf numFmtId="0" fontId="54" fillId="21" borderId="358" applyAlignment="1" pivotButton="0" quotePrefix="0" xfId="0">
      <alignment horizontal="center" vertical="center" wrapText="1"/>
    </xf>
    <xf numFmtId="0" fontId="0" fillId="0" borderId="359" pivotButton="0" quotePrefix="0" xfId="0"/>
    <xf numFmtId="0" fontId="48" fillId="15" borderId="91" applyAlignment="1" pivotButton="0" quotePrefix="0" xfId="0">
      <alignment horizontal="center" vertical="center" wrapText="1"/>
    </xf>
    <xf numFmtId="0" fontId="0" fillId="0" borderId="0" pivotButton="0" quotePrefix="0" xfId="2"/>
    <xf numFmtId="0" fontId="35" fillId="0" borderId="36" applyAlignment="1" pivotButton="0" quotePrefix="0" xfId="2">
      <alignment horizontal="left" vertical="center" wrapText="1"/>
    </xf>
    <xf numFmtId="165" fontId="39" fillId="3" borderId="115" applyAlignment="1" pivotButton="0" quotePrefix="0" xfId="2">
      <alignment horizontal="center" vertical="center" wrapText="1"/>
    </xf>
    <xf numFmtId="0" fontId="0" fillId="0" borderId="41" pivotButton="0" quotePrefix="0" xfId="0"/>
    <xf numFmtId="0" fontId="0" fillId="0" borderId="327" pivotButton="0" quotePrefix="0" xfId="0"/>
    <xf numFmtId="165" fontId="55" fillId="16" borderId="91" applyAlignment="1" pivotButton="0" quotePrefix="0" xfId="2">
      <alignment horizontal="center" vertical="center" wrapText="1"/>
    </xf>
    <xf numFmtId="0" fontId="35" fillId="0" borderId="38" applyAlignment="1" pivotButton="0" quotePrefix="0" xfId="2">
      <alignment horizontal="left" vertical="center" wrapText="1"/>
    </xf>
    <xf numFmtId="0" fontId="52" fillId="0" borderId="29" applyAlignment="1" pivotButton="0" quotePrefix="0" xfId="2">
      <alignment horizontal="left" vertical="center"/>
    </xf>
    <xf numFmtId="0" fontId="40" fillId="21" borderId="324" applyAlignment="1" pivotButton="0" quotePrefix="0" xfId="2">
      <alignment horizontal="center" vertical="center" wrapText="1"/>
    </xf>
    <xf numFmtId="0" fontId="0" fillId="0" borderId="33" pivotButton="0" quotePrefix="0" xfId="2"/>
    <xf numFmtId="0" fontId="5" fillId="0" borderId="29" applyAlignment="1" pivotButton="0" quotePrefix="0" xfId="2">
      <alignment horizontal="center" vertical="center" wrapText="1"/>
    </xf>
    <xf numFmtId="0" fontId="5" fillId="0" borderId="38" applyAlignment="1" pivotButton="0" quotePrefix="0" xfId="2">
      <alignment vertical="center" wrapText="1"/>
    </xf>
    <xf numFmtId="0" fontId="59" fillId="15" borderId="40" applyAlignment="1" pivotButton="0" quotePrefix="0" xfId="2">
      <alignment horizontal="center" vertical="center" wrapText="1"/>
    </xf>
    <xf numFmtId="0" fontId="59" fillId="15" borderId="0" applyAlignment="1" pivotButton="0" quotePrefix="0" xfId="2">
      <alignment horizontal="center" vertical="center" wrapText="1"/>
    </xf>
    <xf numFmtId="0" fontId="59" fillId="15" borderId="91" applyAlignment="1" pivotButton="0" quotePrefix="0" xfId="2">
      <alignment horizontal="center" vertical="center" wrapText="1"/>
    </xf>
    <xf numFmtId="165" fontId="34" fillId="16" borderId="33" applyAlignment="1" pivotButton="0" quotePrefix="0" xfId="2">
      <alignment horizontal="center" vertical="center" wrapText="1"/>
    </xf>
    <xf numFmtId="165" fontId="34" fillId="16" borderId="35" applyAlignment="1" pivotButton="0" quotePrefix="0" xfId="2">
      <alignment horizontal="center" vertical="center" wrapText="1"/>
    </xf>
    <xf numFmtId="167" fontId="35" fillId="0" borderId="91" applyAlignment="1" pivotButton="0" quotePrefix="0" xfId="2">
      <alignment horizontal="center" vertical="center" wrapText="1"/>
    </xf>
    <xf numFmtId="0" fontId="5" fillId="17" borderId="29" applyAlignment="1" pivotButton="0" quotePrefix="0" xfId="2">
      <alignment horizontal="center" vertical="center" wrapText="1"/>
    </xf>
    <xf numFmtId="0" fontId="35" fillId="0" borderId="331" applyAlignment="1" pivotButton="0" quotePrefix="0" xfId="2">
      <alignment horizontal="left" vertical="center" wrapText="1"/>
    </xf>
    <xf numFmtId="0" fontId="68" fillId="0" borderId="119" applyAlignment="1" pivotButton="0" quotePrefix="0" xfId="2">
      <alignment horizontal="center" vertical="center" wrapText="1"/>
    </xf>
    <xf numFmtId="0" fontId="5" fillId="0" borderId="300" applyAlignment="1" pivotButton="0" quotePrefix="0" xfId="2">
      <alignment horizontal="center" vertical="center" wrapText="1"/>
    </xf>
    <xf numFmtId="0" fontId="0" fillId="0" borderId="333" pivotButton="0" quotePrefix="0" xfId="0"/>
    <xf numFmtId="0" fontId="5" fillId="0" borderId="29" applyAlignment="1" pivotButton="0" quotePrefix="0" xfId="2">
      <alignment vertical="center" wrapText="1"/>
    </xf>
    <xf numFmtId="0" fontId="28" fillId="20" borderId="40" applyAlignment="1" pivotButton="0" quotePrefix="0" xfId="2">
      <alignment horizontal="center" vertical="center" wrapText="1"/>
    </xf>
    <xf numFmtId="0" fontId="59" fillId="22" borderId="32" applyAlignment="1" pivotButton="0" quotePrefix="0" xfId="2">
      <alignment horizontal="center" vertical="center" wrapText="1"/>
    </xf>
    <xf numFmtId="0" fontId="5" fillId="16" borderId="29" applyAlignment="1" pivotButton="0" quotePrefix="0" xfId="2">
      <alignment vertical="center" wrapText="1"/>
    </xf>
    <xf numFmtId="0" fontId="59" fillId="22" borderId="108" applyAlignment="1" pivotButton="0" quotePrefix="0" xfId="2">
      <alignment horizontal="center" vertical="center" wrapText="1"/>
    </xf>
    <xf numFmtId="0" fontId="68" fillId="0" borderId="91" applyAlignment="1" pivotButton="0" quotePrefix="0" xfId="2">
      <alignment horizontal="center" vertical="center" wrapText="1"/>
    </xf>
    <xf numFmtId="0" fontId="40" fillId="21" borderId="300" applyAlignment="1" pivotButton="0" quotePrefix="0" xfId="2">
      <alignment horizontal="center" vertical="center" wrapText="1"/>
    </xf>
    <xf numFmtId="0" fontId="38" fillId="3" borderId="332" applyAlignment="1" pivotButton="0" quotePrefix="0" xfId="2">
      <alignment horizontal="center" vertical="center" wrapText="1"/>
    </xf>
    <xf numFmtId="0" fontId="0" fillId="0" borderId="275" pivotButton="0" quotePrefix="0" xfId="0"/>
    <xf numFmtId="0" fontId="52" fillId="30" borderId="32" applyAlignment="1" pivotButton="0" quotePrefix="0" xfId="2">
      <alignment horizontal="center" vertical="center" wrapText="1"/>
    </xf>
    <xf numFmtId="0" fontId="52" fillId="0" borderId="38" applyAlignment="1" pivotButton="0" quotePrefix="0" xfId="2">
      <alignment horizontal="left" vertical="center"/>
    </xf>
    <xf numFmtId="0" fontId="52" fillId="0" borderId="29" applyAlignment="1" pivotButton="0" quotePrefix="0" xfId="2">
      <alignment horizontal="center" vertical="center" wrapText="1"/>
    </xf>
    <xf numFmtId="0" fontId="28" fillId="20" borderId="300" applyAlignment="1" pivotButton="0" quotePrefix="0" xfId="2">
      <alignment horizontal="center" vertical="center" wrapText="1"/>
    </xf>
    <xf numFmtId="0" fontId="5" fillId="0" borderId="65" applyAlignment="1" pivotButton="0" quotePrefix="0" xfId="2">
      <alignment vertical="center" wrapText="1"/>
    </xf>
    <xf numFmtId="0" fontId="45" fillId="4" borderId="102" applyAlignment="1" pivotButton="0" quotePrefix="0" xfId="3">
      <alignment horizontal="center" vertical="center"/>
    </xf>
    <xf numFmtId="0" fontId="0" fillId="0" borderId="102" pivotButton="0" quotePrefix="0" xfId="0"/>
    <xf numFmtId="0" fontId="40" fillId="21" borderId="40" applyAlignment="1" pivotButton="0" quotePrefix="0" xfId="2">
      <alignment horizontal="center" vertical="center" wrapText="1"/>
    </xf>
    <xf numFmtId="0" fontId="0" fillId="0" borderId="43" pivotButton="0" quotePrefix="0" xfId="2"/>
    <xf numFmtId="0" fontId="45" fillId="4" borderId="106" applyAlignment="1" pivotButton="0" quotePrefix="0" xfId="3">
      <alignment horizontal="center" vertical="center"/>
    </xf>
    <xf numFmtId="0" fontId="57" fillId="3" borderId="1" applyAlignment="1" pivotButton="0" quotePrefix="0" xfId="2">
      <alignment horizontal="center" vertical="center" wrapText="1"/>
    </xf>
    <xf numFmtId="0" fontId="52" fillId="30" borderId="31" applyAlignment="1" pivotButton="0" quotePrefix="0" xfId="2">
      <alignment horizontal="center" vertical="center" wrapText="1"/>
    </xf>
    <xf numFmtId="0" fontId="57" fillId="3" borderId="325" applyAlignment="1" pivotButton="0" quotePrefix="0" xfId="2">
      <alignment horizontal="center" vertical="center" wrapText="1"/>
    </xf>
    <xf numFmtId="0" fontId="28" fillId="20" borderId="208" applyAlignment="1" pivotButton="0" quotePrefix="0" xfId="2">
      <alignment horizontal="center" vertical="center" wrapText="1"/>
    </xf>
    <xf numFmtId="0" fontId="0" fillId="0" borderId="0" pivotButton="0" quotePrefix="0" xfId="2"/>
    <xf numFmtId="0" fontId="52" fillId="23" borderId="39" applyAlignment="1" pivotButton="0" quotePrefix="0" xfId="2">
      <alignment horizontal="center" vertical="center" wrapText="1"/>
    </xf>
    <xf numFmtId="0" fontId="32" fillId="20" borderId="0" applyAlignment="1" pivotButton="0" quotePrefix="0" xfId="2">
      <alignment horizontal="center" vertical="center" wrapText="1"/>
    </xf>
    <xf numFmtId="0" fontId="0" fillId="0" borderId="305" pivotButton="0" quotePrefix="0" xfId="0"/>
    <xf numFmtId="0" fontId="91" fillId="14" borderId="336" applyAlignment="1" pivotButton="0" quotePrefix="0" xfId="3">
      <alignment horizontal="center" vertical="center"/>
    </xf>
    <xf numFmtId="0" fontId="0" fillId="0" borderId="338" pivotButton="0" quotePrefix="0" xfId="0"/>
    <xf numFmtId="165" fontId="55" fillId="16" borderId="0" applyAlignment="1" pivotButton="0" quotePrefix="0" xfId="2">
      <alignment horizontal="center" vertical="center" wrapText="1"/>
    </xf>
    <xf numFmtId="0" fontId="52" fillId="30" borderId="328" applyAlignment="1" pivotButton="0" quotePrefix="0" xfId="2">
      <alignment horizontal="center" vertical="center" wrapText="1"/>
    </xf>
    <xf numFmtId="167" fontId="52" fillId="23" borderId="39" applyAlignment="1" pivotButton="0" quotePrefix="0" xfId="2">
      <alignment horizontal="center" vertical="center" wrapText="1"/>
    </xf>
    <xf numFmtId="0" fontId="52" fillId="30" borderId="36" applyAlignment="1" pivotButton="0" quotePrefix="0" xfId="2">
      <alignment horizontal="center" vertical="center" wrapText="1"/>
    </xf>
    <xf numFmtId="0" fontId="56" fillId="25" borderId="199" applyAlignment="1" pivotButton="0" quotePrefix="0" xfId="1">
      <alignment horizontal="center" vertical="center"/>
    </xf>
    <xf numFmtId="0" fontId="52" fillId="30" borderId="251" applyAlignment="1" pivotButton="0" quotePrefix="0" xfId="2">
      <alignment horizontal="center" vertical="center" wrapText="1"/>
    </xf>
    <xf numFmtId="0" fontId="5" fillId="17" borderId="29" applyAlignment="1" pivotButton="0" quotePrefix="0" xfId="2">
      <alignment vertical="center" wrapText="1"/>
    </xf>
    <xf numFmtId="0" fontId="32" fillId="50" borderId="32" applyAlignment="1" pivotButton="0" quotePrefix="0" xfId="2">
      <alignment horizontal="center" vertical="center" wrapText="1"/>
    </xf>
    <xf numFmtId="0" fontId="52" fillId="27" borderId="38" applyAlignment="1" pivotButton="0" quotePrefix="0" xfId="2">
      <alignment horizontal="left" vertical="center" wrapText="1"/>
    </xf>
    <xf numFmtId="0" fontId="52" fillId="0" borderId="112" applyAlignment="1" pivotButton="0" quotePrefix="0" xfId="2">
      <alignment horizontal="left" vertical="center"/>
    </xf>
    <xf numFmtId="167" fontId="5" fillId="0" borderId="65" applyAlignment="1" pivotButton="0" quotePrefix="0" xfId="2">
      <alignment vertical="center" wrapText="1"/>
    </xf>
    <xf numFmtId="167" fontId="5" fillId="0" borderId="29" applyAlignment="1" pivotButton="0" quotePrefix="0" xfId="2">
      <alignment vertical="center" wrapText="1"/>
    </xf>
    <xf numFmtId="0" fontId="38" fillId="3" borderId="33" applyAlignment="1" pivotButton="0" quotePrefix="0" xfId="2">
      <alignment horizontal="center" vertical="center" wrapText="1"/>
    </xf>
    <xf numFmtId="0" fontId="59" fillId="22" borderId="29" applyAlignment="1" pivotButton="0" quotePrefix="0" xfId="2">
      <alignment horizontal="center" vertical="center" wrapText="1"/>
    </xf>
    <xf numFmtId="0" fontId="5" fillId="0" borderId="278" applyAlignment="1" pivotButton="0" quotePrefix="0" xfId="2">
      <alignment vertical="center" wrapText="1"/>
    </xf>
    <xf numFmtId="0" fontId="52" fillId="58" borderId="91" applyAlignment="1" pivotButton="0" quotePrefix="0" xfId="2">
      <alignment horizontal="center" vertical="center" wrapText="1"/>
    </xf>
    <xf numFmtId="0" fontId="0" fillId="0" borderId="276" pivotButton="0" quotePrefix="0" xfId="2"/>
    <xf numFmtId="167" fontId="38" fillId="3" borderId="117" applyAlignment="1" pivotButton="0" quotePrefix="0" xfId="2">
      <alignment horizontal="center" vertical="center" wrapText="1"/>
    </xf>
    <xf numFmtId="0" fontId="0" fillId="0" borderId="340" pivotButton="0" quotePrefix="0" xfId="0"/>
    <xf numFmtId="167" fontId="57" fillId="3" borderId="91" applyAlignment="1" pivotButton="0" quotePrefix="0" xfId="2">
      <alignment horizontal="center" vertical="center" wrapText="1"/>
    </xf>
    <xf numFmtId="0" fontId="28" fillId="20" borderId="41" applyAlignment="1" pivotButton="0" quotePrefix="0" xfId="2">
      <alignment horizontal="left" vertical="center" wrapText="1"/>
    </xf>
    <xf numFmtId="0" fontId="5" fillId="0" borderId="208" applyAlignment="1" pivotButton="0" quotePrefix="0" xfId="2">
      <alignment horizontal="center" vertical="center" wrapText="1"/>
    </xf>
    <xf numFmtId="0" fontId="52" fillId="0" borderId="112" applyAlignment="1" pivotButton="0" quotePrefix="0" xfId="2">
      <alignment horizontal="center" vertical="center" wrapText="1"/>
    </xf>
    <xf numFmtId="0" fontId="52" fillId="0" borderId="341" applyAlignment="1" pivotButton="0" quotePrefix="0" xfId="2">
      <alignment horizontal="left" vertical="center"/>
    </xf>
    <xf numFmtId="0" fontId="5" fillId="0" borderId="277" applyAlignment="1" pivotButton="0" quotePrefix="0" xfId="2">
      <alignment vertical="center" wrapText="1"/>
    </xf>
    <xf numFmtId="0" fontId="59" fillId="22" borderId="38" applyAlignment="1" pivotButton="0" quotePrefix="0" xfId="2">
      <alignment horizontal="center" vertical="center" wrapText="1"/>
    </xf>
    <xf numFmtId="0" fontId="5" fillId="0" borderId="302" applyAlignment="1" pivotButton="0" quotePrefix="0" xfId="2">
      <alignment horizontal="center" vertical="center" wrapText="1"/>
    </xf>
    <xf numFmtId="165" fontId="39" fillId="3" borderId="41" applyAlignment="1" pivotButton="0" quotePrefix="0" xfId="2">
      <alignment horizontal="center" vertical="center" wrapText="1"/>
    </xf>
    <xf numFmtId="0" fontId="45" fillId="4" borderId="101" applyAlignment="1" pivotButton="0" quotePrefix="0" xfId="3">
      <alignment horizontal="center" vertical="center"/>
    </xf>
    <xf numFmtId="0" fontId="52" fillId="15" borderId="38" applyAlignment="1" pivotButton="0" quotePrefix="0" xfId="2">
      <alignment horizontal="center" vertical="center" wrapText="1"/>
    </xf>
    <xf numFmtId="0" fontId="38" fillId="3" borderId="275" applyAlignment="1" pivotButton="0" quotePrefix="0" xfId="2">
      <alignment horizontal="center" vertical="center" wrapText="1"/>
    </xf>
    <xf numFmtId="0" fontId="91" fillId="14" borderId="22" applyAlignment="1" pivotButton="0" quotePrefix="0" xfId="3">
      <alignment horizontal="center" vertical="center"/>
    </xf>
    <xf numFmtId="0" fontId="0" fillId="0" borderId="337" pivotButton="0" quotePrefix="0" xfId="0"/>
    <xf numFmtId="0" fontId="0" fillId="0" borderId="339" pivotButton="0" quotePrefix="0" xfId="0"/>
    <xf numFmtId="165" fontId="55" fillId="16" borderId="40" applyAlignment="1" pivotButton="0" quotePrefix="0" xfId="2">
      <alignment horizontal="center" vertical="center" wrapText="1"/>
    </xf>
    <xf numFmtId="0" fontId="52" fillId="30" borderId="108" applyAlignment="1" pivotButton="0" quotePrefix="0" xfId="2">
      <alignment horizontal="center" vertical="center" wrapText="1"/>
    </xf>
    <xf numFmtId="0" fontId="57" fillId="3" borderId="91" applyAlignment="1" pivotButton="0" quotePrefix="0" xfId="2">
      <alignment horizontal="center" vertical="center" wrapText="1"/>
    </xf>
    <xf numFmtId="167" fontId="35" fillId="0" borderId="165" applyAlignment="1" pivotButton="0" quotePrefix="0" xfId="2">
      <alignment horizontal="center" vertical="center" wrapText="1"/>
    </xf>
    <xf numFmtId="0" fontId="0" fillId="0" borderId="330" pivotButton="0" quotePrefix="0" xfId="0"/>
    <xf numFmtId="0" fontId="28" fillId="20" borderId="326" applyAlignment="1" pivotButton="0" quotePrefix="0" xfId="2">
      <alignment horizontal="left" vertical="center" wrapText="1"/>
    </xf>
    <xf numFmtId="0" fontId="5" fillId="0" borderId="335" applyAlignment="1" pivotButton="0" quotePrefix="0" xfId="2">
      <alignment vertical="center" wrapText="1"/>
    </xf>
    <xf numFmtId="0" fontId="39" fillId="3" borderId="302" applyAlignment="1" pivotButton="0" quotePrefix="0" xfId="2">
      <alignment horizontal="center" vertical="center" wrapText="1"/>
    </xf>
    <xf numFmtId="167" fontId="34" fillId="16" borderId="0" applyAlignment="1" pivotButton="0" quotePrefix="0" xfId="2">
      <alignment horizontal="center" vertical="center" wrapText="1"/>
    </xf>
    <xf numFmtId="0" fontId="48" fillId="15" borderId="40" applyAlignment="1" pivotButton="0" quotePrefix="0" xfId="0">
      <alignment horizontal="center" vertical="center" wrapText="1"/>
    </xf>
    <xf numFmtId="0" fontId="48" fillId="15" borderId="0" applyAlignment="1" pivotButton="0" quotePrefix="0" xfId="0">
      <alignment horizontal="center" vertical="center" wrapText="1"/>
    </xf>
    <xf numFmtId="0" fontId="73" fillId="28" borderId="165" applyAlignment="1" pivotButton="0" quotePrefix="0" xfId="0">
      <alignment horizontal="center" vertical="center"/>
    </xf>
    <xf numFmtId="0" fontId="163" fillId="28" borderId="136" applyAlignment="1" pivotButton="0" quotePrefix="0" xfId="0">
      <alignment horizontal="center" vertical="center"/>
    </xf>
    <xf numFmtId="0" fontId="87" fillId="5" borderId="366" applyAlignment="1" pivotButton="0" quotePrefix="0" xfId="0">
      <alignment horizontal="center" vertical="center"/>
    </xf>
    <xf numFmtId="0" fontId="30" fillId="20" borderId="32" applyAlignment="1" pivotButton="0" quotePrefix="0" xfId="0">
      <alignment vertical="center"/>
    </xf>
    <xf numFmtId="0" fontId="97" fillId="16" borderId="29" applyAlignment="1" pivotButton="0" quotePrefix="0" xfId="0">
      <alignment vertical="center"/>
    </xf>
    <xf numFmtId="0" fontId="5" fillId="16" borderId="152" applyAlignment="1" pivotButton="0" quotePrefix="0" xfId="0">
      <alignment horizontal="center" vertical="center"/>
    </xf>
    <xf numFmtId="0" fontId="86" fillId="5" borderId="32" applyAlignment="1" pivotButton="0" quotePrefix="0" xfId="0">
      <alignment horizontal="center" vertical="center"/>
    </xf>
    <xf numFmtId="0" fontId="30" fillId="20" borderId="29" applyAlignment="1" pivotButton="0" quotePrefix="0" xfId="0">
      <alignment vertical="center"/>
    </xf>
    <xf numFmtId="0" fontId="5" fillId="16" borderId="29" applyAlignment="1" pivotButton="0" quotePrefix="0" xfId="0">
      <alignment vertical="center"/>
    </xf>
    <xf numFmtId="0" fontId="86" fillId="5" borderId="29" applyAlignment="1" pivotButton="0" quotePrefix="0" xfId="0">
      <alignment horizontal="center" vertical="center"/>
    </xf>
    <xf numFmtId="0" fontId="157" fillId="26" borderId="29" applyAlignment="1" pivotButton="0" quotePrefix="0" xfId="0">
      <alignment horizontal="left" vertical="center"/>
    </xf>
    <xf numFmtId="0" fontId="87" fillId="49" borderId="28" applyAlignment="1" pivotButton="0" quotePrefix="0" xfId="0">
      <alignment horizontal="center" vertical="center"/>
    </xf>
    <xf numFmtId="0" fontId="5" fillId="0" borderId="0" pivotButton="0" quotePrefix="0" xfId="0"/>
    <xf numFmtId="0" fontId="52" fillId="27" borderId="1" applyAlignment="1" pivotButton="0" quotePrefix="0" xfId="1">
      <alignment horizontal="center" vertical="center"/>
    </xf>
    <xf numFmtId="0" fontId="52" fillId="0" borderId="58" applyAlignment="1" pivotButton="0" quotePrefix="0" xfId="1">
      <alignment horizontal="left" vertical="center"/>
    </xf>
    <xf numFmtId="0" fontId="122" fillId="0" borderId="0" applyAlignment="1" pivotButton="0" quotePrefix="0" xfId="1">
      <alignment horizontal="left" vertical="center"/>
    </xf>
    <xf numFmtId="0" fontId="98" fillId="28" borderId="370" applyAlignment="1" pivotButton="0" quotePrefix="0" xfId="0">
      <alignment horizontal="center" vertical="center"/>
    </xf>
    <xf numFmtId="0" fontId="98" fillId="28" borderId="0" applyAlignment="1" pivotButton="0" quotePrefix="0" xfId="0">
      <alignment horizontal="center" vertical="center"/>
    </xf>
    <xf numFmtId="0" fontId="28" fillId="20" borderId="371" applyAlignment="1" pivotButton="0" quotePrefix="0" xfId="0">
      <alignment vertical="center"/>
    </xf>
    <xf numFmtId="0" fontId="0" fillId="0" borderId="309" pivotButton="0" quotePrefix="0" xfId="0"/>
    <xf numFmtId="0" fontId="66" fillId="25" borderId="376" applyAlignment="1" pivotButton="0" quotePrefix="0" xfId="2">
      <alignment horizontal="center"/>
    </xf>
    <xf numFmtId="0" fontId="0" fillId="16" borderId="30" applyAlignment="1" pivotButton="0" quotePrefix="0" xfId="0">
      <alignment horizontal="center" vertical="center"/>
    </xf>
    <xf numFmtId="0" fontId="0" fillId="0" borderId="30" pivotButton="0" quotePrefix="0" xfId="0"/>
    <xf numFmtId="170" fontId="0" fillId="17" borderId="30" pivotButton="0" quotePrefix="0" xfId="0"/>
    <xf numFmtId="0" fontId="64" fillId="18" borderId="30" applyAlignment="1" pivotButton="0" quotePrefix="0" xfId="0">
      <alignment horizontal="center" vertical="center"/>
    </xf>
    <xf numFmtId="0" fontId="164" fillId="25" borderId="368" applyAlignment="1" pivotButton="0" quotePrefix="0" xfId="0">
      <alignment horizontal="center" vertical="center"/>
    </xf>
    <xf numFmtId="0" fontId="164" fillId="25" borderId="372" applyAlignment="1" pivotButton="0" quotePrefix="0" xfId="0">
      <alignment horizontal="center" vertical="center"/>
    </xf>
    <xf numFmtId="0" fontId="164" fillId="25" borderId="373" applyAlignment="1" pivotButton="0" quotePrefix="0" xfId="0">
      <alignment horizontal="center" vertical="center"/>
    </xf>
    <xf numFmtId="0" fontId="165" fillId="28" borderId="369" applyAlignment="1" pivotButton="0" quotePrefix="0" xfId="0">
      <alignment horizontal="center" vertical="center"/>
    </xf>
    <xf numFmtId="0" fontId="166" fillId="28" borderId="369" applyAlignment="1" pivotButton="0" quotePrefix="0" xfId="0">
      <alignment horizontal="center" vertical="center"/>
    </xf>
    <xf numFmtId="0" fontId="165" fillId="28" borderId="374" applyAlignment="1" pivotButton="0" quotePrefix="0" xfId="0">
      <alignment horizontal="center" vertical="center"/>
    </xf>
    <xf numFmtId="0" fontId="165" fillId="28" borderId="375" applyAlignment="1" pivotButton="0" quotePrefix="0" xfId="0">
      <alignment horizontal="center" vertical="center"/>
    </xf>
    <xf numFmtId="0" fontId="149" fillId="0" borderId="0" applyAlignment="1" pivotButton="0" quotePrefix="0" xfId="0">
      <alignment vertical="center"/>
    </xf>
    <xf numFmtId="0" fontId="164" fillId="28" borderId="0" applyAlignment="1" pivotButton="0" quotePrefix="0" xfId="0">
      <alignment horizontal="center" vertical="center"/>
    </xf>
    <xf numFmtId="0" fontId="98" fillId="28" borderId="0" applyAlignment="1" pivotButton="0" quotePrefix="0" xfId="0">
      <alignment vertical="center"/>
    </xf>
    <xf numFmtId="0" fontId="167" fillId="28" borderId="370" applyAlignment="1" pivotButton="0" quotePrefix="0" xfId="0">
      <alignment horizontal="center" vertical="center"/>
    </xf>
    <xf numFmtId="0" fontId="167" fillId="28" borderId="378" applyAlignment="1" pivotButton="0" quotePrefix="0" xfId="0">
      <alignment horizontal="center" vertical="center"/>
    </xf>
    <xf numFmtId="0" fontId="167" fillId="28" borderId="377" applyAlignment="1" pivotButton="0" quotePrefix="0" xfId="0">
      <alignment horizontal="center" vertical="center"/>
    </xf>
    <xf numFmtId="0" fontId="168" fillId="28" borderId="370" applyAlignment="1" pivotButton="0" quotePrefix="0" xfId="0">
      <alignment vertical="center"/>
    </xf>
    <xf numFmtId="0" fontId="29" fillId="16" borderId="164" applyAlignment="1" pivotButton="0" quotePrefix="0" xfId="0">
      <alignment horizontal="center" vertical="center"/>
    </xf>
    <xf numFmtId="0" fontId="0" fillId="0" borderId="373" pivotButton="0" quotePrefix="0" xfId="0"/>
    <xf numFmtId="0" fontId="0" fillId="0" borderId="370" pivotButton="0" quotePrefix="0" xfId="0"/>
    <xf numFmtId="0" fontId="0" fillId="0" borderId="377" pivotButton="0" quotePrefix="0" xfId="0"/>
    <xf numFmtId="0" fontId="0" fillId="0" borderId="375" pivotButton="0" quotePrefix="0" xfId="0"/>
    <xf numFmtId="0" fontId="0" fillId="0" borderId="379" pivotButton="0" quotePrefix="0" xfId="0"/>
    <xf numFmtId="169" fontId="97" fillId="26" borderId="29" applyAlignment="1" pivotButton="0" quotePrefix="0" xfId="0">
      <alignment vertical="center"/>
    </xf>
    <xf numFmtId="169" fontId="37" fillId="28" borderId="167" applyAlignment="1" pivotButton="0" quotePrefix="0" xfId="0">
      <alignment vertical="center"/>
    </xf>
    <xf numFmtId="169" fontId="98" fillId="26" borderId="29" applyAlignment="1" pivotButton="0" quotePrefix="0" xfId="0">
      <alignment vertical="center"/>
    </xf>
    <xf numFmtId="169" fontId="159" fillId="3" borderId="169" applyAlignment="1" pivotButton="0" quotePrefix="0" xfId="0">
      <alignment vertical="center"/>
    </xf>
    <xf numFmtId="164" fontId="97" fillId="17" borderId="29" applyAlignment="1" pivotButton="0" quotePrefix="0" xfId="0">
      <alignment horizontal="center" vertical="center"/>
    </xf>
    <xf numFmtId="169" fontId="37" fillId="28" borderId="65" applyAlignment="1" pivotButton="0" quotePrefix="0" xfId="0">
      <alignment vertical="center"/>
    </xf>
    <xf numFmtId="169" fontId="159" fillId="3" borderId="65" applyAlignment="1" pivotButton="0" quotePrefix="0" xfId="0">
      <alignment vertical="center"/>
    </xf>
    <xf numFmtId="169" fontId="157" fillId="16" borderId="65" applyAlignment="1" pivotButton="0" quotePrefix="0" xfId="0">
      <alignment vertical="center"/>
    </xf>
    <xf numFmtId="0" fontId="0" fillId="0" borderId="28" pivotButton="0" quotePrefix="0" xfId="0"/>
    <xf numFmtId="169" fontId="87" fillId="49" borderId="114" applyAlignment="1" pivotButton="0" quotePrefix="0" xfId="0">
      <alignment vertical="center"/>
    </xf>
    <xf numFmtId="165" fontId="75" fillId="6" borderId="0" applyAlignment="1" pivotButton="0" quotePrefix="0" xfId="0">
      <alignment vertical="center"/>
    </xf>
    <xf numFmtId="165" fontId="75" fillId="0" borderId="0" applyAlignment="1" pivotButton="0" quotePrefix="0" xfId="0">
      <alignment vertical="center"/>
    </xf>
    <xf numFmtId="165" fontId="48" fillId="3" borderId="0" applyAlignment="1" pivotButton="0" quotePrefix="0" xfId="0">
      <alignment vertical="center"/>
    </xf>
    <xf numFmtId="164" fontId="139" fillId="0" borderId="286" applyAlignment="1" pivotButton="0" quotePrefix="0" xfId="0">
      <alignment vertical="center" wrapText="1"/>
    </xf>
    <xf numFmtId="165" fontId="139" fillId="0" borderId="286" applyAlignment="1" pivotButton="0" quotePrefix="0" xfId="0">
      <alignment vertical="center" wrapText="1"/>
    </xf>
    <xf numFmtId="166" fontId="139" fillId="0" borderId="286" applyAlignment="1" pivotButton="0" quotePrefix="0" xfId="0">
      <alignment vertical="center" wrapText="1"/>
    </xf>
    <xf numFmtId="164" fontId="140" fillId="0" borderId="287" applyAlignment="1" pivotButton="0" quotePrefix="0" xfId="0">
      <alignment vertical="center" wrapText="1"/>
    </xf>
    <xf numFmtId="165" fontId="140" fillId="0" borderId="287" applyAlignment="1" pivotButton="0" quotePrefix="0" xfId="0">
      <alignment vertical="center" wrapText="1"/>
    </xf>
    <xf numFmtId="164" fontId="140" fillId="0" borderId="286" applyAlignment="1" pivotButton="0" quotePrefix="0" xfId="0">
      <alignment vertical="center" wrapText="1"/>
    </xf>
    <xf numFmtId="165" fontId="140" fillId="0" borderId="286" applyAlignment="1" pivotButton="0" quotePrefix="0" xfId="0">
      <alignment vertical="center" wrapText="1"/>
    </xf>
    <xf numFmtId="0" fontId="138" fillId="35" borderId="30" applyAlignment="1" pivotButton="0" quotePrefix="0" xfId="0">
      <alignment vertical="center"/>
    </xf>
    <xf numFmtId="166" fontId="47" fillId="0" borderId="29" applyAlignment="1" pivotButton="0" quotePrefix="0" xfId="0">
      <alignment horizontal="center" vertical="center"/>
    </xf>
    <xf numFmtId="167" fontId="75" fillId="0" borderId="29" applyAlignment="1" pivotButton="0" quotePrefix="0" xfId="0">
      <alignment vertical="center"/>
    </xf>
    <xf numFmtId="167" fontId="61" fillId="0" borderId="65" applyAlignment="1" pivotButton="0" quotePrefix="0" xfId="0">
      <alignment vertical="center"/>
    </xf>
    <xf numFmtId="167" fontId="48" fillId="3" borderId="65" applyAlignment="1" pivotButton="0" quotePrefix="0" xfId="0">
      <alignment vertical="center"/>
    </xf>
    <xf numFmtId="167" fontId="54" fillId="35" borderId="65" applyAlignment="1" pivotButton="0" quotePrefix="0" xfId="0">
      <alignment vertical="center"/>
    </xf>
    <xf numFmtId="165" fontId="63" fillId="26" borderId="29" applyAlignment="1" pivotButton="0" quotePrefix="0" xfId="0">
      <alignment vertical="center"/>
    </xf>
    <xf numFmtId="167" fontId="63" fillId="26" borderId="65" applyAlignment="1" pivotButton="0" quotePrefix="0" xfId="0">
      <alignment vertical="center"/>
    </xf>
    <xf numFmtId="167" fontId="66" fillId="20" borderId="65" applyAlignment="1" pivotButton="0" quotePrefix="0" xfId="0">
      <alignment vertical="center"/>
    </xf>
    <xf numFmtId="167" fontId="88" fillId="0" borderId="91" pivotButton="0" quotePrefix="0" xfId="0"/>
    <xf numFmtId="167" fontId="88" fillId="0" borderId="119" pivotButton="0" quotePrefix="0" xfId="0"/>
    <xf numFmtId="167" fontId="61" fillId="0" borderId="158" pivotButton="0" quotePrefix="0" xfId="0"/>
    <xf numFmtId="165" fontId="61" fillId="0" borderId="158" pivotButton="0" quotePrefix="0" xfId="0"/>
    <xf numFmtId="167" fontId="61" fillId="0" borderId="201" pivotButton="0" quotePrefix="0" xfId="0"/>
    <xf numFmtId="167" fontId="61" fillId="0" borderId="284" pivotButton="0" quotePrefix="0" xfId="0"/>
    <xf numFmtId="167" fontId="48" fillId="3" borderId="158" pivotButton="0" quotePrefix="0" xfId="0"/>
    <xf numFmtId="165" fontId="48" fillId="3" borderId="158" pivotButton="0" quotePrefix="0" xfId="0"/>
    <xf numFmtId="167" fontId="48" fillId="3" borderId="201" pivotButton="0" quotePrefix="0" xfId="0"/>
    <xf numFmtId="167" fontId="45" fillId="0" borderId="156" pivotButton="0" quotePrefix="0" xfId="0"/>
    <xf numFmtId="167" fontId="54" fillId="20" borderId="160" applyAlignment="1" pivotButton="0" quotePrefix="0" xfId="0">
      <alignment vertical="center"/>
    </xf>
    <xf numFmtId="167" fontId="88" fillId="0" borderId="0" applyAlignment="1" pivotButton="0" quotePrefix="0" xfId="0">
      <alignment vertical="center"/>
    </xf>
    <xf numFmtId="166" fontId="48" fillId="34" borderId="29" applyAlignment="1" pivotButton="0" quotePrefix="0" xfId="0">
      <alignment horizontal="center"/>
    </xf>
    <xf numFmtId="166" fontId="54" fillId="20" borderId="112" applyAlignment="1" pivotButton="0" quotePrefix="0" xfId="0">
      <alignment horizontal="center" vertical="center"/>
    </xf>
    <xf numFmtId="166" fontId="70" fillId="36" borderId="32" applyAlignment="1" pivotButton="0" quotePrefix="0" xfId="0">
      <alignment horizontal="center"/>
    </xf>
    <xf numFmtId="166" fontId="42" fillId="7" borderId="29" applyAlignment="1" pivotButton="0" quotePrefix="0" xfId="0">
      <alignment horizontal="center"/>
    </xf>
    <xf numFmtId="166" fontId="42" fillId="6" borderId="29" applyAlignment="1" pivotButton="0" quotePrefix="0" xfId="0">
      <alignment horizontal="center"/>
    </xf>
    <xf numFmtId="166" fontId="70" fillId="36" borderId="29" applyAlignment="1" pivotButton="0" quotePrefix="0" xfId="0">
      <alignment horizontal="center"/>
    </xf>
    <xf numFmtId="166" fontId="54" fillId="20" borderId="29" applyAlignment="1" pivotButton="0" quotePrefix="0" xfId="0">
      <alignment horizontal="center" vertical="center"/>
    </xf>
    <xf numFmtId="166" fontId="42" fillId="0" borderId="29" applyAlignment="1" pivotButton="0" quotePrefix="0" xfId="0">
      <alignment horizontal="center"/>
    </xf>
    <xf numFmtId="166" fontId="43" fillId="20" borderId="29" applyAlignment="1" pivotButton="0" quotePrefix="0" xfId="0">
      <alignment horizontal="center" vertical="center"/>
    </xf>
    <xf numFmtId="166" fontId="44" fillId="20" borderId="29" applyAlignment="1" pivotButton="0" quotePrefix="0" xfId="0">
      <alignment horizontal="center" vertical="center"/>
    </xf>
    <xf numFmtId="166" fontId="42" fillId="7" borderId="33" applyAlignment="1" pivotButton="0" quotePrefix="0" xfId="0">
      <alignment horizontal="center"/>
    </xf>
    <xf numFmtId="166" fontId="42" fillId="7" borderId="148" applyAlignment="1" pivotButton="0" quotePrefix="0" xfId="0">
      <alignment horizontal="center"/>
    </xf>
    <xf numFmtId="166" fontId="42" fillId="7" borderId="152" applyAlignment="1" pivotButton="0" quotePrefix="0" xfId="0">
      <alignment horizontal="center"/>
    </xf>
    <xf numFmtId="164" fontId="0" fillId="11" borderId="12" applyAlignment="1" pivotButton="0" quotePrefix="0" xfId="3">
      <alignment horizontal="center" vertical="center"/>
    </xf>
    <xf numFmtId="164" fontId="22" fillId="12" borderId="12" applyAlignment="1" pivotButton="0" quotePrefix="0" xfId="3">
      <alignment vertical="center"/>
    </xf>
    <xf numFmtId="166" fontId="126" fillId="55" borderId="184" applyAlignment="1" pivotButton="0" quotePrefix="0" xfId="4">
      <alignment vertical="center" wrapText="1"/>
    </xf>
    <xf numFmtId="166" fontId="126" fillId="55" borderId="185" applyAlignment="1" pivotButton="0" quotePrefix="0" xfId="4">
      <alignment vertical="center" wrapText="1"/>
    </xf>
    <xf numFmtId="166" fontId="126" fillId="55" borderId="183" applyAlignment="1" pivotButton="0" quotePrefix="0" xfId="4">
      <alignment vertical="center" wrapText="1"/>
    </xf>
    <xf numFmtId="165" fontId="129" fillId="56" borderId="192" applyAlignment="1" pivotButton="0" quotePrefix="0" xfId="4">
      <alignment vertical="center" wrapText="1"/>
    </xf>
    <xf numFmtId="165" fontId="129" fillId="56" borderId="183" applyAlignment="1" pivotButton="0" quotePrefix="0" xfId="4">
      <alignment vertical="center" wrapText="1"/>
    </xf>
    <xf numFmtId="166" fontId="126" fillId="55" borderId="182" applyAlignment="1" pivotButton="0" quotePrefix="0" xfId="4">
      <alignment vertical="center" wrapText="1"/>
    </xf>
    <xf numFmtId="168" fontId="126" fillId="55" borderId="185" applyAlignment="1" pivotButton="0" quotePrefix="0" xfId="4">
      <alignment vertical="center" wrapText="1"/>
    </xf>
    <xf numFmtId="168" fontId="126" fillId="55" borderId="183" applyAlignment="1" pivotButton="0" quotePrefix="0" xfId="4">
      <alignment vertical="center" wrapText="1"/>
    </xf>
    <xf numFmtId="164" fontId="37" fillId="4" borderId="75" applyAlignment="1" pivotButton="0" quotePrefix="0" xfId="1">
      <alignment vertical="center" wrapText="1"/>
    </xf>
    <xf numFmtId="164" fontId="37" fillId="4" borderId="65" applyAlignment="1" pivotButton="0" quotePrefix="0" xfId="1">
      <alignment vertical="center" wrapText="1"/>
    </xf>
    <xf numFmtId="164" fontId="37" fillId="4" borderId="77" applyAlignment="1" pivotButton="0" quotePrefix="0" xfId="1">
      <alignment vertical="center" wrapText="1"/>
    </xf>
    <xf numFmtId="0" fontId="0" fillId="0" borderId="117" pivotButton="0" quotePrefix="0" xfId="0"/>
    <xf numFmtId="167" fontId="52" fillId="23" borderId="65" applyAlignment="1" pivotButton="0" quotePrefix="0" xfId="2">
      <alignment horizontal="center" vertical="center" wrapText="1"/>
    </xf>
    <xf numFmtId="0" fontId="45" fillId="0" borderId="408" applyAlignment="1" pivotButton="0" quotePrefix="0" xfId="0">
      <alignment horizontal="center" vertical="center" wrapText="1"/>
    </xf>
    <xf numFmtId="0" fontId="0" fillId="0" borderId="253" pivotButton="0" quotePrefix="0" xfId="0"/>
    <xf numFmtId="165" fontId="46" fillId="16" borderId="349" applyAlignment="1" pivotButton="0" quotePrefix="0" xfId="0">
      <alignment horizontal="center" vertical="center" wrapText="1"/>
    </xf>
    <xf numFmtId="165" fontId="46" fillId="16" borderId="163" applyAlignment="1" pivotButton="0" quotePrefix="0" xfId="0">
      <alignment horizontal="center" vertical="center" wrapText="1"/>
    </xf>
    <xf numFmtId="165" fontId="46" fillId="16" borderId="255" applyAlignment="1" pivotButton="0" quotePrefix="0" xfId="0">
      <alignment horizontal="center" vertical="center" wrapText="1"/>
    </xf>
    <xf numFmtId="0" fontId="0" fillId="0" borderId="255" pivotButton="0" quotePrefix="0" xfId="0"/>
    <xf numFmtId="165" fontId="47" fillId="16" borderId="30" applyAlignment="1" pivotButton="0" quotePrefix="0" xfId="0">
      <alignment horizontal="center"/>
    </xf>
    <xf numFmtId="165" fontId="47" fillId="17" borderId="30" applyAlignment="1" pivotButton="0" quotePrefix="0" xfId="0">
      <alignment horizontal="center"/>
    </xf>
    <xf numFmtId="165" fontId="43" fillId="18" borderId="133" applyAlignment="1" pivotButton="0" quotePrefix="0" xfId="0">
      <alignment horizontal="center"/>
    </xf>
    <xf numFmtId="167" fontId="47" fillId="0" borderId="129" applyAlignment="1" pivotButton="0" quotePrefix="0" xfId="0">
      <alignment horizontal="center" vertical="center" wrapText="1"/>
    </xf>
    <xf numFmtId="165" fontId="47" fillId="16" borderId="30" pivotButton="0" quotePrefix="0" xfId="0"/>
    <xf numFmtId="165" fontId="43" fillId="18" borderId="133" pivotButton="0" quotePrefix="0" xfId="0"/>
    <xf numFmtId="167" fontId="47" fillId="0" borderId="406" applyAlignment="1" pivotButton="0" quotePrefix="0" xfId="0">
      <alignment horizontal="center" vertical="center" wrapText="1"/>
    </xf>
    <xf numFmtId="167" fontId="47" fillId="0" borderId="406" applyAlignment="1" pivotButton="0" quotePrefix="0" xfId="0">
      <alignment vertical="center" wrapText="1"/>
    </xf>
    <xf numFmtId="167" fontId="47" fillId="0" borderId="129" applyAlignment="1" pivotButton="0" quotePrefix="0" xfId="0">
      <alignment vertical="center" wrapText="1"/>
    </xf>
    <xf numFmtId="165" fontId="48" fillId="3" borderId="30" pivotButton="0" quotePrefix="0" xfId="0"/>
    <xf numFmtId="165" fontId="58" fillId="19" borderId="133" pivotButton="0" quotePrefix="0" xfId="0"/>
    <xf numFmtId="167" fontId="48" fillId="3" borderId="299" applyAlignment="1" pivotButton="0" quotePrefix="0" xfId="0">
      <alignment vertical="center" wrapText="1"/>
    </xf>
    <xf numFmtId="0" fontId="54" fillId="21" borderId="406" applyAlignment="1" pivotButton="0" quotePrefix="0" xfId="0">
      <alignment horizontal="center" vertical="center" wrapText="1"/>
    </xf>
    <xf numFmtId="0" fontId="0" fillId="0" borderId="251" pivotButton="0" quotePrefix="0" xfId="0"/>
    <xf numFmtId="167" fontId="45" fillId="0" borderId="298" applyAlignment="1" pivotButton="0" quotePrefix="0" xfId="0">
      <alignment vertical="center" wrapText="1"/>
    </xf>
    <xf numFmtId="167" fontId="45" fillId="0" borderId="298" applyAlignment="1" pivotButton="0" quotePrefix="0" xfId="0">
      <alignment horizontal="center" vertical="center" wrapText="1"/>
    </xf>
    <xf numFmtId="167" fontId="45" fillId="0" borderId="30" applyAlignment="1" pivotButton="0" quotePrefix="0" xfId="0">
      <alignment vertical="center" wrapText="1"/>
    </xf>
    <xf numFmtId="167" fontId="45" fillId="0" borderId="30" applyAlignment="1" pivotButton="0" quotePrefix="0" xfId="0">
      <alignment horizontal="center" vertical="center" wrapText="1"/>
    </xf>
    <xf numFmtId="167" fontId="45" fillId="0" borderId="299" applyAlignment="1" pivotButton="0" quotePrefix="0" xfId="0">
      <alignment horizontal="center" vertical="center" wrapText="1"/>
    </xf>
    <xf numFmtId="167" fontId="65" fillId="3" borderId="29" applyAlignment="1" pivotButton="0" quotePrefix="0" xfId="0">
      <alignment horizontal="right" vertical="center" wrapText="1"/>
    </xf>
    <xf numFmtId="167" fontId="65" fillId="3" borderId="91" applyAlignment="1" pivotButton="0" quotePrefix="0" xfId="0">
      <alignment horizontal="right" vertical="center" wrapText="1"/>
    </xf>
    <xf numFmtId="167" fontId="50" fillId="16" borderId="108" applyAlignment="1" pivotButton="0" quotePrefix="0" xfId="0">
      <alignment horizontal="center" vertical="center" wrapText="1"/>
    </xf>
    <xf numFmtId="167" fontId="50" fillId="16" borderId="112" applyAlignment="1" pivotButton="0" quotePrefix="0" xfId="0">
      <alignment horizontal="center" vertical="center" wrapText="1"/>
    </xf>
    <xf numFmtId="0" fontId="0" fillId="0" borderId="113" pivotButton="0" quotePrefix="0" xfId="0"/>
    <xf numFmtId="165" fontId="37" fillId="16" borderId="352" applyAlignment="1" pivotButton="0" quotePrefix="0" xfId="2">
      <alignment horizontal="center" vertical="center" wrapText="1"/>
    </xf>
    <xf numFmtId="0" fontId="0" fillId="0" borderId="352" pivotButton="0" quotePrefix="0" xfId="0"/>
    <xf numFmtId="0" fontId="0" fillId="0" borderId="276" pivotButton="0" quotePrefix="0" xfId="0"/>
    <xf numFmtId="0" fontId="0" fillId="0" borderId="63" pivotButton="0" quotePrefix="0" xfId="0"/>
    <xf numFmtId="0" fontId="0" fillId="0" borderId="405" pivotButton="0" quotePrefix="0" xfId="0"/>
    <xf numFmtId="167" fontId="52" fillId="23" borderId="39" applyAlignment="1" pivotButton="0" quotePrefix="0" xfId="2">
      <alignment horizontal="center" vertical="center" wrapText="1"/>
    </xf>
    <xf numFmtId="165" fontId="55" fillId="16" borderId="40" applyAlignment="1" pivotButton="0" quotePrefix="0" xfId="2">
      <alignment horizontal="center" vertical="center" wrapText="1"/>
    </xf>
    <xf numFmtId="165" fontId="55" fillId="16" borderId="0" applyAlignment="1" pivotButton="0" quotePrefix="0" xfId="2">
      <alignment horizontal="center" vertical="center" wrapText="1"/>
    </xf>
    <xf numFmtId="165" fontId="55" fillId="16" borderId="91" applyAlignment="1" pivotButton="0" quotePrefix="0" xfId="2">
      <alignment horizontal="center" vertical="center" wrapText="1"/>
    </xf>
    <xf numFmtId="165" fontId="39" fillId="3" borderId="41" applyAlignment="1" pivotButton="0" quotePrefix="0" xfId="2">
      <alignment horizontal="center" vertical="center" wrapText="1"/>
    </xf>
    <xf numFmtId="165" fontId="39" fillId="3" borderId="115" applyAlignment="1" pivotButton="0" quotePrefix="0" xfId="2">
      <alignment horizontal="center" vertical="center" wrapText="1"/>
    </xf>
    <xf numFmtId="0" fontId="0" fillId="0" borderId="115" pivotButton="0" quotePrefix="0" xfId="0"/>
    <xf numFmtId="165" fontId="35" fillId="16" borderId="32" applyAlignment="1" pivotButton="0" quotePrefix="0" xfId="2">
      <alignment horizontal="center" vertical="center"/>
    </xf>
    <xf numFmtId="165" fontId="35" fillId="17" borderId="32" applyAlignment="1" pivotButton="0" quotePrefix="0" xfId="2">
      <alignment horizontal="center" vertical="center"/>
    </xf>
    <xf numFmtId="165" fontId="33" fillId="18" borderId="257" applyAlignment="1" pivotButton="0" quotePrefix="0" xfId="2">
      <alignment horizontal="center" vertical="center"/>
    </xf>
    <xf numFmtId="167" fontId="35" fillId="0" borderId="330" applyAlignment="1" pivotButton="0" quotePrefix="0" xfId="2">
      <alignment horizontal="center" vertical="center" wrapText="1"/>
    </xf>
    <xf numFmtId="167" fontId="35" fillId="0" borderId="91" applyAlignment="1" pivotButton="0" quotePrefix="0" xfId="2">
      <alignment horizontal="center" vertical="center" wrapText="1"/>
    </xf>
    <xf numFmtId="165" fontId="35" fillId="17" borderId="0" applyAlignment="1" pivotButton="0" quotePrefix="0" xfId="2">
      <alignment horizontal="center" vertical="center"/>
    </xf>
    <xf numFmtId="165" fontId="56" fillId="19" borderId="28" applyAlignment="1" pivotButton="0" quotePrefix="0" xfId="2">
      <alignment horizontal="center"/>
    </xf>
    <xf numFmtId="167" fontId="57" fillId="3" borderId="91" applyAlignment="1" pivotButton="0" quotePrefix="0" xfId="2">
      <alignment horizontal="center" vertical="center" wrapText="1"/>
    </xf>
    <xf numFmtId="0" fontId="0" fillId="0" borderId="278" pivotButton="0" quotePrefix="0" xfId="0"/>
    <xf numFmtId="167" fontId="5" fillId="0" borderId="29" applyAlignment="1" pivotButton="0" quotePrefix="0" xfId="2">
      <alignment vertical="center" wrapText="1"/>
    </xf>
    <xf numFmtId="167" fontId="5" fillId="0" borderId="65" applyAlignment="1" pivotButton="0" quotePrefix="0" xfId="2">
      <alignment vertical="center" wrapText="1"/>
    </xf>
    <xf numFmtId="167" fontId="38" fillId="3" borderId="117" applyAlignment="1" pivotButton="0" quotePrefix="0" xfId="2">
      <alignment horizontal="center" vertical="center" wrapText="1"/>
    </xf>
    <xf numFmtId="167" fontId="34" fillId="16" borderId="0" applyAlignment="1" pivotButton="0" quotePrefix="0" xfId="2">
      <alignment horizontal="center" vertical="center" wrapText="1"/>
    </xf>
    <xf numFmtId="165" fontId="34" fillId="16" borderId="35" applyAlignment="1" pivotButton="0" quotePrefix="0" xfId="2">
      <alignment horizontal="center" vertical="center" wrapText="1"/>
    </xf>
    <xf numFmtId="0" fontId="40" fillId="21" borderId="406" applyAlignment="1" pivotButton="0" quotePrefix="0" xfId="2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7FA"/>
      <rgbColor rgb="FFFF00FF"/>
      <rgbColor rgb="FF00FFFF"/>
      <rgbColor rgb="FF800000"/>
      <rgbColor rgb="FF008000"/>
      <rgbColor rgb="FF0C1F3F"/>
      <rgbColor rgb="FF878787"/>
      <rgbColor rgb="FF800080"/>
      <rgbColor rgb="FF008080"/>
      <rgbColor rgb="FFBFBFBF"/>
      <rgbColor rgb="FF7F7F7F"/>
      <rgbColor rgb="FF9AA0A8"/>
      <rgbColor rgb="FF4A4A4A"/>
      <rgbColor rgb="FFFFF2CC"/>
      <rgbColor rgb="FFEAF0F6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F0D9"/>
      <rgbColor rgb="FFF2F2F2"/>
      <rgbColor rgb="FFB7C3D0"/>
      <rgbColor rgb="FFD9D9D9"/>
      <rgbColor rgb="FFB9BEC7"/>
      <rgbColor rgb="FFFCD5B5"/>
      <rgbColor rgb="FF4F81BD"/>
      <rgbColor rgb="FF33CCCC"/>
      <rgbColor rgb="FFC9A227"/>
      <rgbColor rgb="FFFCCF6A"/>
      <rgbColor rgb="FFCC9900"/>
      <rgbColor rgb="FFFF6600"/>
      <rgbColor rgb="FF666666"/>
      <rgbColor rgb="FF8A8F99"/>
      <rgbColor rgb="FF17365D"/>
      <rgbColor rgb="FF339966"/>
      <rgbColor rgb="FF10243E"/>
      <rgbColor rgb="FF1B2A45"/>
      <rgbColor rgb="FF993300"/>
      <rgbColor rgb="FF993366"/>
      <rgbColor rgb="FF1F3864"/>
      <rgbColor rgb="FF203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1062300</xdr:colOff>
      <xdr:row>7</xdr:row>
      <xdr:rowOff>50231</xdr:rowOff>
    </xdr:to>
    <xdr:pic>
      <xdr:nvPicPr>
        <xdr:cNvPr id="2" name="Imagen 2"/>
        <xdr:cNvPicPr/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996000" cy="1564706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10785</xdr:colOff>
      <xdr:row>4</xdr:row>
      <xdr:rowOff>175215</xdr:rowOff>
    </xdr:to>
    <xdr:pic>
      <xdr:nvPicPr>
        <xdr:cNvPr id="4" name="Imagen 2"/>
        <xdr:cNvPicPr/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808000" cy="1188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1428300</xdr:colOff>
      <xdr:row>6</xdr:row>
      <xdr:rowOff>16575</xdr:rowOff>
    </xdr:to>
    <xdr:pic>
      <xdr:nvPicPr>
        <xdr:cNvPr id="2" name="Imagen 2"/>
        <xdr:cNvPicPr/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600000" cy="1512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1761960</xdr:colOff>
      <xdr:row>5</xdr:row>
      <xdr:rowOff>124620</xdr:rowOff>
    </xdr:to>
    <xdr:pic>
      <xdr:nvPicPr>
        <xdr:cNvPr id="4" name="Imagen 2"/>
        <xdr:cNvPicPr/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844000" cy="1260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1039920</xdr:colOff>
      <xdr:row>7</xdr:row>
      <xdr:rowOff>7756</xdr:rowOff>
    </xdr:to>
    <xdr:pic>
      <xdr:nvPicPr>
        <xdr:cNvPr id="3" name="Imagen 2"/>
        <xdr:cNvPicPr/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204000" cy="1512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15240</xdr:colOff>
      <xdr:row>0</xdr:row>
      <xdr:rowOff>0</xdr:rowOff>
    </xdr:from>
    <xdr:to>
      <xdr:col>4</xdr:col>
      <xdr:colOff>12000</xdr:colOff>
      <xdr:row>6</xdr:row>
      <xdr:rowOff>90256</xdr:rowOff>
    </xdr:to>
    <xdr:pic>
      <xdr:nvPicPr>
        <xdr:cNvPr id="3" name="Imagen 2"/>
        <xdr:cNvPicPr/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15240" y="0"/>
          <a:ext cx="3060000" cy="1404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FF1565C0"/>
    <outlinePr summaryBelow="1" summaryRight="1"/>
    <pageSetUpPr/>
  </sheetPr>
  <dimension ref="A1:Y146"/>
  <sheetViews>
    <sheetView zoomScale="80" zoomScaleNormal="80" workbookViewId="0">
      <pane xSplit="3" ySplit="8" topLeftCell="Q138" activePane="bottomRight" state="frozen"/>
      <selection pane="topRight" activeCell="D1" sqref="D1"/>
      <selection pane="bottomLeft" activeCell="A2" sqref="A2"/>
      <selection pane="bottomRight" activeCell="A146" sqref="A146"/>
    </sheetView>
  </sheetViews>
  <sheetFormatPr baseColWidth="10" defaultColWidth="8.88671875" defaultRowHeight="14.4"/>
  <cols>
    <col width="12" customWidth="1" style="600" min="1" max="1"/>
    <col width="30.77734375" customWidth="1" style="1062" min="2" max="2"/>
    <col width="20.77734375" customWidth="1" style="1062" min="3" max="3"/>
    <col width="12.77734375" customWidth="1" style="600" min="4" max="4"/>
    <col width="44" customWidth="1" style="1062" min="5" max="5"/>
    <col width="24" customWidth="1" style="1062" min="6" max="6"/>
    <col width="18" customWidth="1" style="1062" min="7" max="7"/>
    <col width="15.77734375" customWidth="1" style="1062" min="8" max="8"/>
    <col width="15.77734375" customWidth="1" style="600" min="9" max="9"/>
    <col width="15.77734375" customWidth="1" style="1062" min="10" max="10"/>
    <col width="12" customWidth="1" style="1062" min="12" max="12"/>
    <col width="11" customWidth="1" style="1062" min="13" max="13"/>
    <col width="12.77734375" customWidth="1" style="1062" min="14" max="14"/>
    <col width="10.77734375" customWidth="1" style="1062" min="15" max="15"/>
    <col width="10" customWidth="1" style="1062" min="16" max="16"/>
    <col width="13" customWidth="1" style="1062" min="17" max="17"/>
    <col width="14" customWidth="1" style="1062" min="18" max="18"/>
    <col width="15" customWidth="1" style="1062" min="19" max="19"/>
    <col width="12.77734375" customWidth="1" style="1062" min="20" max="20"/>
    <col width="52" customWidth="1" style="600" min="21" max="21"/>
    <col width="42" customWidth="1" style="1062" min="22" max="22"/>
    <col width="18" customWidth="1" style="1062" min="23" max="23"/>
    <col width="12" customWidth="1" style="1062" min="24" max="24"/>
    <col width="15" customWidth="1" style="1062" min="25" max="25"/>
  </cols>
  <sheetData>
    <row r="1" ht="40.05" customHeight="1" s="1062">
      <c r="A1" s="599" t="n"/>
      <c r="D1" s="585" t="inlineStr">
        <is>
          <t>CANTIDADES DE OBRA</t>
        </is>
      </c>
      <c r="K1" s="599" t="n"/>
    </row>
    <row r="2" ht="4.95" customHeight="1" s="1062">
      <c r="D2" s="290" t="n"/>
      <c r="E2" s="290" t="n"/>
      <c r="F2" s="290" t="n"/>
      <c r="G2" s="290" t="n"/>
      <c r="H2" s="290" t="n"/>
      <c r="I2" s="290" t="n"/>
      <c r="J2" s="290" t="n"/>
    </row>
    <row r="3" ht="15" customHeight="1" s="1062">
      <c r="D3" s="615" t="n"/>
      <c r="G3" s="616" t="n"/>
      <c r="H3" s="609" t="inlineStr">
        <is>
          <t>CONTROL DOCUMENTAL</t>
        </is>
      </c>
      <c r="I3" s="610" t="n"/>
      <c r="J3" s="611" t="n"/>
    </row>
    <row r="4" ht="15" customHeight="1" s="1062">
      <c r="D4" s="612" t="inlineStr">
        <is>
          <t>REFORMAS Y REMODELACIONES</t>
        </is>
      </c>
      <c r="E4" s="607" t="n"/>
      <c r="F4" s="607" t="n"/>
      <c r="G4" s="608" t="n"/>
      <c r="H4" s="262" t="inlineStr">
        <is>
          <t>Código</t>
        </is>
      </c>
      <c r="I4" s="613" t="inlineStr">
        <is>
          <t>RYR-CO-005</t>
        </is>
      </c>
      <c r="J4" s="614" t="n"/>
    </row>
    <row r="5" ht="15" customHeight="1" s="1062">
      <c r="D5" s="606" t="inlineStr">
        <is>
          <t>DISEÑAMOS, RENOVAMOS Y CONSTRUIMOS ESPACIOS QUE INSPIRAN</t>
        </is>
      </c>
      <c r="E5" s="607" t="n"/>
      <c r="F5" s="607" t="n"/>
      <c r="G5" s="608" t="n"/>
      <c r="H5" s="260" t="inlineStr">
        <is>
          <t>Versión</t>
        </is>
      </c>
      <c r="I5" s="604" t="n">
        <v>1</v>
      </c>
      <c r="J5" s="605" t="n"/>
    </row>
    <row r="6" ht="15" customHeight="1" s="1062">
      <c r="D6" s="599" t="n"/>
      <c r="H6" s="260" t="inlineStr">
        <is>
          <t>Fecha de Emisión</t>
        </is>
      </c>
      <c r="I6" s="617" t="inlineStr">
        <is>
          <t>10/09/2026</t>
        </is>
      </c>
      <c r="J6" s="605" t="n"/>
    </row>
    <row r="7" ht="15" customHeight="1" s="1062">
      <c r="A7" s="601" t="n"/>
      <c r="B7" s="601" t="n"/>
      <c r="C7" s="601" t="n"/>
      <c r="D7" s="601" t="n"/>
      <c r="E7" s="601" t="n"/>
      <c r="F7" s="601" t="n"/>
      <c r="G7" s="601" t="n"/>
      <c r="H7" s="261" t="inlineStr">
        <is>
          <t>Página</t>
        </is>
      </c>
      <c r="I7" s="602" t="inlineStr">
        <is>
          <t>1 de 1</t>
        </is>
      </c>
      <c r="J7" s="603" t="n"/>
      <c r="K7" s="601" t="n"/>
      <c r="L7" s="601" t="n"/>
      <c r="M7" s="601" t="n"/>
      <c r="N7" s="601" t="n"/>
      <c r="O7" s="601" t="n"/>
      <c r="P7" s="601" t="n"/>
      <c r="Q7" s="601" t="n"/>
      <c r="R7" s="601" t="n"/>
      <c r="S7" s="601" t="n"/>
      <c r="T7" s="601" t="n"/>
      <c r="U7" s="601" t="n"/>
      <c r="V7" s="601" t="n"/>
      <c r="W7" s="601" t="n"/>
      <c r="X7" s="601" t="n"/>
      <c r="Y7" s="601" t="n"/>
    </row>
    <row r="8" ht="19.95" customFormat="1" customHeight="1" s="666">
      <c r="A8" s="357" t="inlineStr">
        <is>
          <t>ID</t>
        </is>
      </c>
      <c r="B8" s="357" t="inlineStr">
        <is>
          <t>Capítulo</t>
        </is>
      </c>
      <c r="C8" s="357" t="inlineStr">
        <is>
          <t>Subcapítulo</t>
        </is>
      </c>
      <c r="D8" s="357" t="inlineStr">
        <is>
          <t>Código actividad</t>
        </is>
      </c>
      <c r="E8" s="357" t="inlineStr">
        <is>
          <t>Actividad específica</t>
        </is>
      </c>
      <c r="F8" s="357" t="inlineStr">
        <is>
          <t>Ubicación / Frente</t>
        </is>
      </c>
      <c r="G8" s="357" t="inlineStr">
        <is>
          <t>Plano / Detalle</t>
        </is>
      </c>
      <c r="H8" s="357" t="inlineStr">
        <is>
          <t>Rev.</t>
        </is>
      </c>
      <c r="I8" s="357" t="inlineStr">
        <is>
          <t>Unidad</t>
        </is>
      </c>
      <c r="J8" s="357" t="inlineStr">
        <is>
          <t>Largo</t>
        </is>
      </c>
      <c r="K8" s="357" t="inlineStr">
        <is>
          <t>Ancho</t>
        </is>
      </c>
      <c r="L8" s="357" t="inlineStr">
        <is>
          <t>Alto / Prof.</t>
        </is>
      </c>
      <c r="M8" s="357" t="inlineStr">
        <is>
          <t>Espesor</t>
        </is>
      </c>
      <c r="N8" s="357" t="inlineStr">
        <is>
          <t>N° elementos</t>
        </is>
      </c>
      <c r="O8" s="357" t="inlineStr">
        <is>
          <t>Repeticiones</t>
        </is>
      </c>
      <c r="P8" s="357" t="inlineStr">
        <is>
          <t>Factor</t>
        </is>
      </c>
      <c r="Q8" s="357" t="inlineStr">
        <is>
          <t>Deducción</t>
        </is>
      </c>
      <c r="R8" s="357" t="inlineStr">
        <is>
          <t>Desperdicio %</t>
        </is>
      </c>
      <c r="S8" s="357" t="inlineStr">
        <is>
          <t>Cantidad neta</t>
        </is>
      </c>
      <c r="T8" s="357" t="inlineStr">
        <is>
          <t>Cantidad final</t>
        </is>
      </c>
      <c r="U8" s="357" t="inlineStr">
        <is>
          <t>Fórmula / criterio</t>
        </is>
      </c>
      <c r="V8" s="357" t="inlineStr">
        <is>
          <t>Observación técnica</t>
        </is>
      </c>
      <c r="W8" s="357" t="inlineStr">
        <is>
          <t>Responsable</t>
        </is>
      </c>
      <c r="X8" s="357" t="inlineStr">
        <is>
          <t>Fecha</t>
        </is>
      </c>
      <c r="Y8" s="357" t="inlineStr">
        <is>
          <t>Estado</t>
        </is>
      </c>
    </row>
    <row r="9" ht="15" customFormat="1" customHeight="1" s="666">
      <c r="A9" s="358" t="inlineStr">
        <is>
          <t>MQ-001</t>
        </is>
      </c>
      <c r="B9" s="359" t="inlineStr">
        <is>
          <t>PRELIMINARES</t>
        </is>
      </c>
      <c r="C9" s="360" t="inlineStr">
        <is>
          <t>Preliminares generales</t>
        </is>
      </c>
      <c r="D9" s="361" t="inlineStr">
        <is>
          <t>01.01.01</t>
        </is>
      </c>
      <c r="E9" s="362" t="inlineStr">
        <is>
          <t>Localización y Replanteo</t>
        </is>
      </c>
      <c r="F9" s="363" t="n"/>
      <c r="G9" s="363" t="n"/>
      <c r="H9" s="363" t="n"/>
      <c r="I9" s="361" t="inlineStr">
        <is>
          <t>ml</t>
        </is>
      </c>
      <c r="J9" s="1302" t="n">
        <v>0</v>
      </c>
      <c r="K9" s="1302" t="n">
        <v>0</v>
      </c>
      <c r="L9" s="1302" t="n">
        <v>0</v>
      </c>
      <c r="M9" s="1302" t="n">
        <v>0</v>
      </c>
      <c r="N9" s="1302" t="n">
        <v>1</v>
      </c>
      <c r="O9" s="1302" t="n">
        <v>1</v>
      </c>
      <c r="P9" s="1302" t="n">
        <v>1</v>
      </c>
      <c r="Q9" s="1302" t="n">
        <v>0</v>
      </c>
      <c r="R9" s="1303" t="n">
        <v>0</v>
      </c>
      <c r="S9" s="1302">
        <f>IF(I9="","",ROUND(IF(OR(I9="m²",I9="m2"),J9*IF(K9=0,1,K9)*IF(N9=0,1,N9)*IF(O9=0,1,O9)*P9-Q9,IF(OR(I9="m³",I9="m3"),J9*K9*L9*IF(N9=0,1,N9)*IF(O9=0,1,O9)*P9-Q9,IF(OR(I9="ml",I9="ML"),J9*IF(N9=0,1,N9)*IF(O9=0,1,O9)*P9-Q9,IF(OR(I9="und",I9="UND"),IF(N9=0,1,N9)*IF(O9=0,1,O9)*P9-Q9,IF(I9="kg",J9*IF(N9=0,1,N9)*IF(O9=0,1,O9)*P9-Q9,0))))),3))</f>
        <v/>
      </c>
      <c r="T9" s="1302">
        <f>IF(S9="","",ROUND(S9*(1+R9),3))</f>
        <v/>
      </c>
      <c r="U9" s="361" t="inlineStr">
        <is>
          <t>ml</t>
        </is>
      </c>
      <c r="V9" s="363" t="n"/>
      <c r="W9" s="363" t="n"/>
      <c r="X9" s="1304" t="n"/>
      <c r="Y9" s="363" t="inlineStr">
        <is>
          <t>Pendiente</t>
        </is>
      </c>
    </row>
    <row r="10" ht="15" customFormat="1" customHeight="1" s="666">
      <c r="A10" s="358" t="inlineStr">
        <is>
          <t>MQ-002</t>
        </is>
      </c>
      <c r="B10" s="359" t="inlineStr">
        <is>
          <t>PRELIMINARES</t>
        </is>
      </c>
      <c r="C10" s="360" t="inlineStr">
        <is>
          <t>Preliminares generales</t>
        </is>
      </c>
      <c r="D10" s="361" t="inlineStr">
        <is>
          <t>01.01.02</t>
        </is>
      </c>
      <c r="E10" s="362" t="inlineStr">
        <is>
          <t>Cerramiento provisional de obra</t>
        </is>
      </c>
      <c r="F10" s="363" t="n"/>
      <c r="G10" s="363" t="n"/>
      <c r="H10" s="363" t="n"/>
      <c r="I10" s="361" t="inlineStr">
        <is>
          <t>ml</t>
        </is>
      </c>
      <c r="J10" s="1302" t="n">
        <v>0</v>
      </c>
      <c r="K10" s="1302" t="n">
        <v>0</v>
      </c>
      <c r="L10" s="1302" t="n">
        <v>0</v>
      </c>
      <c r="M10" s="1302" t="n">
        <v>0</v>
      </c>
      <c r="N10" s="1302" t="n">
        <v>1</v>
      </c>
      <c r="O10" s="1302" t="n">
        <v>1</v>
      </c>
      <c r="P10" s="1302" t="n">
        <v>1</v>
      </c>
      <c r="Q10" s="1302" t="n">
        <v>0</v>
      </c>
      <c r="R10" s="1303" t="n">
        <v>0</v>
      </c>
      <c r="S10" s="1302">
        <f>IF(I10="","",ROUND(IF(OR(I10="m²",I10="m2"),J10*IF(K10=0,1,K10)*IF(N10=0,1,N10)*IF(O10=0,1,O10)*P10-Q10,IF(OR(I10="m³",I10="m3"),J10*K10*L10*IF(N10=0,1,N10)*IF(O10=0,1,O10)*P10-Q10,IF(OR(I10="ml",I10="ML"),J10*IF(N10=0,1,N10)*IF(O10=0,1,O10)*P10-Q10,IF(OR(I10="und",I10="UND"),IF(N10=0,1,N10)*IF(O10=0,1,O10)*P10-Q10,IF(I10="kg",J10*IF(N10=0,1,N10)*IF(O10=0,1,O10)*P10-Q10,0))))),3))</f>
        <v/>
      </c>
      <c r="T10" s="1302">
        <f>IF(S10="","",ROUND(S10*(1+R10),3))</f>
        <v/>
      </c>
      <c r="U10" s="361" t="inlineStr">
        <is>
          <t>ml</t>
        </is>
      </c>
      <c r="V10" s="363" t="n"/>
      <c r="W10" s="363" t="n"/>
      <c r="X10" s="1304" t="n"/>
      <c r="Y10" s="363" t="inlineStr">
        <is>
          <t>Pendiente</t>
        </is>
      </c>
    </row>
    <row r="11" ht="15" customFormat="1" customHeight="1" s="666">
      <c r="A11" s="358" t="inlineStr">
        <is>
          <t>MQ-003</t>
        </is>
      </c>
      <c r="B11" s="359" t="inlineStr">
        <is>
          <t>PRELIMINARES</t>
        </is>
      </c>
      <c r="C11" s="360" t="inlineStr">
        <is>
          <t>Preliminares generales</t>
        </is>
      </c>
      <c r="D11" s="361" t="inlineStr">
        <is>
          <t>01.01.03</t>
        </is>
      </c>
      <c r="E11" s="362" t="inlineStr">
        <is>
          <t>Instalación de campamento y oficinas provisionales</t>
        </is>
      </c>
      <c r="F11" s="363" t="n"/>
      <c r="G11" s="363" t="n"/>
      <c r="H11" s="363" t="n"/>
      <c r="I11" s="361" t="inlineStr">
        <is>
          <t>m²</t>
        </is>
      </c>
      <c r="J11" s="1302" t="n">
        <v>0</v>
      </c>
      <c r="K11" s="1302" t="n">
        <v>0</v>
      </c>
      <c r="L11" s="1302" t="n">
        <v>0</v>
      </c>
      <c r="M11" s="1302" t="n">
        <v>0</v>
      </c>
      <c r="N11" s="1302" t="n">
        <v>1</v>
      </c>
      <c r="O11" s="1302" t="n">
        <v>1</v>
      </c>
      <c r="P11" s="1302" t="n">
        <v>1</v>
      </c>
      <c r="Q11" s="1302" t="n">
        <v>0</v>
      </c>
      <c r="R11" s="1303" t="n">
        <v>0</v>
      </c>
      <c r="S11" s="1302">
        <f>IF(I11="","",ROUND(IF(OR(I11="m²",I11="m2"),J11*IF(K11=0,1,K11)*IF(N11=0,1,N11)*IF(O11=0,1,O11)*P11-Q11,IF(OR(I11="m³",I11="m3"),J11*K11*L11*IF(N11=0,1,N11)*IF(O11=0,1,O11)*P11-Q11,IF(OR(I11="ml",I11="ML"),J11*IF(N11=0,1,N11)*IF(O11=0,1,O11)*P11-Q11,IF(OR(I11="und",I11="UND"),IF(N11=0,1,N11)*IF(O11=0,1,O11)*P11-Q11,IF(I11="kg",J11*IF(N11=0,1,N11)*IF(O11=0,1,O11)*P11-Q11,0))))),3))</f>
        <v/>
      </c>
      <c r="T11" s="1302">
        <f>IF(S11="","",ROUND(S11*(1+R11),3))</f>
        <v/>
      </c>
      <c r="U11" s="361" t="inlineStr">
        <is>
          <t>m²</t>
        </is>
      </c>
      <c r="V11" s="363" t="n"/>
      <c r="W11" s="363" t="n"/>
      <c r="X11" s="1304" t="n"/>
      <c r="Y11" s="363" t="inlineStr">
        <is>
          <t>Pendiente</t>
        </is>
      </c>
    </row>
    <row r="12" ht="15" customFormat="1" customHeight="1" s="666">
      <c r="A12" s="358" t="inlineStr">
        <is>
          <t>MQ-004</t>
        </is>
      </c>
      <c r="B12" s="359" t="inlineStr">
        <is>
          <t>PRELIMINARES</t>
        </is>
      </c>
      <c r="C12" s="360" t="inlineStr">
        <is>
          <t>Preliminares generales</t>
        </is>
      </c>
      <c r="D12" s="361" t="inlineStr">
        <is>
          <t>01.01.04</t>
        </is>
      </c>
      <c r="E12" s="362" t="inlineStr">
        <is>
          <t>Adecuación de área de almacenamiento</t>
        </is>
      </c>
      <c r="F12" s="363" t="n"/>
      <c r="G12" s="363" t="n"/>
      <c r="H12" s="363" t="n"/>
      <c r="I12" s="361" t="inlineStr">
        <is>
          <t>m²</t>
        </is>
      </c>
      <c r="J12" s="1302" t="n">
        <v>0</v>
      </c>
      <c r="K12" s="1302" t="n">
        <v>0</v>
      </c>
      <c r="L12" s="1302" t="n">
        <v>0</v>
      </c>
      <c r="M12" s="1302" t="n">
        <v>0</v>
      </c>
      <c r="N12" s="1302" t="n">
        <v>1</v>
      </c>
      <c r="O12" s="1302" t="n">
        <v>1</v>
      </c>
      <c r="P12" s="1302" t="n">
        <v>1</v>
      </c>
      <c r="Q12" s="1302" t="n">
        <v>0</v>
      </c>
      <c r="R12" s="1303" t="n">
        <v>0</v>
      </c>
      <c r="S12" s="1302">
        <f>IF(I12="","",ROUND(IF(OR(I12="m²",I12="m2"),J12*IF(K12=0,1,K12)*IF(N12=0,1,N12)*IF(O12=0,1,O12)*P12-Q12,IF(OR(I12="m³",I12="m3"),J12*K12*L12*IF(N12=0,1,N12)*IF(O12=0,1,O12)*P12-Q12,IF(OR(I12="ml",I12="ML"),J12*IF(N12=0,1,N12)*IF(O12=0,1,O12)*P12-Q12,IF(OR(I12="und",I12="UND"),IF(N12=0,1,N12)*IF(O12=0,1,O12)*P12-Q12,IF(I12="kg",J12*IF(N12=0,1,N12)*IF(O12=0,1,O12)*P12-Q12,0))))),3))</f>
        <v/>
      </c>
      <c r="T12" s="1302">
        <f>IF(S12="","",ROUND(S12*(1+R12),3))</f>
        <v/>
      </c>
      <c r="U12" s="361" t="inlineStr">
        <is>
          <t>m²</t>
        </is>
      </c>
      <c r="V12" s="363" t="n"/>
      <c r="W12" s="363" t="n"/>
      <c r="X12" s="1304" t="n"/>
      <c r="Y12" s="363" t="inlineStr">
        <is>
          <t>Pendiente</t>
        </is>
      </c>
    </row>
    <row r="13" ht="15" customFormat="1" customHeight="1" s="666">
      <c r="A13" s="358" t="inlineStr">
        <is>
          <t>MQ-005</t>
        </is>
      </c>
      <c r="B13" s="359" t="inlineStr">
        <is>
          <t>PRELIMINARES</t>
        </is>
      </c>
      <c r="C13" s="360" t="inlineStr">
        <is>
          <t>Preliminares generales</t>
        </is>
      </c>
      <c r="D13" s="361" t="inlineStr">
        <is>
          <t>01.01.05</t>
        </is>
      </c>
      <c r="E13" s="362" t="inlineStr">
        <is>
          <t>Señalización preventiva e informativa de obra</t>
        </is>
      </c>
      <c r="F13" s="363" t="n"/>
      <c r="G13" s="363" t="n"/>
      <c r="H13" s="363" t="n"/>
      <c r="I13" s="361" t="inlineStr">
        <is>
          <t>und</t>
        </is>
      </c>
      <c r="J13" s="1302" t="n">
        <v>0</v>
      </c>
      <c r="K13" s="1302" t="n">
        <v>0</v>
      </c>
      <c r="L13" s="1302" t="n">
        <v>0</v>
      </c>
      <c r="M13" s="1302" t="n">
        <v>0</v>
      </c>
      <c r="N13" s="1302" t="n">
        <v>1</v>
      </c>
      <c r="O13" s="1302" t="n">
        <v>1</v>
      </c>
      <c r="P13" s="1302" t="n">
        <v>1</v>
      </c>
      <c r="Q13" s="1302" t="n">
        <v>0</v>
      </c>
      <c r="R13" s="1303" t="n">
        <v>0</v>
      </c>
      <c r="S13" s="1302">
        <f>IF(I13="","",ROUND(IF(OR(I13="m²",I13="m2"),J13*IF(K13=0,1,K13)*IF(N13=0,1,N13)*IF(O13=0,1,O13)*P13-Q13,IF(OR(I13="m³",I13="m3"),J13*K13*L13*IF(N13=0,1,N13)*IF(O13=0,1,O13)*P13-Q13,IF(OR(I13="ml",I13="ML"),J13*IF(N13=0,1,N13)*IF(O13=0,1,O13)*P13-Q13,IF(OR(I13="und",I13="UND"),IF(N13=0,1,N13)*IF(O13=0,1,O13)*P13-Q13,IF(I13="kg",J13*IF(N13=0,1,N13)*IF(O13=0,1,O13)*P13-Q13,0))))),3))</f>
        <v/>
      </c>
      <c r="T13" s="1302">
        <f>IF(S13="","",ROUND(S13*(1+R13),3))</f>
        <v/>
      </c>
      <c r="U13" s="361" t="inlineStr">
        <is>
          <t>und</t>
        </is>
      </c>
      <c r="V13" s="363" t="n"/>
      <c r="W13" s="363" t="n"/>
      <c r="X13" s="1304" t="n"/>
      <c r="Y13" s="363" t="inlineStr">
        <is>
          <t>Pendiente</t>
        </is>
      </c>
    </row>
    <row r="14" ht="15" customFormat="1" customHeight="1" s="666">
      <c r="A14" s="358" t="inlineStr">
        <is>
          <t>MQ-006</t>
        </is>
      </c>
      <c r="B14" s="359" t="inlineStr">
        <is>
          <t>PRELIMINARES</t>
        </is>
      </c>
      <c r="C14" s="360" t="inlineStr">
        <is>
          <t>Preliminares generales</t>
        </is>
      </c>
      <c r="D14" s="361" t="inlineStr">
        <is>
          <t>01.01.06</t>
        </is>
      </c>
      <c r="E14" s="362" t="inlineStr">
        <is>
          <t>Instalaciones provisionales de agua y energía</t>
        </is>
      </c>
      <c r="F14" s="363" t="n"/>
      <c r="G14" s="363" t="n"/>
      <c r="H14" s="363" t="n"/>
      <c r="I14" s="361" t="inlineStr">
        <is>
          <t>gl</t>
        </is>
      </c>
      <c r="J14" s="1302" t="n">
        <v>0</v>
      </c>
      <c r="K14" s="1302" t="n">
        <v>0</v>
      </c>
      <c r="L14" s="1302" t="n">
        <v>0</v>
      </c>
      <c r="M14" s="1302" t="n">
        <v>0</v>
      </c>
      <c r="N14" s="1302" t="n">
        <v>1</v>
      </c>
      <c r="O14" s="1302" t="n">
        <v>1</v>
      </c>
      <c r="P14" s="1302" t="n">
        <v>1</v>
      </c>
      <c r="Q14" s="1302" t="n">
        <v>0</v>
      </c>
      <c r="R14" s="1303" t="n">
        <v>0</v>
      </c>
      <c r="S14" s="1302">
        <f>IF(I14="","",ROUND(IF(OR(I14="m²",I14="m2"),J14*IF(K14=0,1,K14)*IF(N14=0,1,N14)*IF(O14=0,1,O14)*P14-Q14,IF(OR(I14="m³",I14="m3"),J14*K14*L14*IF(N14=0,1,N14)*IF(O14=0,1,O14)*P14-Q14,IF(OR(I14="ml",I14="ML"),J14*IF(N14=0,1,N14)*IF(O14=0,1,O14)*P14-Q14,IF(OR(I14="und",I14="UND"),IF(N14=0,1,N14)*IF(O14=0,1,O14)*P14-Q14,IF(I14="kg",J14*IF(N14=0,1,N14)*IF(O14=0,1,O14)*P14-Q14,0))))),3))</f>
        <v/>
      </c>
      <c r="T14" s="1302">
        <f>IF(S14="","",ROUND(S14*(1+R14),3))</f>
        <v/>
      </c>
      <c r="U14" s="361" t="inlineStr">
        <is>
          <t>gl</t>
        </is>
      </c>
      <c r="V14" s="363" t="n"/>
      <c r="W14" s="363" t="n"/>
      <c r="X14" s="1304" t="n"/>
      <c r="Y14" s="363" t="inlineStr">
        <is>
          <t>Pendiente</t>
        </is>
      </c>
    </row>
    <row r="15" ht="15" customFormat="1" customHeight="1" s="666">
      <c r="A15" s="358" t="inlineStr">
        <is>
          <t>MQ-007</t>
        </is>
      </c>
      <c r="B15" s="359" t="inlineStr">
        <is>
          <t>PRELIMINARES</t>
        </is>
      </c>
      <c r="C15" s="360" t="inlineStr">
        <is>
          <t>Preliminares generales</t>
        </is>
      </c>
      <c r="D15" s="361" t="inlineStr">
        <is>
          <t>01.01.07</t>
        </is>
      </c>
      <c r="E15" s="362" t="inlineStr">
        <is>
          <t>Protección de elementos existentes</t>
        </is>
      </c>
      <c r="F15" s="363" t="n"/>
      <c r="G15" s="363" t="n"/>
      <c r="H15" s="363" t="n"/>
      <c r="I15" s="361" t="inlineStr">
        <is>
          <t>m²</t>
        </is>
      </c>
      <c r="J15" s="1302" t="n">
        <v>0</v>
      </c>
      <c r="K15" s="1302" t="n">
        <v>0</v>
      </c>
      <c r="L15" s="1302" t="n">
        <v>0</v>
      </c>
      <c r="M15" s="1302" t="n">
        <v>0</v>
      </c>
      <c r="N15" s="1302" t="n">
        <v>1</v>
      </c>
      <c r="O15" s="1302" t="n">
        <v>1</v>
      </c>
      <c r="P15" s="1302" t="n">
        <v>1</v>
      </c>
      <c r="Q15" s="1302" t="n">
        <v>0</v>
      </c>
      <c r="R15" s="1303" t="n">
        <v>0</v>
      </c>
      <c r="S15" s="1302">
        <f>IF(I15="","",ROUND(IF(OR(I15="m²",I15="m2"),J15*IF(K15=0,1,K15)*IF(N15=0,1,N15)*IF(O15=0,1,O15)*P15-Q15,IF(OR(I15="m³",I15="m3"),J15*K15*L15*IF(N15=0,1,N15)*IF(O15=0,1,O15)*P15-Q15,IF(OR(I15="ml",I15="ML"),J15*IF(N15=0,1,N15)*IF(O15=0,1,O15)*P15-Q15,IF(OR(I15="und",I15="UND"),IF(N15=0,1,N15)*IF(O15=0,1,O15)*P15-Q15,IF(I15="kg",J15*IF(N15=0,1,N15)*IF(O15=0,1,O15)*P15-Q15,0))))),3))</f>
        <v/>
      </c>
      <c r="T15" s="1302">
        <f>IF(S15="","",ROUND(S15*(1+R15),3))</f>
        <v/>
      </c>
      <c r="U15" s="361" t="inlineStr">
        <is>
          <t>m²</t>
        </is>
      </c>
      <c r="V15" s="363" t="n"/>
      <c r="W15" s="363" t="n"/>
      <c r="X15" s="1304" t="n"/>
      <c r="Y15" s="363" t="inlineStr">
        <is>
          <t>Pendiente</t>
        </is>
      </c>
    </row>
    <row r="16" ht="15" customFormat="1" customHeight="1" s="666">
      <c r="A16" s="358" t="inlineStr">
        <is>
          <t>MQ-008</t>
        </is>
      </c>
      <c r="B16" s="359" t="inlineStr">
        <is>
          <t>PRELIMINARES</t>
        </is>
      </c>
      <c r="C16" s="360" t="inlineStr">
        <is>
          <t>Preliminares generales</t>
        </is>
      </c>
      <c r="D16" s="361" t="inlineStr">
        <is>
          <t>01.01.08</t>
        </is>
      </c>
      <c r="E16" s="362" t="inlineStr">
        <is>
          <t>Desmonte y limpieza inicial</t>
        </is>
      </c>
      <c r="F16" s="363" t="n"/>
      <c r="G16" s="363" t="n"/>
      <c r="H16" s="363" t="n"/>
      <c r="I16" s="361" t="inlineStr">
        <is>
          <t>m²</t>
        </is>
      </c>
      <c r="J16" s="1302" t="n">
        <v>0</v>
      </c>
      <c r="K16" s="1302" t="n">
        <v>0</v>
      </c>
      <c r="L16" s="1302" t="n">
        <v>0</v>
      </c>
      <c r="M16" s="1302" t="n">
        <v>0</v>
      </c>
      <c r="N16" s="1302" t="n">
        <v>1</v>
      </c>
      <c r="O16" s="1302" t="n">
        <v>1</v>
      </c>
      <c r="P16" s="1302" t="n">
        <v>1</v>
      </c>
      <c r="Q16" s="1302" t="n">
        <v>0</v>
      </c>
      <c r="R16" s="1303" t="n">
        <v>0</v>
      </c>
      <c r="S16" s="1302">
        <f>IF(I16="","",ROUND(IF(OR(I16="m²",I16="m2"),J16*IF(K16=0,1,K16)*IF(N16=0,1,N16)*IF(O16=0,1,O16)*P16-Q16,IF(OR(I16="m³",I16="m3"),J16*K16*L16*IF(N16=0,1,N16)*IF(O16=0,1,O16)*P16-Q16,IF(OR(I16="ml",I16="ML"),J16*IF(N16=0,1,N16)*IF(O16=0,1,O16)*P16-Q16,IF(OR(I16="und",I16="UND"),IF(N16=0,1,N16)*IF(O16=0,1,O16)*P16-Q16,IF(I16="kg",J16*IF(N16=0,1,N16)*IF(O16=0,1,O16)*P16-Q16,0))))),3))</f>
        <v/>
      </c>
      <c r="T16" s="1302">
        <f>IF(S16="","",ROUND(S16*(1+R16),3))</f>
        <v/>
      </c>
      <c r="U16" s="361" t="inlineStr">
        <is>
          <t>m²</t>
        </is>
      </c>
      <c r="V16" s="363" t="n"/>
      <c r="W16" s="363" t="n"/>
      <c r="X16" s="1304" t="n"/>
      <c r="Y16" s="363" t="inlineStr">
        <is>
          <t>Pendiente</t>
        </is>
      </c>
    </row>
    <row r="17" ht="15" customFormat="1" customHeight="1" s="666">
      <c r="A17" s="358" t="inlineStr">
        <is>
          <t>MQ-009</t>
        </is>
      </c>
      <c r="B17" s="359" t="inlineStr">
        <is>
          <t>PRELIMINARES</t>
        </is>
      </c>
      <c r="C17" s="360" t="inlineStr">
        <is>
          <t>Preliminares generales</t>
        </is>
      </c>
      <c r="D17" s="361" t="inlineStr">
        <is>
          <t>01.01.09</t>
        </is>
      </c>
      <c r="E17" s="362" t="inlineStr">
        <is>
          <t>Demoliciones preliminares</t>
        </is>
      </c>
      <c r="F17" s="363" t="n"/>
      <c r="G17" s="363" t="n"/>
      <c r="H17" s="363" t="n"/>
      <c r="I17" s="361" t="inlineStr">
        <is>
          <t>m³</t>
        </is>
      </c>
      <c r="J17" s="1302" t="n">
        <v>0</v>
      </c>
      <c r="K17" s="1302" t="n">
        <v>0</v>
      </c>
      <c r="L17" s="1302" t="n">
        <v>0</v>
      </c>
      <c r="M17" s="1302" t="n">
        <v>0</v>
      </c>
      <c r="N17" s="1302" t="n">
        <v>1</v>
      </c>
      <c r="O17" s="1302" t="n">
        <v>1</v>
      </c>
      <c r="P17" s="1302" t="n">
        <v>1</v>
      </c>
      <c r="Q17" s="1302" t="n">
        <v>0</v>
      </c>
      <c r="R17" s="1303" t="n">
        <v>0</v>
      </c>
      <c r="S17" s="1302">
        <f>IF(I17="","",ROUND(IF(OR(I17="m²",I17="m2"),J17*IF(K17=0,1,K17)*IF(N17=0,1,N17)*IF(O17=0,1,O17)*P17-Q17,IF(OR(I17="m³",I17="m3"),J17*K17*L17*IF(N17=0,1,N17)*IF(O17=0,1,O17)*P17-Q17,IF(OR(I17="ml",I17="ML"),J17*IF(N17=0,1,N17)*IF(O17=0,1,O17)*P17-Q17,IF(OR(I17="und",I17="UND"),IF(N17=0,1,N17)*IF(O17=0,1,O17)*P17-Q17,IF(I17="kg",J17*IF(N17=0,1,N17)*IF(O17=0,1,O17)*P17-Q17,0))))),3))</f>
        <v/>
      </c>
      <c r="T17" s="1302">
        <f>IF(S17="","",ROUND(S17*(1+R17),3))</f>
        <v/>
      </c>
      <c r="U17" s="361" t="inlineStr">
        <is>
          <t>m³</t>
        </is>
      </c>
      <c r="V17" s="363" t="n"/>
      <c r="W17" s="363" t="n"/>
      <c r="X17" s="1304" t="n"/>
      <c r="Y17" s="363" t="inlineStr">
        <is>
          <t>Pendiente</t>
        </is>
      </c>
    </row>
    <row r="18" ht="15" customFormat="1" customHeight="1" s="666">
      <c r="A18" s="358" t="inlineStr">
        <is>
          <t>MQ-010</t>
        </is>
      </c>
      <c r="B18" s="359" t="inlineStr">
        <is>
          <t>MOVIMIENTO DE TIERRAS</t>
        </is>
      </c>
      <c r="C18" s="360" t="inlineStr">
        <is>
          <t>Excavaciones</t>
        </is>
      </c>
      <c r="D18" s="361" t="inlineStr">
        <is>
          <t>02.01.01</t>
        </is>
      </c>
      <c r="E18" s="362" t="inlineStr">
        <is>
          <t>Excavación manual en material común</t>
        </is>
      </c>
      <c r="F18" s="363" t="n"/>
      <c r="G18" s="363" t="n"/>
      <c r="H18" s="363" t="n"/>
      <c r="I18" s="361" t="inlineStr">
        <is>
          <t>m³</t>
        </is>
      </c>
      <c r="J18" s="1302" t="n">
        <v>0</v>
      </c>
      <c r="K18" s="1302" t="n">
        <v>0</v>
      </c>
      <c r="L18" s="1302" t="n">
        <v>0</v>
      </c>
      <c r="M18" s="1302" t="n">
        <v>0</v>
      </c>
      <c r="N18" s="1302" t="n">
        <v>1</v>
      </c>
      <c r="O18" s="1302" t="n">
        <v>1</v>
      </c>
      <c r="P18" s="1302" t="n">
        <v>1</v>
      </c>
      <c r="Q18" s="1302" t="n">
        <v>0</v>
      </c>
      <c r="R18" s="1303" t="n">
        <v>0</v>
      </c>
      <c r="S18" s="1302">
        <f>IF(I18="","",ROUND(IF(OR(I18="m²",I18="m2"),J18*IF(K18=0,1,K18)*IF(N18=0,1,N18)*IF(O18=0,1,O18)*P18-Q18,IF(OR(I18="m³",I18="m3"),J18*K18*L18*IF(N18=0,1,N18)*IF(O18=0,1,O18)*P18-Q18,IF(OR(I18="ml",I18="ML"),J18*IF(N18=0,1,N18)*IF(O18=0,1,O18)*P18-Q18,IF(OR(I18="und",I18="UND"),IF(N18=0,1,N18)*IF(O18=0,1,O18)*P18-Q18,IF(I18="kg",J18*IF(N18=0,1,N18)*IF(O18=0,1,O18)*P18-Q18,0))))),3))</f>
        <v/>
      </c>
      <c r="T18" s="1302">
        <f>IF(S18="","",ROUND(S18*(1+R18),3))</f>
        <v/>
      </c>
      <c r="U18" s="361" t="inlineStr">
        <is>
          <t>m³</t>
        </is>
      </c>
      <c r="V18" s="363" t="n"/>
      <c r="W18" s="363" t="n"/>
      <c r="X18" s="1304" t="n"/>
      <c r="Y18" s="363" t="inlineStr">
        <is>
          <t>Pendiente</t>
        </is>
      </c>
    </row>
    <row r="19" ht="15" customFormat="1" customHeight="1" s="666">
      <c r="A19" s="358" t="inlineStr">
        <is>
          <t>MQ-011</t>
        </is>
      </c>
      <c r="B19" s="359" t="inlineStr">
        <is>
          <t>MOVIMIENTO DE TIERRAS</t>
        </is>
      </c>
      <c r="C19" s="360" t="inlineStr">
        <is>
          <t>Excavaciones</t>
        </is>
      </c>
      <c r="D19" s="361" t="inlineStr">
        <is>
          <t>02.01.02</t>
        </is>
      </c>
      <c r="E19" s="362" t="inlineStr">
        <is>
          <t>Excavación mecánica</t>
        </is>
      </c>
      <c r="F19" s="363" t="n"/>
      <c r="G19" s="363" t="n"/>
      <c r="H19" s="363" t="n"/>
      <c r="I19" s="361" t="inlineStr">
        <is>
          <t>m³</t>
        </is>
      </c>
      <c r="J19" s="1302" t="n">
        <v>0</v>
      </c>
      <c r="K19" s="1302" t="n">
        <v>0</v>
      </c>
      <c r="L19" s="1302" t="n">
        <v>0</v>
      </c>
      <c r="M19" s="1302" t="n">
        <v>0</v>
      </c>
      <c r="N19" s="1302" t="n">
        <v>1</v>
      </c>
      <c r="O19" s="1302" t="n">
        <v>1</v>
      </c>
      <c r="P19" s="1302" t="n">
        <v>1</v>
      </c>
      <c r="Q19" s="1302" t="n">
        <v>0</v>
      </c>
      <c r="R19" s="1303" t="n">
        <v>0</v>
      </c>
      <c r="S19" s="1302">
        <f>IF(I19="","",ROUND(IF(OR(I19="m²",I19="m2"),J19*IF(K19=0,1,K19)*IF(N19=0,1,N19)*IF(O19=0,1,O19)*P19-Q19,IF(OR(I19="m³",I19="m3"),J19*K19*L19*IF(N19=0,1,N19)*IF(O19=0,1,O19)*P19-Q19,IF(OR(I19="ml",I19="ML"),J19*IF(N19=0,1,N19)*IF(O19=0,1,O19)*P19-Q19,IF(OR(I19="und",I19="UND"),IF(N19=0,1,N19)*IF(O19=0,1,O19)*P19-Q19,IF(I19="kg",J19*IF(N19=0,1,N19)*IF(O19=0,1,O19)*P19-Q19,0))))),3))</f>
        <v/>
      </c>
      <c r="T19" s="1302">
        <f>IF(S19="","",ROUND(S19*(1+R19),3))</f>
        <v/>
      </c>
      <c r="U19" s="361" t="inlineStr">
        <is>
          <t>m³</t>
        </is>
      </c>
      <c r="V19" s="363" t="n"/>
      <c r="W19" s="363" t="n"/>
      <c r="X19" s="1304" t="n"/>
      <c r="Y19" s="363" t="inlineStr">
        <is>
          <t>Pendiente</t>
        </is>
      </c>
    </row>
    <row r="20" ht="15" customFormat="1" customHeight="1" s="666">
      <c r="A20" s="358" t="inlineStr">
        <is>
          <t>MQ-012</t>
        </is>
      </c>
      <c r="B20" s="359" t="inlineStr">
        <is>
          <t>MOVIMIENTO DE TIERRAS</t>
        </is>
      </c>
      <c r="C20" s="360" t="inlineStr">
        <is>
          <t>Excavaciones</t>
        </is>
      </c>
      <c r="D20" s="361" t="inlineStr">
        <is>
          <t>02.01.03</t>
        </is>
      </c>
      <c r="E20" s="362" t="inlineStr">
        <is>
          <t>Excavación en roca</t>
        </is>
      </c>
      <c r="F20" s="363" t="n"/>
      <c r="G20" s="363" t="n"/>
      <c r="H20" s="363" t="n"/>
      <c r="I20" s="361" t="inlineStr">
        <is>
          <t>m³</t>
        </is>
      </c>
      <c r="J20" s="1302" t="n">
        <v>0</v>
      </c>
      <c r="K20" s="1302" t="n">
        <v>0</v>
      </c>
      <c r="L20" s="1302" t="n">
        <v>0</v>
      </c>
      <c r="M20" s="1302" t="n">
        <v>0</v>
      </c>
      <c r="N20" s="1302" t="n">
        <v>1</v>
      </c>
      <c r="O20" s="1302" t="n">
        <v>1</v>
      </c>
      <c r="P20" s="1302" t="n">
        <v>1</v>
      </c>
      <c r="Q20" s="1302" t="n">
        <v>0</v>
      </c>
      <c r="R20" s="1303" t="n">
        <v>0</v>
      </c>
      <c r="S20" s="1302">
        <f>IF(I20="","",ROUND(IF(OR(I20="m²",I20="m2"),J20*IF(K20=0,1,K20)*IF(N20=0,1,N20)*IF(O20=0,1,O20)*P20-Q20,IF(OR(I20="m³",I20="m3"),J20*K20*L20*IF(N20=0,1,N20)*IF(O20=0,1,O20)*P20-Q20,IF(OR(I20="ml",I20="ML"),J20*IF(N20=0,1,N20)*IF(O20=0,1,O20)*P20-Q20,IF(OR(I20="und",I20="UND"),IF(N20=0,1,N20)*IF(O20=0,1,O20)*P20-Q20,IF(I20="kg",J20*IF(N20=0,1,N20)*IF(O20=0,1,O20)*P20-Q20,0))))),3))</f>
        <v/>
      </c>
      <c r="T20" s="1302">
        <f>IF(S20="","",ROUND(S20*(1+R20),3))</f>
        <v/>
      </c>
      <c r="U20" s="361" t="inlineStr">
        <is>
          <t>m³</t>
        </is>
      </c>
      <c r="V20" s="363" t="n"/>
      <c r="W20" s="363" t="n"/>
      <c r="X20" s="1304" t="n"/>
      <c r="Y20" s="363" t="inlineStr">
        <is>
          <t>Pendiente</t>
        </is>
      </c>
    </row>
    <row r="21" ht="15" customFormat="1" customHeight="1" s="666">
      <c r="A21" s="358" t="inlineStr">
        <is>
          <t>MQ-013</t>
        </is>
      </c>
      <c r="B21" s="359" t="inlineStr">
        <is>
          <t>MOVIMIENTO DE TIERRAS</t>
        </is>
      </c>
      <c r="C21" s="360" t="inlineStr">
        <is>
          <t>Excavaciones</t>
        </is>
      </c>
      <c r="D21" s="361" t="inlineStr">
        <is>
          <t>02.01.04</t>
        </is>
      </c>
      <c r="E21" s="362" t="inlineStr">
        <is>
          <t>Perfilado y conformación de excavaciones</t>
        </is>
      </c>
      <c r="F21" s="363" t="n"/>
      <c r="G21" s="363" t="n"/>
      <c r="H21" s="363" t="n"/>
      <c r="I21" s="361" t="inlineStr">
        <is>
          <t>m²</t>
        </is>
      </c>
      <c r="J21" s="1302" t="n">
        <v>0</v>
      </c>
      <c r="K21" s="1302" t="n">
        <v>0</v>
      </c>
      <c r="L21" s="1302" t="n">
        <v>0</v>
      </c>
      <c r="M21" s="1302" t="n">
        <v>0</v>
      </c>
      <c r="N21" s="1302" t="n">
        <v>1</v>
      </c>
      <c r="O21" s="1302" t="n">
        <v>1</v>
      </c>
      <c r="P21" s="1302" t="n">
        <v>1</v>
      </c>
      <c r="Q21" s="1302" t="n">
        <v>0</v>
      </c>
      <c r="R21" s="1303" t="n">
        <v>0</v>
      </c>
      <c r="S21" s="1302">
        <f>IF(I21="","",ROUND(IF(OR(I21="m²",I21="m2"),J21*IF(K21=0,1,K21)*IF(N21=0,1,N21)*IF(O21=0,1,O21)*P21-Q21,IF(OR(I21="m³",I21="m3"),J21*K21*L21*IF(N21=0,1,N21)*IF(O21=0,1,O21)*P21-Q21,IF(OR(I21="ml",I21="ML"),J21*IF(N21=0,1,N21)*IF(O21=0,1,O21)*P21-Q21,IF(OR(I21="und",I21="UND"),IF(N21=0,1,N21)*IF(O21=0,1,O21)*P21-Q21,IF(I21="kg",J21*IF(N21=0,1,N21)*IF(O21=0,1,O21)*P21-Q21,0))))),3))</f>
        <v/>
      </c>
      <c r="T21" s="1302">
        <f>IF(S21="","",ROUND(S21*(1+R21),3))</f>
        <v/>
      </c>
      <c r="U21" s="361" t="inlineStr">
        <is>
          <t>m²</t>
        </is>
      </c>
      <c r="V21" s="363" t="n"/>
      <c r="W21" s="363" t="n"/>
      <c r="X21" s="1304" t="n"/>
      <c r="Y21" s="363" t="inlineStr">
        <is>
          <t>Pendiente</t>
        </is>
      </c>
    </row>
    <row r="22" ht="15" customFormat="1" customHeight="1" s="666">
      <c r="A22" s="358" t="inlineStr">
        <is>
          <t>MQ-014</t>
        </is>
      </c>
      <c r="B22" s="359" t="inlineStr">
        <is>
          <t>MOVIMIENTO DE TIERRAS</t>
        </is>
      </c>
      <c r="C22" s="360" t="inlineStr">
        <is>
          <t>Rellenos</t>
        </is>
      </c>
      <c r="D22" s="361" t="inlineStr">
        <is>
          <t>02.02.01</t>
        </is>
      </c>
      <c r="E22" s="362" t="inlineStr">
        <is>
          <t>Relleno con material seleccionado compactado</t>
        </is>
      </c>
      <c r="F22" s="363" t="n"/>
      <c r="G22" s="363" t="n"/>
      <c r="H22" s="363" t="n"/>
      <c r="I22" s="361" t="inlineStr">
        <is>
          <t>m³</t>
        </is>
      </c>
      <c r="J22" s="1302" t="n">
        <v>0</v>
      </c>
      <c r="K22" s="1302" t="n">
        <v>0</v>
      </c>
      <c r="L22" s="1302" t="n">
        <v>0</v>
      </c>
      <c r="M22" s="1302" t="n">
        <v>0</v>
      </c>
      <c r="N22" s="1302" t="n">
        <v>1</v>
      </c>
      <c r="O22" s="1302" t="n">
        <v>1</v>
      </c>
      <c r="P22" s="1302" t="n">
        <v>1</v>
      </c>
      <c r="Q22" s="1302" t="n">
        <v>0</v>
      </c>
      <c r="R22" s="1303" t="n">
        <v>0</v>
      </c>
      <c r="S22" s="1302">
        <f>IF(I22="","",ROUND(IF(OR(I22="m²",I22="m2"),J22*IF(K22=0,1,K22)*IF(N22=0,1,N22)*IF(O22=0,1,O22)*P22-Q22,IF(OR(I22="m³",I22="m3"),J22*K22*L22*IF(N22=0,1,N22)*IF(O22=0,1,O22)*P22-Q22,IF(OR(I22="ml",I22="ML"),J22*IF(N22=0,1,N22)*IF(O22=0,1,O22)*P22-Q22,IF(OR(I22="und",I22="UND"),IF(N22=0,1,N22)*IF(O22=0,1,O22)*P22-Q22,IF(I22="kg",J22*IF(N22=0,1,N22)*IF(O22=0,1,O22)*P22-Q22,0))))),3))</f>
        <v/>
      </c>
      <c r="T22" s="1302">
        <f>IF(S22="","",ROUND(S22*(1+R22),3))</f>
        <v/>
      </c>
      <c r="U22" s="361" t="inlineStr">
        <is>
          <t>m³</t>
        </is>
      </c>
      <c r="V22" s="363" t="n"/>
      <c r="W22" s="363" t="n"/>
      <c r="X22" s="1304" t="n"/>
      <c r="Y22" s="363" t="inlineStr">
        <is>
          <t>Pendiente</t>
        </is>
      </c>
    </row>
    <row r="23" ht="15" customFormat="1" customHeight="1" s="666">
      <c r="A23" s="358" t="inlineStr">
        <is>
          <t>MQ-015</t>
        </is>
      </c>
      <c r="B23" s="359" t="inlineStr">
        <is>
          <t>MOVIMIENTO DE TIERRAS</t>
        </is>
      </c>
      <c r="C23" s="360" t="inlineStr">
        <is>
          <t>Rellenos</t>
        </is>
      </c>
      <c r="D23" s="361" t="inlineStr">
        <is>
          <t>02.02.02</t>
        </is>
      </c>
      <c r="E23" s="362" t="inlineStr">
        <is>
          <t>Relleno con material proveniente de excavación</t>
        </is>
      </c>
      <c r="F23" s="363" t="n"/>
      <c r="G23" s="363" t="n"/>
      <c r="H23" s="363" t="n"/>
      <c r="I23" s="361" t="inlineStr">
        <is>
          <t>m³</t>
        </is>
      </c>
      <c r="J23" s="1302" t="n">
        <v>0</v>
      </c>
      <c r="K23" s="1302" t="n">
        <v>0</v>
      </c>
      <c r="L23" s="1302" t="n">
        <v>0</v>
      </c>
      <c r="M23" s="1302" t="n">
        <v>0</v>
      </c>
      <c r="N23" s="1302" t="n">
        <v>1</v>
      </c>
      <c r="O23" s="1302" t="n">
        <v>1</v>
      </c>
      <c r="P23" s="1302" t="n">
        <v>1</v>
      </c>
      <c r="Q23" s="1302" t="n">
        <v>0</v>
      </c>
      <c r="R23" s="1303" t="n">
        <v>0</v>
      </c>
      <c r="S23" s="1302">
        <f>IF(I23="","",ROUND(IF(OR(I23="m²",I23="m2"),J23*IF(K23=0,1,K23)*IF(N23=0,1,N23)*IF(O23=0,1,O23)*P23-Q23,IF(OR(I23="m³",I23="m3"),J23*K23*L23*IF(N23=0,1,N23)*IF(O23=0,1,O23)*P23-Q23,IF(OR(I23="ml",I23="ML"),J23*IF(N23=0,1,N23)*IF(O23=0,1,O23)*P23-Q23,IF(OR(I23="und",I23="UND"),IF(N23=0,1,N23)*IF(O23=0,1,O23)*P23-Q23,IF(I23="kg",J23*IF(N23=0,1,N23)*IF(O23=0,1,O23)*P23-Q23,0))))),3))</f>
        <v/>
      </c>
      <c r="T23" s="1302">
        <f>IF(S23="","",ROUND(S23*(1+R23),3))</f>
        <v/>
      </c>
      <c r="U23" s="361" t="inlineStr">
        <is>
          <t>m³</t>
        </is>
      </c>
      <c r="V23" s="363" t="n"/>
      <c r="W23" s="363" t="n"/>
      <c r="X23" s="1304" t="n"/>
      <c r="Y23" s="363" t="inlineStr">
        <is>
          <t>Pendiente</t>
        </is>
      </c>
    </row>
    <row r="24" ht="15" customFormat="1" customHeight="1" s="666">
      <c r="A24" s="358" t="inlineStr">
        <is>
          <t>MQ-016</t>
        </is>
      </c>
      <c r="B24" s="359" t="inlineStr">
        <is>
          <t>MOVIMIENTO DE TIERRAS</t>
        </is>
      </c>
      <c r="C24" s="360" t="inlineStr">
        <is>
          <t>Rellenos</t>
        </is>
      </c>
      <c r="D24" s="361" t="inlineStr">
        <is>
          <t>02.02.03</t>
        </is>
      </c>
      <c r="E24" s="362" t="inlineStr">
        <is>
          <t>Suministro, extendido y compactación de subbase</t>
        </is>
      </c>
      <c r="F24" s="363" t="n"/>
      <c r="G24" s="363" t="n"/>
      <c r="H24" s="363" t="n"/>
      <c r="I24" s="361" t="inlineStr">
        <is>
          <t>m³</t>
        </is>
      </c>
      <c r="J24" s="1302" t="n">
        <v>0</v>
      </c>
      <c r="K24" s="1302" t="n">
        <v>0</v>
      </c>
      <c r="L24" s="1302" t="n">
        <v>0</v>
      </c>
      <c r="M24" s="1302" t="n">
        <v>0</v>
      </c>
      <c r="N24" s="1302" t="n">
        <v>1</v>
      </c>
      <c r="O24" s="1302" t="n">
        <v>1</v>
      </c>
      <c r="P24" s="1302" t="n">
        <v>1</v>
      </c>
      <c r="Q24" s="1302" t="n">
        <v>0</v>
      </c>
      <c r="R24" s="1303" t="n">
        <v>0</v>
      </c>
      <c r="S24" s="1302">
        <f>IF(I24="","",ROUND(IF(OR(I24="m²",I24="m2"),J24*IF(K24=0,1,K24)*IF(N24=0,1,N24)*IF(O24=0,1,O24)*P24-Q24,IF(OR(I24="m³",I24="m3"),J24*K24*L24*IF(N24=0,1,N24)*IF(O24=0,1,O24)*P24-Q24,IF(OR(I24="ml",I24="ML"),J24*IF(N24=0,1,N24)*IF(O24=0,1,O24)*P24-Q24,IF(OR(I24="und",I24="UND"),IF(N24=0,1,N24)*IF(O24=0,1,O24)*P24-Q24,IF(I24="kg",J24*IF(N24=0,1,N24)*IF(O24=0,1,O24)*P24-Q24,0))))),3))</f>
        <v/>
      </c>
      <c r="T24" s="1302">
        <f>IF(S24="","",ROUND(S24*(1+R24),3))</f>
        <v/>
      </c>
      <c r="U24" s="361" t="inlineStr">
        <is>
          <t>m³</t>
        </is>
      </c>
      <c r="V24" s="363" t="n"/>
      <c r="W24" s="363" t="n"/>
      <c r="X24" s="1304" t="n"/>
      <c r="Y24" s="363" t="inlineStr">
        <is>
          <t>Pendiente</t>
        </is>
      </c>
    </row>
    <row r="25" ht="15" customFormat="1" customHeight="1" s="666">
      <c r="A25" s="358" t="inlineStr">
        <is>
          <t>MQ-017</t>
        </is>
      </c>
      <c r="B25" s="359" t="inlineStr">
        <is>
          <t>MOVIMIENTO DE TIERRAS</t>
        </is>
      </c>
      <c r="C25" s="360" t="inlineStr">
        <is>
          <t>Rellenos</t>
        </is>
      </c>
      <c r="D25" s="361" t="inlineStr">
        <is>
          <t>02.02.04</t>
        </is>
      </c>
      <c r="E25" s="362" t="inlineStr">
        <is>
          <t>Suministro, extendido y compactación de base granular</t>
        </is>
      </c>
      <c r="F25" s="363" t="n"/>
      <c r="G25" s="363" t="n"/>
      <c r="H25" s="363" t="n"/>
      <c r="I25" s="361" t="inlineStr">
        <is>
          <t>m³</t>
        </is>
      </c>
      <c r="J25" s="1302" t="n">
        <v>0</v>
      </c>
      <c r="K25" s="1302" t="n">
        <v>0</v>
      </c>
      <c r="L25" s="1302" t="n">
        <v>0</v>
      </c>
      <c r="M25" s="1302" t="n">
        <v>0</v>
      </c>
      <c r="N25" s="1302" t="n">
        <v>1</v>
      </c>
      <c r="O25" s="1302" t="n">
        <v>1</v>
      </c>
      <c r="P25" s="1302" t="n">
        <v>1</v>
      </c>
      <c r="Q25" s="1302" t="n">
        <v>0</v>
      </c>
      <c r="R25" s="1303" t="n">
        <v>0</v>
      </c>
      <c r="S25" s="1302">
        <f>IF(I25="","",ROUND(IF(OR(I25="m²",I25="m2"),J25*IF(K25=0,1,K25)*IF(N25=0,1,N25)*IF(O25=0,1,O25)*P25-Q25,IF(OR(I25="m³",I25="m3"),J25*K25*L25*IF(N25=0,1,N25)*IF(O25=0,1,O25)*P25-Q25,IF(OR(I25="ml",I25="ML"),J25*IF(N25=0,1,N25)*IF(O25=0,1,O25)*P25-Q25,IF(OR(I25="und",I25="UND"),IF(N25=0,1,N25)*IF(O25=0,1,O25)*P25-Q25,IF(I25="kg",J25*IF(N25=0,1,N25)*IF(O25=0,1,O25)*P25-Q25,0))))),3))</f>
        <v/>
      </c>
      <c r="T25" s="1302">
        <f>IF(S25="","",ROUND(S25*(1+R25),3))</f>
        <v/>
      </c>
      <c r="U25" s="361" t="inlineStr">
        <is>
          <t>m³</t>
        </is>
      </c>
      <c r="V25" s="363" t="n"/>
      <c r="W25" s="363" t="n"/>
      <c r="X25" s="1304" t="n"/>
      <c r="Y25" s="363" t="inlineStr">
        <is>
          <t>Pendiente</t>
        </is>
      </c>
    </row>
    <row r="26" ht="15" customFormat="1" customHeight="1" s="666">
      <c r="A26" s="358" t="inlineStr">
        <is>
          <t>MQ-018</t>
        </is>
      </c>
      <c r="B26" s="359" t="inlineStr">
        <is>
          <t>MOVIMIENTO DE TIERRAS</t>
        </is>
      </c>
      <c r="C26" s="360" t="inlineStr">
        <is>
          <t>Retiro</t>
        </is>
      </c>
      <c r="D26" s="361" t="inlineStr">
        <is>
          <t>02.03.01</t>
        </is>
      </c>
      <c r="E26" s="362" t="inlineStr">
        <is>
          <t>Cargue de material sobrante</t>
        </is>
      </c>
      <c r="F26" s="363" t="n"/>
      <c r="G26" s="363" t="n"/>
      <c r="H26" s="363" t="n"/>
      <c r="I26" s="361" t="inlineStr">
        <is>
          <t>m³</t>
        </is>
      </c>
      <c r="J26" s="1302" t="n">
        <v>0</v>
      </c>
      <c r="K26" s="1302" t="n">
        <v>0</v>
      </c>
      <c r="L26" s="1302" t="n">
        <v>0</v>
      </c>
      <c r="M26" s="1302" t="n">
        <v>0</v>
      </c>
      <c r="N26" s="1302" t="n">
        <v>1</v>
      </c>
      <c r="O26" s="1302" t="n">
        <v>1</v>
      </c>
      <c r="P26" s="1302" t="n">
        <v>1</v>
      </c>
      <c r="Q26" s="1302" t="n">
        <v>0</v>
      </c>
      <c r="R26" s="1303" t="n">
        <v>0</v>
      </c>
      <c r="S26" s="1302">
        <f>IF(I26="","",ROUND(IF(OR(I26="m²",I26="m2"),J26*IF(K26=0,1,K26)*IF(N26=0,1,N26)*IF(O26=0,1,O26)*P26-Q26,IF(OR(I26="m³",I26="m3"),J26*K26*L26*IF(N26=0,1,N26)*IF(O26=0,1,O26)*P26-Q26,IF(OR(I26="ml",I26="ML"),J26*IF(N26=0,1,N26)*IF(O26=0,1,O26)*P26-Q26,IF(OR(I26="und",I26="UND"),IF(N26=0,1,N26)*IF(O26=0,1,O26)*P26-Q26,IF(I26="kg",J26*IF(N26=0,1,N26)*IF(O26=0,1,O26)*P26-Q26,0))))),3))</f>
        <v/>
      </c>
      <c r="T26" s="1302">
        <f>IF(S26="","",ROUND(S26*(1+R26),3))</f>
        <v/>
      </c>
      <c r="U26" s="361" t="inlineStr">
        <is>
          <t>m³</t>
        </is>
      </c>
      <c r="V26" s="363" t="n"/>
      <c r="W26" s="363" t="n"/>
      <c r="X26" s="1304" t="n"/>
      <c r="Y26" s="363" t="inlineStr">
        <is>
          <t>Pendiente</t>
        </is>
      </c>
    </row>
    <row r="27" ht="15" customFormat="1" customHeight="1" s="666">
      <c r="A27" s="358" t="inlineStr">
        <is>
          <t>MQ-019</t>
        </is>
      </c>
      <c r="B27" s="359" t="inlineStr">
        <is>
          <t>MOVIMIENTO DE TIERRAS</t>
        </is>
      </c>
      <c r="C27" s="360" t="inlineStr">
        <is>
          <t>Retiro</t>
        </is>
      </c>
      <c r="D27" s="361" t="inlineStr">
        <is>
          <t>02.03.02</t>
        </is>
      </c>
      <c r="E27" s="362" t="inlineStr">
        <is>
          <t>Transporte de material sobrante</t>
        </is>
      </c>
      <c r="F27" s="363" t="n"/>
      <c r="G27" s="363" t="n"/>
      <c r="H27" s="363" t="n"/>
      <c r="I27" s="361" t="inlineStr">
        <is>
          <t>m³</t>
        </is>
      </c>
      <c r="J27" s="1302" t="n">
        <v>0</v>
      </c>
      <c r="K27" s="1302" t="n">
        <v>0</v>
      </c>
      <c r="L27" s="1302" t="n">
        <v>0</v>
      </c>
      <c r="M27" s="1302" t="n">
        <v>0</v>
      </c>
      <c r="N27" s="1302" t="n">
        <v>1</v>
      </c>
      <c r="O27" s="1302" t="n">
        <v>1</v>
      </c>
      <c r="P27" s="1302" t="n">
        <v>1</v>
      </c>
      <c r="Q27" s="1302" t="n">
        <v>0</v>
      </c>
      <c r="R27" s="1303" t="n">
        <v>0</v>
      </c>
      <c r="S27" s="1302">
        <f>IF(I27="","",ROUND(IF(OR(I27="m²",I27="m2"),J27*IF(K27=0,1,K27)*IF(N27=0,1,N27)*IF(O27=0,1,O27)*P27-Q27,IF(OR(I27="m³",I27="m3"),J27*K27*L27*IF(N27=0,1,N27)*IF(O27=0,1,O27)*P27-Q27,IF(OR(I27="ml",I27="ML"),J27*IF(N27=0,1,N27)*IF(O27=0,1,O27)*P27-Q27,IF(OR(I27="und",I27="UND"),IF(N27=0,1,N27)*IF(O27=0,1,O27)*P27-Q27,IF(I27="kg",J27*IF(N27=0,1,N27)*IF(O27=0,1,O27)*P27-Q27,0))))),3))</f>
        <v/>
      </c>
      <c r="T27" s="1302">
        <f>IF(S27="","",ROUND(S27*(1+R27),3))</f>
        <v/>
      </c>
      <c r="U27" s="361" t="inlineStr">
        <is>
          <t>m³</t>
        </is>
      </c>
      <c r="V27" s="363" t="n"/>
      <c r="W27" s="363" t="n"/>
      <c r="X27" s="1304" t="n"/>
      <c r="Y27" s="363" t="inlineStr">
        <is>
          <t>Pendiente</t>
        </is>
      </c>
    </row>
    <row r="28" ht="15" customFormat="1" customHeight="1" s="666">
      <c r="A28" s="358" t="inlineStr">
        <is>
          <t>MQ-020</t>
        </is>
      </c>
      <c r="B28" s="359" t="inlineStr">
        <is>
          <t>MOVIMIENTO DE TIERRAS</t>
        </is>
      </c>
      <c r="C28" s="360" t="inlineStr">
        <is>
          <t>Retiro</t>
        </is>
      </c>
      <c r="D28" s="361" t="inlineStr">
        <is>
          <t>02.03.03</t>
        </is>
      </c>
      <c r="E28" s="362" t="inlineStr">
        <is>
          <t>Disposición final de sobrantes</t>
        </is>
      </c>
      <c r="F28" s="363" t="n"/>
      <c r="G28" s="363" t="n"/>
      <c r="H28" s="363" t="n"/>
      <c r="I28" s="361" t="inlineStr">
        <is>
          <t>m³</t>
        </is>
      </c>
      <c r="J28" s="1302" t="n">
        <v>0</v>
      </c>
      <c r="K28" s="1302" t="n">
        <v>0</v>
      </c>
      <c r="L28" s="1302" t="n">
        <v>0</v>
      </c>
      <c r="M28" s="1302" t="n">
        <v>0</v>
      </c>
      <c r="N28" s="1302" t="n">
        <v>1</v>
      </c>
      <c r="O28" s="1302" t="n">
        <v>1</v>
      </c>
      <c r="P28" s="1302" t="n">
        <v>1</v>
      </c>
      <c r="Q28" s="1302" t="n">
        <v>0</v>
      </c>
      <c r="R28" s="1303" t="n">
        <v>0</v>
      </c>
      <c r="S28" s="1302">
        <f>IF(I28="","",ROUND(IF(OR(I28="m²",I28="m2"),J28*IF(K28=0,1,K28)*IF(N28=0,1,N28)*IF(O28=0,1,O28)*P28-Q28,IF(OR(I28="m³",I28="m3"),J28*K28*L28*IF(N28=0,1,N28)*IF(O28=0,1,O28)*P28-Q28,IF(OR(I28="ml",I28="ML"),J28*IF(N28=0,1,N28)*IF(O28=0,1,O28)*P28-Q28,IF(OR(I28="und",I28="UND"),IF(N28=0,1,N28)*IF(O28=0,1,O28)*P28-Q28,IF(I28="kg",J28*IF(N28=0,1,N28)*IF(O28=0,1,O28)*P28-Q28,0))))),3))</f>
        <v/>
      </c>
      <c r="T28" s="1302">
        <f>IF(S28="","",ROUND(S28*(1+R28),3))</f>
        <v/>
      </c>
      <c r="U28" s="361" t="inlineStr">
        <is>
          <t>m³</t>
        </is>
      </c>
      <c r="V28" s="363" t="n"/>
      <c r="W28" s="363" t="n"/>
      <c r="X28" s="1304" t="n"/>
      <c r="Y28" s="363" t="inlineStr">
        <is>
          <t>Pendiente</t>
        </is>
      </c>
    </row>
    <row r="29" ht="15" customFormat="1" customHeight="1" s="666">
      <c r="A29" s="358" t="inlineStr">
        <is>
          <t>MQ-021</t>
        </is>
      </c>
      <c r="B29" s="359" t="inlineStr">
        <is>
          <t>CIMENTACIONES</t>
        </is>
      </c>
      <c r="C29" s="360" t="inlineStr">
        <is>
          <t>Concreto</t>
        </is>
      </c>
      <c r="D29" s="361" t="inlineStr">
        <is>
          <t>03.01.01</t>
        </is>
      </c>
      <c r="E29" s="362" t="inlineStr">
        <is>
          <t>Concreto de limpieza / solado</t>
        </is>
      </c>
      <c r="F29" s="363" t="n"/>
      <c r="G29" s="363" t="n"/>
      <c r="H29" s="363" t="n"/>
      <c r="I29" s="361" t="inlineStr">
        <is>
          <t>m³</t>
        </is>
      </c>
      <c r="J29" s="1302" t="n">
        <v>0</v>
      </c>
      <c r="K29" s="1302" t="n">
        <v>0</v>
      </c>
      <c r="L29" s="1302" t="n">
        <v>0</v>
      </c>
      <c r="M29" s="1302" t="n">
        <v>0</v>
      </c>
      <c r="N29" s="1302" t="n">
        <v>1</v>
      </c>
      <c r="O29" s="1302" t="n">
        <v>1</v>
      </c>
      <c r="P29" s="1302" t="n">
        <v>1</v>
      </c>
      <c r="Q29" s="1302" t="n">
        <v>0</v>
      </c>
      <c r="R29" s="1303" t="n">
        <v>0</v>
      </c>
      <c r="S29" s="1302">
        <f>IF(I29="","",ROUND(IF(OR(I29="m²",I29="m2"),J29*IF(K29=0,1,K29)*IF(N29=0,1,N29)*IF(O29=0,1,O29)*P29-Q29,IF(OR(I29="m³",I29="m3"),J29*K29*L29*IF(N29=0,1,N29)*IF(O29=0,1,O29)*P29-Q29,IF(OR(I29="ml",I29="ML"),J29*IF(N29=0,1,N29)*IF(O29=0,1,O29)*P29-Q29,IF(OR(I29="und",I29="UND"),IF(N29=0,1,N29)*IF(O29=0,1,O29)*P29-Q29,IF(I29="kg",J29*IF(N29=0,1,N29)*IF(O29=0,1,O29)*P29-Q29,0))))),3))</f>
        <v/>
      </c>
      <c r="T29" s="1302">
        <f>IF(S29="","",ROUND(S29*(1+R29),3))</f>
        <v/>
      </c>
      <c r="U29" s="361" t="inlineStr">
        <is>
          <t>m³</t>
        </is>
      </c>
      <c r="V29" s="363" t="n"/>
      <c r="W29" s="363" t="n"/>
      <c r="X29" s="1304" t="n"/>
      <c r="Y29" s="363" t="inlineStr">
        <is>
          <t>Pendiente</t>
        </is>
      </c>
    </row>
    <row r="30" ht="15" customFormat="1" customHeight="1" s="666">
      <c r="A30" s="358" t="inlineStr">
        <is>
          <t>MQ-022</t>
        </is>
      </c>
      <c r="B30" s="359" t="inlineStr">
        <is>
          <t>CIMENTACIONES</t>
        </is>
      </c>
      <c r="C30" s="360" t="inlineStr">
        <is>
          <t>Concreto</t>
        </is>
      </c>
      <c r="D30" s="361" t="inlineStr">
        <is>
          <t>03.01.02</t>
        </is>
      </c>
      <c r="E30" s="362" t="inlineStr">
        <is>
          <t>Concreto para zapatas</t>
        </is>
      </c>
      <c r="F30" s="363" t="n"/>
      <c r="G30" s="363" t="n"/>
      <c r="H30" s="363" t="n"/>
      <c r="I30" s="361" t="inlineStr">
        <is>
          <t>m³</t>
        </is>
      </c>
      <c r="J30" s="1302" t="n">
        <v>0</v>
      </c>
      <c r="K30" s="1302" t="n">
        <v>0</v>
      </c>
      <c r="L30" s="1302" t="n">
        <v>0</v>
      </c>
      <c r="M30" s="1302" t="n">
        <v>0</v>
      </c>
      <c r="N30" s="1302" t="n">
        <v>1</v>
      </c>
      <c r="O30" s="1302" t="n">
        <v>1</v>
      </c>
      <c r="P30" s="1302" t="n">
        <v>1</v>
      </c>
      <c r="Q30" s="1302" t="n">
        <v>0</v>
      </c>
      <c r="R30" s="1303" t="n">
        <v>0</v>
      </c>
      <c r="S30" s="1302">
        <f>IF(I30="","",ROUND(IF(OR(I30="m²",I30="m2"),J30*IF(K30=0,1,K30)*IF(N30=0,1,N30)*IF(O30=0,1,O30)*P30-Q30,IF(OR(I30="m³",I30="m3"),J30*K30*L30*IF(N30=0,1,N30)*IF(O30=0,1,O30)*P30-Q30,IF(OR(I30="ml",I30="ML"),J30*IF(N30=0,1,N30)*IF(O30=0,1,O30)*P30-Q30,IF(OR(I30="und",I30="UND"),IF(N30=0,1,N30)*IF(O30=0,1,O30)*P30-Q30,IF(I30="kg",J30*IF(N30=0,1,N30)*IF(O30=0,1,O30)*P30-Q30,0))))),3))</f>
        <v/>
      </c>
      <c r="T30" s="1302">
        <f>IF(S30="","",ROUND(S30*(1+R30),3))</f>
        <v/>
      </c>
      <c r="U30" s="361" t="inlineStr">
        <is>
          <t>m³</t>
        </is>
      </c>
      <c r="V30" s="363" t="n"/>
      <c r="W30" s="363" t="n"/>
      <c r="X30" s="1304" t="n"/>
      <c r="Y30" s="363" t="inlineStr">
        <is>
          <t>Pendiente</t>
        </is>
      </c>
    </row>
    <row r="31" ht="15" customFormat="1" customHeight="1" s="666">
      <c r="A31" s="358" t="inlineStr">
        <is>
          <t>MQ-023</t>
        </is>
      </c>
      <c r="B31" s="359" t="inlineStr">
        <is>
          <t>CIMENTACIONES</t>
        </is>
      </c>
      <c r="C31" s="360" t="inlineStr">
        <is>
          <t>Concreto</t>
        </is>
      </c>
      <c r="D31" s="361" t="inlineStr">
        <is>
          <t>03.01.03</t>
        </is>
      </c>
      <c r="E31" s="362" t="inlineStr">
        <is>
          <t>Concreto para vigas de cimentación</t>
        </is>
      </c>
      <c r="F31" s="363" t="n"/>
      <c r="G31" s="363" t="n"/>
      <c r="H31" s="363" t="n"/>
      <c r="I31" s="361" t="inlineStr">
        <is>
          <t>m³</t>
        </is>
      </c>
      <c r="J31" s="1302" t="n">
        <v>0</v>
      </c>
      <c r="K31" s="1302" t="n">
        <v>0</v>
      </c>
      <c r="L31" s="1302" t="n">
        <v>0</v>
      </c>
      <c r="M31" s="1302" t="n">
        <v>0</v>
      </c>
      <c r="N31" s="1302" t="n">
        <v>1</v>
      </c>
      <c r="O31" s="1302" t="n">
        <v>1</v>
      </c>
      <c r="P31" s="1302" t="n">
        <v>1</v>
      </c>
      <c r="Q31" s="1302" t="n">
        <v>0</v>
      </c>
      <c r="R31" s="1303" t="n">
        <v>0</v>
      </c>
      <c r="S31" s="1302">
        <f>IF(I31="","",ROUND(IF(OR(I31="m²",I31="m2"),J31*IF(K31=0,1,K31)*IF(N31=0,1,N31)*IF(O31=0,1,O31)*P31-Q31,IF(OR(I31="m³",I31="m3"),J31*K31*L31*IF(N31=0,1,N31)*IF(O31=0,1,O31)*P31-Q31,IF(OR(I31="ml",I31="ML"),J31*IF(N31=0,1,N31)*IF(O31=0,1,O31)*P31-Q31,IF(OR(I31="und",I31="UND"),IF(N31=0,1,N31)*IF(O31=0,1,O31)*P31-Q31,IF(I31="kg",J31*IF(N31=0,1,N31)*IF(O31=0,1,O31)*P31-Q31,0))))),3))</f>
        <v/>
      </c>
      <c r="T31" s="1302">
        <f>IF(S31="","",ROUND(S31*(1+R31),3))</f>
        <v/>
      </c>
      <c r="U31" s="361" t="inlineStr">
        <is>
          <t>m³</t>
        </is>
      </c>
      <c r="V31" s="363" t="n"/>
      <c r="W31" s="363" t="n"/>
      <c r="X31" s="1304" t="n"/>
      <c r="Y31" s="363" t="inlineStr">
        <is>
          <t>Pendiente</t>
        </is>
      </c>
    </row>
    <row r="32" ht="15" customFormat="1" customHeight="1" s="666">
      <c r="A32" s="358" t="inlineStr">
        <is>
          <t>MQ-024</t>
        </is>
      </c>
      <c r="B32" s="359" t="inlineStr">
        <is>
          <t>CIMENTACIONES</t>
        </is>
      </c>
      <c r="C32" s="360" t="inlineStr">
        <is>
          <t>Concreto</t>
        </is>
      </c>
      <c r="D32" s="361" t="inlineStr">
        <is>
          <t>03.01.04</t>
        </is>
      </c>
      <c r="E32" s="362" t="inlineStr">
        <is>
          <t>Concreto para losas de cimentación</t>
        </is>
      </c>
      <c r="F32" s="363" t="n"/>
      <c r="G32" s="363" t="n"/>
      <c r="H32" s="363" t="n"/>
      <c r="I32" s="361" t="inlineStr">
        <is>
          <t>m³</t>
        </is>
      </c>
      <c r="J32" s="1302" t="n">
        <v>0</v>
      </c>
      <c r="K32" s="1302" t="n">
        <v>0</v>
      </c>
      <c r="L32" s="1302" t="n">
        <v>0</v>
      </c>
      <c r="M32" s="1302" t="n">
        <v>0</v>
      </c>
      <c r="N32" s="1302" t="n">
        <v>1</v>
      </c>
      <c r="O32" s="1302" t="n">
        <v>1</v>
      </c>
      <c r="P32" s="1302" t="n">
        <v>1</v>
      </c>
      <c r="Q32" s="1302" t="n">
        <v>0</v>
      </c>
      <c r="R32" s="1303" t="n">
        <v>0</v>
      </c>
      <c r="S32" s="1302">
        <f>IF(I32="","",ROUND(IF(OR(I32="m²",I32="m2"),J32*IF(K32=0,1,K32)*IF(N32=0,1,N32)*IF(O32=0,1,O32)*P32-Q32,IF(OR(I32="m³",I32="m3"),J32*K32*L32*IF(N32=0,1,N32)*IF(O32=0,1,O32)*P32-Q32,IF(OR(I32="ml",I32="ML"),J32*IF(N32=0,1,N32)*IF(O32=0,1,O32)*P32-Q32,IF(OR(I32="und",I32="UND"),IF(N32=0,1,N32)*IF(O32=0,1,O32)*P32-Q32,IF(I32="kg",J32*IF(N32=0,1,N32)*IF(O32=0,1,O32)*P32-Q32,0))))),3))</f>
        <v/>
      </c>
      <c r="T32" s="1302">
        <f>IF(S32="","",ROUND(S32*(1+R32),3))</f>
        <v/>
      </c>
      <c r="U32" s="361" t="inlineStr">
        <is>
          <t>m³</t>
        </is>
      </c>
      <c r="V32" s="363" t="n"/>
      <c r="W32" s="363" t="n"/>
      <c r="X32" s="1304" t="n"/>
      <c r="Y32" s="363" t="inlineStr">
        <is>
          <t>Pendiente</t>
        </is>
      </c>
    </row>
    <row r="33" ht="15" customFormat="1" customHeight="1" s="666">
      <c r="A33" s="358" t="inlineStr">
        <is>
          <t>MQ-025</t>
        </is>
      </c>
      <c r="B33" s="359" t="inlineStr">
        <is>
          <t>CIMENTACIONES</t>
        </is>
      </c>
      <c r="C33" s="360" t="inlineStr">
        <is>
          <t>Concreto</t>
        </is>
      </c>
      <c r="D33" s="361" t="inlineStr">
        <is>
          <t>03.01.05</t>
        </is>
      </c>
      <c r="E33" s="362" t="inlineStr">
        <is>
          <t>Concreto para pedestales</t>
        </is>
      </c>
      <c r="F33" s="363" t="n"/>
      <c r="G33" s="363" t="n"/>
      <c r="H33" s="363" t="n"/>
      <c r="I33" s="361" t="inlineStr">
        <is>
          <t>m³</t>
        </is>
      </c>
      <c r="J33" s="1302" t="n">
        <v>0</v>
      </c>
      <c r="K33" s="1302" t="n">
        <v>0</v>
      </c>
      <c r="L33" s="1302" t="n">
        <v>0</v>
      </c>
      <c r="M33" s="1302" t="n">
        <v>0</v>
      </c>
      <c r="N33" s="1302" t="n">
        <v>1</v>
      </c>
      <c r="O33" s="1302" t="n">
        <v>1</v>
      </c>
      <c r="P33" s="1302" t="n">
        <v>1</v>
      </c>
      <c r="Q33" s="1302" t="n">
        <v>0</v>
      </c>
      <c r="R33" s="1303" t="n">
        <v>0</v>
      </c>
      <c r="S33" s="1302">
        <f>IF(I33="","",ROUND(IF(OR(I33="m²",I33="m2"),J33*IF(K33=0,1,K33)*IF(N33=0,1,N33)*IF(O33=0,1,O33)*P33-Q33,IF(OR(I33="m³",I33="m3"),J33*K33*L33*IF(N33=0,1,N33)*IF(O33=0,1,O33)*P33-Q33,IF(OR(I33="ml",I33="ML"),J33*IF(N33=0,1,N33)*IF(O33=0,1,O33)*P33-Q33,IF(OR(I33="und",I33="UND"),IF(N33=0,1,N33)*IF(O33=0,1,O33)*P33-Q33,IF(I33="kg",J33*IF(N33=0,1,N33)*IF(O33=0,1,O33)*P33-Q33,0))))),3))</f>
        <v/>
      </c>
      <c r="T33" s="1302">
        <f>IF(S33="","",ROUND(S33*(1+R33),3))</f>
        <v/>
      </c>
      <c r="U33" s="361" t="inlineStr">
        <is>
          <t>m³</t>
        </is>
      </c>
      <c r="V33" s="363" t="n"/>
      <c r="W33" s="363" t="n"/>
      <c r="X33" s="1304" t="n"/>
      <c r="Y33" s="363" t="inlineStr">
        <is>
          <t>Pendiente</t>
        </is>
      </c>
    </row>
    <row r="34" ht="15" customFormat="1" customHeight="1" s="666">
      <c r="A34" s="358" t="inlineStr">
        <is>
          <t>MQ-026</t>
        </is>
      </c>
      <c r="B34" s="359" t="inlineStr">
        <is>
          <t>CIMENTACIONES</t>
        </is>
      </c>
      <c r="C34" s="360" t="inlineStr">
        <is>
          <t>Acero</t>
        </is>
      </c>
      <c r="D34" s="361" t="inlineStr">
        <is>
          <t>03.02.01</t>
        </is>
      </c>
      <c r="E34" s="362" t="inlineStr">
        <is>
          <t>Acero de refuerzo en cimentación</t>
        </is>
      </c>
      <c r="F34" s="363" t="n"/>
      <c r="G34" s="363" t="n"/>
      <c r="H34" s="363" t="n"/>
      <c r="I34" s="361" t="inlineStr">
        <is>
          <t>kg</t>
        </is>
      </c>
      <c r="J34" s="1302" t="n">
        <v>0</v>
      </c>
      <c r="K34" s="1302" t="n">
        <v>0</v>
      </c>
      <c r="L34" s="1302" t="n">
        <v>0</v>
      </c>
      <c r="M34" s="1302" t="n">
        <v>0</v>
      </c>
      <c r="N34" s="1302" t="n">
        <v>1</v>
      </c>
      <c r="O34" s="1302" t="n">
        <v>1</v>
      </c>
      <c r="P34" s="1302" t="n">
        <v>1</v>
      </c>
      <c r="Q34" s="1302" t="n">
        <v>0</v>
      </c>
      <c r="R34" s="1303" t="n">
        <v>0</v>
      </c>
      <c r="S34" s="1302">
        <f>IF(I34="","",ROUND(IF(OR(I34="m²",I34="m2"),J34*IF(K34=0,1,K34)*IF(N34=0,1,N34)*IF(O34=0,1,O34)*P34-Q34,IF(OR(I34="m³",I34="m3"),J34*K34*L34*IF(N34=0,1,N34)*IF(O34=0,1,O34)*P34-Q34,IF(OR(I34="ml",I34="ML"),J34*IF(N34=0,1,N34)*IF(O34=0,1,O34)*P34-Q34,IF(OR(I34="und",I34="UND"),IF(N34=0,1,N34)*IF(O34=0,1,O34)*P34-Q34,IF(I34="kg",J34*IF(N34=0,1,N34)*IF(O34=0,1,O34)*P34-Q34,0))))),3))</f>
        <v/>
      </c>
      <c r="T34" s="1302">
        <f>IF(S34="","",ROUND(S34*(1+R34),3))</f>
        <v/>
      </c>
      <c r="U34" s="361" t="inlineStr">
        <is>
          <t>kg</t>
        </is>
      </c>
      <c r="V34" s="363" t="n"/>
      <c r="W34" s="363" t="n"/>
      <c r="X34" s="1304" t="n"/>
      <c r="Y34" s="363" t="inlineStr">
        <is>
          <t>Pendiente</t>
        </is>
      </c>
    </row>
    <row r="35" ht="15" customFormat="1" customHeight="1" s="666">
      <c r="A35" s="358" t="inlineStr">
        <is>
          <t>MQ-027</t>
        </is>
      </c>
      <c r="B35" s="359" t="inlineStr">
        <is>
          <t>CIMENTACIONES</t>
        </is>
      </c>
      <c r="C35" s="360" t="inlineStr">
        <is>
          <t>Formaleta</t>
        </is>
      </c>
      <c r="D35" s="361" t="inlineStr">
        <is>
          <t>03.03.01</t>
        </is>
      </c>
      <c r="E35" s="362" t="inlineStr">
        <is>
          <t>Formaleta para elementos de cimentación</t>
        </is>
      </c>
      <c r="F35" s="363" t="n"/>
      <c r="G35" s="363" t="n"/>
      <c r="H35" s="363" t="n"/>
      <c r="I35" s="361" t="inlineStr">
        <is>
          <t>m²</t>
        </is>
      </c>
      <c r="J35" s="1302" t="n">
        <v>0</v>
      </c>
      <c r="K35" s="1302" t="n">
        <v>0</v>
      </c>
      <c r="L35" s="1302" t="n">
        <v>0</v>
      </c>
      <c r="M35" s="1302" t="n">
        <v>0</v>
      </c>
      <c r="N35" s="1302" t="n">
        <v>1</v>
      </c>
      <c r="O35" s="1302" t="n">
        <v>1</v>
      </c>
      <c r="P35" s="1302" t="n">
        <v>1</v>
      </c>
      <c r="Q35" s="1302" t="n">
        <v>0</v>
      </c>
      <c r="R35" s="1303" t="n">
        <v>0</v>
      </c>
      <c r="S35" s="1302">
        <f>IF(I35="","",ROUND(IF(OR(I35="m²",I35="m2"),J35*IF(K35=0,1,K35)*IF(N35=0,1,N35)*IF(O35=0,1,O35)*P35-Q35,IF(OR(I35="m³",I35="m3"),J35*K35*L35*IF(N35=0,1,N35)*IF(O35=0,1,O35)*P35-Q35,IF(OR(I35="ml",I35="ML"),J35*IF(N35=0,1,N35)*IF(O35=0,1,O35)*P35-Q35,IF(OR(I35="und",I35="UND"),IF(N35=0,1,N35)*IF(O35=0,1,O35)*P35-Q35,IF(I35="kg",J35*IF(N35=0,1,N35)*IF(O35=0,1,O35)*P35-Q35,0))))),3))</f>
        <v/>
      </c>
      <c r="T35" s="1302">
        <f>IF(S35="","",ROUND(S35*(1+R35),3))</f>
        <v/>
      </c>
      <c r="U35" s="361" t="inlineStr">
        <is>
          <t>m²</t>
        </is>
      </c>
      <c r="V35" s="363" t="n"/>
      <c r="W35" s="363" t="n"/>
      <c r="X35" s="1304" t="n"/>
      <c r="Y35" s="363" t="inlineStr">
        <is>
          <t>Pendiente</t>
        </is>
      </c>
    </row>
    <row r="36" ht="15" customFormat="1" customHeight="1" s="666">
      <c r="A36" s="358" t="inlineStr">
        <is>
          <t>MQ-028</t>
        </is>
      </c>
      <c r="B36" s="359" t="inlineStr">
        <is>
          <t>ESTRUCTURA</t>
        </is>
      </c>
      <c r="C36" s="360" t="inlineStr">
        <is>
          <t>Concreto</t>
        </is>
      </c>
      <c r="D36" s="361" t="inlineStr">
        <is>
          <t>04.01.01</t>
        </is>
      </c>
      <c r="E36" s="362" t="inlineStr">
        <is>
          <t>Concreto para columnas</t>
        </is>
      </c>
      <c r="F36" s="363" t="n"/>
      <c r="G36" s="363" t="n"/>
      <c r="H36" s="363" t="n"/>
      <c r="I36" s="361" t="inlineStr">
        <is>
          <t>m³</t>
        </is>
      </c>
      <c r="J36" s="1302" t="n">
        <v>0</v>
      </c>
      <c r="K36" s="1302" t="n">
        <v>0</v>
      </c>
      <c r="L36" s="1302" t="n">
        <v>0</v>
      </c>
      <c r="M36" s="1302" t="n">
        <v>0</v>
      </c>
      <c r="N36" s="1302" t="n">
        <v>1</v>
      </c>
      <c r="O36" s="1302" t="n">
        <v>1</v>
      </c>
      <c r="P36" s="1302" t="n">
        <v>1</v>
      </c>
      <c r="Q36" s="1302" t="n">
        <v>0</v>
      </c>
      <c r="R36" s="1303" t="n">
        <v>0</v>
      </c>
      <c r="S36" s="1302">
        <f>IF(I36="","",ROUND(IF(OR(I36="m²",I36="m2"),J36*IF(K36=0,1,K36)*IF(N36=0,1,N36)*IF(O36=0,1,O36)*P36-Q36,IF(OR(I36="m³",I36="m3"),J36*K36*L36*IF(N36=0,1,N36)*IF(O36=0,1,O36)*P36-Q36,IF(OR(I36="ml",I36="ML"),J36*IF(N36=0,1,N36)*IF(O36=0,1,O36)*P36-Q36,IF(OR(I36="und",I36="UND"),IF(N36=0,1,N36)*IF(O36=0,1,O36)*P36-Q36,IF(I36="kg",J36*IF(N36=0,1,N36)*IF(O36=0,1,O36)*P36-Q36,0))))),3))</f>
        <v/>
      </c>
      <c r="T36" s="1302">
        <f>IF(S36="","",ROUND(S36*(1+R36),3))</f>
        <v/>
      </c>
      <c r="U36" s="361" t="inlineStr">
        <is>
          <t>m³</t>
        </is>
      </c>
      <c r="V36" s="363" t="n"/>
      <c r="W36" s="363" t="n"/>
      <c r="X36" s="1304" t="n"/>
      <c r="Y36" s="363" t="inlineStr">
        <is>
          <t>Pendiente</t>
        </is>
      </c>
    </row>
    <row r="37" ht="15" customFormat="1" customHeight="1" s="666">
      <c r="A37" s="358" t="inlineStr">
        <is>
          <t>MQ-029</t>
        </is>
      </c>
      <c r="B37" s="359" t="inlineStr">
        <is>
          <t>ESTRUCTURA</t>
        </is>
      </c>
      <c r="C37" s="360" t="inlineStr">
        <is>
          <t>Concreto</t>
        </is>
      </c>
      <c r="D37" s="361" t="inlineStr">
        <is>
          <t>04.01.02</t>
        </is>
      </c>
      <c r="E37" s="362" t="inlineStr">
        <is>
          <t>Concreto para vigas</t>
        </is>
      </c>
      <c r="F37" s="363" t="n"/>
      <c r="G37" s="363" t="n"/>
      <c r="H37" s="363" t="n"/>
      <c r="I37" s="361" t="inlineStr">
        <is>
          <t>m³</t>
        </is>
      </c>
      <c r="J37" s="1302" t="n">
        <v>0</v>
      </c>
      <c r="K37" s="1302" t="n">
        <v>0</v>
      </c>
      <c r="L37" s="1302" t="n">
        <v>0</v>
      </c>
      <c r="M37" s="1302" t="n">
        <v>0</v>
      </c>
      <c r="N37" s="1302" t="n">
        <v>1</v>
      </c>
      <c r="O37" s="1302" t="n">
        <v>1</v>
      </c>
      <c r="P37" s="1302" t="n">
        <v>1</v>
      </c>
      <c r="Q37" s="1302" t="n">
        <v>0</v>
      </c>
      <c r="R37" s="1303" t="n">
        <v>0</v>
      </c>
      <c r="S37" s="1302">
        <f>IF(I37="","",ROUND(IF(OR(I37="m²",I37="m2"),J37*IF(K37=0,1,K37)*IF(N37=0,1,N37)*IF(O37=0,1,O37)*P37-Q37,IF(OR(I37="m³",I37="m3"),J37*K37*L37*IF(N37=0,1,N37)*IF(O37=0,1,O37)*P37-Q37,IF(OR(I37="ml",I37="ML"),J37*IF(N37=0,1,N37)*IF(O37=0,1,O37)*P37-Q37,IF(OR(I37="und",I37="UND"),IF(N37=0,1,N37)*IF(O37=0,1,O37)*P37-Q37,IF(I37="kg",J37*IF(N37=0,1,N37)*IF(O37=0,1,O37)*P37-Q37,0))))),3))</f>
        <v/>
      </c>
      <c r="T37" s="1302">
        <f>IF(S37="","",ROUND(S37*(1+R37),3))</f>
        <v/>
      </c>
      <c r="U37" s="361" t="inlineStr">
        <is>
          <t>m³</t>
        </is>
      </c>
      <c r="V37" s="363" t="n"/>
      <c r="W37" s="363" t="n"/>
      <c r="X37" s="1304" t="n"/>
      <c r="Y37" s="363" t="inlineStr">
        <is>
          <t>Pendiente</t>
        </is>
      </c>
    </row>
    <row r="38" ht="15" customFormat="1" customHeight="1" s="666">
      <c r="A38" s="358" t="inlineStr">
        <is>
          <t>MQ-030</t>
        </is>
      </c>
      <c r="B38" s="359" t="inlineStr">
        <is>
          <t>ESTRUCTURA</t>
        </is>
      </c>
      <c r="C38" s="360" t="inlineStr">
        <is>
          <t>Concreto</t>
        </is>
      </c>
      <c r="D38" s="361" t="inlineStr">
        <is>
          <t>04.01.03</t>
        </is>
      </c>
      <c r="E38" s="362" t="inlineStr">
        <is>
          <t>Concreto para losas</t>
        </is>
      </c>
      <c r="F38" s="363" t="n"/>
      <c r="G38" s="363" t="n"/>
      <c r="H38" s="363" t="n"/>
      <c r="I38" s="361" t="inlineStr">
        <is>
          <t>m³</t>
        </is>
      </c>
      <c r="J38" s="1302" t="n">
        <v>0</v>
      </c>
      <c r="K38" s="1302" t="n">
        <v>0</v>
      </c>
      <c r="L38" s="1302" t="n">
        <v>0</v>
      </c>
      <c r="M38" s="1302" t="n">
        <v>0</v>
      </c>
      <c r="N38" s="1302" t="n">
        <v>1</v>
      </c>
      <c r="O38" s="1302" t="n">
        <v>1</v>
      </c>
      <c r="P38" s="1302" t="n">
        <v>1</v>
      </c>
      <c r="Q38" s="1302" t="n">
        <v>0</v>
      </c>
      <c r="R38" s="1303" t="n">
        <v>0</v>
      </c>
      <c r="S38" s="1302">
        <f>IF(I38="","",ROUND(IF(OR(I38="m²",I38="m2"),J38*IF(K38=0,1,K38)*IF(N38=0,1,N38)*IF(O38=0,1,O38)*P38-Q38,IF(OR(I38="m³",I38="m3"),J38*K38*L38*IF(N38=0,1,N38)*IF(O38=0,1,O38)*P38-Q38,IF(OR(I38="ml",I38="ML"),J38*IF(N38=0,1,N38)*IF(O38=0,1,O38)*P38-Q38,IF(OR(I38="und",I38="UND"),IF(N38=0,1,N38)*IF(O38=0,1,O38)*P38-Q38,IF(I38="kg",J38*IF(N38=0,1,N38)*IF(O38=0,1,O38)*P38-Q38,0))))),3))</f>
        <v/>
      </c>
      <c r="T38" s="1302">
        <f>IF(S38="","",ROUND(S38*(1+R38),3))</f>
        <v/>
      </c>
      <c r="U38" s="361" t="inlineStr">
        <is>
          <t>m³</t>
        </is>
      </c>
      <c r="V38" s="363" t="n"/>
      <c r="W38" s="363" t="n"/>
      <c r="X38" s="1304" t="n"/>
      <c r="Y38" s="363" t="inlineStr">
        <is>
          <t>Pendiente</t>
        </is>
      </c>
    </row>
    <row r="39" ht="15" customFormat="1" customHeight="1" s="666">
      <c r="A39" s="358" t="inlineStr">
        <is>
          <t>MQ-031</t>
        </is>
      </c>
      <c r="B39" s="359" t="inlineStr">
        <is>
          <t>ESTRUCTURA</t>
        </is>
      </c>
      <c r="C39" s="360" t="inlineStr">
        <is>
          <t>Concreto</t>
        </is>
      </c>
      <c r="D39" s="361" t="inlineStr">
        <is>
          <t>04.01.04</t>
        </is>
      </c>
      <c r="E39" s="362" t="inlineStr">
        <is>
          <t>Concreto para escaleras</t>
        </is>
      </c>
      <c r="F39" s="363" t="n"/>
      <c r="G39" s="363" t="n"/>
      <c r="H39" s="363" t="n"/>
      <c r="I39" s="361" t="inlineStr">
        <is>
          <t>m³</t>
        </is>
      </c>
      <c r="J39" s="1302" t="n">
        <v>0</v>
      </c>
      <c r="K39" s="1302" t="n">
        <v>0</v>
      </c>
      <c r="L39" s="1302" t="n">
        <v>0</v>
      </c>
      <c r="M39" s="1302" t="n">
        <v>0</v>
      </c>
      <c r="N39" s="1302" t="n">
        <v>1</v>
      </c>
      <c r="O39" s="1302" t="n">
        <v>1</v>
      </c>
      <c r="P39" s="1302" t="n">
        <v>1</v>
      </c>
      <c r="Q39" s="1302" t="n">
        <v>0</v>
      </c>
      <c r="R39" s="1303" t="n">
        <v>0</v>
      </c>
      <c r="S39" s="1302">
        <f>IF(I39="","",ROUND(IF(OR(I39="m²",I39="m2"),J39*IF(K39=0,1,K39)*IF(N39=0,1,N39)*IF(O39=0,1,O39)*P39-Q39,IF(OR(I39="m³",I39="m3"),J39*K39*L39*IF(N39=0,1,N39)*IF(O39=0,1,O39)*P39-Q39,IF(OR(I39="ml",I39="ML"),J39*IF(N39=0,1,N39)*IF(O39=0,1,O39)*P39-Q39,IF(OR(I39="und",I39="UND"),IF(N39=0,1,N39)*IF(O39=0,1,O39)*P39-Q39,IF(I39="kg",J39*IF(N39=0,1,N39)*IF(O39=0,1,O39)*P39-Q39,0))))),3))</f>
        <v/>
      </c>
      <c r="T39" s="1302">
        <f>IF(S39="","",ROUND(S39*(1+R39),3))</f>
        <v/>
      </c>
      <c r="U39" s="361" t="inlineStr">
        <is>
          <t>m³</t>
        </is>
      </c>
      <c r="V39" s="363" t="n"/>
      <c r="W39" s="363" t="n"/>
      <c r="X39" s="1304" t="n"/>
      <c r="Y39" s="363" t="inlineStr">
        <is>
          <t>Pendiente</t>
        </is>
      </c>
    </row>
    <row r="40" ht="15" customFormat="1" customHeight="1" s="666">
      <c r="A40" s="358" t="inlineStr">
        <is>
          <t>MQ-032</t>
        </is>
      </c>
      <c r="B40" s="359" t="inlineStr">
        <is>
          <t>ESTRUCTURA</t>
        </is>
      </c>
      <c r="C40" s="360" t="inlineStr">
        <is>
          <t>Concreto</t>
        </is>
      </c>
      <c r="D40" s="361" t="inlineStr">
        <is>
          <t>04.01.05</t>
        </is>
      </c>
      <c r="E40" s="362" t="inlineStr">
        <is>
          <t>Concreto para muros estructurales</t>
        </is>
      </c>
      <c r="F40" s="363" t="n"/>
      <c r="G40" s="363" t="n"/>
      <c r="H40" s="363" t="n"/>
      <c r="I40" s="361" t="inlineStr">
        <is>
          <t>m³</t>
        </is>
      </c>
      <c r="J40" s="1302" t="n">
        <v>0</v>
      </c>
      <c r="K40" s="1302" t="n">
        <v>0</v>
      </c>
      <c r="L40" s="1302" t="n">
        <v>0</v>
      </c>
      <c r="M40" s="1302" t="n">
        <v>0</v>
      </c>
      <c r="N40" s="1302" t="n">
        <v>1</v>
      </c>
      <c r="O40" s="1302" t="n">
        <v>1</v>
      </c>
      <c r="P40" s="1302" t="n">
        <v>1</v>
      </c>
      <c r="Q40" s="1302" t="n">
        <v>0</v>
      </c>
      <c r="R40" s="1303" t="n">
        <v>0</v>
      </c>
      <c r="S40" s="1302">
        <f>IF(I40="","",ROUND(IF(OR(I40="m²",I40="m2"),J40*IF(K40=0,1,K40)*IF(N40=0,1,N40)*IF(O40=0,1,O40)*P40-Q40,IF(OR(I40="m³",I40="m3"),J40*K40*L40*IF(N40=0,1,N40)*IF(O40=0,1,O40)*P40-Q40,IF(OR(I40="ml",I40="ML"),J40*IF(N40=0,1,N40)*IF(O40=0,1,O40)*P40-Q40,IF(OR(I40="und",I40="UND"),IF(N40=0,1,N40)*IF(O40=0,1,O40)*P40-Q40,IF(I40="kg",J40*IF(N40=0,1,N40)*IF(O40=0,1,O40)*P40-Q40,0))))),3))</f>
        <v/>
      </c>
      <c r="T40" s="1302">
        <f>IF(S40="","",ROUND(S40*(1+R40),3))</f>
        <v/>
      </c>
      <c r="U40" s="361" t="inlineStr">
        <is>
          <t>m³</t>
        </is>
      </c>
      <c r="V40" s="363" t="n"/>
      <c r="W40" s="363" t="n"/>
      <c r="X40" s="1304" t="n"/>
      <c r="Y40" s="363" t="inlineStr">
        <is>
          <t>Pendiente</t>
        </is>
      </c>
    </row>
    <row r="41" ht="15" customFormat="1" customHeight="1" s="666">
      <c r="A41" s="358" t="inlineStr">
        <is>
          <t>MQ-033</t>
        </is>
      </c>
      <c r="B41" s="359" t="inlineStr">
        <is>
          <t>ESTRUCTURA</t>
        </is>
      </c>
      <c r="C41" s="360" t="inlineStr">
        <is>
          <t>Acero</t>
        </is>
      </c>
      <c r="D41" s="361" t="inlineStr">
        <is>
          <t>04.02.01</t>
        </is>
      </c>
      <c r="E41" s="362" t="inlineStr">
        <is>
          <t>Acero de refuerzo de columnas</t>
        </is>
      </c>
      <c r="F41" s="363" t="n"/>
      <c r="G41" s="363" t="n"/>
      <c r="H41" s="363" t="n"/>
      <c r="I41" s="361" t="inlineStr">
        <is>
          <t>kg</t>
        </is>
      </c>
      <c r="J41" s="1302" t="n">
        <v>0</v>
      </c>
      <c r="K41" s="1302" t="n">
        <v>0</v>
      </c>
      <c r="L41" s="1302" t="n">
        <v>0</v>
      </c>
      <c r="M41" s="1302" t="n">
        <v>0</v>
      </c>
      <c r="N41" s="1302" t="n">
        <v>1</v>
      </c>
      <c r="O41" s="1302" t="n">
        <v>1</v>
      </c>
      <c r="P41" s="1302" t="n">
        <v>1</v>
      </c>
      <c r="Q41" s="1302" t="n">
        <v>0</v>
      </c>
      <c r="R41" s="1303" t="n">
        <v>0</v>
      </c>
      <c r="S41" s="1302">
        <f>IF(I41="","",ROUND(IF(OR(I41="m²",I41="m2"),J41*IF(K41=0,1,K41)*IF(N41=0,1,N41)*IF(O41=0,1,O41)*P41-Q41,IF(OR(I41="m³",I41="m3"),J41*K41*L41*IF(N41=0,1,N41)*IF(O41=0,1,O41)*P41-Q41,IF(OR(I41="ml",I41="ML"),J41*IF(N41=0,1,N41)*IF(O41=0,1,O41)*P41-Q41,IF(OR(I41="und",I41="UND"),IF(N41=0,1,N41)*IF(O41=0,1,O41)*P41-Q41,IF(I41="kg",J41*IF(N41=0,1,N41)*IF(O41=0,1,O41)*P41-Q41,0))))),3))</f>
        <v/>
      </c>
      <c r="T41" s="1302">
        <f>IF(S41="","",ROUND(S41*(1+R41),3))</f>
        <v/>
      </c>
      <c r="U41" s="361" t="inlineStr">
        <is>
          <t>kg</t>
        </is>
      </c>
      <c r="V41" s="363" t="n"/>
      <c r="W41" s="363" t="n"/>
      <c r="X41" s="1304" t="n"/>
      <c r="Y41" s="363" t="inlineStr">
        <is>
          <t>Pendiente</t>
        </is>
      </c>
    </row>
    <row r="42" ht="15" customFormat="1" customHeight="1" s="666">
      <c r="A42" s="358" t="inlineStr">
        <is>
          <t>MQ-034</t>
        </is>
      </c>
      <c r="B42" s="359" t="inlineStr">
        <is>
          <t>ESTRUCTURA</t>
        </is>
      </c>
      <c r="C42" s="360" t="inlineStr">
        <is>
          <t>Acero</t>
        </is>
      </c>
      <c r="D42" s="361" t="inlineStr">
        <is>
          <t>04.02.02</t>
        </is>
      </c>
      <c r="E42" s="362" t="inlineStr">
        <is>
          <t>Acero de refuerzo de vigas</t>
        </is>
      </c>
      <c r="F42" s="363" t="n"/>
      <c r="G42" s="363" t="n"/>
      <c r="H42" s="363" t="n"/>
      <c r="I42" s="361" t="inlineStr">
        <is>
          <t>kg</t>
        </is>
      </c>
      <c r="J42" s="1302" t="n">
        <v>0</v>
      </c>
      <c r="K42" s="1302" t="n">
        <v>0</v>
      </c>
      <c r="L42" s="1302" t="n">
        <v>0</v>
      </c>
      <c r="M42" s="1302" t="n">
        <v>0</v>
      </c>
      <c r="N42" s="1302" t="n">
        <v>1</v>
      </c>
      <c r="O42" s="1302" t="n">
        <v>1</v>
      </c>
      <c r="P42" s="1302" t="n">
        <v>1</v>
      </c>
      <c r="Q42" s="1302" t="n">
        <v>0</v>
      </c>
      <c r="R42" s="1303" t="n">
        <v>0</v>
      </c>
      <c r="S42" s="1302">
        <f>IF(I42="","",ROUND(IF(OR(I42="m²",I42="m2"),J42*IF(K42=0,1,K42)*IF(N42=0,1,N42)*IF(O42=0,1,O42)*P42-Q42,IF(OR(I42="m³",I42="m3"),J42*K42*L42*IF(N42=0,1,N42)*IF(O42=0,1,O42)*P42-Q42,IF(OR(I42="ml",I42="ML"),J42*IF(N42=0,1,N42)*IF(O42=0,1,O42)*P42-Q42,IF(OR(I42="und",I42="UND"),IF(N42=0,1,N42)*IF(O42=0,1,O42)*P42-Q42,IF(I42="kg",J42*IF(N42=0,1,N42)*IF(O42=0,1,O42)*P42-Q42,0))))),3))</f>
        <v/>
      </c>
      <c r="T42" s="1302">
        <f>IF(S42="","",ROUND(S42*(1+R42),3))</f>
        <v/>
      </c>
      <c r="U42" s="361" t="inlineStr">
        <is>
          <t>kg</t>
        </is>
      </c>
      <c r="V42" s="363" t="n"/>
      <c r="W42" s="363" t="n"/>
      <c r="X42" s="1304" t="n"/>
      <c r="Y42" s="363" t="inlineStr">
        <is>
          <t>Pendiente</t>
        </is>
      </c>
    </row>
    <row r="43" ht="15" customFormat="1" customHeight="1" s="666">
      <c r="A43" s="358" t="inlineStr">
        <is>
          <t>MQ-035</t>
        </is>
      </c>
      <c r="B43" s="359" t="inlineStr">
        <is>
          <t>ESTRUCTURA</t>
        </is>
      </c>
      <c r="C43" s="360" t="inlineStr">
        <is>
          <t>Acero</t>
        </is>
      </c>
      <c r="D43" s="361" t="inlineStr">
        <is>
          <t>04.02.03</t>
        </is>
      </c>
      <c r="E43" s="362" t="inlineStr">
        <is>
          <t>Acero de refuerzo de losas</t>
        </is>
      </c>
      <c r="F43" s="363" t="n"/>
      <c r="G43" s="363" t="n"/>
      <c r="H43" s="363" t="n"/>
      <c r="I43" s="361" t="inlineStr">
        <is>
          <t>kg</t>
        </is>
      </c>
      <c r="J43" s="1302" t="n">
        <v>0</v>
      </c>
      <c r="K43" s="1302" t="n">
        <v>0</v>
      </c>
      <c r="L43" s="1302" t="n">
        <v>0</v>
      </c>
      <c r="M43" s="1302" t="n">
        <v>0</v>
      </c>
      <c r="N43" s="1302" t="n">
        <v>1</v>
      </c>
      <c r="O43" s="1302" t="n">
        <v>1</v>
      </c>
      <c r="P43" s="1302" t="n">
        <v>1</v>
      </c>
      <c r="Q43" s="1302" t="n">
        <v>0</v>
      </c>
      <c r="R43" s="1303" t="n">
        <v>0</v>
      </c>
      <c r="S43" s="1302">
        <f>IF(I43="","",ROUND(IF(OR(I43="m²",I43="m2"),J43*IF(K43=0,1,K43)*IF(N43=0,1,N43)*IF(O43=0,1,O43)*P43-Q43,IF(OR(I43="m³",I43="m3"),J43*K43*L43*IF(N43=0,1,N43)*IF(O43=0,1,O43)*P43-Q43,IF(OR(I43="ml",I43="ML"),J43*IF(N43=0,1,N43)*IF(O43=0,1,O43)*P43-Q43,IF(OR(I43="und",I43="UND"),IF(N43=0,1,N43)*IF(O43=0,1,O43)*P43-Q43,IF(I43="kg",J43*IF(N43=0,1,N43)*IF(O43=0,1,O43)*P43-Q43,0))))),3))</f>
        <v/>
      </c>
      <c r="T43" s="1302">
        <f>IF(S43="","",ROUND(S43*(1+R43),3))</f>
        <v/>
      </c>
      <c r="U43" s="361" t="inlineStr">
        <is>
          <t>kg</t>
        </is>
      </c>
      <c r="V43" s="363" t="n"/>
      <c r="W43" s="363" t="n"/>
      <c r="X43" s="1304" t="n"/>
      <c r="Y43" s="363" t="inlineStr">
        <is>
          <t>Pendiente</t>
        </is>
      </c>
    </row>
    <row r="44" ht="15" customFormat="1" customHeight="1" s="666">
      <c r="A44" s="358" t="inlineStr">
        <is>
          <t>MQ-036</t>
        </is>
      </c>
      <c r="B44" s="359" t="inlineStr">
        <is>
          <t>ESTRUCTURA</t>
        </is>
      </c>
      <c r="C44" s="360" t="inlineStr">
        <is>
          <t>Formaleta</t>
        </is>
      </c>
      <c r="D44" s="361" t="inlineStr">
        <is>
          <t>04.03.01</t>
        </is>
      </c>
      <c r="E44" s="362" t="inlineStr">
        <is>
          <t>Formaleta de columnas</t>
        </is>
      </c>
      <c r="F44" s="363" t="n"/>
      <c r="G44" s="363" t="n"/>
      <c r="H44" s="363" t="n"/>
      <c r="I44" s="361" t="inlineStr">
        <is>
          <t>m²</t>
        </is>
      </c>
      <c r="J44" s="1302" t="n">
        <v>0</v>
      </c>
      <c r="K44" s="1302" t="n">
        <v>0</v>
      </c>
      <c r="L44" s="1302" t="n">
        <v>0</v>
      </c>
      <c r="M44" s="1302" t="n">
        <v>0</v>
      </c>
      <c r="N44" s="1302" t="n">
        <v>1</v>
      </c>
      <c r="O44" s="1302" t="n">
        <v>1</v>
      </c>
      <c r="P44" s="1302" t="n">
        <v>1</v>
      </c>
      <c r="Q44" s="1302" t="n">
        <v>0</v>
      </c>
      <c r="R44" s="1303" t="n">
        <v>0</v>
      </c>
      <c r="S44" s="1302">
        <f>IF(I44="","",ROUND(IF(OR(I44="m²",I44="m2"),J44*IF(K44=0,1,K44)*IF(N44=0,1,N44)*IF(O44=0,1,O44)*P44-Q44,IF(OR(I44="m³",I44="m3"),J44*K44*L44*IF(N44=0,1,N44)*IF(O44=0,1,O44)*P44-Q44,IF(OR(I44="ml",I44="ML"),J44*IF(N44=0,1,N44)*IF(O44=0,1,O44)*P44-Q44,IF(OR(I44="und",I44="UND"),IF(N44=0,1,N44)*IF(O44=0,1,O44)*P44-Q44,IF(I44="kg",J44*IF(N44=0,1,N44)*IF(O44=0,1,O44)*P44-Q44,0))))),3))</f>
        <v/>
      </c>
      <c r="T44" s="1302">
        <f>IF(S44="","",ROUND(S44*(1+R44),3))</f>
        <v/>
      </c>
      <c r="U44" s="361" t="inlineStr">
        <is>
          <t>m²</t>
        </is>
      </c>
      <c r="V44" s="363" t="n"/>
      <c r="W44" s="363" t="n"/>
      <c r="X44" s="1304" t="n"/>
      <c r="Y44" s="363" t="inlineStr">
        <is>
          <t>Pendiente</t>
        </is>
      </c>
    </row>
    <row r="45" ht="15" customFormat="1" customHeight="1" s="666">
      <c r="A45" s="358" t="inlineStr">
        <is>
          <t>MQ-037</t>
        </is>
      </c>
      <c r="B45" s="359" t="inlineStr">
        <is>
          <t>ESTRUCTURA</t>
        </is>
      </c>
      <c r="C45" s="360" t="inlineStr">
        <is>
          <t>Formaleta</t>
        </is>
      </c>
      <c r="D45" s="361" t="inlineStr">
        <is>
          <t>04.03.02</t>
        </is>
      </c>
      <c r="E45" s="362" t="inlineStr">
        <is>
          <t>Formaleta de vigas</t>
        </is>
      </c>
      <c r="F45" s="363" t="n"/>
      <c r="G45" s="363" t="n"/>
      <c r="H45" s="363" t="n"/>
      <c r="I45" s="361" t="inlineStr">
        <is>
          <t>m²</t>
        </is>
      </c>
      <c r="J45" s="1302" t="n">
        <v>0</v>
      </c>
      <c r="K45" s="1302" t="n">
        <v>0</v>
      </c>
      <c r="L45" s="1302" t="n">
        <v>0</v>
      </c>
      <c r="M45" s="1302" t="n">
        <v>0</v>
      </c>
      <c r="N45" s="1302" t="n">
        <v>1</v>
      </c>
      <c r="O45" s="1302" t="n">
        <v>1</v>
      </c>
      <c r="P45" s="1302" t="n">
        <v>1</v>
      </c>
      <c r="Q45" s="1302" t="n">
        <v>0</v>
      </c>
      <c r="R45" s="1303" t="n">
        <v>0</v>
      </c>
      <c r="S45" s="1302">
        <f>IF(I45="","",ROUND(IF(OR(I45="m²",I45="m2"),J45*IF(K45=0,1,K45)*IF(N45=0,1,N45)*IF(O45=0,1,O45)*P45-Q45,IF(OR(I45="m³",I45="m3"),J45*K45*L45*IF(N45=0,1,N45)*IF(O45=0,1,O45)*P45-Q45,IF(OR(I45="ml",I45="ML"),J45*IF(N45=0,1,N45)*IF(O45=0,1,O45)*P45-Q45,IF(OR(I45="und",I45="UND"),IF(N45=0,1,N45)*IF(O45=0,1,O45)*P45-Q45,IF(I45="kg",J45*IF(N45=0,1,N45)*IF(O45=0,1,O45)*P45-Q45,0))))),3))</f>
        <v/>
      </c>
      <c r="T45" s="1302">
        <f>IF(S45="","",ROUND(S45*(1+R45),3))</f>
        <v/>
      </c>
      <c r="U45" s="361" t="inlineStr">
        <is>
          <t>m²</t>
        </is>
      </c>
      <c r="V45" s="363" t="n"/>
      <c r="W45" s="363" t="n"/>
      <c r="X45" s="1304" t="n"/>
      <c r="Y45" s="363" t="inlineStr">
        <is>
          <t>Pendiente</t>
        </is>
      </c>
    </row>
    <row r="46" ht="15" customFormat="1" customHeight="1" s="666">
      <c r="A46" s="358" t="inlineStr">
        <is>
          <t>MQ-038</t>
        </is>
      </c>
      <c r="B46" s="359" t="inlineStr">
        <is>
          <t>ESTRUCTURA</t>
        </is>
      </c>
      <c r="C46" s="360" t="inlineStr">
        <is>
          <t>Formaleta</t>
        </is>
      </c>
      <c r="D46" s="361" t="inlineStr">
        <is>
          <t>04.03.03</t>
        </is>
      </c>
      <c r="E46" s="362" t="inlineStr">
        <is>
          <t>Formaleta de losas</t>
        </is>
      </c>
      <c r="F46" s="363" t="n"/>
      <c r="G46" s="363" t="n"/>
      <c r="H46" s="363" t="n"/>
      <c r="I46" s="361" t="inlineStr">
        <is>
          <t>m²</t>
        </is>
      </c>
      <c r="J46" s="1302" t="n">
        <v>0</v>
      </c>
      <c r="K46" s="1302" t="n">
        <v>0</v>
      </c>
      <c r="L46" s="1302" t="n">
        <v>0</v>
      </c>
      <c r="M46" s="1302" t="n">
        <v>0</v>
      </c>
      <c r="N46" s="1302" t="n">
        <v>1</v>
      </c>
      <c r="O46" s="1302" t="n">
        <v>1</v>
      </c>
      <c r="P46" s="1302" t="n">
        <v>1</v>
      </c>
      <c r="Q46" s="1302" t="n">
        <v>0</v>
      </c>
      <c r="R46" s="1303" t="n">
        <v>0</v>
      </c>
      <c r="S46" s="1302">
        <f>IF(I46="","",ROUND(IF(OR(I46="m²",I46="m2"),J46*IF(K46=0,1,K46)*IF(N46=0,1,N46)*IF(O46=0,1,O46)*P46-Q46,IF(OR(I46="m³",I46="m3"),J46*K46*L46*IF(N46=0,1,N46)*IF(O46=0,1,O46)*P46-Q46,IF(OR(I46="ml",I46="ML"),J46*IF(N46=0,1,N46)*IF(O46=0,1,O46)*P46-Q46,IF(OR(I46="und",I46="UND"),IF(N46=0,1,N46)*IF(O46=0,1,O46)*P46-Q46,IF(I46="kg",J46*IF(N46=0,1,N46)*IF(O46=0,1,O46)*P46-Q46,0))))),3))</f>
        <v/>
      </c>
      <c r="T46" s="1302">
        <f>IF(S46="","",ROUND(S46*(1+R46),3))</f>
        <v/>
      </c>
      <c r="U46" s="361" t="inlineStr">
        <is>
          <t>m²</t>
        </is>
      </c>
      <c r="V46" s="363" t="n"/>
      <c r="W46" s="363" t="n"/>
      <c r="X46" s="1304" t="n"/>
      <c r="Y46" s="363" t="inlineStr">
        <is>
          <t>Pendiente</t>
        </is>
      </c>
    </row>
    <row r="47" ht="15" customFormat="1" customHeight="1" s="666">
      <c r="A47" s="358" t="inlineStr">
        <is>
          <t>MQ-039</t>
        </is>
      </c>
      <c r="B47" s="359" t="inlineStr">
        <is>
          <t>ESTRUCTURA</t>
        </is>
      </c>
      <c r="C47" s="360" t="inlineStr">
        <is>
          <t>Formaleta</t>
        </is>
      </c>
      <c r="D47" s="361" t="inlineStr">
        <is>
          <t>04.03.04</t>
        </is>
      </c>
      <c r="E47" s="362" t="inlineStr">
        <is>
          <t>Formaleta de escaleras</t>
        </is>
      </c>
      <c r="F47" s="363" t="n"/>
      <c r="G47" s="363" t="n"/>
      <c r="H47" s="363" t="n"/>
      <c r="I47" s="361" t="inlineStr">
        <is>
          <t>m²</t>
        </is>
      </c>
      <c r="J47" s="1302" t="n">
        <v>0</v>
      </c>
      <c r="K47" s="1302" t="n">
        <v>0</v>
      </c>
      <c r="L47" s="1302" t="n">
        <v>0</v>
      </c>
      <c r="M47" s="1302" t="n">
        <v>0</v>
      </c>
      <c r="N47" s="1302" t="n">
        <v>1</v>
      </c>
      <c r="O47" s="1302" t="n">
        <v>1</v>
      </c>
      <c r="P47" s="1302" t="n">
        <v>1</v>
      </c>
      <c r="Q47" s="1302" t="n">
        <v>0</v>
      </c>
      <c r="R47" s="1303" t="n">
        <v>0</v>
      </c>
      <c r="S47" s="1302">
        <f>IF(I47="","",ROUND(IF(OR(I47="m²",I47="m2"),J47*IF(K47=0,1,K47)*IF(N47=0,1,N47)*IF(O47=0,1,O47)*P47-Q47,IF(OR(I47="m³",I47="m3"),J47*K47*L47*IF(N47=0,1,N47)*IF(O47=0,1,O47)*P47-Q47,IF(OR(I47="ml",I47="ML"),J47*IF(N47=0,1,N47)*IF(O47=0,1,O47)*P47-Q47,IF(OR(I47="und",I47="UND"),IF(N47=0,1,N47)*IF(O47=0,1,O47)*P47-Q47,IF(I47="kg",J47*IF(N47=0,1,N47)*IF(O47=0,1,O47)*P47-Q47,0))))),3))</f>
        <v/>
      </c>
      <c r="T47" s="1302">
        <f>IF(S47="","",ROUND(S47*(1+R47),3))</f>
        <v/>
      </c>
      <c r="U47" s="361" t="inlineStr">
        <is>
          <t>m²</t>
        </is>
      </c>
      <c r="V47" s="363" t="n"/>
      <c r="W47" s="363" t="n"/>
      <c r="X47" s="1304" t="n"/>
      <c r="Y47" s="363" t="inlineStr">
        <is>
          <t>Pendiente</t>
        </is>
      </c>
    </row>
    <row r="48" ht="15" customFormat="1" customHeight="1" s="666">
      <c r="A48" s="358" t="inlineStr">
        <is>
          <t>MQ-040</t>
        </is>
      </c>
      <c r="B48" s="359" t="inlineStr">
        <is>
          <t>ESTRUCTURA</t>
        </is>
      </c>
      <c r="C48" s="360" t="inlineStr">
        <is>
          <t>Estructura metálica</t>
        </is>
      </c>
      <c r="D48" s="361" t="inlineStr">
        <is>
          <t>04.04.01</t>
        </is>
      </c>
      <c r="E48" s="362" t="inlineStr">
        <is>
          <t>Suministro y montaje de perfiles metálicos</t>
        </is>
      </c>
      <c r="F48" s="363" t="n"/>
      <c r="G48" s="363" t="n"/>
      <c r="H48" s="363" t="n"/>
      <c r="I48" s="361" t="inlineStr">
        <is>
          <t>kg</t>
        </is>
      </c>
      <c r="J48" s="1302" t="n">
        <v>0</v>
      </c>
      <c r="K48" s="1302" t="n">
        <v>0</v>
      </c>
      <c r="L48" s="1302" t="n">
        <v>0</v>
      </c>
      <c r="M48" s="1302" t="n">
        <v>0</v>
      </c>
      <c r="N48" s="1302" t="n">
        <v>1</v>
      </c>
      <c r="O48" s="1302" t="n">
        <v>1</v>
      </c>
      <c r="P48" s="1302" t="n">
        <v>1</v>
      </c>
      <c r="Q48" s="1302" t="n">
        <v>0</v>
      </c>
      <c r="R48" s="1303" t="n">
        <v>0</v>
      </c>
      <c r="S48" s="1302">
        <f>IF(I48="","",ROUND(IF(OR(I48="m²",I48="m2"),J48*IF(K48=0,1,K48)*IF(N48=0,1,N48)*IF(O48=0,1,O48)*P48-Q48,IF(OR(I48="m³",I48="m3"),J48*K48*L48*IF(N48=0,1,N48)*IF(O48=0,1,O48)*P48-Q48,IF(OR(I48="ml",I48="ML"),J48*IF(N48=0,1,N48)*IF(O48=0,1,O48)*P48-Q48,IF(OR(I48="und",I48="UND"),IF(N48=0,1,N48)*IF(O48=0,1,O48)*P48-Q48,IF(I48="kg",J48*IF(N48=0,1,N48)*IF(O48=0,1,O48)*P48-Q48,0))))),3))</f>
        <v/>
      </c>
      <c r="T48" s="1302">
        <f>IF(S48="","",ROUND(S48*(1+R48),3))</f>
        <v/>
      </c>
      <c r="U48" s="361" t="inlineStr">
        <is>
          <t>kg</t>
        </is>
      </c>
      <c r="V48" s="363" t="n"/>
      <c r="W48" s="363" t="n"/>
      <c r="X48" s="1304" t="n"/>
      <c r="Y48" s="363" t="inlineStr">
        <is>
          <t>Pendiente</t>
        </is>
      </c>
    </row>
    <row r="49" ht="15" customFormat="1" customHeight="1" s="666">
      <c r="A49" s="358" t="inlineStr">
        <is>
          <t>MQ-041</t>
        </is>
      </c>
      <c r="B49" s="359" t="inlineStr">
        <is>
          <t>ESTRUCTURA</t>
        </is>
      </c>
      <c r="C49" s="360" t="inlineStr">
        <is>
          <t>Estructura metálica</t>
        </is>
      </c>
      <c r="D49" s="361" t="inlineStr">
        <is>
          <t>04.04.02</t>
        </is>
      </c>
      <c r="E49" s="362" t="inlineStr">
        <is>
          <t>Placas, pernos y conexiones metálicas</t>
        </is>
      </c>
      <c r="F49" s="363" t="n"/>
      <c r="G49" s="363" t="n"/>
      <c r="H49" s="363" t="n"/>
      <c r="I49" s="361" t="inlineStr">
        <is>
          <t>kg</t>
        </is>
      </c>
      <c r="J49" s="1302" t="n">
        <v>0</v>
      </c>
      <c r="K49" s="1302" t="n">
        <v>0</v>
      </c>
      <c r="L49" s="1302" t="n">
        <v>0</v>
      </c>
      <c r="M49" s="1302" t="n">
        <v>0</v>
      </c>
      <c r="N49" s="1302" t="n">
        <v>1</v>
      </c>
      <c r="O49" s="1302" t="n">
        <v>1</v>
      </c>
      <c r="P49" s="1302" t="n">
        <v>1</v>
      </c>
      <c r="Q49" s="1302" t="n">
        <v>0</v>
      </c>
      <c r="R49" s="1303" t="n">
        <v>0</v>
      </c>
      <c r="S49" s="1302">
        <f>IF(I49="","",ROUND(IF(OR(I49="m²",I49="m2"),J49*IF(K49=0,1,K49)*IF(N49=0,1,N49)*IF(O49=0,1,O49)*P49-Q49,IF(OR(I49="m³",I49="m3"),J49*K49*L49*IF(N49=0,1,N49)*IF(O49=0,1,O49)*P49-Q49,IF(OR(I49="ml",I49="ML"),J49*IF(N49=0,1,N49)*IF(O49=0,1,O49)*P49-Q49,IF(OR(I49="und",I49="UND"),IF(N49=0,1,N49)*IF(O49=0,1,O49)*P49-Q49,IF(I49="kg",J49*IF(N49=0,1,N49)*IF(O49=0,1,O49)*P49-Q49,0))))),3))</f>
        <v/>
      </c>
      <c r="T49" s="1302">
        <f>IF(S49="","",ROUND(S49*(1+R49),3))</f>
        <v/>
      </c>
      <c r="U49" s="361" t="inlineStr">
        <is>
          <t>kg</t>
        </is>
      </c>
      <c r="V49" s="363" t="n"/>
      <c r="W49" s="363" t="n"/>
      <c r="X49" s="1304" t="n"/>
      <c r="Y49" s="363" t="inlineStr">
        <is>
          <t>Pendiente</t>
        </is>
      </c>
    </row>
    <row r="50" ht="15" customFormat="1" customHeight="1" s="666">
      <c r="A50" s="358" t="inlineStr">
        <is>
          <t>MQ-042</t>
        </is>
      </c>
      <c r="B50" s="359" t="inlineStr">
        <is>
          <t>MAMPOSTERÍA</t>
        </is>
      </c>
      <c r="C50" s="360" t="inlineStr">
        <is>
          <t>Muros</t>
        </is>
      </c>
      <c r="D50" s="361" t="inlineStr">
        <is>
          <t>05.01.01</t>
        </is>
      </c>
      <c r="E50" s="362" t="inlineStr">
        <is>
          <t>Mampostería en bloque de concreto</t>
        </is>
      </c>
      <c r="F50" s="363" t="n"/>
      <c r="G50" s="363" t="n"/>
      <c r="H50" s="363" t="n"/>
      <c r="I50" s="361" t="inlineStr">
        <is>
          <t>m²</t>
        </is>
      </c>
      <c r="J50" s="1302" t="n">
        <v>0</v>
      </c>
      <c r="K50" s="1302" t="n">
        <v>0</v>
      </c>
      <c r="L50" s="1302" t="n">
        <v>0</v>
      </c>
      <c r="M50" s="1302" t="n">
        <v>0</v>
      </c>
      <c r="N50" s="1302" t="n">
        <v>1</v>
      </c>
      <c r="O50" s="1302" t="n">
        <v>1</v>
      </c>
      <c r="P50" s="1302" t="n">
        <v>1</v>
      </c>
      <c r="Q50" s="1302" t="n">
        <v>0</v>
      </c>
      <c r="R50" s="1303" t="n">
        <v>0</v>
      </c>
      <c r="S50" s="1302">
        <f>IF(I50="","",ROUND(IF(OR(I50="m²",I50="m2"),J50*IF(K50=0,1,K50)*IF(N50=0,1,N50)*IF(O50=0,1,O50)*P50-Q50,IF(OR(I50="m³",I50="m3"),J50*K50*L50*IF(N50=0,1,N50)*IF(O50=0,1,O50)*P50-Q50,IF(OR(I50="ml",I50="ML"),J50*IF(N50=0,1,N50)*IF(O50=0,1,O50)*P50-Q50,IF(OR(I50="und",I50="UND"),IF(N50=0,1,N50)*IF(O50=0,1,O50)*P50-Q50,IF(I50="kg",J50*IF(N50=0,1,N50)*IF(O50=0,1,O50)*P50-Q50,0))))),3))</f>
        <v/>
      </c>
      <c r="T50" s="1302">
        <f>IF(S50="","",ROUND(S50*(1+R50),3))</f>
        <v/>
      </c>
      <c r="U50" s="361" t="inlineStr">
        <is>
          <t>m²</t>
        </is>
      </c>
      <c r="V50" s="363" t="n"/>
      <c r="W50" s="363" t="n"/>
      <c r="X50" s="1304" t="n"/>
      <c r="Y50" s="363" t="inlineStr">
        <is>
          <t>Pendiente</t>
        </is>
      </c>
    </row>
    <row r="51" ht="15" customFormat="1" customHeight="1" s="666">
      <c r="A51" s="358" t="inlineStr">
        <is>
          <t>MQ-043</t>
        </is>
      </c>
      <c r="B51" s="359" t="inlineStr">
        <is>
          <t>MAMPOSTERÍA</t>
        </is>
      </c>
      <c r="C51" s="360" t="inlineStr">
        <is>
          <t>Muros</t>
        </is>
      </c>
      <c r="D51" s="361" t="inlineStr">
        <is>
          <t>05.01.02</t>
        </is>
      </c>
      <c r="E51" s="362" t="inlineStr">
        <is>
          <t>Mampostería en ladrillo</t>
        </is>
      </c>
      <c r="F51" s="363" t="n"/>
      <c r="G51" s="363" t="n"/>
      <c r="H51" s="363" t="n"/>
      <c r="I51" s="361" t="inlineStr">
        <is>
          <t>m²</t>
        </is>
      </c>
      <c r="J51" s="1302" t="n">
        <v>0</v>
      </c>
      <c r="K51" s="1302" t="n">
        <v>0</v>
      </c>
      <c r="L51" s="1302" t="n">
        <v>0</v>
      </c>
      <c r="M51" s="1302" t="n">
        <v>0</v>
      </c>
      <c r="N51" s="1302" t="n">
        <v>1</v>
      </c>
      <c r="O51" s="1302" t="n">
        <v>1</v>
      </c>
      <c r="P51" s="1302" t="n">
        <v>1</v>
      </c>
      <c r="Q51" s="1302" t="n">
        <v>0</v>
      </c>
      <c r="R51" s="1303" t="n">
        <v>0</v>
      </c>
      <c r="S51" s="1302">
        <f>IF(I51="","",ROUND(IF(OR(I51="m²",I51="m2"),J51*IF(K51=0,1,K51)*IF(N51=0,1,N51)*IF(O51=0,1,O51)*P51-Q51,IF(OR(I51="m³",I51="m3"),J51*K51*L51*IF(N51=0,1,N51)*IF(O51=0,1,O51)*P51-Q51,IF(OR(I51="ml",I51="ML"),J51*IF(N51=0,1,N51)*IF(O51=0,1,O51)*P51-Q51,IF(OR(I51="und",I51="UND"),IF(N51=0,1,N51)*IF(O51=0,1,O51)*P51-Q51,IF(I51="kg",J51*IF(N51=0,1,N51)*IF(O51=0,1,O51)*P51-Q51,0))))),3))</f>
        <v/>
      </c>
      <c r="T51" s="1302">
        <f>IF(S51="","",ROUND(S51*(1+R51),3))</f>
        <v/>
      </c>
      <c r="U51" s="361" t="inlineStr">
        <is>
          <t>m²</t>
        </is>
      </c>
      <c r="V51" s="363" t="n"/>
      <c r="W51" s="363" t="n"/>
      <c r="X51" s="1304" t="n"/>
      <c r="Y51" s="363" t="inlineStr">
        <is>
          <t>Pendiente</t>
        </is>
      </c>
    </row>
    <row r="52" ht="15" customFormat="1" customHeight="1" s="666">
      <c r="A52" s="358" t="inlineStr">
        <is>
          <t>MQ-044</t>
        </is>
      </c>
      <c r="B52" s="359" t="inlineStr">
        <is>
          <t>MAMPOSTERÍA</t>
        </is>
      </c>
      <c r="C52" s="360" t="inlineStr">
        <is>
          <t>Muros</t>
        </is>
      </c>
      <c r="D52" s="361" t="inlineStr">
        <is>
          <t>05.01.03</t>
        </is>
      </c>
      <c r="E52" s="362" t="inlineStr">
        <is>
          <t>Mampostería estructural</t>
        </is>
      </c>
      <c r="F52" s="363" t="n"/>
      <c r="G52" s="363" t="n"/>
      <c r="H52" s="363" t="n"/>
      <c r="I52" s="361" t="inlineStr">
        <is>
          <t>m²</t>
        </is>
      </c>
      <c r="J52" s="1302" t="n">
        <v>0</v>
      </c>
      <c r="K52" s="1302" t="n">
        <v>0</v>
      </c>
      <c r="L52" s="1302" t="n">
        <v>0</v>
      </c>
      <c r="M52" s="1302" t="n">
        <v>0</v>
      </c>
      <c r="N52" s="1302" t="n">
        <v>1</v>
      </c>
      <c r="O52" s="1302" t="n">
        <v>1</v>
      </c>
      <c r="P52" s="1302" t="n">
        <v>1</v>
      </c>
      <c r="Q52" s="1302" t="n">
        <v>0</v>
      </c>
      <c r="R52" s="1303" t="n">
        <v>0</v>
      </c>
      <c r="S52" s="1302">
        <f>IF(I52="","",ROUND(IF(OR(I52="m²",I52="m2"),J52*IF(K52=0,1,K52)*IF(N52=0,1,N52)*IF(O52=0,1,O52)*P52-Q52,IF(OR(I52="m³",I52="m3"),J52*K52*L52*IF(N52=0,1,N52)*IF(O52=0,1,O52)*P52-Q52,IF(OR(I52="ml",I52="ML"),J52*IF(N52=0,1,N52)*IF(O52=0,1,O52)*P52-Q52,IF(OR(I52="und",I52="UND"),IF(N52=0,1,N52)*IF(O52=0,1,O52)*P52-Q52,IF(I52="kg",J52*IF(N52=0,1,N52)*IF(O52=0,1,O52)*P52-Q52,0))))),3))</f>
        <v/>
      </c>
      <c r="T52" s="1302">
        <f>IF(S52="","",ROUND(S52*(1+R52),3))</f>
        <v/>
      </c>
      <c r="U52" s="361" t="inlineStr">
        <is>
          <t>m²</t>
        </is>
      </c>
      <c r="V52" s="363" t="n"/>
      <c r="W52" s="363" t="n"/>
      <c r="X52" s="1304" t="n"/>
      <c r="Y52" s="363" t="inlineStr">
        <is>
          <t>Pendiente</t>
        </is>
      </c>
    </row>
    <row r="53" ht="15" customFormat="1" customHeight="1" s="666">
      <c r="A53" s="358" t="inlineStr">
        <is>
          <t>MQ-045</t>
        </is>
      </c>
      <c r="B53" s="359" t="inlineStr">
        <is>
          <t>MAMPOSTERÍA</t>
        </is>
      </c>
      <c r="C53" s="360" t="inlineStr">
        <is>
          <t>Muros</t>
        </is>
      </c>
      <c r="D53" s="361" t="inlineStr">
        <is>
          <t>05.01.04</t>
        </is>
      </c>
      <c r="E53" s="362" t="inlineStr">
        <is>
          <t>Muros en sistema liviano / drywall</t>
        </is>
      </c>
      <c r="F53" s="363" t="n"/>
      <c r="G53" s="363" t="n"/>
      <c r="H53" s="363" t="n"/>
      <c r="I53" s="361" t="inlineStr">
        <is>
          <t>m²</t>
        </is>
      </c>
      <c r="J53" s="1302" t="n">
        <v>0</v>
      </c>
      <c r="K53" s="1302" t="n">
        <v>0</v>
      </c>
      <c r="L53" s="1302" t="n">
        <v>0</v>
      </c>
      <c r="M53" s="1302" t="n">
        <v>0</v>
      </c>
      <c r="N53" s="1302" t="n">
        <v>1</v>
      </c>
      <c r="O53" s="1302" t="n">
        <v>1</v>
      </c>
      <c r="P53" s="1302" t="n">
        <v>1</v>
      </c>
      <c r="Q53" s="1302" t="n">
        <v>0</v>
      </c>
      <c r="R53" s="1303" t="n">
        <v>0</v>
      </c>
      <c r="S53" s="1302">
        <f>IF(I53="","",ROUND(IF(OR(I53="m²",I53="m2"),J53*IF(K53=0,1,K53)*IF(N53=0,1,N53)*IF(O53=0,1,O53)*P53-Q53,IF(OR(I53="m³",I53="m3"),J53*K53*L53*IF(N53=0,1,N53)*IF(O53=0,1,O53)*P53-Q53,IF(OR(I53="ml",I53="ML"),J53*IF(N53=0,1,N53)*IF(O53=0,1,O53)*P53-Q53,IF(OR(I53="und",I53="UND"),IF(N53=0,1,N53)*IF(O53=0,1,O53)*P53-Q53,IF(I53="kg",J53*IF(N53=0,1,N53)*IF(O53=0,1,O53)*P53-Q53,0))))),3))</f>
        <v/>
      </c>
      <c r="T53" s="1302">
        <f>IF(S53="","",ROUND(S53*(1+R53),3))</f>
        <v/>
      </c>
      <c r="U53" s="361" t="inlineStr">
        <is>
          <t>m²</t>
        </is>
      </c>
      <c r="V53" s="363" t="n"/>
      <c r="W53" s="363" t="n"/>
      <c r="X53" s="1304" t="n"/>
      <c r="Y53" s="363" t="inlineStr">
        <is>
          <t>Pendiente</t>
        </is>
      </c>
    </row>
    <row r="54" ht="15" customFormat="1" customHeight="1" s="666">
      <c r="A54" s="358" t="inlineStr">
        <is>
          <t>MQ-046</t>
        </is>
      </c>
      <c r="B54" s="359" t="inlineStr">
        <is>
          <t>MAMPOSTERÍA</t>
        </is>
      </c>
      <c r="C54" s="360" t="inlineStr">
        <is>
          <t>Complementarios</t>
        </is>
      </c>
      <c r="D54" s="361" t="inlineStr">
        <is>
          <t>05.02.01</t>
        </is>
      </c>
      <c r="E54" s="362" t="inlineStr">
        <is>
          <t>Dinteles sobre vanos</t>
        </is>
      </c>
      <c r="F54" s="363" t="n"/>
      <c r="G54" s="363" t="n"/>
      <c r="H54" s="363" t="n"/>
      <c r="I54" s="361" t="inlineStr">
        <is>
          <t>ml</t>
        </is>
      </c>
      <c r="J54" s="1302" t="n">
        <v>0</v>
      </c>
      <c r="K54" s="1302" t="n">
        <v>0</v>
      </c>
      <c r="L54" s="1302" t="n">
        <v>0</v>
      </c>
      <c r="M54" s="1302" t="n">
        <v>0</v>
      </c>
      <c r="N54" s="1302" t="n">
        <v>1</v>
      </c>
      <c r="O54" s="1302" t="n">
        <v>1</v>
      </c>
      <c r="P54" s="1302" t="n">
        <v>1</v>
      </c>
      <c r="Q54" s="1302" t="n">
        <v>0</v>
      </c>
      <c r="R54" s="1303" t="n">
        <v>0</v>
      </c>
      <c r="S54" s="1302">
        <f>IF(I54="","",ROUND(IF(OR(I54="m²",I54="m2"),J54*IF(K54=0,1,K54)*IF(N54=0,1,N54)*IF(O54=0,1,O54)*P54-Q54,IF(OR(I54="m³",I54="m3"),J54*K54*L54*IF(N54=0,1,N54)*IF(O54=0,1,O54)*P54-Q54,IF(OR(I54="ml",I54="ML"),J54*IF(N54=0,1,N54)*IF(O54=0,1,O54)*P54-Q54,IF(OR(I54="und",I54="UND"),IF(N54=0,1,N54)*IF(O54=0,1,O54)*P54-Q54,IF(I54="kg",J54*IF(N54=0,1,N54)*IF(O54=0,1,O54)*P54-Q54,0))))),3))</f>
        <v/>
      </c>
      <c r="T54" s="1302">
        <f>IF(S54="","",ROUND(S54*(1+R54),3))</f>
        <v/>
      </c>
      <c r="U54" s="361" t="inlineStr">
        <is>
          <t>ml</t>
        </is>
      </c>
      <c r="V54" s="363" t="n"/>
      <c r="W54" s="363" t="n"/>
      <c r="X54" s="1304" t="n"/>
      <c r="Y54" s="363" t="inlineStr">
        <is>
          <t>Pendiente</t>
        </is>
      </c>
    </row>
    <row r="55" ht="15" customFormat="1" customHeight="1" s="666">
      <c r="A55" s="358" t="inlineStr">
        <is>
          <t>MQ-047</t>
        </is>
      </c>
      <c r="B55" s="359" t="inlineStr">
        <is>
          <t>MAMPOSTERÍA</t>
        </is>
      </c>
      <c r="C55" s="360" t="inlineStr">
        <is>
          <t>Complementarios</t>
        </is>
      </c>
      <c r="D55" s="361" t="inlineStr">
        <is>
          <t>05.02.02</t>
        </is>
      </c>
      <c r="E55" s="362" t="inlineStr">
        <is>
          <t>Alfajías y remates</t>
        </is>
      </c>
      <c r="F55" s="363" t="n"/>
      <c r="G55" s="363" t="n"/>
      <c r="H55" s="363" t="n"/>
      <c r="I55" s="361" t="inlineStr">
        <is>
          <t>ml</t>
        </is>
      </c>
      <c r="J55" s="1302" t="n">
        <v>0</v>
      </c>
      <c r="K55" s="1302" t="n">
        <v>0</v>
      </c>
      <c r="L55" s="1302" t="n">
        <v>0</v>
      </c>
      <c r="M55" s="1302" t="n">
        <v>0</v>
      </c>
      <c r="N55" s="1302" t="n">
        <v>1</v>
      </c>
      <c r="O55" s="1302" t="n">
        <v>1</v>
      </c>
      <c r="P55" s="1302" t="n">
        <v>1</v>
      </c>
      <c r="Q55" s="1302" t="n">
        <v>0</v>
      </c>
      <c r="R55" s="1303" t="n">
        <v>0</v>
      </c>
      <c r="S55" s="1302">
        <f>IF(I55="","",ROUND(IF(OR(I55="m²",I55="m2"),J55*IF(K55=0,1,K55)*IF(N55=0,1,N55)*IF(O55=0,1,O55)*P55-Q55,IF(OR(I55="m³",I55="m3"),J55*K55*L55*IF(N55=0,1,N55)*IF(O55=0,1,O55)*P55-Q55,IF(OR(I55="ml",I55="ML"),J55*IF(N55=0,1,N55)*IF(O55=0,1,O55)*P55-Q55,IF(OR(I55="und",I55="UND"),IF(N55=0,1,N55)*IF(O55=0,1,O55)*P55-Q55,IF(I55="kg",J55*IF(N55=0,1,N55)*IF(O55=0,1,O55)*P55-Q55,0))))),3))</f>
        <v/>
      </c>
      <c r="T55" s="1302">
        <f>IF(S55="","",ROUND(S55*(1+R55),3))</f>
        <v/>
      </c>
      <c r="U55" s="361" t="inlineStr">
        <is>
          <t>ml</t>
        </is>
      </c>
      <c r="V55" s="363" t="n"/>
      <c r="W55" s="363" t="n"/>
      <c r="X55" s="1304" t="n"/>
      <c r="Y55" s="363" t="inlineStr">
        <is>
          <t>Pendiente</t>
        </is>
      </c>
    </row>
    <row r="56" ht="15" customFormat="1" customHeight="1" s="666">
      <c r="A56" s="358" t="inlineStr">
        <is>
          <t>MQ-048</t>
        </is>
      </c>
      <c r="B56" s="359" t="inlineStr">
        <is>
          <t>MAMPOSTERÍA</t>
        </is>
      </c>
      <c r="C56" s="360" t="inlineStr">
        <is>
          <t>Complementarios</t>
        </is>
      </c>
      <c r="D56" s="361" t="inlineStr">
        <is>
          <t>05.02.03</t>
        </is>
      </c>
      <c r="E56" s="362" t="inlineStr">
        <is>
          <t>Anclajes y refuerzos de mampostería</t>
        </is>
      </c>
      <c r="F56" s="363" t="n"/>
      <c r="G56" s="363" t="n"/>
      <c r="H56" s="363" t="n"/>
      <c r="I56" s="361" t="inlineStr">
        <is>
          <t>und</t>
        </is>
      </c>
      <c r="J56" s="1302" t="n">
        <v>0</v>
      </c>
      <c r="K56" s="1302" t="n">
        <v>0</v>
      </c>
      <c r="L56" s="1302" t="n">
        <v>0</v>
      </c>
      <c r="M56" s="1302" t="n">
        <v>0</v>
      </c>
      <c r="N56" s="1302" t="n">
        <v>1</v>
      </c>
      <c r="O56" s="1302" t="n">
        <v>1</v>
      </c>
      <c r="P56" s="1302" t="n">
        <v>1</v>
      </c>
      <c r="Q56" s="1302" t="n">
        <v>0</v>
      </c>
      <c r="R56" s="1303" t="n">
        <v>0</v>
      </c>
      <c r="S56" s="1302">
        <f>IF(I56="","",ROUND(IF(OR(I56="m²",I56="m2"),J56*IF(K56=0,1,K56)*IF(N56=0,1,N56)*IF(O56=0,1,O56)*P56-Q56,IF(OR(I56="m³",I56="m3"),J56*K56*L56*IF(N56=0,1,N56)*IF(O56=0,1,O56)*P56-Q56,IF(OR(I56="ml",I56="ML"),J56*IF(N56=0,1,N56)*IF(O56=0,1,O56)*P56-Q56,IF(OR(I56="und",I56="UND"),IF(N56=0,1,N56)*IF(O56=0,1,O56)*P56-Q56,IF(I56="kg",J56*IF(N56=0,1,N56)*IF(O56=0,1,O56)*P56-Q56,0))))),3))</f>
        <v/>
      </c>
      <c r="T56" s="1302">
        <f>IF(S56="","",ROUND(S56*(1+R56),3))</f>
        <v/>
      </c>
      <c r="U56" s="361" t="inlineStr">
        <is>
          <t>und</t>
        </is>
      </c>
      <c r="V56" s="363" t="n"/>
      <c r="W56" s="363" t="n"/>
      <c r="X56" s="1304" t="n"/>
      <c r="Y56" s="363" t="inlineStr">
        <is>
          <t>Pendiente</t>
        </is>
      </c>
    </row>
    <row r="57" ht="15" customFormat="1" customHeight="1" s="666">
      <c r="A57" s="358" t="inlineStr">
        <is>
          <t>MQ-049</t>
        </is>
      </c>
      <c r="B57" s="359" t="inlineStr">
        <is>
          <t>CUBIERTAS</t>
        </is>
      </c>
      <c r="C57" s="360" t="inlineStr">
        <is>
          <t>Estructura</t>
        </is>
      </c>
      <c r="D57" s="361" t="inlineStr">
        <is>
          <t>06.01.01</t>
        </is>
      </c>
      <c r="E57" s="362" t="inlineStr">
        <is>
          <t>Estructura metálica o de madera para cubierta</t>
        </is>
      </c>
      <c r="F57" s="363" t="n"/>
      <c r="G57" s="363" t="n"/>
      <c r="H57" s="363" t="n"/>
      <c r="I57" s="361" t="inlineStr">
        <is>
          <t>kg</t>
        </is>
      </c>
      <c r="J57" s="1302" t="n">
        <v>0</v>
      </c>
      <c r="K57" s="1302" t="n">
        <v>0</v>
      </c>
      <c r="L57" s="1302" t="n">
        <v>0</v>
      </c>
      <c r="M57" s="1302" t="n">
        <v>0</v>
      </c>
      <c r="N57" s="1302" t="n">
        <v>1</v>
      </c>
      <c r="O57" s="1302" t="n">
        <v>1</v>
      </c>
      <c r="P57" s="1302" t="n">
        <v>1</v>
      </c>
      <c r="Q57" s="1302" t="n">
        <v>0</v>
      </c>
      <c r="R57" s="1303" t="n">
        <v>0</v>
      </c>
      <c r="S57" s="1302">
        <f>IF(I57="","",ROUND(IF(OR(I57="m²",I57="m2"),J57*IF(K57=0,1,K57)*IF(N57=0,1,N57)*IF(O57=0,1,O57)*P57-Q57,IF(OR(I57="m³",I57="m3"),J57*K57*L57*IF(N57=0,1,N57)*IF(O57=0,1,O57)*P57-Q57,IF(OR(I57="ml",I57="ML"),J57*IF(N57=0,1,N57)*IF(O57=0,1,O57)*P57-Q57,IF(OR(I57="und",I57="UND"),IF(N57=0,1,N57)*IF(O57=0,1,O57)*P57-Q57,IF(I57="kg",J57*IF(N57=0,1,N57)*IF(O57=0,1,O57)*P57-Q57,0))))),3))</f>
        <v/>
      </c>
      <c r="T57" s="1302">
        <f>IF(S57="","",ROUND(S57*(1+R57),3))</f>
        <v/>
      </c>
      <c r="U57" s="361" t="inlineStr">
        <is>
          <t>kg</t>
        </is>
      </c>
      <c r="V57" s="363" t="n"/>
      <c r="W57" s="363" t="n"/>
      <c r="X57" s="1304" t="n"/>
      <c r="Y57" s="363" t="inlineStr">
        <is>
          <t>Pendiente</t>
        </is>
      </c>
    </row>
    <row r="58" ht="15" customFormat="1" customHeight="1" s="666">
      <c r="A58" s="358" t="inlineStr">
        <is>
          <t>MQ-050</t>
        </is>
      </c>
      <c r="B58" s="359" t="inlineStr">
        <is>
          <t>CUBIERTAS</t>
        </is>
      </c>
      <c r="C58" s="360" t="inlineStr">
        <is>
          <t>Estructura</t>
        </is>
      </c>
      <c r="D58" s="361" t="inlineStr">
        <is>
          <t>06.01.02</t>
        </is>
      </c>
      <c r="E58" s="362" t="inlineStr">
        <is>
          <t>Cerchas y elementos estructurales</t>
        </is>
      </c>
      <c r="F58" s="363" t="n"/>
      <c r="G58" s="363" t="n"/>
      <c r="H58" s="363" t="n"/>
      <c r="I58" s="361" t="inlineStr">
        <is>
          <t>kg</t>
        </is>
      </c>
      <c r="J58" s="1302" t="n">
        <v>0</v>
      </c>
      <c r="K58" s="1302" t="n">
        <v>0</v>
      </c>
      <c r="L58" s="1302" t="n">
        <v>0</v>
      </c>
      <c r="M58" s="1302" t="n">
        <v>0</v>
      </c>
      <c r="N58" s="1302" t="n">
        <v>1</v>
      </c>
      <c r="O58" s="1302" t="n">
        <v>1</v>
      </c>
      <c r="P58" s="1302" t="n">
        <v>1</v>
      </c>
      <c r="Q58" s="1302" t="n">
        <v>0</v>
      </c>
      <c r="R58" s="1303" t="n">
        <v>0</v>
      </c>
      <c r="S58" s="1302">
        <f>IF(I58="","",ROUND(IF(OR(I58="m²",I58="m2"),J58*IF(K58=0,1,K58)*IF(N58=0,1,N58)*IF(O58=0,1,O58)*P58-Q58,IF(OR(I58="m³",I58="m3"),J58*K58*L58*IF(N58=0,1,N58)*IF(O58=0,1,O58)*P58-Q58,IF(OR(I58="ml",I58="ML"),J58*IF(N58=0,1,N58)*IF(O58=0,1,O58)*P58-Q58,IF(OR(I58="und",I58="UND"),IF(N58=0,1,N58)*IF(O58=0,1,O58)*P58-Q58,IF(I58="kg",J58*IF(N58=0,1,N58)*IF(O58=0,1,O58)*P58-Q58,0))))),3))</f>
        <v/>
      </c>
      <c r="T58" s="1302">
        <f>IF(S58="","",ROUND(S58*(1+R58),3))</f>
        <v/>
      </c>
      <c r="U58" s="361" t="inlineStr">
        <is>
          <t>kg</t>
        </is>
      </c>
      <c r="V58" s="363" t="n"/>
      <c r="W58" s="363" t="n"/>
      <c r="X58" s="1304" t="n"/>
      <c r="Y58" s="363" t="inlineStr">
        <is>
          <t>Pendiente</t>
        </is>
      </c>
    </row>
    <row r="59" ht="15" customFormat="1" customHeight="1" s="666">
      <c r="A59" s="358" t="inlineStr">
        <is>
          <t>MQ-051</t>
        </is>
      </c>
      <c r="B59" s="359" t="inlineStr">
        <is>
          <t>CUBIERTAS</t>
        </is>
      </c>
      <c r="C59" s="360" t="inlineStr">
        <is>
          <t>Cubierta</t>
        </is>
      </c>
      <c r="D59" s="361" t="inlineStr">
        <is>
          <t>06.02.01</t>
        </is>
      </c>
      <c r="E59" s="362" t="inlineStr">
        <is>
          <t>Suministro e instalación de teja</t>
        </is>
      </c>
      <c r="F59" s="363" t="n"/>
      <c r="G59" s="363" t="n"/>
      <c r="H59" s="363" t="n"/>
      <c r="I59" s="361" t="inlineStr">
        <is>
          <t>m²</t>
        </is>
      </c>
      <c r="J59" s="1302" t="n">
        <v>0</v>
      </c>
      <c r="K59" s="1302" t="n">
        <v>0</v>
      </c>
      <c r="L59" s="1302" t="n">
        <v>0</v>
      </c>
      <c r="M59" s="1302" t="n">
        <v>0</v>
      </c>
      <c r="N59" s="1302" t="n">
        <v>1</v>
      </c>
      <c r="O59" s="1302" t="n">
        <v>1</v>
      </c>
      <c r="P59" s="1302" t="n">
        <v>1</v>
      </c>
      <c r="Q59" s="1302" t="n">
        <v>0</v>
      </c>
      <c r="R59" s="1303" t="n">
        <v>0</v>
      </c>
      <c r="S59" s="1302">
        <f>IF(I59="","",ROUND(IF(OR(I59="m²",I59="m2"),J59*IF(K59=0,1,K59)*IF(N59=0,1,N59)*IF(O59=0,1,O59)*P59-Q59,IF(OR(I59="m³",I59="m3"),J59*K59*L59*IF(N59=0,1,N59)*IF(O59=0,1,O59)*P59-Q59,IF(OR(I59="ml",I59="ML"),J59*IF(N59=0,1,N59)*IF(O59=0,1,O59)*P59-Q59,IF(OR(I59="und",I59="UND"),IF(N59=0,1,N59)*IF(O59=0,1,O59)*P59-Q59,IF(I59="kg",J59*IF(N59=0,1,N59)*IF(O59=0,1,O59)*P59-Q59,0))))),3))</f>
        <v/>
      </c>
      <c r="T59" s="1302">
        <f>IF(S59="","",ROUND(S59*(1+R59),3))</f>
        <v/>
      </c>
      <c r="U59" s="361" t="inlineStr">
        <is>
          <t>m²</t>
        </is>
      </c>
      <c r="V59" s="363" t="n"/>
      <c r="W59" s="363" t="n"/>
      <c r="X59" s="1304" t="n"/>
      <c r="Y59" s="363" t="inlineStr">
        <is>
          <t>Pendiente</t>
        </is>
      </c>
    </row>
    <row r="60" ht="15" customFormat="1" customHeight="1" s="666">
      <c r="A60" s="358" t="inlineStr">
        <is>
          <t>MQ-052</t>
        </is>
      </c>
      <c r="B60" s="359" t="inlineStr">
        <is>
          <t>CUBIERTAS</t>
        </is>
      </c>
      <c r="C60" s="360" t="inlineStr">
        <is>
          <t>Cubierta</t>
        </is>
      </c>
      <c r="D60" s="361" t="inlineStr">
        <is>
          <t>06.02.02</t>
        </is>
      </c>
      <c r="E60" s="362" t="inlineStr">
        <is>
          <t>Impermeabilización de cubierta</t>
        </is>
      </c>
      <c r="F60" s="363" t="n"/>
      <c r="G60" s="363" t="n"/>
      <c r="H60" s="363" t="n"/>
      <c r="I60" s="361" t="inlineStr">
        <is>
          <t>m²</t>
        </is>
      </c>
      <c r="J60" s="1302" t="n">
        <v>0</v>
      </c>
      <c r="K60" s="1302" t="n">
        <v>0</v>
      </c>
      <c r="L60" s="1302" t="n">
        <v>0</v>
      </c>
      <c r="M60" s="1302" t="n">
        <v>0</v>
      </c>
      <c r="N60" s="1302" t="n">
        <v>1</v>
      </c>
      <c r="O60" s="1302" t="n">
        <v>1</v>
      </c>
      <c r="P60" s="1302" t="n">
        <v>1</v>
      </c>
      <c r="Q60" s="1302" t="n">
        <v>0</v>
      </c>
      <c r="R60" s="1303" t="n">
        <v>0</v>
      </c>
      <c r="S60" s="1302">
        <f>IF(I60="","",ROUND(IF(OR(I60="m²",I60="m2"),J60*IF(K60=0,1,K60)*IF(N60=0,1,N60)*IF(O60=0,1,O60)*P60-Q60,IF(OR(I60="m³",I60="m3"),J60*K60*L60*IF(N60=0,1,N60)*IF(O60=0,1,O60)*P60-Q60,IF(OR(I60="ml",I60="ML"),J60*IF(N60=0,1,N60)*IF(O60=0,1,O60)*P60-Q60,IF(OR(I60="und",I60="UND"),IF(N60=0,1,N60)*IF(O60=0,1,O60)*P60-Q60,IF(I60="kg",J60*IF(N60=0,1,N60)*IF(O60=0,1,O60)*P60-Q60,0))))),3))</f>
        <v/>
      </c>
      <c r="T60" s="1302">
        <f>IF(S60="","",ROUND(S60*(1+R60),3))</f>
        <v/>
      </c>
      <c r="U60" s="361" t="inlineStr">
        <is>
          <t>m²</t>
        </is>
      </c>
      <c r="V60" s="363" t="n"/>
      <c r="W60" s="363" t="n"/>
      <c r="X60" s="1304" t="n"/>
      <c r="Y60" s="363" t="inlineStr">
        <is>
          <t>Pendiente</t>
        </is>
      </c>
    </row>
    <row r="61" ht="15" customFormat="1" customHeight="1" s="666">
      <c r="A61" s="358" t="inlineStr">
        <is>
          <t>MQ-053</t>
        </is>
      </c>
      <c r="B61" s="359" t="inlineStr">
        <is>
          <t>CUBIERTAS</t>
        </is>
      </c>
      <c r="C61" s="360" t="inlineStr">
        <is>
          <t>Cubierta</t>
        </is>
      </c>
      <c r="D61" s="361" t="inlineStr">
        <is>
          <t>06.02.03</t>
        </is>
      </c>
      <c r="E61" s="362" t="inlineStr">
        <is>
          <t>Aislamiento térmico/acústico</t>
        </is>
      </c>
      <c r="F61" s="363" t="n"/>
      <c r="G61" s="363" t="n"/>
      <c r="H61" s="363" t="n"/>
      <c r="I61" s="361" t="inlineStr">
        <is>
          <t>m²</t>
        </is>
      </c>
      <c r="J61" s="1302" t="n">
        <v>0</v>
      </c>
      <c r="K61" s="1302" t="n">
        <v>0</v>
      </c>
      <c r="L61" s="1302" t="n">
        <v>0</v>
      </c>
      <c r="M61" s="1302" t="n">
        <v>0</v>
      </c>
      <c r="N61" s="1302" t="n">
        <v>1</v>
      </c>
      <c r="O61" s="1302" t="n">
        <v>1</v>
      </c>
      <c r="P61" s="1302" t="n">
        <v>1</v>
      </c>
      <c r="Q61" s="1302" t="n">
        <v>0</v>
      </c>
      <c r="R61" s="1303" t="n">
        <v>0</v>
      </c>
      <c r="S61" s="1302">
        <f>IF(I61="","",ROUND(IF(OR(I61="m²",I61="m2"),J61*IF(K61=0,1,K61)*IF(N61=0,1,N61)*IF(O61=0,1,O61)*P61-Q61,IF(OR(I61="m³",I61="m3"),J61*K61*L61*IF(N61=0,1,N61)*IF(O61=0,1,O61)*P61-Q61,IF(OR(I61="ml",I61="ML"),J61*IF(N61=0,1,N61)*IF(O61=0,1,O61)*P61-Q61,IF(OR(I61="und",I61="UND"),IF(N61=0,1,N61)*IF(O61=0,1,O61)*P61-Q61,IF(I61="kg",J61*IF(N61=0,1,N61)*IF(O61=0,1,O61)*P61-Q61,0))))),3))</f>
        <v/>
      </c>
      <c r="T61" s="1302">
        <f>IF(S61="","",ROUND(S61*(1+R61),3))</f>
        <v/>
      </c>
      <c r="U61" s="361" t="inlineStr">
        <is>
          <t>m²</t>
        </is>
      </c>
      <c r="V61" s="363" t="n"/>
      <c r="W61" s="363" t="n"/>
      <c r="X61" s="1304" t="n"/>
      <c r="Y61" s="363" t="inlineStr">
        <is>
          <t>Pendiente</t>
        </is>
      </c>
    </row>
    <row r="62" ht="15" customFormat="1" customHeight="1" s="666">
      <c r="A62" s="358" t="inlineStr">
        <is>
          <t>MQ-054</t>
        </is>
      </c>
      <c r="B62" s="359" t="inlineStr">
        <is>
          <t>CUBIERTAS</t>
        </is>
      </c>
      <c r="C62" s="360" t="inlineStr">
        <is>
          <t>Canales</t>
        </is>
      </c>
      <c r="D62" s="361" t="inlineStr">
        <is>
          <t>06.03.01</t>
        </is>
      </c>
      <c r="E62" s="362" t="inlineStr">
        <is>
          <t>Canales de aguas lluvias</t>
        </is>
      </c>
      <c r="F62" s="363" t="n"/>
      <c r="G62" s="363" t="n"/>
      <c r="H62" s="363" t="n"/>
      <c r="I62" s="361" t="inlineStr">
        <is>
          <t>ml</t>
        </is>
      </c>
      <c r="J62" s="1302" t="n">
        <v>0</v>
      </c>
      <c r="K62" s="1302" t="n">
        <v>0</v>
      </c>
      <c r="L62" s="1302" t="n">
        <v>0</v>
      </c>
      <c r="M62" s="1302" t="n">
        <v>0</v>
      </c>
      <c r="N62" s="1302" t="n">
        <v>1</v>
      </c>
      <c r="O62" s="1302" t="n">
        <v>1</v>
      </c>
      <c r="P62" s="1302" t="n">
        <v>1</v>
      </c>
      <c r="Q62" s="1302" t="n">
        <v>0</v>
      </c>
      <c r="R62" s="1303" t="n">
        <v>0</v>
      </c>
      <c r="S62" s="1302">
        <f>IF(I62="","",ROUND(IF(OR(I62="m²",I62="m2"),J62*IF(K62=0,1,K62)*IF(N62=0,1,N62)*IF(O62=0,1,O62)*P62-Q62,IF(OR(I62="m³",I62="m3"),J62*K62*L62*IF(N62=0,1,N62)*IF(O62=0,1,O62)*P62-Q62,IF(OR(I62="ml",I62="ML"),J62*IF(N62=0,1,N62)*IF(O62=0,1,O62)*P62-Q62,IF(OR(I62="und",I62="UND"),IF(N62=0,1,N62)*IF(O62=0,1,O62)*P62-Q62,IF(I62="kg",J62*IF(N62=0,1,N62)*IF(O62=0,1,O62)*P62-Q62,0))))),3))</f>
        <v/>
      </c>
      <c r="T62" s="1302">
        <f>IF(S62="","",ROUND(S62*(1+R62),3))</f>
        <v/>
      </c>
      <c r="U62" s="361" t="inlineStr">
        <is>
          <t>ml</t>
        </is>
      </c>
      <c r="V62" s="363" t="n"/>
      <c r="W62" s="363" t="n"/>
      <c r="X62" s="1304" t="n"/>
      <c r="Y62" s="363" t="inlineStr">
        <is>
          <t>Pendiente</t>
        </is>
      </c>
    </row>
    <row r="63" ht="15" customFormat="1" customHeight="1" s="666">
      <c r="A63" s="358" t="inlineStr">
        <is>
          <t>MQ-055</t>
        </is>
      </c>
      <c r="B63" s="359" t="inlineStr">
        <is>
          <t>CUBIERTAS</t>
        </is>
      </c>
      <c r="C63" s="360" t="inlineStr">
        <is>
          <t>Canales</t>
        </is>
      </c>
      <c r="D63" s="361" t="inlineStr">
        <is>
          <t>06.03.02</t>
        </is>
      </c>
      <c r="E63" s="362" t="inlineStr">
        <is>
          <t>Bajantes de aguas lluvias</t>
        </is>
      </c>
      <c r="F63" s="363" t="n"/>
      <c r="G63" s="363" t="n"/>
      <c r="H63" s="363" t="n"/>
      <c r="I63" s="361" t="inlineStr">
        <is>
          <t>ml</t>
        </is>
      </c>
      <c r="J63" s="1302" t="n">
        <v>0</v>
      </c>
      <c r="K63" s="1302" t="n">
        <v>0</v>
      </c>
      <c r="L63" s="1302" t="n">
        <v>0</v>
      </c>
      <c r="M63" s="1302" t="n">
        <v>0</v>
      </c>
      <c r="N63" s="1302" t="n">
        <v>1</v>
      </c>
      <c r="O63" s="1302" t="n">
        <v>1</v>
      </c>
      <c r="P63" s="1302" t="n">
        <v>1</v>
      </c>
      <c r="Q63" s="1302" t="n">
        <v>0</v>
      </c>
      <c r="R63" s="1303" t="n">
        <v>0</v>
      </c>
      <c r="S63" s="1302">
        <f>IF(I63="","",ROUND(IF(OR(I63="m²",I63="m2"),J63*IF(K63=0,1,K63)*IF(N63=0,1,N63)*IF(O63=0,1,O63)*P63-Q63,IF(OR(I63="m³",I63="m3"),J63*K63*L63*IF(N63=0,1,N63)*IF(O63=0,1,O63)*P63-Q63,IF(OR(I63="ml",I63="ML"),J63*IF(N63=0,1,N63)*IF(O63=0,1,O63)*P63-Q63,IF(OR(I63="und",I63="UND"),IF(N63=0,1,N63)*IF(O63=0,1,O63)*P63-Q63,IF(I63="kg",J63*IF(N63=0,1,N63)*IF(O63=0,1,O63)*P63-Q63,0))))),3))</f>
        <v/>
      </c>
      <c r="T63" s="1302">
        <f>IF(S63="","",ROUND(S63*(1+R63),3))</f>
        <v/>
      </c>
      <c r="U63" s="361" t="inlineStr">
        <is>
          <t>ml</t>
        </is>
      </c>
      <c r="V63" s="363" t="n"/>
      <c r="W63" s="363" t="n"/>
      <c r="X63" s="1304" t="n"/>
      <c r="Y63" s="363" t="inlineStr">
        <is>
          <t>Pendiente</t>
        </is>
      </c>
    </row>
    <row r="64" ht="15" customFormat="1" customHeight="1" s="666">
      <c r="A64" s="358" t="inlineStr">
        <is>
          <t>MQ-056</t>
        </is>
      </c>
      <c r="B64" s="359" t="inlineStr">
        <is>
          <t>IMPERMEABILIZACIONES</t>
        </is>
      </c>
      <c r="C64" s="360" t="inlineStr">
        <is>
          <t>Superficies</t>
        </is>
      </c>
      <c r="D64" s="361" t="inlineStr">
        <is>
          <t>07.01.01</t>
        </is>
      </c>
      <c r="E64" s="362" t="inlineStr">
        <is>
          <t>Impermeabilización de losas y terrazas</t>
        </is>
      </c>
      <c r="F64" s="363" t="n"/>
      <c r="G64" s="363" t="n"/>
      <c r="H64" s="363" t="n"/>
      <c r="I64" s="361" t="inlineStr">
        <is>
          <t>m²</t>
        </is>
      </c>
      <c r="J64" s="1302" t="n">
        <v>0</v>
      </c>
      <c r="K64" s="1302" t="n">
        <v>0</v>
      </c>
      <c r="L64" s="1302" t="n">
        <v>0</v>
      </c>
      <c r="M64" s="1302" t="n">
        <v>0</v>
      </c>
      <c r="N64" s="1302" t="n">
        <v>1</v>
      </c>
      <c r="O64" s="1302" t="n">
        <v>1</v>
      </c>
      <c r="P64" s="1302" t="n">
        <v>1</v>
      </c>
      <c r="Q64" s="1302" t="n">
        <v>0</v>
      </c>
      <c r="R64" s="1303" t="n">
        <v>0</v>
      </c>
      <c r="S64" s="1302">
        <f>IF(I64="","",ROUND(IF(OR(I64="m²",I64="m2"),J64*IF(K64=0,1,K64)*IF(N64=0,1,N64)*IF(O64=0,1,O64)*P64-Q64,IF(OR(I64="m³",I64="m3"),J64*K64*L64*IF(N64=0,1,N64)*IF(O64=0,1,O64)*P64-Q64,IF(OR(I64="ml",I64="ML"),J64*IF(N64=0,1,N64)*IF(O64=0,1,O64)*P64-Q64,IF(OR(I64="und",I64="UND"),IF(N64=0,1,N64)*IF(O64=0,1,O64)*P64-Q64,IF(I64="kg",J64*IF(N64=0,1,N64)*IF(O64=0,1,O64)*P64-Q64,0))))),3))</f>
        <v/>
      </c>
      <c r="T64" s="1302">
        <f>IF(S64="","",ROUND(S64*(1+R64),3))</f>
        <v/>
      </c>
      <c r="U64" s="361" t="inlineStr">
        <is>
          <t>m²</t>
        </is>
      </c>
      <c r="V64" s="363" t="n"/>
      <c r="W64" s="363" t="n"/>
      <c r="X64" s="1304" t="n"/>
      <c r="Y64" s="363" t="inlineStr">
        <is>
          <t>Pendiente</t>
        </is>
      </c>
    </row>
    <row r="65" ht="15" customFormat="1" customHeight="1" s="666">
      <c r="A65" s="358" t="inlineStr">
        <is>
          <t>MQ-057</t>
        </is>
      </c>
      <c r="B65" s="359" t="inlineStr">
        <is>
          <t>IMPERMEABILIZACIONES</t>
        </is>
      </c>
      <c r="C65" s="360" t="inlineStr">
        <is>
          <t>Superficies</t>
        </is>
      </c>
      <c r="D65" s="361" t="inlineStr">
        <is>
          <t>07.01.02</t>
        </is>
      </c>
      <c r="E65" s="362" t="inlineStr">
        <is>
          <t>Impermeabilización de muros</t>
        </is>
      </c>
      <c r="F65" s="363" t="n"/>
      <c r="G65" s="363" t="n"/>
      <c r="H65" s="363" t="n"/>
      <c r="I65" s="361" t="inlineStr">
        <is>
          <t>m²</t>
        </is>
      </c>
      <c r="J65" s="1302" t="n">
        <v>0</v>
      </c>
      <c r="K65" s="1302" t="n">
        <v>0</v>
      </c>
      <c r="L65" s="1302" t="n">
        <v>0</v>
      </c>
      <c r="M65" s="1302" t="n">
        <v>0</v>
      </c>
      <c r="N65" s="1302" t="n">
        <v>1</v>
      </c>
      <c r="O65" s="1302" t="n">
        <v>1</v>
      </c>
      <c r="P65" s="1302" t="n">
        <v>1</v>
      </c>
      <c r="Q65" s="1302" t="n">
        <v>0</v>
      </c>
      <c r="R65" s="1303" t="n">
        <v>0</v>
      </c>
      <c r="S65" s="1302">
        <f>IF(I65="","",ROUND(IF(OR(I65="m²",I65="m2"),J65*IF(K65=0,1,K65)*IF(N65=0,1,N65)*IF(O65=0,1,O65)*P65-Q65,IF(OR(I65="m³",I65="m3"),J65*K65*L65*IF(N65=0,1,N65)*IF(O65=0,1,O65)*P65-Q65,IF(OR(I65="ml",I65="ML"),J65*IF(N65=0,1,N65)*IF(O65=0,1,O65)*P65-Q65,IF(OR(I65="und",I65="UND"),IF(N65=0,1,N65)*IF(O65=0,1,O65)*P65-Q65,IF(I65="kg",J65*IF(N65=0,1,N65)*IF(O65=0,1,O65)*P65-Q65,0))))),3))</f>
        <v/>
      </c>
      <c r="T65" s="1302">
        <f>IF(S65="","",ROUND(S65*(1+R65),3))</f>
        <v/>
      </c>
      <c r="U65" s="361" t="inlineStr">
        <is>
          <t>m²</t>
        </is>
      </c>
      <c r="V65" s="363" t="n"/>
      <c r="W65" s="363" t="n"/>
      <c r="X65" s="1304" t="n"/>
      <c r="Y65" s="363" t="inlineStr">
        <is>
          <t>Pendiente</t>
        </is>
      </c>
    </row>
    <row r="66" ht="15" customFormat="1" customHeight="1" s="666">
      <c r="A66" s="358" t="inlineStr">
        <is>
          <t>MQ-058</t>
        </is>
      </c>
      <c r="B66" s="359" t="inlineStr">
        <is>
          <t>IMPERMEABILIZACIONES</t>
        </is>
      </c>
      <c r="C66" s="360" t="inlineStr">
        <is>
          <t>Superficies</t>
        </is>
      </c>
      <c r="D66" s="361" t="inlineStr">
        <is>
          <t>07.01.03</t>
        </is>
      </c>
      <c r="E66" s="362" t="inlineStr">
        <is>
          <t>Impermeabilización de zonas húmedas</t>
        </is>
      </c>
      <c r="F66" s="363" t="n"/>
      <c r="G66" s="363" t="n"/>
      <c r="H66" s="363" t="n"/>
      <c r="I66" s="361" t="inlineStr">
        <is>
          <t>m²</t>
        </is>
      </c>
      <c r="J66" s="1302" t="n">
        <v>0</v>
      </c>
      <c r="K66" s="1302" t="n">
        <v>0</v>
      </c>
      <c r="L66" s="1302" t="n">
        <v>0</v>
      </c>
      <c r="M66" s="1302" t="n">
        <v>0</v>
      </c>
      <c r="N66" s="1302" t="n">
        <v>1</v>
      </c>
      <c r="O66" s="1302" t="n">
        <v>1</v>
      </c>
      <c r="P66" s="1302" t="n">
        <v>1</v>
      </c>
      <c r="Q66" s="1302" t="n">
        <v>0</v>
      </c>
      <c r="R66" s="1303" t="n">
        <v>0</v>
      </c>
      <c r="S66" s="1302">
        <f>IF(I66="","",ROUND(IF(OR(I66="m²",I66="m2"),J66*IF(K66=0,1,K66)*IF(N66=0,1,N66)*IF(O66=0,1,O66)*P66-Q66,IF(OR(I66="m³",I66="m3"),J66*K66*L66*IF(N66=0,1,N66)*IF(O66=0,1,O66)*P66-Q66,IF(OR(I66="ml",I66="ML"),J66*IF(N66=0,1,N66)*IF(O66=0,1,O66)*P66-Q66,IF(OR(I66="und",I66="UND"),IF(N66=0,1,N66)*IF(O66=0,1,O66)*P66-Q66,IF(I66="kg",J66*IF(N66=0,1,N66)*IF(O66=0,1,O66)*P66-Q66,0))))),3))</f>
        <v/>
      </c>
      <c r="T66" s="1302">
        <f>IF(S66="","",ROUND(S66*(1+R66),3))</f>
        <v/>
      </c>
      <c r="U66" s="361" t="inlineStr">
        <is>
          <t>m²</t>
        </is>
      </c>
      <c r="V66" s="363" t="n"/>
      <c r="W66" s="363" t="n"/>
      <c r="X66" s="1304" t="n"/>
      <c r="Y66" s="363" t="inlineStr">
        <is>
          <t>Pendiente</t>
        </is>
      </c>
    </row>
    <row r="67" ht="15" customFormat="1" customHeight="1" s="666">
      <c r="A67" s="358" t="inlineStr">
        <is>
          <t>MQ-059</t>
        </is>
      </c>
      <c r="B67" s="359" t="inlineStr">
        <is>
          <t>PAÑETES Y REVOQUES</t>
        </is>
      </c>
      <c r="C67" s="360" t="inlineStr">
        <is>
          <t>Pañetes</t>
        </is>
      </c>
      <c r="D67" s="361" t="inlineStr">
        <is>
          <t>08.01.01</t>
        </is>
      </c>
      <c r="E67" s="362" t="inlineStr">
        <is>
          <t>Pañete / revoque interior</t>
        </is>
      </c>
      <c r="F67" s="363" t="n"/>
      <c r="G67" s="363" t="n"/>
      <c r="H67" s="363" t="n"/>
      <c r="I67" s="361" t="inlineStr">
        <is>
          <t>m²</t>
        </is>
      </c>
      <c r="J67" s="1302" t="n">
        <v>0</v>
      </c>
      <c r="K67" s="1302" t="n">
        <v>0</v>
      </c>
      <c r="L67" s="1302" t="n">
        <v>0</v>
      </c>
      <c r="M67" s="1302" t="n">
        <v>0</v>
      </c>
      <c r="N67" s="1302" t="n">
        <v>1</v>
      </c>
      <c r="O67" s="1302" t="n">
        <v>1</v>
      </c>
      <c r="P67" s="1302" t="n">
        <v>1</v>
      </c>
      <c r="Q67" s="1302" t="n">
        <v>0</v>
      </c>
      <c r="R67" s="1303" t="n">
        <v>0</v>
      </c>
      <c r="S67" s="1302">
        <f>IF(I67="","",ROUND(IF(OR(I67="m²",I67="m2"),J67*IF(K67=0,1,K67)*IF(N67=0,1,N67)*IF(O67=0,1,O67)*P67-Q67,IF(OR(I67="m³",I67="m3"),J67*K67*L67*IF(N67=0,1,N67)*IF(O67=0,1,O67)*P67-Q67,IF(OR(I67="ml",I67="ML"),J67*IF(N67=0,1,N67)*IF(O67=0,1,O67)*P67-Q67,IF(OR(I67="und",I67="UND"),IF(N67=0,1,N67)*IF(O67=0,1,O67)*P67-Q67,IF(I67="kg",J67*IF(N67=0,1,N67)*IF(O67=0,1,O67)*P67-Q67,0))))),3))</f>
        <v/>
      </c>
      <c r="T67" s="1302">
        <f>IF(S67="","",ROUND(S67*(1+R67),3))</f>
        <v/>
      </c>
      <c r="U67" s="361" t="inlineStr">
        <is>
          <t>m²</t>
        </is>
      </c>
      <c r="V67" s="363" t="n"/>
      <c r="W67" s="363" t="n"/>
      <c r="X67" s="1304" t="n"/>
      <c r="Y67" s="363" t="inlineStr">
        <is>
          <t>Pendiente</t>
        </is>
      </c>
    </row>
    <row r="68" ht="15" customFormat="1" customHeight="1" s="666">
      <c r="A68" s="358" t="inlineStr">
        <is>
          <t>MQ-060</t>
        </is>
      </c>
      <c r="B68" s="359" t="inlineStr">
        <is>
          <t>PAÑETES Y REVOQUES</t>
        </is>
      </c>
      <c r="C68" s="360" t="inlineStr">
        <is>
          <t>Pañetes</t>
        </is>
      </c>
      <c r="D68" s="361" t="inlineStr">
        <is>
          <t>08.01.02</t>
        </is>
      </c>
      <c r="E68" s="362" t="inlineStr">
        <is>
          <t>Pañete / revoque exterior</t>
        </is>
      </c>
      <c r="F68" s="363" t="n"/>
      <c r="G68" s="363" t="n"/>
      <c r="H68" s="363" t="n"/>
      <c r="I68" s="361" t="inlineStr">
        <is>
          <t>m²</t>
        </is>
      </c>
      <c r="J68" s="1302" t="n">
        <v>0</v>
      </c>
      <c r="K68" s="1302" t="n">
        <v>0</v>
      </c>
      <c r="L68" s="1302" t="n">
        <v>0</v>
      </c>
      <c r="M68" s="1302" t="n">
        <v>0</v>
      </c>
      <c r="N68" s="1302" t="n">
        <v>1</v>
      </c>
      <c r="O68" s="1302" t="n">
        <v>1</v>
      </c>
      <c r="P68" s="1302" t="n">
        <v>1</v>
      </c>
      <c r="Q68" s="1302" t="n">
        <v>0</v>
      </c>
      <c r="R68" s="1303" t="n">
        <v>0</v>
      </c>
      <c r="S68" s="1302">
        <f>IF(I68="","",ROUND(IF(OR(I68="m²",I68="m2"),J68*IF(K68=0,1,K68)*IF(N68=0,1,N68)*IF(O68=0,1,O68)*P68-Q68,IF(OR(I68="m³",I68="m3"),J68*K68*L68*IF(N68=0,1,N68)*IF(O68=0,1,O68)*P68-Q68,IF(OR(I68="ml",I68="ML"),J68*IF(N68=0,1,N68)*IF(O68=0,1,O68)*P68-Q68,IF(OR(I68="und",I68="UND"),IF(N68=0,1,N68)*IF(O68=0,1,O68)*P68-Q68,IF(I68="kg",J68*IF(N68=0,1,N68)*IF(O68=0,1,O68)*P68-Q68,0))))),3))</f>
        <v/>
      </c>
      <c r="T68" s="1302">
        <f>IF(S68="","",ROUND(S68*(1+R68),3))</f>
        <v/>
      </c>
      <c r="U68" s="361" t="inlineStr">
        <is>
          <t>m²</t>
        </is>
      </c>
      <c r="V68" s="363" t="n"/>
      <c r="W68" s="363" t="n"/>
      <c r="X68" s="1304" t="n"/>
      <c r="Y68" s="363" t="inlineStr">
        <is>
          <t>Pendiente</t>
        </is>
      </c>
    </row>
    <row r="69" ht="15" customFormat="1" customHeight="1" s="666">
      <c r="A69" s="358" t="inlineStr">
        <is>
          <t>MQ-061</t>
        </is>
      </c>
      <c r="B69" s="359" t="inlineStr">
        <is>
          <t>PAÑETES Y REVOQUES</t>
        </is>
      </c>
      <c r="C69" s="360" t="inlineStr">
        <is>
          <t>Pañetes</t>
        </is>
      </c>
      <c r="D69" s="361" t="inlineStr">
        <is>
          <t>08.01.03</t>
        </is>
      </c>
      <c r="E69" s="362" t="inlineStr">
        <is>
          <t>Pañete impermeabilizado</t>
        </is>
      </c>
      <c r="F69" s="363" t="n"/>
      <c r="G69" s="363" t="n"/>
      <c r="H69" s="363" t="n"/>
      <c r="I69" s="361" t="inlineStr">
        <is>
          <t>m²</t>
        </is>
      </c>
      <c r="J69" s="1302" t="n">
        <v>0</v>
      </c>
      <c r="K69" s="1302" t="n">
        <v>0</v>
      </c>
      <c r="L69" s="1302" t="n">
        <v>0</v>
      </c>
      <c r="M69" s="1302" t="n">
        <v>0</v>
      </c>
      <c r="N69" s="1302" t="n">
        <v>1</v>
      </c>
      <c r="O69" s="1302" t="n">
        <v>1</v>
      </c>
      <c r="P69" s="1302" t="n">
        <v>1</v>
      </c>
      <c r="Q69" s="1302" t="n">
        <v>0</v>
      </c>
      <c r="R69" s="1303" t="n">
        <v>0</v>
      </c>
      <c r="S69" s="1302">
        <f>IF(I69="","",ROUND(IF(OR(I69="m²",I69="m2"),J69*IF(K69=0,1,K69)*IF(N69=0,1,N69)*IF(O69=0,1,O69)*P69-Q69,IF(OR(I69="m³",I69="m3"),J69*K69*L69*IF(N69=0,1,N69)*IF(O69=0,1,O69)*P69-Q69,IF(OR(I69="ml",I69="ML"),J69*IF(N69=0,1,N69)*IF(O69=0,1,O69)*P69-Q69,IF(OR(I69="und",I69="UND"),IF(N69=0,1,N69)*IF(O69=0,1,O69)*P69-Q69,IF(I69="kg",J69*IF(N69=0,1,N69)*IF(O69=0,1,O69)*P69-Q69,0))))),3))</f>
        <v/>
      </c>
      <c r="T69" s="1302">
        <f>IF(S69="","",ROUND(S69*(1+R69),3))</f>
        <v/>
      </c>
      <c r="U69" s="361" t="inlineStr">
        <is>
          <t>m²</t>
        </is>
      </c>
      <c r="V69" s="363" t="n"/>
      <c r="W69" s="363" t="n"/>
      <c r="X69" s="1304" t="n"/>
      <c r="Y69" s="363" t="inlineStr">
        <is>
          <t>Pendiente</t>
        </is>
      </c>
    </row>
    <row r="70" ht="15" customFormat="1" customHeight="1" s="666">
      <c r="A70" s="358" t="inlineStr">
        <is>
          <t>MQ-062</t>
        </is>
      </c>
      <c r="B70" s="359" t="inlineStr">
        <is>
          <t>PAÑETES Y REVOQUES</t>
        </is>
      </c>
      <c r="C70" s="360" t="inlineStr">
        <is>
          <t>Pañetes</t>
        </is>
      </c>
      <c r="D70" s="361" t="inlineStr">
        <is>
          <t>08.01.04</t>
        </is>
      </c>
      <c r="E70" s="362" t="inlineStr">
        <is>
          <t>Estuco plástico o tradicional</t>
        </is>
      </c>
      <c r="F70" s="363" t="n"/>
      <c r="G70" s="363" t="n"/>
      <c r="H70" s="363" t="n"/>
      <c r="I70" s="361" t="inlineStr">
        <is>
          <t>m²</t>
        </is>
      </c>
      <c r="J70" s="1302" t="n">
        <v>0</v>
      </c>
      <c r="K70" s="1302" t="n">
        <v>0</v>
      </c>
      <c r="L70" s="1302" t="n">
        <v>0</v>
      </c>
      <c r="M70" s="1302" t="n">
        <v>0</v>
      </c>
      <c r="N70" s="1302" t="n">
        <v>1</v>
      </c>
      <c r="O70" s="1302" t="n">
        <v>1</v>
      </c>
      <c r="P70" s="1302" t="n">
        <v>1</v>
      </c>
      <c r="Q70" s="1302" t="n">
        <v>0</v>
      </c>
      <c r="R70" s="1303" t="n">
        <v>0</v>
      </c>
      <c r="S70" s="1302">
        <f>IF(I70="","",ROUND(IF(OR(I70="m²",I70="m2"),J70*IF(K70=0,1,K70)*IF(N70=0,1,N70)*IF(O70=0,1,O70)*P70-Q70,IF(OR(I70="m³",I70="m3"),J70*K70*L70*IF(N70=0,1,N70)*IF(O70=0,1,O70)*P70-Q70,IF(OR(I70="ml",I70="ML"),J70*IF(N70=0,1,N70)*IF(O70=0,1,O70)*P70-Q70,IF(OR(I70="und",I70="UND"),IF(N70=0,1,N70)*IF(O70=0,1,O70)*P70-Q70,IF(I70="kg",J70*IF(N70=0,1,N70)*IF(O70=0,1,O70)*P70-Q70,0))))),3))</f>
        <v/>
      </c>
      <c r="T70" s="1302">
        <f>IF(S70="","",ROUND(S70*(1+R70),3))</f>
        <v/>
      </c>
      <c r="U70" s="361" t="inlineStr">
        <is>
          <t>m²</t>
        </is>
      </c>
      <c r="V70" s="363" t="n"/>
      <c r="W70" s="363" t="n"/>
      <c r="X70" s="1304" t="n"/>
      <c r="Y70" s="363" t="inlineStr">
        <is>
          <t>Pendiente</t>
        </is>
      </c>
    </row>
    <row r="71" ht="15" customFormat="1" customHeight="1" s="666">
      <c r="A71" s="358" t="inlineStr">
        <is>
          <t>MQ-063</t>
        </is>
      </c>
      <c r="B71" s="359" t="inlineStr">
        <is>
          <t>PISOS Y ENCHAPES</t>
        </is>
      </c>
      <c r="C71" s="360" t="inlineStr">
        <is>
          <t>Pisos</t>
        </is>
      </c>
      <c r="D71" s="361" t="inlineStr">
        <is>
          <t>09.01.01</t>
        </is>
      </c>
      <c r="E71" s="362" t="inlineStr">
        <is>
          <t>Mortero de nivelación</t>
        </is>
      </c>
      <c r="F71" s="363" t="n"/>
      <c r="G71" s="363" t="n"/>
      <c r="H71" s="363" t="n"/>
      <c r="I71" s="361" t="inlineStr">
        <is>
          <t>m²</t>
        </is>
      </c>
      <c r="J71" s="1302" t="n">
        <v>0</v>
      </c>
      <c r="K71" s="1302" t="n">
        <v>0</v>
      </c>
      <c r="L71" s="1302" t="n">
        <v>0</v>
      </c>
      <c r="M71" s="1302" t="n">
        <v>0</v>
      </c>
      <c r="N71" s="1302" t="n">
        <v>1</v>
      </c>
      <c r="O71" s="1302" t="n">
        <v>1</v>
      </c>
      <c r="P71" s="1302" t="n">
        <v>1</v>
      </c>
      <c r="Q71" s="1302" t="n">
        <v>0</v>
      </c>
      <c r="R71" s="1303" t="n">
        <v>0</v>
      </c>
      <c r="S71" s="1302">
        <f>IF(I71="","",ROUND(IF(OR(I71="m²",I71="m2"),J71*IF(K71=0,1,K71)*IF(N71=0,1,N71)*IF(O71=0,1,O71)*P71-Q71,IF(OR(I71="m³",I71="m3"),J71*K71*L71*IF(N71=0,1,N71)*IF(O71=0,1,O71)*P71-Q71,IF(OR(I71="ml",I71="ML"),J71*IF(N71=0,1,N71)*IF(O71=0,1,O71)*P71-Q71,IF(OR(I71="und",I71="UND"),IF(N71=0,1,N71)*IF(O71=0,1,O71)*P71-Q71,IF(I71="kg",J71*IF(N71=0,1,N71)*IF(O71=0,1,O71)*P71-Q71,0))))),3))</f>
        <v/>
      </c>
      <c r="T71" s="1302">
        <f>IF(S71="","",ROUND(S71*(1+R71),3))</f>
        <v/>
      </c>
      <c r="U71" s="361" t="inlineStr">
        <is>
          <t>m²</t>
        </is>
      </c>
      <c r="V71" s="363" t="n"/>
      <c r="W71" s="363" t="n"/>
      <c r="X71" s="1304" t="n"/>
      <c r="Y71" s="363" t="inlineStr">
        <is>
          <t>Pendiente</t>
        </is>
      </c>
    </row>
    <row r="72" ht="15" customFormat="1" customHeight="1" s="666">
      <c r="A72" s="358" t="inlineStr">
        <is>
          <t>MQ-064</t>
        </is>
      </c>
      <c r="B72" s="359" t="inlineStr">
        <is>
          <t>PISOS Y ENCHAPES</t>
        </is>
      </c>
      <c r="C72" s="360" t="inlineStr">
        <is>
          <t>Pisos</t>
        </is>
      </c>
      <c r="D72" s="361" t="inlineStr">
        <is>
          <t>09.01.02</t>
        </is>
      </c>
      <c r="E72" s="362" t="inlineStr">
        <is>
          <t>Piso cerámico</t>
        </is>
      </c>
      <c r="F72" s="363" t="n"/>
      <c r="G72" s="363" t="n"/>
      <c r="H72" s="363" t="n"/>
      <c r="I72" s="361" t="inlineStr">
        <is>
          <t>m²</t>
        </is>
      </c>
      <c r="J72" s="1302" t="n">
        <v>0</v>
      </c>
      <c r="K72" s="1302" t="n">
        <v>0</v>
      </c>
      <c r="L72" s="1302" t="n">
        <v>0</v>
      </c>
      <c r="M72" s="1302" t="n">
        <v>0</v>
      </c>
      <c r="N72" s="1302" t="n">
        <v>1</v>
      </c>
      <c r="O72" s="1302" t="n">
        <v>1</v>
      </c>
      <c r="P72" s="1302" t="n">
        <v>1</v>
      </c>
      <c r="Q72" s="1302" t="n">
        <v>0</v>
      </c>
      <c r="R72" s="1303" t="n">
        <v>0</v>
      </c>
      <c r="S72" s="1302">
        <f>IF(I72="","",ROUND(IF(OR(I72="m²",I72="m2"),J72*IF(K72=0,1,K72)*IF(N72=0,1,N72)*IF(O72=0,1,O72)*P72-Q72,IF(OR(I72="m³",I72="m3"),J72*K72*L72*IF(N72=0,1,N72)*IF(O72=0,1,O72)*P72-Q72,IF(OR(I72="ml",I72="ML"),J72*IF(N72=0,1,N72)*IF(O72=0,1,O72)*P72-Q72,IF(OR(I72="und",I72="UND"),IF(N72=0,1,N72)*IF(O72=0,1,O72)*P72-Q72,IF(I72="kg",J72*IF(N72=0,1,N72)*IF(O72=0,1,O72)*P72-Q72,0))))),3))</f>
        <v/>
      </c>
      <c r="T72" s="1302">
        <f>IF(S72="","",ROUND(S72*(1+R72),3))</f>
        <v/>
      </c>
      <c r="U72" s="361" t="inlineStr">
        <is>
          <t>m²</t>
        </is>
      </c>
      <c r="V72" s="363" t="n"/>
      <c r="W72" s="363" t="n"/>
      <c r="X72" s="1304" t="n"/>
      <c r="Y72" s="363" t="inlineStr">
        <is>
          <t>Pendiente</t>
        </is>
      </c>
    </row>
    <row r="73" ht="15" customFormat="1" customHeight="1" s="666">
      <c r="A73" s="358" t="inlineStr">
        <is>
          <t>MQ-065</t>
        </is>
      </c>
      <c r="B73" s="359" t="inlineStr">
        <is>
          <t>PISOS Y ENCHAPES</t>
        </is>
      </c>
      <c r="C73" s="360" t="inlineStr">
        <is>
          <t>Pisos</t>
        </is>
      </c>
      <c r="D73" s="361" t="inlineStr">
        <is>
          <t>09.01.03</t>
        </is>
      </c>
      <c r="E73" s="362" t="inlineStr">
        <is>
          <t>Piso en porcelanato</t>
        </is>
      </c>
      <c r="F73" s="363" t="n"/>
      <c r="G73" s="363" t="n"/>
      <c r="H73" s="363" t="n"/>
      <c r="I73" s="361" t="inlineStr">
        <is>
          <t>m²</t>
        </is>
      </c>
      <c r="J73" s="1302" t="n">
        <v>0</v>
      </c>
      <c r="K73" s="1302" t="n">
        <v>0</v>
      </c>
      <c r="L73" s="1302" t="n">
        <v>0</v>
      </c>
      <c r="M73" s="1302" t="n">
        <v>0</v>
      </c>
      <c r="N73" s="1302" t="n">
        <v>1</v>
      </c>
      <c r="O73" s="1302" t="n">
        <v>1</v>
      </c>
      <c r="P73" s="1302" t="n">
        <v>1</v>
      </c>
      <c r="Q73" s="1302" t="n">
        <v>0</v>
      </c>
      <c r="R73" s="1303" t="n">
        <v>0</v>
      </c>
      <c r="S73" s="1302">
        <f>IF(I73="","",ROUND(IF(OR(I73="m²",I73="m2"),J73*IF(K73=0,1,K73)*IF(N73=0,1,N73)*IF(O73=0,1,O73)*P73-Q73,IF(OR(I73="m³",I73="m3"),J73*K73*L73*IF(N73=0,1,N73)*IF(O73=0,1,O73)*P73-Q73,IF(OR(I73="ml",I73="ML"),J73*IF(N73=0,1,N73)*IF(O73=0,1,O73)*P73-Q73,IF(OR(I73="und",I73="UND"),IF(N73=0,1,N73)*IF(O73=0,1,O73)*P73-Q73,IF(I73="kg",J73*IF(N73=0,1,N73)*IF(O73=0,1,O73)*P73-Q73,0))))),3))</f>
        <v/>
      </c>
      <c r="T73" s="1302">
        <f>IF(S73="","",ROUND(S73*(1+R73),3))</f>
        <v/>
      </c>
      <c r="U73" s="361" t="inlineStr">
        <is>
          <t>m²</t>
        </is>
      </c>
      <c r="V73" s="363" t="n"/>
      <c r="W73" s="363" t="n"/>
      <c r="X73" s="1304" t="n"/>
      <c r="Y73" s="363" t="inlineStr">
        <is>
          <t>Pendiente</t>
        </is>
      </c>
    </row>
    <row r="74" ht="15" customFormat="1" customHeight="1" s="666">
      <c r="A74" s="358" t="inlineStr">
        <is>
          <t>MQ-066</t>
        </is>
      </c>
      <c r="B74" s="359" t="inlineStr">
        <is>
          <t>PISOS Y ENCHAPES</t>
        </is>
      </c>
      <c r="C74" s="360" t="inlineStr">
        <is>
          <t>Pisos</t>
        </is>
      </c>
      <c r="D74" s="361" t="inlineStr">
        <is>
          <t>09.01.04</t>
        </is>
      </c>
      <c r="E74" s="362" t="inlineStr">
        <is>
          <t>Piso vinílico</t>
        </is>
      </c>
      <c r="F74" s="363" t="n"/>
      <c r="G74" s="363" t="n"/>
      <c r="H74" s="363" t="n"/>
      <c r="I74" s="361" t="inlineStr">
        <is>
          <t>m²</t>
        </is>
      </c>
      <c r="J74" s="1302" t="n">
        <v>0</v>
      </c>
      <c r="K74" s="1302" t="n">
        <v>0</v>
      </c>
      <c r="L74" s="1302" t="n">
        <v>0</v>
      </c>
      <c r="M74" s="1302" t="n">
        <v>0</v>
      </c>
      <c r="N74" s="1302" t="n">
        <v>1</v>
      </c>
      <c r="O74" s="1302" t="n">
        <v>1</v>
      </c>
      <c r="P74" s="1302" t="n">
        <v>1</v>
      </c>
      <c r="Q74" s="1302" t="n">
        <v>0</v>
      </c>
      <c r="R74" s="1303" t="n">
        <v>0</v>
      </c>
      <c r="S74" s="1302">
        <f>IF(I74="","",ROUND(IF(OR(I74="m²",I74="m2"),J74*IF(K74=0,1,K74)*IF(N74=0,1,N74)*IF(O74=0,1,O74)*P74-Q74,IF(OR(I74="m³",I74="m3"),J74*K74*L74*IF(N74=0,1,N74)*IF(O74=0,1,O74)*P74-Q74,IF(OR(I74="ml",I74="ML"),J74*IF(N74=0,1,N74)*IF(O74=0,1,O74)*P74-Q74,IF(OR(I74="und",I74="UND"),IF(N74=0,1,N74)*IF(O74=0,1,O74)*P74-Q74,IF(I74="kg",J74*IF(N74=0,1,N74)*IF(O74=0,1,O74)*P74-Q74,0))))),3))</f>
        <v/>
      </c>
      <c r="T74" s="1302">
        <f>IF(S74="","",ROUND(S74*(1+R74),3))</f>
        <v/>
      </c>
      <c r="U74" s="361" t="inlineStr">
        <is>
          <t>m²</t>
        </is>
      </c>
      <c r="V74" s="363" t="n"/>
      <c r="W74" s="363" t="n"/>
      <c r="X74" s="1304" t="n"/>
      <c r="Y74" s="363" t="inlineStr">
        <is>
          <t>Pendiente</t>
        </is>
      </c>
    </row>
    <row r="75" ht="15" customFormat="1" customHeight="1" s="666">
      <c r="A75" s="358" t="inlineStr">
        <is>
          <t>MQ-067</t>
        </is>
      </c>
      <c r="B75" s="359" t="inlineStr">
        <is>
          <t>PISOS Y ENCHAPES</t>
        </is>
      </c>
      <c r="C75" s="360" t="inlineStr">
        <is>
          <t>Pisos</t>
        </is>
      </c>
      <c r="D75" s="361" t="inlineStr">
        <is>
          <t>09.01.05</t>
        </is>
      </c>
      <c r="E75" s="362" t="inlineStr">
        <is>
          <t>Piso laminado</t>
        </is>
      </c>
      <c r="F75" s="363" t="n"/>
      <c r="G75" s="363" t="n"/>
      <c r="H75" s="363" t="n"/>
      <c r="I75" s="361" t="inlineStr">
        <is>
          <t>m²</t>
        </is>
      </c>
      <c r="J75" s="1302" t="n">
        <v>0</v>
      </c>
      <c r="K75" s="1302" t="n">
        <v>0</v>
      </c>
      <c r="L75" s="1302" t="n">
        <v>0</v>
      </c>
      <c r="M75" s="1302" t="n">
        <v>0</v>
      </c>
      <c r="N75" s="1302" t="n">
        <v>1</v>
      </c>
      <c r="O75" s="1302" t="n">
        <v>1</v>
      </c>
      <c r="P75" s="1302" t="n">
        <v>1</v>
      </c>
      <c r="Q75" s="1302" t="n">
        <v>0</v>
      </c>
      <c r="R75" s="1303" t="n">
        <v>0</v>
      </c>
      <c r="S75" s="1302">
        <f>IF(I75="","",ROUND(IF(OR(I75="m²",I75="m2"),J75*IF(K75=0,1,K75)*IF(N75=0,1,N75)*IF(O75=0,1,O75)*P75-Q75,IF(OR(I75="m³",I75="m3"),J75*K75*L75*IF(N75=0,1,N75)*IF(O75=0,1,O75)*P75-Q75,IF(OR(I75="ml",I75="ML"),J75*IF(N75=0,1,N75)*IF(O75=0,1,O75)*P75-Q75,IF(OR(I75="und",I75="UND"),IF(N75=0,1,N75)*IF(O75=0,1,O75)*P75-Q75,IF(I75="kg",J75*IF(N75=0,1,N75)*IF(O75=0,1,O75)*P75-Q75,0))))),3))</f>
        <v/>
      </c>
      <c r="T75" s="1302">
        <f>IF(S75="","",ROUND(S75*(1+R75),3))</f>
        <v/>
      </c>
      <c r="U75" s="361" t="inlineStr">
        <is>
          <t>m²</t>
        </is>
      </c>
      <c r="V75" s="363" t="n"/>
      <c r="W75" s="363" t="n"/>
      <c r="X75" s="1304" t="n"/>
      <c r="Y75" s="363" t="inlineStr">
        <is>
          <t>Pendiente</t>
        </is>
      </c>
    </row>
    <row r="76" ht="15" customFormat="1" customHeight="1" s="666">
      <c r="A76" s="358" t="inlineStr">
        <is>
          <t>MQ-068</t>
        </is>
      </c>
      <c r="B76" s="359" t="inlineStr">
        <is>
          <t>PISOS Y ENCHAPES</t>
        </is>
      </c>
      <c r="C76" s="360" t="inlineStr">
        <is>
          <t>Enchapes</t>
        </is>
      </c>
      <c r="D76" s="361" t="inlineStr">
        <is>
          <t>09.02.01</t>
        </is>
      </c>
      <c r="E76" s="362" t="inlineStr">
        <is>
          <t>Enchape cerámico en muros</t>
        </is>
      </c>
      <c r="F76" s="363" t="n"/>
      <c r="G76" s="363" t="n"/>
      <c r="H76" s="363" t="n"/>
      <c r="I76" s="361" t="inlineStr">
        <is>
          <t>m²</t>
        </is>
      </c>
      <c r="J76" s="1302" t="n">
        <v>0</v>
      </c>
      <c r="K76" s="1302" t="n">
        <v>0</v>
      </c>
      <c r="L76" s="1302" t="n">
        <v>0</v>
      </c>
      <c r="M76" s="1302" t="n">
        <v>0</v>
      </c>
      <c r="N76" s="1302" t="n">
        <v>1</v>
      </c>
      <c r="O76" s="1302" t="n">
        <v>1</v>
      </c>
      <c r="P76" s="1302" t="n">
        <v>1</v>
      </c>
      <c r="Q76" s="1302" t="n">
        <v>0</v>
      </c>
      <c r="R76" s="1303" t="n">
        <v>0</v>
      </c>
      <c r="S76" s="1302">
        <f>IF(I76="","",ROUND(IF(OR(I76="m²",I76="m2"),J76*IF(K76=0,1,K76)*IF(N76=0,1,N76)*IF(O76=0,1,O76)*P76-Q76,IF(OR(I76="m³",I76="m3"),J76*K76*L76*IF(N76=0,1,N76)*IF(O76=0,1,O76)*P76-Q76,IF(OR(I76="ml",I76="ML"),J76*IF(N76=0,1,N76)*IF(O76=0,1,O76)*P76-Q76,IF(OR(I76="und",I76="UND"),IF(N76=0,1,N76)*IF(O76=0,1,O76)*P76-Q76,IF(I76="kg",J76*IF(N76=0,1,N76)*IF(O76=0,1,O76)*P76-Q76,0))))),3))</f>
        <v/>
      </c>
      <c r="T76" s="1302">
        <f>IF(S76="","",ROUND(S76*(1+R76),3))</f>
        <v/>
      </c>
      <c r="U76" s="361" t="inlineStr">
        <is>
          <t>m²</t>
        </is>
      </c>
      <c r="V76" s="363" t="n"/>
      <c r="W76" s="363" t="n"/>
      <c r="X76" s="1304" t="n"/>
      <c r="Y76" s="363" t="inlineStr">
        <is>
          <t>Pendiente</t>
        </is>
      </c>
    </row>
    <row r="77" ht="15" customFormat="1" customHeight="1" s="666">
      <c r="A77" s="358" t="inlineStr">
        <is>
          <t>MQ-069</t>
        </is>
      </c>
      <c r="B77" s="359" t="inlineStr">
        <is>
          <t>PISOS Y ENCHAPES</t>
        </is>
      </c>
      <c r="C77" s="360" t="inlineStr">
        <is>
          <t>Enchapes</t>
        </is>
      </c>
      <c r="D77" s="361" t="inlineStr">
        <is>
          <t>09.02.02</t>
        </is>
      </c>
      <c r="E77" s="362" t="inlineStr">
        <is>
          <t>Guardaescoba</t>
        </is>
      </c>
      <c r="F77" s="363" t="n"/>
      <c r="G77" s="363" t="n"/>
      <c r="H77" s="363" t="n"/>
      <c r="I77" s="361" t="inlineStr">
        <is>
          <t>ml</t>
        </is>
      </c>
      <c r="J77" s="1302" t="n">
        <v>0</v>
      </c>
      <c r="K77" s="1302" t="n">
        <v>0</v>
      </c>
      <c r="L77" s="1302" t="n">
        <v>0</v>
      </c>
      <c r="M77" s="1302" t="n">
        <v>0</v>
      </c>
      <c r="N77" s="1302" t="n">
        <v>1</v>
      </c>
      <c r="O77" s="1302" t="n">
        <v>1</v>
      </c>
      <c r="P77" s="1302" t="n">
        <v>1</v>
      </c>
      <c r="Q77" s="1302" t="n">
        <v>0</v>
      </c>
      <c r="R77" s="1303" t="n">
        <v>0</v>
      </c>
      <c r="S77" s="1302">
        <f>IF(I77="","",ROUND(IF(OR(I77="m²",I77="m2"),J77*IF(K77=0,1,K77)*IF(N77=0,1,N77)*IF(O77=0,1,O77)*P77-Q77,IF(OR(I77="m³",I77="m3"),J77*K77*L77*IF(N77=0,1,N77)*IF(O77=0,1,O77)*P77-Q77,IF(OR(I77="ml",I77="ML"),J77*IF(N77=0,1,N77)*IF(O77=0,1,O77)*P77-Q77,IF(OR(I77="und",I77="UND"),IF(N77=0,1,N77)*IF(O77=0,1,O77)*P77-Q77,IF(I77="kg",J77*IF(N77=0,1,N77)*IF(O77=0,1,O77)*P77-Q77,0))))),3))</f>
        <v/>
      </c>
      <c r="T77" s="1302">
        <f>IF(S77="","",ROUND(S77*(1+R77),3))</f>
        <v/>
      </c>
      <c r="U77" s="361" t="inlineStr">
        <is>
          <t>ml</t>
        </is>
      </c>
      <c r="V77" s="363" t="n"/>
      <c r="W77" s="363" t="n"/>
      <c r="X77" s="1304" t="n"/>
      <c r="Y77" s="363" t="inlineStr">
        <is>
          <t>Pendiente</t>
        </is>
      </c>
    </row>
    <row r="78" ht="15" customFormat="1" customHeight="1" s="666">
      <c r="A78" s="358" t="inlineStr">
        <is>
          <t>MQ-070</t>
        </is>
      </c>
      <c r="B78" s="359" t="inlineStr">
        <is>
          <t>PISOS Y ENCHAPES</t>
        </is>
      </c>
      <c r="C78" s="360" t="inlineStr">
        <is>
          <t>Enchapes</t>
        </is>
      </c>
      <c r="D78" s="361" t="inlineStr">
        <is>
          <t>09.02.03</t>
        </is>
      </c>
      <c r="E78" s="362" t="inlineStr">
        <is>
          <t>Juntas de dilatación / construcción</t>
        </is>
      </c>
      <c r="F78" s="363" t="n"/>
      <c r="G78" s="363" t="n"/>
      <c r="H78" s="363" t="n"/>
      <c r="I78" s="361" t="inlineStr">
        <is>
          <t>ml</t>
        </is>
      </c>
      <c r="J78" s="1302" t="n">
        <v>0</v>
      </c>
      <c r="K78" s="1302" t="n">
        <v>0</v>
      </c>
      <c r="L78" s="1302" t="n">
        <v>0</v>
      </c>
      <c r="M78" s="1302" t="n">
        <v>0</v>
      </c>
      <c r="N78" s="1302" t="n">
        <v>1</v>
      </c>
      <c r="O78" s="1302" t="n">
        <v>1</v>
      </c>
      <c r="P78" s="1302" t="n">
        <v>1</v>
      </c>
      <c r="Q78" s="1302" t="n">
        <v>0</v>
      </c>
      <c r="R78" s="1303" t="n">
        <v>0</v>
      </c>
      <c r="S78" s="1302">
        <f>IF(I78="","",ROUND(IF(OR(I78="m²",I78="m2"),J78*IF(K78=0,1,K78)*IF(N78=0,1,N78)*IF(O78=0,1,O78)*P78-Q78,IF(OR(I78="m³",I78="m3"),J78*K78*L78*IF(N78=0,1,N78)*IF(O78=0,1,O78)*P78-Q78,IF(OR(I78="ml",I78="ML"),J78*IF(N78=0,1,N78)*IF(O78=0,1,O78)*P78-Q78,IF(OR(I78="und",I78="UND"),IF(N78=0,1,N78)*IF(O78=0,1,O78)*P78-Q78,IF(I78="kg",J78*IF(N78=0,1,N78)*IF(O78=0,1,O78)*P78-Q78,0))))),3))</f>
        <v/>
      </c>
      <c r="T78" s="1302">
        <f>IF(S78="","",ROUND(S78*(1+R78),3))</f>
        <v/>
      </c>
      <c r="U78" s="361" t="inlineStr">
        <is>
          <t>ml</t>
        </is>
      </c>
      <c r="V78" s="363" t="n"/>
      <c r="W78" s="363" t="n"/>
      <c r="X78" s="1304" t="n"/>
      <c r="Y78" s="363" t="inlineStr">
        <is>
          <t>Pendiente</t>
        </is>
      </c>
    </row>
    <row r="79" ht="15" customFormat="1" customHeight="1" s="666">
      <c r="A79" s="358" t="inlineStr">
        <is>
          <t>MQ-071</t>
        </is>
      </c>
      <c r="B79" s="359" t="inlineStr">
        <is>
          <t>PINTURA</t>
        </is>
      </c>
      <c r="C79" s="360" t="inlineStr">
        <is>
          <t>Pintura</t>
        </is>
      </c>
      <c r="D79" s="361" t="inlineStr">
        <is>
          <t>10.01.01</t>
        </is>
      </c>
      <c r="E79" s="362" t="inlineStr">
        <is>
          <t>Pintura vinílica interior</t>
        </is>
      </c>
      <c r="F79" s="363" t="n"/>
      <c r="G79" s="363" t="n"/>
      <c r="H79" s="363" t="n"/>
      <c r="I79" s="361" t="inlineStr">
        <is>
          <t>m²</t>
        </is>
      </c>
      <c r="J79" s="1302" t="n">
        <v>0</v>
      </c>
      <c r="K79" s="1302" t="n">
        <v>0</v>
      </c>
      <c r="L79" s="1302" t="n">
        <v>0</v>
      </c>
      <c r="M79" s="1302" t="n">
        <v>0</v>
      </c>
      <c r="N79" s="1302" t="n">
        <v>1</v>
      </c>
      <c r="O79" s="1302" t="n">
        <v>1</v>
      </c>
      <c r="P79" s="1302" t="n">
        <v>1</v>
      </c>
      <c r="Q79" s="1302" t="n">
        <v>0</v>
      </c>
      <c r="R79" s="1303" t="n">
        <v>0</v>
      </c>
      <c r="S79" s="1302">
        <f>IF(I79="","",ROUND(IF(OR(I79="m²",I79="m2"),J79*IF(K79=0,1,K79)*IF(N79=0,1,N79)*IF(O79=0,1,O79)*P79-Q79,IF(OR(I79="m³",I79="m3"),J79*K79*L79*IF(N79=0,1,N79)*IF(O79=0,1,O79)*P79-Q79,IF(OR(I79="ml",I79="ML"),J79*IF(N79=0,1,N79)*IF(O79=0,1,O79)*P79-Q79,IF(OR(I79="und",I79="UND"),IF(N79=0,1,N79)*IF(O79=0,1,O79)*P79-Q79,IF(I79="kg",J79*IF(N79=0,1,N79)*IF(O79=0,1,O79)*P79-Q79,0))))),3))</f>
        <v/>
      </c>
      <c r="T79" s="1302">
        <f>IF(S79="","",ROUND(S79*(1+R79),3))</f>
        <v/>
      </c>
      <c r="U79" s="361" t="inlineStr">
        <is>
          <t>m²</t>
        </is>
      </c>
      <c r="V79" s="363" t="n"/>
      <c r="W79" s="363" t="n"/>
      <c r="X79" s="1304" t="n"/>
      <c r="Y79" s="363" t="inlineStr">
        <is>
          <t>Pendiente</t>
        </is>
      </c>
    </row>
    <row r="80" ht="15" customFormat="1" customHeight="1" s="666">
      <c r="A80" s="358" t="inlineStr">
        <is>
          <t>MQ-072</t>
        </is>
      </c>
      <c r="B80" s="359" t="inlineStr">
        <is>
          <t>PINTURA</t>
        </is>
      </c>
      <c r="C80" s="360" t="inlineStr">
        <is>
          <t>Pintura</t>
        </is>
      </c>
      <c r="D80" s="361" t="inlineStr">
        <is>
          <t>10.01.02</t>
        </is>
      </c>
      <c r="E80" s="362" t="inlineStr">
        <is>
          <t>Pintura exterior</t>
        </is>
      </c>
      <c r="F80" s="363" t="n"/>
      <c r="G80" s="363" t="n"/>
      <c r="H80" s="363" t="n"/>
      <c r="I80" s="361" t="inlineStr">
        <is>
          <t>m²</t>
        </is>
      </c>
      <c r="J80" s="1302" t="n">
        <v>0</v>
      </c>
      <c r="K80" s="1302" t="n">
        <v>0</v>
      </c>
      <c r="L80" s="1302" t="n">
        <v>0</v>
      </c>
      <c r="M80" s="1302" t="n">
        <v>0</v>
      </c>
      <c r="N80" s="1302" t="n">
        <v>1</v>
      </c>
      <c r="O80" s="1302" t="n">
        <v>1</v>
      </c>
      <c r="P80" s="1302" t="n">
        <v>1</v>
      </c>
      <c r="Q80" s="1302" t="n">
        <v>0</v>
      </c>
      <c r="R80" s="1303" t="n">
        <v>0</v>
      </c>
      <c r="S80" s="1302">
        <f>IF(I80="","",ROUND(IF(OR(I80="m²",I80="m2"),J80*IF(K80=0,1,K80)*IF(N80=0,1,N80)*IF(O80=0,1,O80)*P80-Q80,IF(OR(I80="m³",I80="m3"),J80*K80*L80*IF(N80=0,1,N80)*IF(O80=0,1,O80)*P80-Q80,IF(OR(I80="ml",I80="ML"),J80*IF(N80=0,1,N80)*IF(O80=0,1,O80)*P80-Q80,IF(OR(I80="und",I80="UND"),IF(N80=0,1,N80)*IF(O80=0,1,O80)*P80-Q80,IF(I80="kg",J80*IF(N80=0,1,N80)*IF(O80=0,1,O80)*P80-Q80,0))))),3))</f>
        <v/>
      </c>
      <c r="T80" s="1302">
        <f>IF(S80="","",ROUND(S80*(1+R80),3))</f>
        <v/>
      </c>
      <c r="U80" s="361" t="inlineStr">
        <is>
          <t>m²</t>
        </is>
      </c>
      <c r="V80" s="363" t="n"/>
      <c r="W80" s="363" t="n"/>
      <c r="X80" s="1304" t="n"/>
      <c r="Y80" s="363" t="inlineStr">
        <is>
          <t>Pendiente</t>
        </is>
      </c>
    </row>
    <row r="81" ht="15" customFormat="1" customHeight="1" s="666">
      <c r="A81" s="358" t="inlineStr">
        <is>
          <t>MQ-073</t>
        </is>
      </c>
      <c r="B81" s="359" t="inlineStr">
        <is>
          <t>PINTURA</t>
        </is>
      </c>
      <c r="C81" s="360" t="inlineStr">
        <is>
          <t>Pintura</t>
        </is>
      </c>
      <c r="D81" s="361" t="inlineStr">
        <is>
          <t>10.01.03</t>
        </is>
      </c>
      <c r="E81" s="362" t="inlineStr">
        <is>
          <t>Pintura esmalte en superficies metálicas/madera</t>
        </is>
      </c>
      <c r="F81" s="363" t="n"/>
      <c r="G81" s="363" t="n"/>
      <c r="H81" s="363" t="n"/>
      <c r="I81" s="361" t="inlineStr">
        <is>
          <t>m²</t>
        </is>
      </c>
      <c r="J81" s="1302" t="n">
        <v>0</v>
      </c>
      <c r="K81" s="1302" t="n">
        <v>0</v>
      </c>
      <c r="L81" s="1302" t="n">
        <v>0</v>
      </c>
      <c r="M81" s="1302" t="n">
        <v>0</v>
      </c>
      <c r="N81" s="1302" t="n">
        <v>1</v>
      </c>
      <c r="O81" s="1302" t="n">
        <v>1</v>
      </c>
      <c r="P81" s="1302" t="n">
        <v>1</v>
      </c>
      <c r="Q81" s="1302" t="n">
        <v>0</v>
      </c>
      <c r="R81" s="1303" t="n">
        <v>0</v>
      </c>
      <c r="S81" s="1302">
        <f>IF(I81="","",ROUND(IF(OR(I81="m²",I81="m2"),J81*IF(K81=0,1,K81)*IF(N81=0,1,N81)*IF(O81=0,1,O81)*P81-Q81,IF(OR(I81="m³",I81="m3"),J81*K81*L81*IF(N81=0,1,N81)*IF(O81=0,1,O81)*P81-Q81,IF(OR(I81="ml",I81="ML"),J81*IF(N81=0,1,N81)*IF(O81=0,1,O81)*P81-Q81,IF(OR(I81="und",I81="UND"),IF(N81=0,1,N81)*IF(O81=0,1,O81)*P81-Q81,IF(I81="kg",J81*IF(N81=0,1,N81)*IF(O81=0,1,O81)*P81-Q81,0))))),3))</f>
        <v/>
      </c>
      <c r="T81" s="1302">
        <f>IF(S81="","",ROUND(S81*(1+R81),3))</f>
        <v/>
      </c>
      <c r="U81" s="361" t="inlineStr">
        <is>
          <t>m²</t>
        </is>
      </c>
      <c r="V81" s="363" t="n"/>
      <c r="W81" s="363" t="n"/>
      <c r="X81" s="1304" t="n"/>
      <c r="Y81" s="363" t="inlineStr">
        <is>
          <t>Pendiente</t>
        </is>
      </c>
    </row>
    <row r="82" ht="15" customFormat="1" customHeight="1" s="666">
      <c r="A82" s="358" t="inlineStr">
        <is>
          <t>MQ-074</t>
        </is>
      </c>
      <c r="B82" s="359" t="inlineStr">
        <is>
          <t>PINTURA</t>
        </is>
      </c>
      <c r="C82" s="360" t="inlineStr">
        <is>
          <t>Pintura</t>
        </is>
      </c>
      <c r="D82" s="361" t="inlineStr">
        <is>
          <t>10.01.04</t>
        </is>
      </c>
      <c r="E82" s="362" t="inlineStr">
        <is>
          <t>Pintura anticorrosiva</t>
        </is>
      </c>
      <c r="F82" s="363" t="n"/>
      <c r="G82" s="363" t="n"/>
      <c r="H82" s="363" t="n"/>
      <c r="I82" s="361" t="inlineStr">
        <is>
          <t>m²</t>
        </is>
      </c>
      <c r="J82" s="1302" t="n">
        <v>0</v>
      </c>
      <c r="K82" s="1302" t="n">
        <v>0</v>
      </c>
      <c r="L82" s="1302" t="n">
        <v>0</v>
      </c>
      <c r="M82" s="1302" t="n">
        <v>0</v>
      </c>
      <c r="N82" s="1302" t="n">
        <v>1</v>
      </c>
      <c r="O82" s="1302" t="n">
        <v>1</v>
      </c>
      <c r="P82" s="1302" t="n">
        <v>1</v>
      </c>
      <c r="Q82" s="1302" t="n">
        <v>0</v>
      </c>
      <c r="R82" s="1303" t="n">
        <v>0</v>
      </c>
      <c r="S82" s="1302">
        <f>IF(I82="","",ROUND(IF(OR(I82="m²",I82="m2"),J82*IF(K82=0,1,K82)*IF(N82=0,1,N82)*IF(O82=0,1,O82)*P82-Q82,IF(OR(I82="m³",I82="m3"),J82*K82*L82*IF(N82=0,1,N82)*IF(O82=0,1,O82)*P82-Q82,IF(OR(I82="ml",I82="ML"),J82*IF(N82=0,1,N82)*IF(O82=0,1,O82)*P82-Q82,IF(OR(I82="und",I82="UND"),IF(N82=0,1,N82)*IF(O82=0,1,O82)*P82-Q82,IF(I82="kg",J82*IF(N82=0,1,N82)*IF(O82=0,1,O82)*P82-Q82,0))))),3))</f>
        <v/>
      </c>
      <c r="T82" s="1302">
        <f>IF(S82="","",ROUND(S82*(1+R82),3))</f>
        <v/>
      </c>
      <c r="U82" s="361" t="inlineStr">
        <is>
          <t>m²</t>
        </is>
      </c>
      <c r="V82" s="363" t="n"/>
      <c r="W82" s="363" t="n"/>
      <c r="X82" s="1304" t="n"/>
      <c r="Y82" s="363" t="inlineStr">
        <is>
          <t>Pendiente</t>
        </is>
      </c>
    </row>
    <row r="83" ht="15" customFormat="1" customHeight="1" s="666">
      <c r="A83" s="358" t="inlineStr">
        <is>
          <t>MQ-075</t>
        </is>
      </c>
      <c r="B83" s="359" t="inlineStr">
        <is>
          <t>PINTURA</t>
        </is>
      </c>
      <c r="C83" s="360" t="inlineStr">
        <is>
          <t>Pintura</t>
        </is>
      </c>
      <c r="D83" s="361" t="inlineStr">
        <is>
          <t>10.01.05</t>
        </is>
      </c>
      <c r="E83" s="362" t="inlineStr">
        <is>
          <t>Sellador / imprimante</t>
        </is>
      </c>
      <c r="F83" s="363" t="n"/>
      <c r="G83" s="363" t="n"/>
      <c r="H83" s="363" t="n"/>
      <c r="I83" s="361" t="inlineStr">
        <is>
          <t>m²</t>
        </is>
      </c>
      <c r="J83" s="1302" t="n">
        <v>0</v>
      </c>
      <c r="K83" s="1302" t="n">
        <v>0</v>
      </c>
      <c r="L83" s="1302" t="n">
        <v>0</v>
      </c>
      <c r="M83" s="1302" t="n">
        <v>0</v>
      </c>
      <c r="N83" s="1302" t="n">
        <v>1</v>
      </c>
      <c r="O83" s="1302" t="n">
        <v>1</v>
      </c>
      <c r="P83" s="1302" t="n">
        <v>1</v>
      </c>
      <c r="Q83" s="1302" t="n">
        <v>0</v>
      </c>
      <c r="R83" s="1303" t="n">
        <v>0</v>
      </c>
      <c r="S83" s="1302">
        <f>IF(I83="","",ROUND(IF(OR(I83="m²",I83="m2"),J83*IF(K83=0,1,K83)*IF(N83=0,1,N83)*IF(O83=0,1,O83)*P83-Q83,IF(OR(I83="m³",I83="m3"),J83*K83*L83*IF(N83=0,1,N83)*IF(O83=0,1,O83)*P83-Q83,IF(OR(I83="ml",I83="ML"),J83*IF(N83=0,1,N83)*IF(O83=0,1,O83)*P83-Q83,IF(OR(I83="und",I83="UND"),IF(N83=0,1,N83)*IF(O83=0,1,O83)*P83-Q83,IF(I83="kg",J83*IF(N83=0,1,N83)*IF(O83=0,1,O83)*P83-Q83,0))))),3))</f>
        <v/>
      </c>
      <c r="T83" s="1302">
        <f>IF(S83="","",ROUND(S83*(1+R83),3))</f>
        <v/>
      </c>
      <c r="U83" s="361" t="inlineStr">
        <is>
          <t>m²</t>
        </is>
      </c>
      <c r="V83" s="363" t="n"/>
      <c r="W83" s="363" t="n"/>
      <c r="X83" s="1304" t="n"/>
      <c r="Y83" s="363" t="inlineStr">
        <is>
          <t>Pendiente</t>
        </is>
      </c>
    </row>
    <row r="84" ht="15" customFormat="1" customHeight="1" s="666">
      <c r="A84" s="358" t="inlineStr">
        <is>
          <t>MQ-076</t>
        </is>
      </c>
      <c r="B84" s="359" t="inlineStr">
        <is>
          <t>CARPINTERÍA</t>
        </is>
      </c>
      <c r="C84" s="360" t="inlineStr">
        <is>
          <t>Madera</t>
        </is>
      </c>
      <c r="D84" s="361" t="inlineStr">
        <is>
          <t>11.01.01</t>
        </is>
      </c>
      <c r="E84" s="362" t="inlineStr">
        <is>
          <t>Puertas de madera</t>
        </is>
      </c>
      <c r="F84" s="363" t="n"/>
      <c r="G84" s="363" t="n"/>
      <c r="H84" s="363" t="n"/>
      <c r="I84" s="361" t="inlineStr">
        <is>
          <t>und</t>
        </is>
      </c>
      <c r="J84" s="1302" t="n">
        <v>0</v>
      </c>
      <c r="K84" s="1302" t="n">
        <v>0</v>
      </c>
      <c r="L84" s="1302" t="n">
        <v>0</v>
      </c>
      <c r="M84" s="1302" t="n">
        <v>0</v>
      </c>
      <c r="N84" s="1302" t="n">
        <v>1</v>
      </c>
      <c r="O84" s="1302" t="n">
        <v>1</v>
      </c>
      <c r="P84" s="1302" t="n">
        <v>1</v>
      </c>
      <c r="Q84" s="1302" t="n">
        <v>0</v>
      </c>
      <c r="R84" s="1303" t="n">
        <v>0</v>
      </c>
      <c r="S84" s="1302">
        <f>IF(I84="","",ROUND(IF(OR(I84="m²",I84="m2"),J84*IF(K84=0,1,K84)*IF(N84=0,1,N84)*IF(O84=0,1,O84)*P84-Q84,IF(OR(I84="m³",I84="m3"),J84*K84*L84*IF(N84=0,1,N84)*IF(O84=0,1,O84)*P84-Q84,IF(OR(I84="ml",I84="ML"),J84*IF(N84=0,1,N84)*IF(O84=0,1,O84)*P84-Q84,IF(OR(I84="und",I84="UND"),IF(N84=0,1,N84)*IF(O84=0,1,O84)*P84-Q84,IF(I84="kg",J84*IF(N84=0,1,N84)*IF(O84=0,1,O84)*P84-Q84,0))))),3))</f>
        <v/>
      </c>
      <c r="T84" s="1302">
        <f>IF(S84="","",ROUND(S84*(1+R84),3))</f>
        <v/>
      </c>
      <c r="U84" s="361" t="inlineStr">
        <is>
          <t>und</t>
        </is>
      </c>
      <c r="V84" s="363" t="n"/>
      <c r="W84" s="363" t="n"/>
      <c r="X84" s="1304" t="n"/>
      <c r="Y84" s="363" t="inlineStr">
        <is>
          <t>Pendiente</t>
        </is>
      </c>
    </row>
    <row r="85" ht="15" customFormat="1" customHeight="1" s="666">
      <c r="A85" s="358" t="inlineStr">
        <is>
          <t>MQ-077</t>
        </is>
      </c>
      <c r="B85" s="359" t="inlineStr">
        <is>
          <t>CARPINTERÍA</t>
        </is>
      </c>
      <c r="C85" s="360" t="inlineStr">
        <is>
          <t>Madera</t>
        </is>
      </c>
      <c r="D85" s="361" t="inlineStr">
        <is>
          <t>11.01.02</t>
        </is>
      </c>
      <c r="E85" s="362" t="inlineStr">
        <is>
          <t>Muebles fijos de madera</t>
        </is>
      </c>
      <c r="F85" s="363" t="n"/>
      <c r="G85" s="363" t="n"/>
      <c r="H85" s="363" t="n"/>
      <c r="I85" s="361" t="inlineStr">
        <is>
          <t>ml</t>
        </is>
      </c>
      <c r="J85" s="1302" t="n">
        <v>0</v>
      </c>
      <c r="K85" s="1302" t="n">
        <v>0</v>
      </c>
      <c r="L85" s="1302" t="n">
        <v>0</v>
      </c>
      <c r="M85" s="1302" t="n">
        <v>0</v>
      </c>
      <c r="N85" s="1302" t="n">
        <v>1</v>
      </c>
      <c r="O85" s="1302" t="n">
        <v>1</v>
      </c>
      <c r="P85" s="1302" t="n">
        <v>1</v>
      </c>
      <c r="Q85" s="1302" t="n">
        <v>0</v>
      </c>
      <c r="R85" s="1303" t="n">
        <v>0</v>
      </c>
      <c r="S85" s="1302">
        <f>IF(I85="","",ROUND(IF(OR(I85="m²",I85="m2"),J85*IF(K85=0,1,K85)*IF(N85=0,1,N85)*IF(O85=0,1,O85)*P85-Q85,IF(OR(I85="m³",I85="m3"),J85*K85*L85*IF(N85=0,1,N85)*IF(O85=0,1,O85)*P85-Q85,IF(OR(I85="ml",I85="ML"),J85*IF(N85=0,1,N85)*IF(O85=0,1,O85)*P85-Q85,IF(OR(I85="und",I85="UND"),IF(N85=0,1,N85)*IF(O85=0,1,O85)*P85-Q85,IF(I85="kg",J85*IF(N85=0,1,N85)*IF(O85=0,1,O85)*P85-Q85,0))))),3))</f>
        <v/>
      </c>
      <c r="T85" s="1302">
        <f>IF(S85="","",ROUND(S85*(1+R85),3))</f>
        <v/>
      </c>
      <c r="U85" s="361" t="inlineStr">
        <is>
          <t>ml</t>
        </is>
      </c>
      <c r="V85" s="363" t="n"/>
      <c r="W85" s="363" t="n"/>
      <c r="X85" s="1304" t="n"/>
      <c r="Y85" s="363" t="inlineStr">
        <is>
          <t>Pendiente</t>
        </is>
      </c>
    </row>
    <row r="86" ht="15" customFormat="1" customHeight="1" s="666">
      <c r="A86" s="358" t="inlineStr">
        <is>
          <t>MQ-078</t>
        </is>
      </c>
      <c r="B86" s="359" t="inlineStr">
        <is>
          <t>CARPINTERÍA</t>
        </is>
      </c>
      <c r="C86" s="360" t="inlineStr">
        <is>
          <t>Metálica</t>
        </is>
      </c>
      <c r="D86" s="361" t="inlineStr">
        <is>
          <t>11.02.01</t>
        </is>
      </c>
      <c r="E86" s="362" t="inlineStr">
        <is>
          <t>Puertas metálicas</t>
        </is>
      </c>
      <c r="F86" s="363" t="n"/>
      <c r="G86" s="363" t="n"/>
      <c r="H86" s="363" t="n"/>
      <c r="I86" s="361" t="inlineStr">
        <is>
          <t>und</t>
        </is>
      </c>
      <c r="J86" s="1302" t="n">
        <v>0</v>
      </c>
      <c r="K86" s="1302" t="n">
        <v>0</v>
      </c>
      <c r="L86" s="1302" t="n">
        <v>0</v>
      </c>
      <c r="M86" s="1302" t="n">
        <v>0</v>
      </c>
      <c r="N86" s="1302" t="n">
        <v>1</v>
      </c>
      <c r="O86" s="1302" t="n">
        <v>1</v>
      </c>
      <c r="P86" s="1302" t="n">
        <v>1</v>
      </c>
      <c r="Q86" s="1302" t="n">
        <v>0</v>
      </c>
      <c r="R86" s="1303" t="n">
        <v>0</v>
      </c>
      <c r="S86" s="1302">
        <f>IF(I86="","",ROUND(IF(OR(I86="m²",I86="m2"),J86*IF(K86=0,1,K86)*IF(N86=0,1,N86)*IF(O86=0,1,O86)*P86-Q86,IF(OR(I86="m³",I86="m3"),J86*K86*L86*IF(N86=0,1,N86)*IF(O86=0,1,O86)*P86-Q86,IF(OR(I86="ml",I86="ML"),J86*IF(N86=0,1,N86)*IF(O86=0,1,O86)*P86-Q86,IF(OR(I86="und",I86="UND"),IF(N86=0,1,N86)*IF(O86=0,1,O86)*P86-Q86,IF(I86="kg",J86*IF(N86=0,1,N86)*IF(O86=0,1,O86)*P86-Q86,0))))),3))</f>
        <v/>
      </c>
      <c r="T86" s="1302">
        <f>IF(S86="","",ROUND(S86*(1+R86),3))</f>
        <v/>
      </c>
      <c r="U86" s="361" t="inlineStr">
        <is>
          <t>und</t>
        </is>
      </c>
      <c r="V86" s="363" t="n"/>
      <c r="W86" s="363" t="n"/>
      <c r="X86" s="1304" t="n"/>
      <c r="Y86" s="363" t="inlineStr">
        <is>
          <t>Pendiente</t>
        </is>
      </c>
    </row>
    <row r="87" ht="15" customFormat="1" customHeight="1" s="666">
      <c r="A87" s="358" t="inlineStr">
        <is>
          <t>MQ-079</t>
        </is>
      </c>
      <c r="B87" s="359" t="inlineStr">
        <is>
          <t>CARPINTERÍA</t>
        </is>
      </c>
      <c r="C87" s="360" t="inlineStr">
        <is>
          <t>Metálica</t>
        </is>
      </c>
      <c r="D87" s="361" t="inlineStr">
        <is>
          <t>11.02.02</t>
        </is>
      </c>
      <c r="E87" s="362" t="inlineStr">
        <is>
          <t>Barandas metálicas</t>
        </is>
      </c>
      <c r="F87" s="363" t="n"/>
      <c r="G87" s="363" t="n"/>
      <c r="H87" s="363" t="n"/>
      <c r="I87" s="361" t="inlineStr">
        <is>
          <t>ml</t>
        </is>
      </c>
      <c r="J87" s="1302" t="n">
        <v>0</v>
      </c>
      <c r="K87" s="1302" t="n">
        <v>0</v>
      </c>
      <c r="L87" s="1302" t="n">
        <v>0</v>
      </c>
      <c r="M87" s="1302" t="n">
        <v>0</v>
      </c>
      <c r="N87" s="1302" t="n">
        <v>1</v>
      </c>
      <c r="O87" s="1302" t="n">
        <v>1</v>
      </c>
      <c r="P87" s="1302" t="n">
        <v>1</v>
      </c>
      <c r="Q87" s="1302" t="n">
        <v>0</v>
      </c>
      <c r="R87" s="1303" t="n">
        <v>0</v>
      </c>
      <c r="S87" s="1302">
        <f>IF(I87="","",ROUND(IF(OR(I87="m²",I87="m2"),J87*IF(K87=0,1,K87)*IF(N87=0,1,N87)*IF(O87=0,1,O87)*P87-Q87,IF(OR(I87="m³",I87="m3"),J87*K87*L87*IF(N87=0,1,N87)*IF(O87=0,1,O87)*P87-Q87,IF(OR(I87="ml",I87="ML"),J87*IF(N87=0,1,N87)*IF(O87=0,1,O87)*P87-Q87,IF(OR(I87="und",I87="UND"),IF(N87=0,1,N87)*IF(O87=0,1,O87)*P87-Q87,IF(I87="kg",J87*IF(N87=0,1,N87)*IF(O87=0,1,O87)*P87-Q87,0))))),3))</f>
        <v/>
      </c>
      <c r="T87" s="1302">
        <f>IF(S87="","",ROUND(S87*(1+R87),3))</f>
        <v/>
      </c>
      <c r="U87" s="361" t="inlineStr">
        <is>
          <t>ml</t>
        </is>
      </c>
      <c r="V87" s="363" t="n"/>
      <c r="W87" s="363" t="n"/>
      <c r="X87" s="1304" t="n"/>
      <c r="Y87" s="363" t="inlineStr">
        <is>
          <t>Pendiente</t>
        </is>
      </c>
    </row>
    <row r="88" ht="15" customFormat="1" customHeight="1" s="666">
      <c r="A88" s="358" t="inlineStr">
        <is>
          <t>MQ-080</t>
        </is>
      </c>
      <c r="B88" s="359" t="inlineStr">
        <is>
          <t>CARPINTERÍA</t>
        </is>
      </c>
      <c r="C88" s="360" t="inlineStr">
        <is>
          <t>Metálica</t>
        </is>
      </c>
      <c r="D88" s="361" t="inlineStr">
        <is>
          <t>11.02.03</t>
        </is>
      </c>
      <c r="E88" s="362" t="inlineStr">
        <is>
          <t>Pasamanos</t>
        </is>
      </c>
      <c r="F88" s="363" t="n"/>
      <c r="G88" s="363" t="n"/>
      <c r="H88" s="363" t="n"/>
      <c r="I88" s="361" t="inlineStr">
        <is>
          <t>ml</t>
        </is>
      </c>
      <c r="J88" s="1302" t="n">
        <v>0</v>
      </c>
      <c r="K88" s="1302" t="n">
        <v>0</v>
      </c>
      <c r="L88" s="1302" t="n">
        <v>0</v>
      </c>
      <c r="M88" s="1302" t="n">
        <v>0</v>
      </c>
      <c r="N88" s="1302" t="n">
        <v>1</v>
      </c>
      <c r="O88" s="1302" t="n">
        <v>1</v>
      </c>
      <c r="P88" s="1302" t="n">
        <v>1</v>
      </c>
      <c r="Q88" s="1302" t="n">
        <v>0</v>
      </c>
      <c r="R88" s="1303" t="n">
        <v>0</v>
      </c>
      <c r="S88" s="1302">
        <f>IF(I88="","",ROUND(IF(OR(I88="m²",I88="m2"),J88*IF(K88=0,1,K88)*IF(N88=0,1,N88)*IF(O88=0,1,O88)*P88-Q88,IF(OR(I88="m³",I88="m3"),J88*K88*L88*IF(N88=0,1,N88)*IF(O88=0,1,O88)*P88-Q88,IF(OR(I88="ml",I88="ML"),J88*IF(N88=0,1,N88)*IF(O88=0,1,O88)*P88-Q88,IF(OR(I88="und",I88="UND"),IF(N88=0,1,N88)*IF(O88=0,1,O88)*P88-Q88,IF(I88="kg",J88*IF(N88=0,1,N88)*IF(O88=0,1,O88)*P88-Q88,0))))),3))</f>
        <v/>
      </c>
      <c r="T88" s="1302">
        <f>IF(S88="","",ROUND(S88*(1+R88),3))</f>
        <v/>
      </c>
      <c r="U88" s="361" t="inlineStr">
        <is>
          <t>ml</t>
        </is>
      </c>
      <c r="V88" s="363" t="n"/>
      <c r="W88" s="363" t="n"/>
      <c r="X88" s="1304" t="n"/>
      <c r="Y88" s="363" t="inlineStr">
        <is>
          <t>Pendiente</t>
        </is>
      </c>
    </row>
    <row r="89" ht="15" customFormat="1" customHeight="1" s="666">
      <c r="A89" s="358" t="inlineStr">
        <is>
          <t>MQ-081</t>
        </is>
      </c>
      <c r="B89" s="359" t="inlineStr">
        <is>
          <t>CARPINTERÍA</t>
        </is>
      </c>
      <c r="C89" s="360" t="inlineStr">
        <is>
          <t>Aluminio</t>
        </is>
      </c>
      <c r="D89" s="361" t="inlineStr">
        <is>
          <t>11.03.01</t>
        </is>
      </c>
      <c r="E89" s="362" t="inlineStr">
        <is>
          <t>Ventanas de aluminio</t>
        </is>
      </c>
      <c r="F89" s="363" t="n"/>
      <c r="G89" s="363" t="n"/>
      <c r="H89" s="363" t="n"/>
      <c r="I89" s="361" t="inlineStr">
        <is>
          <t>m²</t>
        </is>
      </c>
      <c r="J89" s="1302" t="n">
        <v>0</v>
      </c>
      <c r="K89" s="1302" t="n">
        <v>0</v>
      </c>
      <c r="L89" s="1302" t="n">
        <v>0</v>
      </c>
      <c r="M89" s="1302" t="n">
        <v>0</v>
      </c>
      <c r="N89" s="1302" t="n">
        <v>1</v>
      </c>
      <c r="O89" s="1302" t="n">
        <v>1</v>
      </c>
      <c r="P89" s="1302" t="n">
        <v>1</v>
      </c>
      <c r="Q89" s="1302" t="n">
        <v>0</v>
      </c>
      <c r="R89" s="1303" t="n">
        <v>0</v>
      </c>
      <c r="S89" s="1302">
        <f>IF(I89="","",ROUND(IF(OR(I89="m²",I89="m2"),J89*IF(K89=0,1,K89)*IF(N89=0,1,N89)*IF(O89=0,1,O89)*P89-Q89,IF(OR(I89="m³",I89="m3"),J89*K89*L89*IF(N89=0,1,N89)*IF(O89=0,1,O89)*P89-Q89,IF(OR(I89="ml",I89="ML"),J89*IF(N89=0,1,N89)*IF(O89=0,1,O89)*P89-Q89,IF(OR(I89="und",I89="UND"),IF(N89=0,1,N89)*IF(O89=0,1,O89)*P89-Q89,IF(I89="kg",J89*IF(N89=0,1,N89)*IF(O89=0,1,O89)*P89-Q89,0))))),3))</f>
        <v/>
      </c>
      <c r="T89" s="1302">
        <f>IF(S89="","",ROUND(S89*(1+R89),3))</f>
        <v/>
      </c>
      <c r="U89" s="361" t="inlineStr">
        <is>
          <t>m²</t>
        </is>
      </c>
      <c r="V89" s="363" t="n"/>
      <c r="W89" s="363" t="n"/>
      <c r="X89" s="1304" t="n"/>
      <c r="Y89" s="363" t="inlineStr">
        <is>
          <t>Pendiente</t>
        </is>
      </c>
    </row>
    <row r="90" ht="15" customFormat="1" customHeight="1" s="666">
      <c r="A90" s="358" t="inlineStr">
        <is>
          <t>MQ-082</t>
        </is>
      </c>
      <c r="B90" s="359" t="inlineStr">
        <is>
          <t>CARPINTERÍA</t>
        </is>
      </c>
      <c r="C90" s="360" t="inlineStr">
        <is>
          <t>Aluminio</t>
        </is>
      </c>
      <c r="D90" s="361" t="inlineStr">
        <is>
          <t>11.03.02</t>
        </is>
      </c>
      <c r="E90" s="362" t="inlineStr">
        <is>
          <t>Divisiones de aluminio</t>
        </is>
      </c>
      <c r="F90" s="363" t="n"/>
      <c r="G90" s="363" t="n"/>
      <c r="H90" s="363" t="n"/>
      <c r="I90" s="361" t="inlineStr">
        <is>
          <t>m²</t>
        </is>
      </c>
      <c r="J90" s="1302" t="n">
        <v>0</v>
      </c>
      <c r="K90" s="1302" t="n">
        <v>0</v>
      </c>
      <c r="L90" s="1302" t="n">
        <v>0</v>
      </c>
      <c r="M90" s="1302" t="n">
        <v>0</v>
      </c>
      <c r="N90" s="1302" t="n">
        <v>1</v>
      </c>
      <c r="O90" s="1302" t="n">
        <v>1</v>
      </c>
      <c r="P90" s="1302" t="n">
        <v>1</v>
      </c>
      <c r="Q90" s="1302" t="n">
        <v>0</v>
      </c>
      <c r="R90" s="1303" t="n">
        <v>0</v>
      </c>
      <c r="S90" s="1302">
        <f>IF(I90="","",ROUND(IF(OR(I90="m²",I90="m2"),J90*IF(K90=0,1,K90)*IF(N90=0,1,N90)*IF(O90=0,1,O90)*P90-Q90,IF(OR(I90="m³",I90="m3"),J90*K90*L90*IF(N90=0,1,N90)*IF(O90=0,1,O90)*P90-Q90,IF(OR(I90="ml",I90="ML"),J90*IF(N90=0,1,N90)*IF(O90=0,1,O90)*P90-Q90,IF(OR(I90="und",I90="UND"),IF(N90=0,1,N90)*IF(O90=0,1,O90)*P90-Q90,IF(I90="kg",J90*IF(N90=0,1,N90)*IF(O90=0,1,O90)*P90-Q90,0))))),3))</f>
        <v/>
      </c>
      <c r="T90" s="1302">
        <f>IF(S90="","",ROUND(S90*(1+R90),3))</f>
        <v/>
      </c>
      <c r="U90" s="361" t="inlineStr">
        <is>
          <t>m²</t>
        </is>
      </c>
      <c r="V90" s="363" t="n"/>
      <c r="W90" s="363" t="n"/>
      <c r="X90" s="1304" t="n"/>
      <c r="Y90" s="363" t="inlineStr">
        <is>
          <t>Pendiente</t>
        </is>
      </c>
    </row>
    <row r="91" ht="15" customFormat="1" customHeight="1" s="666">
      <c r="A91" s="358" t="inlineStr">
        <is>
          <t>MQ-083</t>
        </is>
      </c>
      <c r="B91" s="359" t="inlineStr">
        <is>
          <t>VIDRIOS</t>
        </is>
      </c>
      <c r="C91" s="360" t="inlineStr">
        <is>
          <t>Vidriería</t>
        </is>
      </c>
      <c r="D91" s="361" t="inlineStr">
        <is>
          <t>12.01.01</t>
        </is>
      </c>
      <c r="E91" s="362" t="inlineStr">
        <is>
          <t>Vidrio templado</t>
        </is>
      </c>
      <c r="F91" s="363" t="n"/>
      <c r="G91" s="363" t="n"/>
      <c r="H91" s="363" t="n"/>
      <c r="I91" s="361" t="inlineStr">
        <is>
          <t>m²</t>
        </is>
      </c>
      <c r="J91" s="1302" t="n">
        <v>0</v>
      </c>
      <c r="K91" s="1302" t="n">
        <v>0</v>
      </c>
      <c r="L91" s="1302" t="n">
        <v>0</v>
      </c>
      <c r="M91" s="1302" t="n">
        <v>0</v>
      </c>
      <c r="N91" s="1302" t="n">
        <v>1</v>
      </c>
      <c r="O91" s="1302" t="n">
        <v>1</v>
      </c>
      <c r="P91" s="1302" t="n">
        <v>1</v>
      </c>
      <c r="Q91" s="1302" t="n">
        <v>0</v>
      </c>
      <c r="R91" s="1303" t="n">
        <v>0</v>
      </c>
      <c r="S91" s="1302">
        <f>IF(I91="","",ROUND(IF(OR(I91="m²",I91="m2"),J91*IF(K91=0,1,K91)*IF(N91=0,1,N91)*IF(O91=0,1,O91)*P91-Q91,IF(OR(I91="m³",I91="m3"),J91*K91*L91*IF(N91=0,1,N91)*IF(O91=0,1,O91)*P91-Q91,IF(OR(I91="ml",I91="ML"),J91*IF(N91=0,1,N91)*IF(O91=0,1,O91)*P91-Q91,IF(OR(I91="und",I91="UND"),IF(N91=0,1,N91)*IF(O91=0,1,O91)*P91-Q91,IF(I91="kg",J91*IF(N91=0,1,N91)*IF(O91=0,1,O91)*P91-Q91,0))))),3))</f>
        <v/>
      </c>
      <c r="T91" s="1302">
        <f>IF(S91="","",ROUND(S91*(1+R91),3))</f>
        <v/>
      </c>
      <c r="U91" s="361" t="inlineStr">
        <is>
          <t>m²</t>
        </is>
      </c>
      <c r="V91" s="363" t="n"/>
      <c r="W91" s="363" t="n"/>
      <c r="X91" s="1304" t="n"/>
      <c r="Y91" s="363" t="inlineStr">
        <is>
          <t>Pendiente</t>
        </is>
      </c>
    </row>
    <row r="92" ht="15" customFormat="1" customHeight="1" s="666">
      <c r="A92" s="358" t="inlineStr">
        <is>
          <t>MQ-084</t>
        </is>
      </c>
      <c r="B92" s="359" t="inlineStr">
        <is>
          <t>VIDRIOS</t>
        </is>
      </c>
      <c r="C92" s="360" t="inlineStr">
        <is>
          <t>Vidriería</t>
        </is>
      </c>
      <c r="D92" s="361" t="inlineStr">
        <is>
          <t>12.01.02</t>
        </is>
      </c>
      <c r="E92" s="362" t="inlineStr">
        <is>
          <t>Vidrio laminado</t>
        </is>
      </c>
      <c r="F92" s="363" t="n"/>
      <c r="G92" s="363" t="n"/>
      <c r="H92" s="363" t="n"/>
      <c r="I92" s="361" t="inlineStr">
        <is>
          <t>m²</t>
        </is>
      </c>
      <c r="J92" s="1302" t="n">
        <v>0</v>
      </c>
      <c r="K92" s="1302" t="n">
        <v>0</v>
      </c>
      <c r="L92" s="1302" t="n">
        <v>0</v>
      </c>
      <c r="M92" s="1302" t="n">
        <v>0</v>
      </c>
      <c r="N92" s="1302" t="n">
        <v>1</v>
      </c>
      <c r="O92" s="1302" t="n">
        <v>1</v>
      </c>
      <c r="P92" s="1302" t="n">
        <v>1</v>
      </c>
      <c r="Q92" s="1302" t="n">
        <v>0</v>
      </c>
      <c r="R92" s="1303" t="n">
        <v>0</v>
      </c>
      <c r="S92" s="1302">
        <f>IF(I92="","",ROUND(IF(OR(I92="m²",I92="m2"),J92*IF(K92=0,1,K92)*IF(N92=0,1,N92)*IF(O92=0,1,O92)*P92-Q92,IF(OR(I92="m³",I92="m3"),J92*K92*L92*IF(N92=0,1,N92)*IF(O92=0,1,O92)*P92-Q92,IF(OR(I92="ml",I92="ML"),J92*IF(N92=0,1,N92)*IF(O92=0,1,O92)*P92-Q92,IF(OR(I92="und",I92="UND"),IF(N92=0,1,N92)*IF(O92=0,1,O92)*P92-Q92,IF(I92="kg",J92*IF(N92=0,1,N92)*IF(O92=0,1,O92)*P92-Q92,0))))),3))</f>
        <v/>
      </c>
      <c r="T92" s="1302">
        <f>IF(S92="","",ROUND(S92*(1+R92),3))</f>
        <v/>
      </c>
      <c r="U92" s="361" t="inlineStr">
        <is>
          <t>m²</t>
        </is>
      </c>
      <c r="V92" s="363" t="n"/>
      <c r="W92" s="363" t="n"/>
      <c r="X92" s="1304" t="n"/>
      <c r="Y92" s="363" t="inlineStr">
        <is>
          <t>Pendiente</t>
        </is>
      </c>
    </row>
    <row r="93" ht="15" customFormat="1" customHeight="1" s="666">
      <c r="A93" s="358" t="inlineStr">
        <is>
          <t>MQ-085</t>
        </is>
      </c>
      <c r="B93" s="359" t="inlineStr">
        <is>
          <t>VIDRIOS</t>
        </is>
      </c>
      <c r="C93" s="360" t="inlineStr">
        <is>
          <t>Vidriería</t>
        </is>
      </c>
      <c r="D93" s="361" t="inlineStr">
        <is>
          <t>12.01.03</t>
        </is>
      </c>
      <c r="E93" s="362" t="inlineStr">
        <is>
          <t>Espejos</t>
        </is>
      </c>
      <c r="F93" s="363" t="n"/>
      <c r="G93" s="363" t="n"/>
      <c r="H93" s="363" t="n"/>
      <c r="I93" s="361" t="inlineStr">
        <is>
          <t>m²</t>
        </is>
      </c>
      <c r="J93" s="1302" t="n">
        <v>0</v>
      </c>
      <c r="K93" s="1302" t="n">
        <v>0</v>
      </c>
      <c r="L93" s="1302" t="n">
        <v>0</v>
      </c>
      <c r="M93" s="1302" t="n">
        <v>0</v>
      </c>
      <c r="N93" s="1302" t="n">
        <v>1</v>
      </c>
      <c r="O93" s="1302" t="n">
        <v>1</v>
      </c>
      <c r="P93" s="1302" t="n">
        <v>1</v>
      </c>
      <c r="Q93" s="1302" t="n">
        <v>0</v>
      </c>
      <c r="R93" s="1303" t="n">
        <v>0</v>
      </c>
      <c r="S93" s="1302">
        <f>IF(I93="","",ROUND(IF(OR(I93="m²",I93="m2"),J93*IF(K93=0,1,K93)*IF(N93=0,1,N93)*IF(O93=0,1,O93)*P93-Q93,IF(OR(I93="m³",I93="m3"),J93*K93*L93*IF(N93=0,1,N93)*IF(O93=0,1,O93)*P93-Q93,IF(OR(I93="ml",I93="ML"),J93*IF(N93=0,1,N93)*IF(O93=0,1,O93)*P93-Q93,IF(OR(I93="und",I93="UND"),IF(N93=0,1,N93)*IF(O93=0,1,O93)*P93-Q93,IF(I93="kg",J93*IF(N93=0,1,N93)*IF(O93=0,1,O93)*P93-Q93,0))))),3))</f>
        <v/>
      </c>
      <c r="T93" s="1302">
        <f>IF(S93="","",ROUND(S93*(1+R93),3))</f>
        <v/>
      </c>
      <c r="U93" s="361" t="inlineStr">
        <is>
          <t>m²</t>
        </is>
      </c>
      <c r="V93" s="363" t="n"/>
      <c r="W93" s="363" t="n"/>
      <c r="X93" s="1304" t="n"/>
      <c r="Y93" s="363" t="inlineStr">
        <is>
          <t>Pendiente</t>
        </is>
      </c>
    </row>
    <row r="94" ht="15" customFormat="1" customHeight="1" s="666">
      <c r="A94" s="358" t="inlineStr">
        <is>
          <t>MQ-086</t>
        </is>
      </c>
      <c r="B94" s="359" t="inlineStr">
        <is>
          <t>VIDRIOS</t>
        </is>
      </c>
      <c r="C94" s="360" t="inlineStr">
        <is>
          <t>Vidriería</t>
        </is>
      </c>
      <c r="D94" s="361" t="inlineStr">
        <is>
          <t>12.01.04</t>
        </is>
      </c>
      <c r="E94" s="362" t="inlineStr">
        <is>
          <t>Sellos y silicona</t>
        </is>
      </c>
      <c r="F94" s="363" t="n"/>
      <c r="G94" s="363" t="n"/>
      <c r="H94" s="363" t="n"/>
      <c r="I94" s="361" t="inlineStr">
        <is>
          <t>ml</t>
        </is>
      </c>
      <c r="J94" s="1302" t="n">
        <v>0</v>
      </c>
      <c r="K94" s="1302" t="n">
        <v>0</v>
      </c>
      <c r="L94" s="1302" t="n">
        <v>0</v>
      </c>
      <c r="M94" s="1302" t="n">
        <v>0</v>
      </c>
      <c r="N94" s="1302" t="n">
        <v>1</v>
      </c>
      <c r="O94" s="1302" t="n">
        <v>1</v>
      </c>
      <c r="P94" s="1302" t="n">
        <v>1</v>
      </c>
      <c r="Q94" s="1302" t="n">
        <v>0</v>
      </c>
      <c r="R94" s="1303" t="n">
        <v>0</v>
      </c>
      <c r="S94" s="1302">
        <f>IF(I94="","",ROUND(IF(OR(I94="m²",I94="m2"),J94*IF(K94=0,1,K94)*IF(N94=0,1,N94)*IF(O94=0,1,O94)*P94-Q94,IF(OR(I94="m³",I94="m3"),J94*K94*L94*IF(N94=0,1,N94)*IF(O94=0,1,O94)*P94-Q94,IF(OR(I94="ml",I94="ML"),J94*IF(N94=0,1,N94)*IF(O94=0,1,O94)*P94-Q94,IF(OR(I94="und",I94="UND"),IF(N94=0,1,N94)*IF(O94=0,1,O94)*P94-Q94,IF(I94="kg",J94*IF(N94=0,1,N94)*IF(O94=0,1,O94)*P94-Q94,0))))),3))</f>
        <v/>
      </c>
      <c r="T94" s="1302">
        <f>IF(S94="","",ROUND(S94*(1+R94),3))</f>
        <v/>
      </c>
      <c r="U94" s="361" t="inlineStr">
        <is>
          <t>ml</t>
        </is>
      </c>
      <c r="V94" s="363" t="n"/>
      <c r="W94" s="363" t="n"/>
      <c r="X94" s="1304" t="n"/>
      <c r="Y94" s="363" t="inlineStr">
        <is>
          <t>Pendiente</t>
        </is>
      </c>
    </row>
    <row r="95" ht="15" customFormat="1" customHeight="1" s="666">
      <c r="A95" s="358" t="inlineStr">
        <is>
          <t>MQ-087</t>
        </is>
      </c>
      <c r="B95" s="359" t="inlineStr">
        <is>
          <t>INSTALACIONES HIDROSANITARIAS</t>
        </is>
      </c>
      <c r="C95" s="360" t="inlineStr">
        <is>
          <t>Agua potable</t>
        </is>
      </c>
      <c r="D95" s="361" t="inlineStr">
        <is>
          <t>13.01.01</t>
        </is>
      </c>
      <c r="E95" s="362" t="inlineStr">
        <is>
          <t>Tubería de agua fría</t>
        </is>
      </c>
      <c r="F95" s="363" t="n"/>
      <c r="G95" s="363" t="n"/>
      <c r="H95" s="363" t="n"/>
      <c r="I95" s="361" t="inlineStr">
        <is>
          <t>ml</t>
        </is>
      </c>
      <c r="J95" s="1302" t="n">
        <v>0</v>
      </c>
      <c r="K95" s="1302" t="n">
        <v>0</v>
      </c>
      <c r="L95" s="1302" t="n">
        <v>0</v>
      </c>
      <c r="M95" s="1302" t="n">
        <v>0</v>
      </c>
      <c r="N95" s="1302" t="n">
        <v>1</v>
      </c>
      <c r="O95" s="1302" t="n">
        <v>1</v>
      </c>
      <c r="P95" s="1302" t="n">
        <v>1</v>
      </c>
      <c r="Q95" s="1302" t="n">
        <v>0</v>
      </c>
      <c r="R95" s="1303" t="n">
        <v>0</v>
      </c>
      <c r="S95" s="1302">
        <f>IF(I95="","",ROUND(IF(OR(I95="m²",I95="m2"),J95*IF(K95=0,1,K95)*IF(N95=0,1,N95)*IF(O95=0,1,O95)*P95-Q95,IF(OR(I95="m³",I95="m3"),J95*K95*L95*IF(N95=0,1,N95)*IF(O95=0,1,O95)*P95-Q95,IF(OR(I95="ml",I95="ML"),J95*IF(N95=0,1,N95)*IF(O95=0,1,O95)*P95-Q95,IF(OR(I95="und",I95="UND"),IF(N95=0,1,N95)*IF(O95=0,1,O95)*P95-Q95,IF(I95="kg",J95*IF(N95=0,1,N95)*IF(O95=0,1,O95)*P95-Q95,0))))),3))</f>
        <v/>
      </c>
      <c r="T95" s="1302">
        <f>IF(S95="","",ROUND(S95*(1+R95),3))</f>
        <v/>
      </c>
      <c r="U95" s="361" t="inlineStr">
        <is>
          <t>ml</t>
        </is>
      </c>
      <c r="V95" s="363" t="n"/>
      <c r="W95" s="363" t="n"/>
      <c r="X95" s="1304" t="n"/>
      <c r="Y95" s="363" t="inlineStr">
        <is>
          <t>Pendiente</t>
        </is>
      </c>
    </row>
    <row r="96" ht="15" customFormat="1" customHeight="1" s="666">
      <c r="A96" s="358" t="inlineStr">
        <is>
          <t>MQ-088</t>
        </is>
      </c>
      <c r="B96" s="359" t="inlineStr">
        <is>
          <t>INSTALACIONES HIDROSANITARIAS</t>
        </is>
      </c>
      <c r="C96" s="360" t="inlineStr">
        <is>
          <t>Agua potable</t>
        </is>
      </c>
      <c r="D96" s="361" t="inlineStr">
        <is>
          <t>13.01.02</t>
        </is>
      </c>
      <c r="E96" s="362" t="inlineStr">
        <is>
          <t>Tubería de agua caliente</t>
        </is>
      </c>
      <c r="F96" s="363" t="n"/>
      <c r="G96" s="363" t="n"/>
      <c r="H96" s="363" t="n"/>
      <c r="I96" s="361" t="inlineStr">
        <is>
          <t>ml</t>
        </is>
      </c>
      <c r="J96" s="1302" t="n">
        <v>0</v>
      </c>
      <c r="K96" s="1302" t="n">
        <v>0</v>
      </c>
      <c r="L96" s="1302" t="n">
        <v>0</v>
      </c>
      <c r="M96" s="1302" t="n">
        <v>0</v>
      </c>
      <c r="N96" s="1302" t="n">
        <v>1</v>
      </c>
      <c r="O96" s="1302" t="n">
        <v>1</v>
      </c>
      <c r="P96" s="1302" t="n">
        <v>1</v>
      </c>
      <c r="Q96" s="1302" t="n">
        <v>0</v>
      </c>
      <c r="R96" s="1303" t="n">
        <v>0</v>
      </c>
      <c r="S96" s="1302">
        <f>IF(I96="","",ROUND(IF(OR(I96="m²",I96="m2"),J96*IF(K96=0,1,K96)*IF(N96=0,1,N96)*IF(O96=0,1,O96)*P96-Q96,IF(OR(I96="m³",I96="m3"),J96*K96*L96*IF(N96=0,1,N96)*IF(O96=0,1,O96)*P96-Q96,IF(OR(I96="ml",I96="ML"),J96*IF(N96=0,1,N96)*IF(O96=0,1,O96)*P96-Q96,IF(OR(I96="und",I96="UND"),IF(N96=0,1,N96)*IF(O96=0,1,O96)*P96-Q96,IF(I96="kg",J96*IF(N96=0,1,N96)*IF(O96=0,1,O96)*P96-Q96,0))))),3))</f>
        <v/>
      </c>
      <c r="T96" s="1302">
        <f>IF(S96="","",ROUND(S96*(1+R96),3))</f>
        <v/>
      </c>
      <c r="U96" s="361" t="inlineStr">
        <is>
          <t>ml</t>
        </is>
      </c>
      <c r="V96" s="363" t="n"/>
      <c r="W96" s="363" t="n"/>
      <c r="X96" s="1304" t="n"/>
      <c r="Y96" s="363" t="inlineStr">
        <is>
          <t>Pendiente</t>
        </is>
      </c>
    </row>
    <row r="97" ht="15" customFormat="1" customHeight="1" s="666">
      <c r="A97" s="358" t="inlineStr">
        <is>
          <t>MQ-089</t>
        </is>
      </c>
      <c r="B97" s="359" t="inlineStr">
        <is>
          <t>INSTALACIONES HIDROSANITARIAS</t>
        </is>
      </c>
      <c r="C97" s="360" t="inlineStr">
        <is>
          <t>Agua potable</t>
        </is>
      </c>
      <c r="D97" s="361" t="inlineStr">
        <is>
          <t>13.01.03</t>
        </is>
      </c>
      <c r="E97" s="362" t="inlineStr">
        <is>
          <t>Válvulas y accesorios</t>
        </is>
      </c>
      <c r="F97" s="363" t="n"/>
      <c r="G97" s="363" t="n"/>
      <c r="H97" s="363" t="n"/>
      <c r="I97" s="361" t="inlineStr">
        <is>
          <t>und</t>
        </is>
      </c>
      <c r="J97" s="1302" t="n">
        <v>0</v>
      </c>
      <c r="K97" s="1302" t="n">
        <v>0</v>
      </c>
      <c r="L97" s="1302" t="n">
        <v>0</v>
      </c>
      <c r="M97" s="1302" t="n">
        <v>0</v>
      </c>
      <c r="N97" s="1302" t="n">
        <v>1</v>
      </c>
      <c r="O97" s="1302" t="n">
        <v>1</v>
      </c>
      <c r="P97" s="1302" t="n">
        <v>1</v>
      </c>
      <c r="Q97" s="1302" t="n">
        <v>0</v>
      </c>
      <c r="R97" s="1303" t="n">
        <v>0</v>
      </c>
      <c r="S97" s="1302">
        <f>IF(I97="","",ROUND(IF(OR(I97="m²",I97="m2"),J97*IF(K97=0,1,K97)*IF(N97=0,1,N97)*IF(O97=0,1,O97)*P97-Q97,IF(OR(I97="m³",I97="m3"),J97*K97*L97*IF(N97=0,1,N97)*IF(O97=0,1,O97)*P97-Q97,IF(OR(I97="ml",I97="ML"),J97*IF(N97=0,1,N97)*IF(O97=0,1,O97)*P97-Q97,IF(OR(I97="und",I97="UND"),IF(N97=0,1,N97)*IF(O97=0,1,O97)*P97-Q97,IF(I97="kg",J97*IF(N97=0,1,N97)*IF(O97=0,1,O97)*P97-Q97,0))))),3))</f>
        <v/>
      </c>
      <c r="T97" s="1302">
        <f>IF(S97="","",ROUND(S97*(1+R97),3))</f>
        <v/>
      </c>
      <c r="U97" s="361" t="inlineStr">
        <is>
          <t>und</t>
        </is>
      </c>
      <c r="V97" s="363" t="n"/>
      <c r="W97" s="363" t="n"/>
      <c r="X97" s="1304" t="n"/>
      <c r="Y97" s="363" t="inlineStr">
        <is>
          <t>Pendiente</t>
        </is>
      </c>
    </row>
    <row r="98" ht="15" customFormat="1" customHeight="1" s="666">
      <c r="A98" s="358" t="inlineStr">
        <is>
          <t>MQ-090</t>
        </is>
      </c>
      <c r="B98" s="359" t="inlineStr">
        <is>
          <t>INSTALACIONES HIDROSANITARIAS</t>
        </is>
      </c>
      <c r="C98" s="360" t="inlineStr">
        <is>
          <t>Desagües</t>
        </is>
      </c>
      <c r="D98" s="361" t="inlineStr">
        <is>
          <t>13.02.01</t>
        </is>
      </c>
      <c r="E98" s="362" t="inlineStr">
        <is>
          <t>Tubería sanitaria</t>
        </is>
      </c>
      <c r="F98" s="363" t="n"/>
      <c r="G98" s="363" t="n"/>
      <c r="H98" s="363" t="n"/>
      <c r="I98" s="361" t="inlineStr">
        <is>
          <t>ml</t>
        </is>
      </c>
      <c r="J98" s="1302" t="n">
        <v>0</v>
      </c>
      <c r="K98" s="1302" t="n">
        <v>0</v>
      </c>
      <c r="L98" s="1302" t="n">
        <v>0</v>
      </c>
      <c r="M98" s="1302" t="n">
        <v>0</v>
      </c>
      <c r="N98" s="1302" t="n">
        <v>1</v>
      </c>
      <c r="O98" s="1302" t="n">
        <v>1</v>
      </c>
      <c r="P98" s="1302" t="n">
        <v>1</v>
      </c>
      <c r="Q98" s="1302" t="n">
        <v>0</v>
      </c>
      <c r="R98" s="1303" t="n">
        <v>0</v>
      </c>
      <c r="S98" s="1302">
        <f>IF(I98="","",ROUND(IF(OR(I98="m²",I98="m2"),J98*IF(K98=0,1,K98)*IF(N98=0,1,N98)*IF(O98=0,1,O98)*P98-Q98,IF(OR(I98="m³",I98="m3"),J98*K98*L98*IF(N98=0,1,N98)*IF(O98=0,1,O98)*P98-Q98,IF(OR(I98="ml",I98="ML"),J98*IF(N98=0,1,N98)*IF(O98=0,1,O98)*P98-Q98,IF(OR(I98="und",I98="UND"),IF(N98=0,1,N98)*IF(O98=0,1,O98)*P98-Q98,IF(I98="kg",J98*IF(N98=0,1,N98)*IF(O98=0,1,O98)*P98-Q98,0))))),3))</f>
        <v/>
      </c>
      <c r="T98" s="1302">
        <f>IF(S98="","",ROUND(S98*(1+R98),3))</f>
        <v/>
      </c>
      <c r="U98" s="361" t="inlineStr">
        <is>
          <t>ml</t>
        </is>
      </c>
      <c r="V98" s="363" t="n"/>
      <c r="W98" s="363" t="n"/>
      <c r="X98" s="1304" t="n"/>
      <c r="Y98" s="363" t="inlineStr">
        <is>
          <t>Pendiente</t>
        </is>
      </c>
    </row>
    <row r="99" ht="15" customFormat="1" customHeight="1" s="666">
      <c r="A99" s="358" t="inlineStr">
        <is>
          <t>MQ-091</t>
        </is>
      </c>
      <c r="B99" s="359" t="inlineStr">
        <is>
          <t>INSTALACIONES HIDROSANITARIAS</t>
        </is>
      </c>
      <c r="C99" s="360" t="inlineStr">
        <is>
          <t>Desagües</t>
        </is>
      </c>
      <c r="D99" s="361" t="inlineStr">
        <is>
          <t>13.02.02</t>
        </is>
      </c>
      <c r="E99" s="362" t="inlineStr">
        <is>
          <t>Tubería de aguas lluvias</t>
        </is>
      </c>
      <c r="F99" s="363" t="n"/>
      <c r="G99" s="363" t="n"/>
      <c r="H99" s="363" t="n"/>
      <c r="I99" s="361" t="inlineStr">
        <is>
          <t>ml</t>
        </is>
      </c>
      <c r="J99" s="1302" t="n">
        <v>0</v>
      </c>
      <c r="K99" s="1302" t="n">
        <v>0</v>
      </c>
      <c r="L99" s="1302" t="n">
        <v>0</v>
      </c>
      <c r="M99" s="1302" t="n">
        <v>0</v>
      </c>
      <c r="N99" s="1302" t="n">
        <v>1</v>
      </c>
      <c r="O99" s="1302" t="n">
        <v>1</v>
      </c>
      <c r="P99" s="1302" t="n">
        <v>1</v>
      </c>
      <c r="Q99" s="1302" t="n">
        <v>0</v>
      </c>
      <c r="R99" s="1303" t="n">
        <v>0</v>
      </c>
      <c r="S99" s="1302">
        <f>IF(I99="","",ROUND(IF(OR(I99="m²",I99="m2"),J99*IF(K99=0,1,K99)*IF(N99=0,1,N99)*IF(O99=0,1,O99)*P99-Q99,IF(OR(I99="m³",I99="m3"),J99*K99*L99*IF(N99=0,1,N99)*IF(O99=0,1,O99)*P99-Q99,IF(OR(I99="ml",I99="ML"),J99*IF(N99=0,1,N99)*IF(O99=0,1,O99)*P99-Q99,IF(OR(I99="und",I99="UND"),IF(N99=0,1,N99)*IF(O99=0,1,O99)*P99-Q99,IF(I99="kg",J99*IF(N99=0,1,N99)*IF(O99=0,1,O99)*P99-Q99,0))))),3))</f>
        <v/>
      </c>
      <c r="T99" s="1302">
        <f>IF(S99="","",ROUND(S99*(1+R99),3))</f>
        <v/>
      </c>
      <c r="U99" s="361" t="inlineStr">
        <is>
          <t>ml</t>
        </is>
      </c>
      <c r="V99" s="363" t="n"/>
      <c r="W99" s="363" t="n"/>
      <c r="X99" s="1304" t="n"/>
      <c r="Y99" s="363" t="inlineStr">
        <is>
          <t>Pendiente</t>
        </is>
      </c>
    </row>
    <row r="100" ht="15" customFormat="1" customHeight="1" s="666">
      <c r="A100" s="358" t="inlineStr">
        <is>
          <t>MQ-092</t>
        </is>
      </c>
      <c r="B100" s="359" t="inlineStr">
        <is>
          <t>INSTALACIONES HIDROSANITARIAS</t>
        </is>
      </c>
      <c r="C100" s="360" t="inlineStr">
        <is>
          <t>Desagües</t>
        </is>
      </c>
      <c r="D100" s="361" t="inlineStr">
        <is>
          <t>13.02.03</t>
        </is>
      </c>
      <c r="E100" s="362" t="inlineStr">
        <is>
          <t>Cajas de inspección</t>
        </is>
      </c>
      <c r="F100" s="363" t="n"/>
      <c r="G100" s="363" t="n"/>
      <c r="H100" s="363" t="n"/>
      <c r="I100" s="361" t="inlineStr">
        <is>
          <t>und</t>
        </is>
      </c>
      <c r="J100" s="1302" t="n">
        <v>0</v>
      </c>
      <c r="K100" s="1302" t="n">
        <v>0</v>
      </c>
      <c r="L100" s="1302" t="n">
        <v>0</v>
      </c>
      <c r="M100" s="1302" t="n">
        <v>0</v>
      </c>
      <c r="N100" s="1302" t="n">
        <v>1</v>
      </c>
      <c r="O100" s="1302" t="n">
        <v>1</v>
      </c>
      <c r="P100" s="1302" t="n">
        <v>1</v>
      </c>
      <c r="Q100" s="1302" t="n">
        <v>0</v>
      </c>
      <c r="R100" s="1303" t="n">
        <v>0</v>
      </c>
      <c r="S100" s="1302">
        <f>IF(I100="","",ROUND(IF(OR(I100="m²",I100="m2"),J100*IF(K100=0,1,K100)*IF(N100=0,1,N100)*IF(O100=0,1,O100)*P100-Q100,IF(OR(I100="m³",I100="m3"),J100*K100*L100*IF(N100=0,1,N100)*IF(O100=0,1,O100)*P100-Q100,IF(OR(I100="ml",I100="ML"),J100*IF(N100=0,1,N100)*IF(O100=0,1,O100)*P100-Q100,IF(OR(I100="und",I100="UND"),IF(N100=0,1,N100)*IF(O100=0,1,O100)*P100-Q100,IF(I100="kg",J100*IF(N100=0,1,N100)*IF(O100=0,1,O100)*P100-Q100,0))))),3))</f>
        <v/>
      </c>
      <c r="T100" s="1302">
        <f>IF(S100="","",ROUND(S100*(1+R100),3))</f>
        <v/>
      </c>
      <c r="U100" s="361" t="inlineStr">
        <is>
          <t>und</t>
        </is>
      </c>
      <c r="V100" s="363" t="n"/>
      <c r="W100" s="363" t="n"/>
      <c r="X100" s="1304" t="n"/>
      <c r="Y100" s="363" t="inlineStr">
        <is>
          <t>Pendiente</t>
        </is>
      </c>
    </row>
    <row r="101" ht="15" customFormat="1" customHeight="1" s="666">
      <c r="A101" s="358" t="inlineStr">
        <is>
          <t>MQ-093</t>
        </is>
      </c>
      <c r="B101" s="359" t="inlineStr">
        <is>
          <t>INSTALACIONES HIDROSANITARIAS</t>
        </is>
      </c>
      <c r="C101" s="360" t="inlineStr">
        <is>
          <t>Aparatos</t>
        </is>
      </c>
      <c r="D101" s="361" t="inlineStr">
        <is>
          <t>13.03.01</t>
        </is>
      </c>
      <c r="E101" s="362" t="inlineStr">
        <is>
          <t>Aparatos sanitarios</t>
        </is>
      </c>
      <c r="F101" s="363" t="n"/>
      <c r="G101" s="363" t="n"/>
      <c r="H101" s="363" t="n"/>
      <c r="I101" s="361" t="inlineStr">
        <is>
          <t>und</t>
        </is>
      </c>
      <c r="J101" s="1302" t="n">
        <v>0</v>
      </c>
      <c r="K101" s="1302" t="n">
        <v>0</v>
      </c>
      <c r="L101" s="1302" t="n">
        <v>0</v>
      </c>
      <c r="M101" s="1302" t="n">
        <v>0</v>
      </c>
      <c r="N101" s="1302" t="n">
        <v>1</v>
      </c>
      <c r="O101" s="1302" t="n">
        <v>1</v>
      </c>
      <c r="P101" s="1302" t="n">
        <v>1</v>
      </c>
      <c r="Q101" s="1302" t="n">
        <v>0</v>
      </c>
      <c r="R101" s="1303" t="n">
        <v>0</v>
      </c>
      <c r="S101" s="1302">
        <f>IF(I101="","",ROUND(IF(OR(I101="m²",I101="m2"),J101*IF(K101=0,1,K101)*IF(N101=0,1,N101)*IF(O101=0,1,O101)*P101-Q101,IF(OR(I101="m³",I101="m3"),J101*K101*L101*IF(N101=0,1,N101)*IF(O101=0,1,O101)*P101-Q101,IF(OR(I101="ml",I101="ML"),J101*IF(N101=0,1,N101)*IF(O101=0,1,O101)*P101-Q101,IF(OR(I101="und",I101="UND"),IF(N101=0,1,N101)*IF(O101=0,1,O101)*P101-Q101,IF(I101="kg",J101*IF(N101=0,1,N101)*IF(O101=0,1,O101)*P101-Q101,0))))),3))</f>
        <v/>
      </c>
      <c r="T101" s="1302">
        <f>IF(S101="","",ROUND(S101*(1+R101),3))</f>
        <v/>
      </c>
      <c r="U101" s="361" t="inlineStr">
        <is>
          <t>und</t>
        </is>
      </c>
      <c r="V101" s="363" t="n"/>
      <c r="W101" s="363" t="n"/>
      <c r="X101" s="1304" t="n"/>
      <c r="Y101" s="363" t="inlineStr">
        <is>
          <t>Pendiente</t>
        </is>
      </c>
    </row>
    <row r="102" ht="15" customFormat="1" customHeight="1" s="666">
      <c r="A102" s="358" t="inlineStr">
        <is>
          <t>MQ-094</t>
        </is>
      </c>
      <c r="B102" s="359" t="inlineStr">
        <is>
          <t>INSTALACIONES HIDROSANITARIAS</t>
        </is>
      </c>
      <c r="C102" s="360" t="inlineStr">
        <is>
          <t>Aparatos</t>
        </is>
      </c>
      <c r="D102" s="361" t="inlineStr">
        <is>
          <t>13.03.02</t>
        </is>
      </c>
      <c r="E102" s="362" t="inlineStr">
        <is>
          <t>Lavamanos</t>
        </is>
      </c>
      <c r="F102" s="363" t="n"/>
      <c r="G102" s="363" t="n"/>
      <c r="H102" s="363" t="n"/>
      <c r="I102" s="361" t="inlineStr">
        <is>
          <t>und</t>
        </is>
      </c>
      <c r="J102" s="1302" t="n">
        <v>0</v>
      </c>
      <c r="K102" s="1302" t="n">
        <v>0</v>
      </c>
      <c r="L102" s="1302" t="n">
        <v>0</v>
      </c>
      <c r="M102" s="1302" t="n">
        <v>0</v>
      </c>
      <c r="N102" s="1302" t="n">
        <v>1</v>
      </c>
      <c r="O102" s="1302" t="n">
        <v>1</v>
      </c>
      <c r="P102" s="1302" t="n">
        <v>1</v>
      </c>
      <c r="Q102" s="1302" t="n">
        <v>0</v>
      </c>
      <c r="R102" s="1303" t="n">
        <v>0</v>
      </c>
      <c r="S102" s="1302">
        <f>IF(I102="","",ROUND(IF(OR(I102="m²",I102="m2"),J102*IF(K102=0,1,K102)*IF(N102=0,1,N102)*IF(O102=0,1,O102)*P102-Q102,IF(OR(I102="m³",I102="m3"),J102*K102*L102*IF(N102=0,1,N102)*IF(O102=0,1,O102)*P102-Q102,IF(OR(I102="ml",I102="ML"),J102*IF(N102=0,1,N102)*IF(O102=0,1,O102)*P102-Q102,IF(OR(I102="und",I102="UND"),IF(N102=0,1,N102)*IF(O102=0,1,O102)*P102-Q102,IF(I102="kg",J102*IF(N102=0,1,N102)*IF(O102=0,1,O102)*P102-Q102,0))))),3))</f>
        <v/>
      </c>
      <c r="T102" s="1302">
        <f>IF(S102="","",ROUND(S102*(1+R102),3))</f>
        <v/>
      </c>
      <c r="U102" s="361" t="inlineStr">
        <is>
          <t>und</t>
        </is>
      </c>
      <c r="V102" s="363" t="n"/>
      <c r="W102" s="363" t="n"/>
      <c r="X102" s="1304" t="n"/>
      <c r="Y102" s="363" t="inlineStr">
        <is>
          <t>Pendiente</t>
        </is>
      </c>
    </row>
    <row r="103" ht="15" customFormat="1" customHeight="1" s="666">
      <c r="A103" s="358" t="inlineStr">
        <is>
          <t>MQ-095</t>
        </is>
      </c>
      <c r="B103" s="359" t="inlineStr">
        <is>
          <t>INSTALACIONES HIDROSANITARIAS</t>
        </is>
      </c>
      <c r="C103" s="360" t="inlineStr">
        <is>
          <t>Aparatos</t>
        </is>
      </c>
      <c r="D103" s="361" t="inlineStr">
        <is>
          <t>13.03.03</t>
        </is>
      </c>
      <c r="E103" s="362" t="inlineStr">
        <is>
          <t>Griferías</t>
        </is>
      </c>
      <c r="F103" s="363" t="n"/>
      <c r="G103" s="363" t="n"/>
      <c r="H103" s="363" t="n"/>
      <c r="I103" s="361" t="inlineStr">
        <is>
          <t>und</t>
        </is>
      </c>
      <c r="J103" s="1302" t="n">
        <v>0</v>
      </c>
      <c r="K103" s="1302" t="n">
        <v>0</v>
      </c>
      <c r="L103" s="1302" t="n">
        <v>0</v>
      </c>
      <c r="M103" s="1302" t="n">
        <v>0</v>
      </c>
      <c r="N103" s="1302" t="n">
        <v>1</v>
      </c>
      <c r="O103" s="1302" t="n">
        <v>1</v>
      </c>
      <c r="P103" s="1302" t="n">
        <v>1</v>
      </c>
      <c r="Q103" s="1302" t="n">
        <v>0</v>
      </c>
      <c r="R103" s="1303" t="n">
        <v>0</v>
      </c>
      <c r="S103" s="1302">
        <f>IF(I103="","",ROUND(IF(OR(I103="m²",I103="m2"),J103*IF(K103=0,1,K103)*IF(N103=0,1,N103)*IF(O103=0,1,O103)*P103-Q103,IF(OR(I103="m³",I103="m3"),J103*K103*L103*IF(N103=0,1,N103)*IF(O103=0,1,O103)*P103-Q103,IF(OR(I103="ml",I103="ML"),J103*IF(N103=0,1,N103)*IF(O103=0,1,O103)*P103-Q103,IF(OR(I103="und",I103="UND"),IF(N103=0,1,N103)*IF(O103=0,1,O103)*P103-Q103,IF(I103="kg",J103*IF(N103=0,1,N103)*IF(O103=0,1,O103)*P103-Q103,0))))),3))</f>
        <v/>
      </c>
      <c r="T103" s="1302">
        <f>IF(S103="","",ROUND(S103*(1+R103),3))</f>
        <v/>
      </c>
      <c r="U103" s="361" t="inlineStr">
        <is>
          <t>und</t>
        </is>
      </c>
      <c r="V103" s="363" t="n"/>
      <c r="W103" s="363" t="n"/>
      <c r="X103" s="1304" t="n"/>
      <c r="Y103" s="363" t="inlineStr">
        <is>
          <t>Pendiente</t>
        </is>
      </c>
    </row>
    <row r="104" ht="15" customFormat="1" customHeight="1" s="666">
      <c r="A104" s="358" t="inlineStr">
        <is>
          <t>MQ-096</t>
        </is>
      </c>
      <c r="B104" s="359" t="inlineStr">
        <is>
          <t>INSTALACIONES HIDROSANITARIAS</t>
        </is>
      </c>
      <c r="C104" s="360" t="inlineStr">
        <is>
          <t>Aparatos</t>
        </is>
      </c>
      <c r="D104" s="361" t="inlineStr">
        <is>
          <t>13.03.04</t>
        </is>
      </c>
      <c r="E104" s="362" t="inlineStr">
        <is>
          <t>Duchas</t>
        </is>
      </c>
      <c r="F104" s="363" t="n"/>
      <c r="G104" s="363" t="n"/>
      <c r="H104" s="363" t="n"/>
      <c r="I104" s="361" t="inlineStr">
        <is>
          <t>und</t>
        </is>
      </c>
      <c r="J104" s="1302" t="n">
        <v>0</v>
      </c>
      <c r="K104" s="1302" t="n">
        <v>0</v>
      </c>
      <c r="L104" s="1302" t="n">
        <v>0</v>
      </c>
      <c r="M104" s="1302" t="n">
        <v>0</v>
      </c>
      <c r="N104" s="1302" t="n">
        <v>1</v>
      </c>
      <c r="O104" s="1302" t="n">
        <v>1</v>
      </c>
      <c r="P104" s="1302" t="n">
        <v>1</v>
      </c>
      <c r="Q104" s="1302" t="n">
        <v>0</v>
      </c>
      <c r="R104" s="1303" t="n">
        <v>0</v>
      </c>
      <c r="S104" s="1302">
        <f>IF(I104="","",ROUND(IF(OR(I104="m²",I104="m2"),J104*IF(K104=0,1,K104)*IF(N104=0,1,N104)*IF(O104=0,1,O104)*P104-Q104,IF(OR(I104="m³",I104="m3"),J104*K104*L104*IF(N104=0,1,N104)*IF(O104=0,1,O104)*P104-Q104,IF(OR(I104="ml",I104="ML"),J104*IF(N104=0,1,N104)*IF(O104=0,1,O104)*P104-Q104,IF(OR(I104="und",I104="UND"),IF(N104=0,1,N104)*IF(O104=0,1,O104)*P104-Q104,IF(I104="kg",J104*IF(N104=0,1,N104)*IF(O104=0,1,O104)*P104-Q104,0))))),3))</f>
        <v/>
      </c>
      <c r="T104" s="1302">
        <f>IF(S104="","",ROUND(S104*(1+R104),3))</f>
        <v/>
      </c>
      <c r="U104" s="361" t="inlineStr">
        <is>
          <t>und</t>
        </is>
      </c>
      <c r="V104" s="363" t="n"/>
      <c r="W104" s="363" t="n"/>
      <c r="X104" s="1304" t="n"/>
      <c r="Y104" s="363" t="inlineStr">
        <is>
          <t>Pendiente</t>
        </is>
      </c>
    </row>
    <row r="105" ht="15" customFormat="1" customHeight="1" s="666">
      <c r="A105" s="358" t="inlineStr">
        <is>
          <t>MQ-097</t>
        </is>
      </c>
      <c r="B105" s="359" t="inlineStr">
        <is>
          <t>INSTALACIONES HIDROSANITARIAS</t>
        </is>
      </c>
      <c r="C105" s="360" t="inlineStr">
        <is>
          <t>Pruebas</t>
        </is>
      </c>
      <c r="D105" s="361" t="inlineStr">
        <is>
          <t>13.04.01</t>
        </is>
      </c>
      <c r="E105" s="362" t="inlineStr">
        <is>
          <t>Pruebas hidráulicas y de estanqueidad</t>
        </is>
      </c>
      <c r="F105" s="363" t="n"/>
      <c r="G105" s="363" t="n"/>
      <c r="H105" s="363" t="n"/>
      <c r="I105" s="361" t="inlineStr">
        <is>
          <t>gl</t>
        </is>
      </c>
      <c r="J105" s="1302" t="n">
        <v>0</v>
      </c>
      <c r="K105" s="1302" t="n">
        <v>0</v>
      </c>
      <c r="L105" s="1302" t="n">
        <v>0</v>
      </c>
      <c r="M105" s="1302" t="n">
        <v>0</v>
      </c>
      <c r="N105" s="1302" t="n">
        <v>1</v>
      </c>
      <c r="O105" s="1302" t="n">
        <v>1</v>
      </c>
      <c r="P105" s="1302" t="n">
        <v>1</v>
      </c>
      <c r="Q105" s="1302" t="n">
        <v>0</v>
      </c>
      <c r="R105" s="1303" t="n">
        <v>0</v>
      </c>
      <c r="S105" s="1302">
        <f>IF(I105="","",ROUND(IF(OR(I105="m²",I105="m2"),J105*IF(K105=0,1,K105)*IF(N105=0,1,N105)*IF(O105=0,1,O105)*P105-Q105,IF(OR(I105="m³",I105="m3"),J105*K105*L105*IF(N105=0,1,N105)*IF(O105=0,1,O105)*P105-Q105,IF(OR(I105="ml",I105="ML"),J105*IF(N105=0,1,N105)*IF(O105=0,1,O105)*P105-Q105,IF(OR(I105="und",I105="UND"),IF(N105=0,1,N105)*IF(O105=0,1,O105)*P105-Q105,IF(I105="kg",J105*IF(N105=0,1,N105)*IF(O105=0,1,O105)*P105-Q105,0))))),3))</f>
        <v/>
      </c>
      <c r="T105" s="1302">
        <f>IF(S105="","",ROUND(S105*(1+R105),3))</f>
        <v/>
      </c>
      <c r="U105" s="361" t="inlineStr">
        <is>
          <t>gl</t>
        </is>
      </c>
      <c r="V105" s="363" t="n"/>
      <c r="W105" s="363" t="n"/>
      <c r="X105" s="1304" t="n"/>
      <c r="Y105" s="363" t="inlineStr">
        <is>
          <t>Pendiente</t>
        </is>
      </c>
    </row>
    <row r="106" ht="15" customFormat="1" customHeight="1" s="666">
      <c r="A106" s="358" t="inlineStr">
        <is>
          <t>MQ-098</t>
        </is>
      </c>
      <c r="B106" s="359" t="inlineStr">
        <is>
          <t>INSTALACIONES ELÉCTRICAS</t>
        </is>
      </c>
      <c r="C106" s="360" t="inlineStr">
        <is>
          <t>Canalizaciones</t>
        </is>
      </c>
      <c r="D106" s="361" t="inlineStr">
        <is>
          <t>14.01.01</t>
        </is>
      </c>
      <c r="E106" s="362" t="inlineStr">
        <is>
          <t>Tubería/conduit eléctrica</t>
        </is>
      </c>
      <c r="F106" s="363" t="n"/>
      <c r="G106" s="363" t="n"/>
      <c r="H106" s="363" t="n"/>
      <c r="I106" s="361" t="inlineStr">
        <is>
          <t>ml</t>
        </is>
      </c>
      <c r="J106" s="1302" t="n">
        <v>0</v>
      </c>
      <c r="K106" s="1302" t="n">
        <v>0</v>
      </c>
      <c r="L106" s="1302" t="n">
        <v>0</v>
      </c>
      <c r="M106" s="1302" t="n">
        <v>0</v>
      </c>
      <c r="N106" s="1302" t="n">
        <v>1</v>
      </c>
      <c r="O106" s="1302" t="n">
        <v>1</v>
      </c>
      <c r="P106" s="1302" t="n">
        <v>1</v>
      </c>
      <c r="Q106" s="1302" t="n">
        <v>0</v>
      </c>
      <c r="R106" s="1303" t="n">
        <v>0</v>
      </c>
      <c r="S106" s="1302">
        <f>IF(I106="","",ROUND(IF(OR(I106="m²",I106="m2"),J106*IF(K106=0,1,K106)*IF(N106=0,1,N106)*IF(O106=0,1,O106)*P106-Q106,IF(OR(I106="m³",I106="m3"),J106*K106*L106*IF(N106=0,1,N106)*IF(O106=0,1,O106)*P106-Q106,IF(OR(I106="ml",I106="ML"),J106*IF(N106=0,1,N106)*IF(O106=0,1,O106)*P106-Q106,IF(OR(I106="und",I106="UND"),IF(N106=0,1,N106)*IF(O106=0,1,O106)*P106-Q106,IF(I106="kg",J106*IF(N106=0,1,N106)*IF(O106=0,1,O106)*P106-Q106,0))))),3))</f>
        <v/>
      </c>
      <c r="T106" s="1302">
        <f>IF(S106="","",ROUND(S106*(1+R106),3))</f>
        <v/>
      </c>
      <c r="U106" s="361" t="inlineStr">
        <is>
          <t>ml</t>
        </is>
      </c>
      <c r="V106" s="363" t="n"/>
      <c r="W106" s="363" t="n"/>
      <c r="X106" s="1304" t="n"/>
      <c r="Y106" s="363" t="inlineStr">
        <is>
          <t>Pendiente</t>
        </is>
      </c>
    </row>
    <row r="107" ht="15" customFormat="1" customHeight="1" s="666">
      <c r="A107" s="358" t="inlineStr">
        <is>
          <t>MQ-099</t>
        </is>
      </c>
      <c r="B107" s="359" t="inlineStr">
        <is>
          <t>INSTALACIONES ELÉCTRICAS</t>
        </is>
      </c>
      <c r="C107" s="360" t="inlineStr">
        <is>
          <t>Canalizaciones</t>
        </is>
      </c>
      <c r="D107" s="361" t="inlineStr">
        <is>
          <t>14.01.02</t>
        </is>
      </c>
      <c r="E107" s="362" t="inlineStr">
        <is>
          <t>Bandejas portacables</t>
        </is>
      </c>
      <c r="F107" s="363" t="n"/>
      <c r="G107" s="363" t="n"/>
      <c r="H107" s="363" t="n"/>
      <c r="I107" s="361" t="inlineStr">
        <is>
          <t>ml</t>
        </is>
      </c>
      <c r="J107" s="1302" t="n">
        <v>0</v>
      </c>
      <c r="K107" s="1302" t="n">
        <v>0</v>
      </c>
      <c r="L107" s="1302" t="n">
        <v>0</v>
      </c>
      <c r="M107" s="1302" t="n">
        <v>0</v>
      </c>
      <c r="N107" s="1302" t="n">
        <v>1</v>
      </c>
      <c r="O107" s="1302" t="n">
        <v>1</v>
      </c>
      <c r="P107" s="1302" t="n">
        <v>1</v>
      </c>
      <c r="Q107" s="1302" t="n">
        <v>0</v>
      </c>
      <c r="R107" s="1303" t="n">
        <v>0</v>
      </c>
      <c r="S107" s="1302">
        <f>IF(I107="","",ROUND(IF(OR(I107="m²",I107="m2"),J107*IF(K107=0,1,K107)*IF(N107=0,1,N107)*IF(O107=0,1,O107)*P107-Q107,IF(OR(I107="m³",I107="m3"),J107*K107*L107*IF(N107=0,1,N107)*IF(O107=0,1,O107)*P107-Q107,IF(OR(I107="ml",I107="ML"),J107*IF(N107=0,1,N107)*IF(O107=0,1,O107)*P107-Q107,IF(OR(I107="und",I107="UND"),IF(N107=0,1,N107)*IF(O107=0,1,O107)*P107-Q107,IF(I107="kg",J107*IF(N107=0,1,N107)*IF(O107=0,1,O107)*P107-Q107,0))))),3))</f>
        <v/>
      </c>
      <c r="T107" s="1302">
        <f>IF(S107="","",ROUND(S107*(1+R107),3))</f>
        <v/>
      </c>
      <c r="U107" s="361" t="inlineStr">
        <is>
          <t>ml</t>
        </is>
      </c>
      <c r="V107" s="363" t="n"/>
      <c r="W107" s="363" t="n"/>
      <c r="X107" s="1304" t="n"/>
      <c r="Y107" s="363" t="inlineStr">
        <is>
          <t>Pendiente</t>
        </is>
      </c>
    </row>
    <row r="108" ht="15" customFormat="1" customHeight="1" s="666">
      <c r="A108" s="358" t="inlineStr">
        <is>
          <t>MQ-100</t>
        </is>
      </c>
      <c r="B108" s="359" t="inlineStr">
        <is>
          <t>INSTALACIONES ELÉCTRICAS</t>
        </is>
      </c>
      <c r="C108" s="360" t="inlineStr">
        <is>
          <t>Canalizaciones</t>
        </is>
      </c>
      <c r="D108" s="361" t="inlineStr">
        <is>
          <t>14.01.03</t>
        </is>
      </c>
      <c r="E108" s="362" t="inlineStr">
        <is>
          <t>Cajas eléctricas</t>
        </is>
      </c>
      <c r="F108" s="363" t="n"/>
      <c r="G108" s="363" t="n"/>
      <c r="H108" s="363" t="n"/>
      <c r="I108" s="361" t="inlineStr">
        <is>
          <t>und</t>
        </is>
      </c>
      <c r="J108" s="1302" t="n">
        <v>0</v>
      </c>
      <c r="K108" s="1302" t="n">
        <v>0</v>
      </c>
      <c r="L108" s="1302" t="n">
        <v>0</v>
      </c>
      <c r="M108" s="1302" t="n">
        <v>0</v>
      </c>
      <c r="N108" s="1302" t="n">
        <v>1</v>
      </c>
      <c r="O108" s="1302" t="n">
        <v>1</v>
      </c>
      <c r="P108" s="1302" t="n">
        <v>1</v>
      </c>
      <c r="Q108" s="1302" t="n">
        <v>0</v>
      </c>
      <c r="R108" s="1303" t="n">
        <v>0</v>
      </c>
      <c r="S108" s="1302">
        <f>IF(I108="","",ROUND(IF(OR(I108="m²",I108="m2"),J108*IF(K108=0,1,K108)*IF(N108=0,1,N108)*IF(O108=0,1,O108)*P108-Q108,IF(OR(I108="m³",I108="m3"),J108*K108*L108*IF(N108=0,1,N108)*IF(O108=0,1,O108)*P108-Q108,IF(OR(I108="ml",I108="ML"),J108*IF(N108=0,1,N108)*IF(O108=0,1,O108)*P108-Q108,IF(OR(I108="und",I108="UND"),IF(N108=0,1,N108)*IF(O108=0,1,O108)*P108-Q108,IF(I108="kg",J108*IF(N108=0,1,N108)*IF(O108=0,1,O108)*P108-Q108,0))))),3))</f>
        <v/>
      </c>
      <c r="T108" s="1302">
        <f>IF(S108="","",ROUND(S108*(1+R108),3))</f>
        <v/>
      </c>
      <c r="U108" s="361" t="inlineStr">
        <is>
          <t>und</t>
        </is>
      </c>
      <c r="V108" s="363" t="n"/>
      <c r="W108" s="363" t="n"/>
      <c r="X108" s="1304" t="n"/>
      <c r="Y108" s="363" t="inlineStr">
        <is>
          <t>Pendiente</t>
        </is>
      </c>
    </row>
    <row r="109" ht="15" customFormat="1" customHeight="1" s="666">
      <c r="A109" s="358" t="inlineStr">
        <is>
          <t>MQ-101</t>
        </is>
      </c>
      <c r="B109" s="359" t="inlineStr">
        <is>
          <t>INSTALACIONES ELÉCTRICAS</t>
        </is>
      </c>
      <c r="C109" s="360" t="inlineStr">
        <is>
          <t>Cableado</t>
        </is>
      </c>
      <c r="D109" s="361" t="inlineStr">
        <is>
          <t>14.02.01</t>
        </is>
      </c>
      <c r="E109" s="362" t="inlineStr">
        <is>
          <t>Cableado de fuerza</t>
        </is>
      </c>
      <c r="F109" s="363" t="n"/>
      <c r="G109" s="363" t="n"/>
      <c r="H109" s="363" t="n"/>
      <c r="I109" s="361" t="inlineStr">
        <is>
          <t>ml</t>
        </is>
      </c>
      <c r="J109" s="1302" t="n">
        <v>0</v>
      </c>
      <c r="K109" s="1302" t="n">
        <v>0</v>
      </c>
      <c r="L109" s="1302" t="n">
        <v>0</v>
      </c>
      <c r="M109" s="1302" t="n">
        <v>0</v>
      </c>
      <c r="N109" s="1302" t="n">
        <v>1</v>
      </c>
      <c r="O109" s="1302" t="n">
        <v>1</v>
      </c>
      <c r="P109" s="1302" t="n">
        <v>1</v>
      </c>
      <c r="Q109" s="1302" t="n">
        <v>0</v>
      </c>
      <c r="R109" s="1303" t="n">
        <v>0</v>
      </c>
      <c r="S109" s="1302">
        <f>IF(I109="","",ROUND(IF(OR(I109="m²",I109="m2"),J109*IF(K109=0,1,K109)*IF(N109=0,1,N109)*IF(O109=0,1,O109)*P109-Q109,IF(OR(I109="m³",I109="m3"),J109*K109*L109*IF(N109=0,1,N109)*IF(O109=0,1,O109)*P109-Q109,IF(OR(I109="ml",I109="ML"),J109*IF(N109=0,1,N109)*IF(O109=0,1,O109)*P109-Q109,IF(OR(I109="und",I109="UND"),IF(N109=0,1,N109)*IF(O109=0,1,O109)*P109-Q109,IF(I109="kg",J109*IF(N109=0,1,N109)*IF(O109=0,1,O109)*P109-Q109,0))))),3))</f>
        <v/>
      </c>
      <c r="T109" s="1302">
        <f>IF(S109="","",ROUND(S109*(1+R109),3))</f>
        <v/>
      </c>
      <c r="U109" s="361" t="inlineStr">
        <is>
          <t>ml</t>
        </is>
      </c>
      <c r="V109" s="363" t="n"/>
      <c r="W109" s="363" t="n"/>
      <c r="X109" s="1304" t="n"/>
      <c r="Y109" s="363" t="inlineStr">
        <is>
          <t>Pendiente</t>
        </is>
      </c>
    </row>
    <row r="110" ht="15" customFormat="1" customHeight="1" s="666">
      <c r="A110" s="358" t="inlineStr">
        <is>
          <t>MQ-102</t>
        </is>
      </c>
      <c r="B110" s="359" t="inlineStr">
        <is>
          <t>INSTALACIONES ELÉCTRICAS</t>
        </is>
      </c>
      <c r="C110" s="360" t="inlineStr">
        <is>
          <t>Cableado</t>
        </is>
      </c>
      <c r="D110" s="361" t="inlineStr">
        <is>
          <t>14.02.02</t>
        </is>
      </c>
      <c r="E110" s="362" t="inlineStr">
        <is>
          <t>Cableado de iluminación</t>
        </is>
      </c>
      <c r="F110" s="363" t="n"/>
      <c r="G110" s="363" t="n"/>
      <c r="H110" s="363" t="n"/>
      <c r="I110" s="361" t="inlineStr">
        <is>
          <t>ml</t>
        </is>
      </c>
      <c r="J110" s="1302" t="n">
        <v>0</v>
      </c>
      <c r="K110" s="1302" t="n">
        <v>0</v>
      </c>
      <c r="L110" s="1302" t="n">
        <v>0</v>
      </c>
      <c r="M110" s="1302" t="n">
        <v>0</v>
      </c>
      <c r="N110" s="1302" t="n">
        <v>1</v>
      </c>
      <c r="O110" s="1302" t="n">
        <v>1</v>
      </c>
      <c r="P110" s="1302" t="n">
        <v>1</v>
      </c>
      <c r="Q110" s="1302" t="n">
        <v>0</v>
      </c>
      <c r="R110" s="1303" t="n">
        <v>0</v>
      </c>
      <c r="S110" s="1302">
        <f>IF(I110="","",ROUND(IF(OR(I110="m²",I110="m2"),J110*IF(K110=0,1,K110)*IF(N110=0,1,N110)*IF(O110=0,1,O110)*P110-Q110,IF(OR(I110="m³",I110="m3"),J110*K110*L110*IF(N110=0,1,N110)*IF(O110=0,1,O110)*P110-Q110,IF(OR(I110="ml",I110="ML"),J110*IF(N110=0,1,N110)*IF(O110=0,1,O110)*P110-Q110,IF(OR(I110="und",I110="UND"),IF(N110=0,1,N110)*IF(O110=0,1,O110)*P110-Q110,IF(I110="kg",J110*IF(N110=0,1,N110)*IF(O110=0,1,O110)*P110-Q110,0))))),3))</f>
        <v/>
      </c>
      <c r="T110" s="1302">
        <f>IF(S110="","",ROUND(S110*(1+R110),3))</f>
        <v/>
      </c>
      <c r="U110" s="361" t="inlineStr">
        <is>
          <t>ml</t>
        </is>
      </c>
      <c r="V110" s="363" t="n"/>
      <c r="W110" s="363" t="n"/>
      <c r="X110" s="1304" t="n"/>
      <c r="Y110" s="363" t="inlineStr">
        <is>
          <t>Pendiente</t>
        </is>
      </c>
    </row>
    <row r="111" ht="15" customFormat="1" customHeight="1" s="666">
      <c r="A111" s="358" t="inlineStr">
        <is>
          <t>MQ-103</t>
        </is>
      </c>
      <c r="B111" s="359" t="inlineStr">
        <is>
          <t>INSTALACIONES ELÉCTRICAS</t>
        </is>
      </c>
      <c r="C111" s="360" t="inlineStr">
        <is>
          <t>Cableado</t>
        </is>
      </c>
      <c r="D111" s="361" t="inlineStr">
        <is>
          <t>14.02.03</t>
        </is>
      </c>
      <c r="E111" s="362" t="inlineStr">
        <is>
          <t>Tableros eléctricos</t>
        </is>
      </c>
      <c r="F111" s="363" t="n"/>
      <c r="G111" s="363" t="n"/>
      <c r="H111" s="363" t="n"/>
      <c r="I111" s="361" t="inlineStr">
        <is>
          <t>und</t>
        </is>
      </c>
      <c r="J111" s="1302" t="n">
        <v>0</v>
      </c>
      <c r="K111" s="1302" t="n">
        <v>0</v>
      </c>
      <c r="L111" s="1302" t="n">
        <v>0</v>
      </c>
      <c r="M111" s="1302" t="n">
        <v>0</v>
      </c>
      <c r="N111" s="1302" t="n">
        <v>1</v>
      </c>
      <c r="O111" s="1302" t="n">
        <v>1</v>
      </c>
      <c r="P111" s="1302" t="n">
        <v>1</v>
      </c>
      <c r="Q111" s="1302" t="n">
        <v>0</v>
      </c>
      <c r="R111" s="1303" t="n">
        <v>0</v>
      </c>
      <c r="S111" s="1302">
        <f>IF(I111="","",ROUND(IF(OR(I111="m²",I111="m2"),J111*IF(K111=0,1,K111)*IF(N111=0,1,N111)*IF(O111=0,1,O111)*P111-Q111,IF(OR(I111="m³",I111="m3"),J111*K111*L111*IF(N111=0,1,N111)*IF(O111=0,1,O111)*P111-Q111,IF(OR(I111="ml",I111="ML"),J111*IF(N111=0,1,N111)*IF(O111=0,1,O111)*P111-Q111,IF(OR(I111="und",I111="UND"),IF(N111=0,1,N111)*IF(O111=0,1,O111)*P111-Q111,IF(I111="kg",J111*IF(N111=0,1,N111)*IF(O111=0,1,O111)*P111-Q111,0))))),3))</f>
        <v/>
      </c>
      <c r="T111" s="1302">
        <f>IF(S111="","",ROUND(S111*(1+R111),3))</f>
        <v/>
      </c>
      <c r="U111" s="361" t="inlineStr">
        <is>
          <t>und</t>
        </is>
      </c>
      <c r="V111" s="363" t="n"/>
      <c r="W111" s="363" t="n"/>
      <c r="X111" s="1304" t="n"/>
      <c r="Y111" s="363" t="inlineStr">
        <is>
          <t>Pendiente</t>
        </is>
      </c>
    </row>
    <row r="112" ht="15" customFormat="1" customHeight="1" s="666">
      <c r="A112" s="358" t="inlineStr">
        <is>
          <t>MQ-104</t>
        </is>
      </c>
      <c r="B112" s="359" t="inlineStr">
        <is>
          <t>INSTALACIONES ELÉCTRICAS</t>
        </is>
      </c>
      <c r="C112" s="360" t="inlineStr">
        <is>
          <t>Aparatos</t>
        </is>
      </c>
      <c r="D112" s="361" t="inlineStr">
        <is>
          <t>14.03.01</t>
        </is>
      </c>
      <c r="E112" s="362" t="inlineStr">
        <is>
          <t>Tomacorrientes</t>
        </is>
      </c>
      <c r="F112" s="363" t="n"/>
      <c r="G112" s="363" t="n"/>
      <c r="H112" s="363" t="n"/>
      <c r="I112" s="361" t="inlineStr">
        <is>
          <t>und</t>
        </is>
      </c>
      <c r="J112" s="1302" t="n">
        <v>0</v>
      </c>
      <c r="K112" s="1302" t="n">
        <v>0</v>
      </c>
      <c r="L112" s="1302" t="n">
        <v>0</v>
      </c>
      <c r="M112" s="1302" t="n">
        <v>0</v>
      </c>
      <c r="N112" s="1302" t="n">
        <v>1</v>
      </c>
      <c r="O112" s="1302" t="n">
        <v>1</v>
      </c>
      <c r="P112" s="1302" t="n">
        <v>1</v>
      </c>
      <c r="Q112" s="1302" t="n">
        <v>0</v>
      </c>
      <c r="R112" s="1303" t="n">
        <v>0</v>
      </c>
      <c r="S112" s="1302">
        <f>IF(I112="","",ROUND(IF(OR(I112="m²",I112="m2"),J112*IF(K112=0,1,K112)*IF(N112=0,1,N112)*IF(O112=0,1,O112)*P112-Q112,IF(OR(I112="m³",I112="m3"),J112*K112*L112*IF(N112=0,1,N112)*IF(O112=0,1,O112)*P112-Q112,IF(OR(I112="ml",I112="ML"),J112*IF(N112=0,1,N112)*IF(O112=0,1,O112)*P112-Q112,IF(OR(I112="und",I112="UND"),IF(N112=0,1,N112)*IF(O112=0,1,O112)*P112-Q112,IF(I112="kg",J112*IF(N112=0,1,N112)*IF(O112=0,1,O112)*P112-Q112,0))))),3))</f>
        <v/>
      </c>
      <c r="T112" s="1302">
        <f>IF(S112="","",ROUND(S112*(1+R112),3))</f>
        <v/>
      </c>
      <c r="U112" s="361" t="inlineStr">
        <is>
          <t>und</t>
        </is>
      </c>
      <c r="V112" s="363" t="n"/>
      <c r="W112" s="363" t="n"/>
      <c r="X112" s="1304" t="n"/>
      <c r="Y112" s="363" t="inlineStr">
        <is>
          <t>Pendiente</t>
        </is>
      </c>
    </row>
    <row r="113" ht="15" customFormat="1" customHeight="1" s="666">
      <c r="A113" s="358" t="inlineStr">
        <is>
          <t>MQ-105</t>
        </is>
      </c>
      <c r="B113" s="359" t="inlineStr">
        <is>
          <t>INSTALACIONES ELÉCTRICAS</t>
        </is>
      </c>
      <c r="C113" s="360" t="inlineStr">
        <is>
          <t>Aparatos</t>
        </is>
      </c>
      <c r="D113" s="361" t="inlineStr">
        <is>
          <t>14.03.02</t>
        </is>
      </c>
      <c r="E113" s="362" t="inlineStr">
        <is>
          <t>Interruptores</t>
        </is>
      </c>
      <c r="F113" s="363" t="n"/>
      <c r="G113" s="363" t="n"/>
      <c r="H113" s="363" t="n"/>
      <c r="I113" s="361" t="inlineStr">
        <is>
          <t>und</t>
        </is>
      </c>
      <c r="J113" s="1302" t="n">
        <v>0</v>
      </c>
      <c r="K113" s="1302" t="n">
        <v>0</v>
      </c>
      <c r="L113" s="1302" t="n">
        <v>0</v>
      </c>
      <c r="M113" s="1302" t="n">
        <v>0</v>
      </c>
      <c r="N113" s="1302" t="n">
        <v>1</v>
      </c>
      <c r="O113" s="1302" t="n">
        <v>1</v>
      </c>
      <c r="P113" s="1302" t="n">
        <v>1</v>
      </c>
      <c r="Q113" s="1302" t="n">
        <v>0</v>
      </c>
      <c r="R113" s="1303" t="n">
        <v>0</v>
      </c>
      <c r="S113" s="1302">
        <f>IF(I113="","",ROUND(IF(OR(I113="m²",I113="m2"),J113*IF(K113=0,1,K113)*IF(N113=0,1,N113)*IF(O113=0,1,O113)*P113-Q113,IF(OR(I113="m³",I113="m3"),J113*K113*L113*IF(N113=0,1,N113)*IF(O113=0,1,O113)*P113-Q113,IF(OR(I113="ml",I113="ML"),J113*IF(N113=0,1,N113)*IF(O113=0,1,O113)*P113-Q113,IF(OR(I113="und",I113="UND"),IF(N113=0,1,N113)*IF(O113=0,1,O113)*P113-Q113,IF(I113="kg",J113*IF(N113=0,1,N113)*IF(O113=0,1,O113)*P113-Q113,0))))),3))</f>
        <v/>
      </c>
      <c r="T113" s="1302">
        <f>IF(S113="","",ROUND(S113*(1+R113),3))</f>
        <v/>
      </c>
      <c r="U113" s="361" t="inlineStr">
        <is>
          <t>und</t>
        </is>
      </c>
      <c r="V113" s="363" t="n"/>
      <c r="W113" s="363" t="n"/>
      <c r="X113" s="1304" t="n"/>
      <c r="Y113" s="363" t="inlineStr">
        <is>
          <t>Pendiente</t>
        </is>
      </c>
    </row>
    <row r="114" ht="15" customFormat="1" customHeight="1" s="666">
      <c r="A114" s="358" t="inlineStr">
        <is>
          <t>MQ-106</t>
        </is>
      </c>
      <c r="B114" s="359" t="inlineStr">
        <is>
          <t>INSTALACIONES ELÉCTRICAS</t>
        </is>
      </c>
      <c r="C114" s="360" t="inlineStr">
        <is>
          <t>Aparatos</t>
        </is>
      </c>
      <c r="D114" s="361" t="inlineStr">
        <is>
          <t>14.03.03</t>
        </is>
      </c>
      <c r="E114" s="362" t="inlineStr">
        <is>
          <t>Luminarias</t>
        </is>
      </c>
      <c r="F114" s="363" t="n"/>
      <c r="G114" s="363" t="n"/>
      <c r="H114" s="363" t="n"/>
      <c r="I114" s="361" t="inlineStr">
        <is>
          <t>und</t>
        </is>
      </c>
      <c r="J114" s="1302" t="n">
        <v>0</v>
      </c>
      <c r="K114" s="1302" t="n">
        <v>0</v>
      </c>
      <c r="L114" s="1302" t="n">
        <v>0</v>
      </c>
      <c r="M114" s="1302" t="n">
        <v>0</v>
      </c>
      <c r="N114" s="1302" t="n">
        <v>1</v>
      </c>
      <c r="O114" s="1302" t="n">
        <v>1</v>
      </c>
      <c r="P114" s="1302" t="n">
        <v>1</v>
      </c>
      <c r="Q114" s="1302" t="n">
        <v>0</v>
      </c>
      <c r="R114" s="1303" t="n">
        <v>0</v>
      </c>
      <c r="S114" s="1302">
        <f>IF(I114="","",ROUND(IF(OR(I114="m²",I114="m2"),J114*IF(K114=0,1,K114)*IF(N114=0,1,N114)*IF(O114=0,1,O114)*P114-Q114,IF(OR(I114="m³",I114="m3"),J114*K114*L114*IF(N114=0,1,N114)*IF(O114=0,1,O114)*P114-Q114,IF(OR(I114="ml",I114="ML"),J114*IF(N114=0,1,N114)*IF(O114=0,1,O114)*P114-Q114,IF(OR(I114="und",I114="UND"),IF(N114=0,1,N114)*IF(O114=0,1,O114)*P114-Q114,IF(I114="kg",J114*IF(N114=0,1,N114)*IF(O114=0,1,O114)*P114-Q114,0))))),3))</f>
        <v/>
      </c>
      <c r="T114" s="1302">
        <f>IF(S114="","",ROUND(S114*(1+R114),3))</f>
        <v/>
      </c>
      <c r="U114" s="361" t="inlineStr">
        <is>
          <t>und</t>
        </is>
      </c>
      <c r="V114" s="363" t="n"/>
      <c r="W114" s="363" t="n"/>
      <c r="X114" s="1304" t="n"/>
      <c r="Y114" s="363" t="inlineStr">
        <is>
          <t>Pendiente</t>
        </is>
      </c>
    </row>
    <row r="115" ht="15" customFormat="1" customHeight="1" s="666">
      <c r="A115" s="358" t="inlineStr">
        <is>
          <t>MQ-107</t>
        </is>
      </c>
      <c r="B115" s="359" t="inlineStr">
        <is>
          <t>INSTALACIONES ELÉCTRICAS</t>
        </is>
      </c>
      <c r="C115" s="360" t="inlineStr">
        <is>
          <t>Puesta a tierra</t>
        </is>
      </c>
      <c r="D115" s="361" t="inlineStr">
        <is>
          <t>14.04.01</t>
        </is>
      </c>
      <c r="E115" s="362" t="inlineStr">
        <is>
          <t>Sistema de puesta a tierra</t>
        </is>
      </c>
      <c r="F115" s="363" t="n"/>
      <c r="G115" s="363" t="n"/>
      <c r="H115" s="363" t="n"/>
      <c r="I115" s="361" t="inlineStr">
        <is>
          <t>gl</t>
        </is>
      </c>
      <c r="J115" s="1302" t="n">
        <v>0</v>
      </c>
      <c r="K115" s="1302" t="n">
        <v>0</v>
      </c>
      <c r="L115" s="1302" t="n">
        <v>0</v>
      </c>
      <c r="M115" s="1302" t="n">
        <v>0</v>
      </c>
      <c r="N115" s="1302" t="n">
        <v>1</v>
      </c>
      <c r="O115" s="1302" t="n">
        <v>1</v>
      </c>
      <c r="P115" s="1302" t="n">
        <v>1</v>
      </c>
      <c r="Q115" s="1302" t="n">
        <v>0</v>
      </c>
      <c r="R115" s="1303" t="n">
        <v>0</v>
      </c>
      <c r="S115" s="1302">
        <f>IF(I115="","",ROUND(IF(OR(I115="m²",I115="m2"),J115*IF(K115=0,1,K115)*IF(N115=0,1,N115)*IF(O115=0,1,O115)*P115-Q115,IF(OR(I115="m³",I115="m3"),J115*K115*L115*IF(N115=0,1,N115)*IF(O115=0,1,O115)*P115-Q115,IF(OR(I115="ml",I115="ML"),J115*IF(N115=0,1,N115)*IF(O115=0,1,O115)*P115-Q115,IF(OR(I115="und",I115="UND"),IF(N115=0,1,N115)*IF(O115=0,1,O115)*P115-Q115,IF(I115="kg",J115*IF(N115=0,1,N115)*IF(O115=0,1,O115)*P115-Q115,0))))),3))</f>
        <v/>
      </c>
      <c r="T115" s="1302">
        <f>IF(S115="","",ROUND(S115*(1+R115),3))</f>
        <v/>
      </c>
      <c r="U115" s="361" t="inlineStr">
        <is>
          <t>gl</t>
        </is>
      </c>
      <c r="V115" s="363" t="n"/>
      <c r="W115" s="363" t="n"/>
      <c r="X115" s="1304" t="n"/>
      <c r="Y115" s="363" t="inlineStr">
        <is>
          <t>Pendiente</t>
        </is>
      </c>
    </row>
    <row r="116" ht="15" customFormat="1" customHeight="1" s="666">
      <c r="A116" s="358" t="inlineStr">
        <is>
          <t>MQ-108</t>
        </is>
      </c>
      <c r="B116" s="359" t="inlineStr">
        <is>
          <t>INSTALACIONES ELÉCTRICAS</t>
        </is>
      </c>
      <c r="C116" s="360" t="inlineStr">
        <is>
          <t>Pruebas</t>
        </is>
      </c>
      <c r="D116" s="361" t="inlineStr">
        <is>
          <t>14.05.01</t>
        </is>
      </c>
      <c r="E116" s="362" t="inlineStr">
        <is>
          <t>Pruebas y certificaciones</t>
        </is>
      </c>
      <c r="F116" s="363" t="n"/>
      <c r="G116" s="363" t="n"/>
      <c r="H116" s="363" t="n"/>
      <c r="I116" s="361" t="inlineStr">
        <is>
          <t>gl</t>
        </is>
      </c>
      <c r="J116" s="1302" t="n">
        <v>0</v>
      </c>
      <c r="K116" s="1302" t="n">
        <v>0</v>
      </c>
      <c r="L116" s="1302" t="n">
        <v>0</v>
      </c>
      <c r="M116" s="1302" t="n">
        <v>0</v>
      </c>
      <c r="N116" s="1302" t="n">
        <v>1</v>
      </c>
      <c r="O116" s="1302" t="n">
        <v>1</v>
      </c>
      <c r="P116" s="1302" t="n">
        <v>1</v>
      </c>
      <c r="Q116" s="1302" t="n">
        <v>0</v>
      </c>
      <c r="R116" s="1303" t="n">
        <v>0</v>
      </c>
      <c r="S116" s="1302">
        <f>IF(I116="","",ROUND(IF(OR(I116="m²",I116="m2"),J116*IF(K116=0,1,K116)*IF(N116=0,1,N116)*IF(O116=0,1,O116)*P116-Q116,IF(OR(I116="m³",I116="m3"),J116*K116*L116*IF(N116=0,1,N116)*IF(O116=0,1,O116)*P116-Q116,IF(OR(I116="ml",I116="ML"),J116*IF(N116=0,1,N116)*IF(O116=0,1,O116)*P116-Q116,IF(OR(I116="und",I116="UND"),IF(N116=0,1,N116)*IF(O116=0,1,O116)*P116-Q116,IF(I116="kg",J116*IF(N116=0,1,N116)*IF(O116=0,1,O116)*P116-Q116,0))))),3))</f>
        <v/>
      </c>
      <c r="T116" s="1302">
        <f>IF(S116="","",ROUND(S116*(1+R116),3))</f>
        <v/>
      </c>
      <c r="U116" s="361" t="inlineStr">
        <is>
          <t>gl</t>
        </is>
      </c>
      <c r="V116" s="363" t="n"/>
      <c r="W116" s="363" t="n"/>
      <c r="X116" s="1304" t="n"/>
      <c r="Y116" s="363" t="inlineStr">
        <is>
          <t>Pendiente</t>
        </is>
      </c>
    </row>
    <row r="117" ht="15" customFormat="1" customHeight="1" s="666">
      <c r="A117" s="358" t="inlineStr">
        <is>
          <t>MQ-109</t>
        </is>
      </c>
      <c r="B117" s="359" t="inlineStr">
        <is>
          <t>COMUNICACIONES Y SEGURIDAD</t>
        </is>
      </c>
      <c r="C117" s="360" t="inlineStr">
        <is>
          <t>Datos</t>
        </is>
      </c>
      <c r="D117" s="361" t="inlineStr">
        <is>
          <t>15.01.01</t>
        </is>
      </c>
      <c r="E117" s="362" t="inlineStr">
        <is>
          <t>Cableado estructurado de datos</t>
        </is>
      </c>
      <c r="F117" s="363" t="n"/>
      <c r="G117" s="363" t="n"/>
      <c r="H117" s="363" t="n"/>
      <c r="I117" s="361" t="inlineStr">
        <is>
          <t>ml</t>
        </is>
      </c>
      <c r="J117" s="1302" t="n">
        <v>0</v>
      </c>
      <c r="K117" s="1302" t="n">
        <v>0</v>
      </c>
      <c r="L117" s="1302" t="n">
        <v>0</v>
      </c>
      <c r="M117" s="1302" t="n">
        <v>0</v>
      </c>
      <c r="N117" s="1302" t="n">
        <v>1</v>
      </c>
      <c r="O117" s="1302" t="n">
        <v>1</v>
      </c>
      <c r="P117" s="1302" t="n">
        <v>1</v>
      </c>
      <c r="Q117" s="1302" t="n">
        <v>0</v>
      </c>
      <c r="R117" s="1303" t="n">
        <v>0</v>
      </c>
      <c r="S117" s="1302">
        <f>IF(I117="","",ROUND(IF(OR(I117="m²",I117="m2"),J117*IF(K117=0,1,K117)*IF(N117=0,1,N117)*IF(O117=0,1,O117)*P117-Q117,IF(OR(I117="m³",I117="m3"),J117*K117*L117*IF(N117=0,1,N117)*IF(O117=0,1,O117)*P117-Q117,IF(OR(I117="ml",I117="ML"),J117*IF(N117=0,1,N117)*IF(O117=0,1,O117)*P117-Q117,IF(OR(I117="und",I117="UND"),IF(N117=0,1,N117)*IF(O117=0,1,O117)*P117-Q117,IF(I117="kg",J117*IF(N117=0,1,N117)*IF(O117=0,1,O117)*P117-Q117,0))))),3))</f>
        <v/>
      </c>
      <c r="T117" s="1302">
        <f>IF(S117="","",ROUND(S117*(1+R117),3))</f>
        <v/>
      </c>
      <c r="U117" s="361" t="inlineStr">
        <is>
          <t>ml</t>
        </is>
      </c>
      <c r="V117" s="363" t="n"/>
      <c r="W117" s="363" t="n"/>
      <c r="X117" s="1304" t="n"/>
      <c r="Y117" s="363" t="inlineStr">
        <is>
          <t>Pendiente</t>
        </is>
      </c>
    </row>
    <row r="118" ht="15" customFormat="1" customHeight="1" s="666">
      <c r="A118" s="358" t="inlineStr">
        <is>
          <t>MQ-110</t>
        </is>
      </c>
      <c r="B118" s="359" t="inlineStr">
        <is>
          <t>COMUNICACIONES Y SEGURIDAD</t>
        </is>
      </c>
      <c r="C118" s="360" t="inlineStr">
        <is>
          <t>Datos</t>
        </is>
      </c>
      <c r="D118" s="361" t="inlineStr">
        <is>
          <t>15.01.02</t>
        </is>
      </c>
      <c r="E118" s="362" t="inlineStr">
        <is>
          <t>Rack de comunicaciones</t>
        </is>
      </c>
      <c r="F118" s="363" t="n"/>
      <c r="G118" s="363" t="n"/>
      <c r="H118" s="363" t="n"/>
      <c r="I118" s="361" t="inlineStr">
        <is>
          <t>und</t>
        </is>
      </c>
      <c r="J118" s="1302" t="n">
        <v>0</v>
      </c>
      <c r="K118" s="1302" t="n">
        <v>0</v>
      </c>
      <c r="L118" s="1302" t="n">
        <v>0</v>
      </c>
      <c r="M118" s="1302" t="n">
        <v>0</v>
      </c>
      <c r="N118" s="1302" t="n">
        <v>1</v>
      </c>
      <c r="O118" s="1302" t="n">
        <v>1</v>
      </c>
      <c r="P118" s="1302" t="n">
        <v>1</v>
      </c>
      <c r="Q118" s="1302" t="n">
        <v>0</v>
      </c>
      <c r="R118" s="1303" t="n">
        <v>0</v>
      </c>
      <c r="S118" s="1302">
        <f>IF(I118="","",ROUND(IF(OR(I118="m²",I118="m2"),J118*IF(K118=0,1,K118)*IF(N118=0,1,N118)*IF(O118=0,1,O118)*P118-Q118,IF(OR(I118="m³",I118="m3"),J118*K118*L118*IF(N118=0,1,N118)*IF(O118=0,1,O118)*P118-Q118,IF(OR(I118="ml",I118="ML"),J118*IF(N118=0,1,N118)*IF(O118=0,1,O118)*P118-Q118,IF(OR(I118="und",I118="UND"),IF(N118=0,1,N118)*IF(O118=0,1,O118)*P118-Q118,IF(I118="kg",J118*IF(N118=0,1,N118)*IF(O118=0,1,O118)*P118-Q118,0))))),3))</f>
        <v/>
      </c>
      <c r="T118" s="1302">
        <f>IF(S118="","",ROUND(S118*(1+R118),3))</f>
        <v/>
      </c>
      <c r="U118" s="361" t="inlineStr">
        <is>
          <t>und</t>
        </is>
      </c>
      <c r="V118" s="363" t="n"/>
      <c r="W118" s="363" t="n"/>
      <c r="X118" s="1304" t="n"/>
      <c r="Y118" s="363" t="inlineStr">
        <is>
          <t>Pendiente</t>
        </is>
      </c>
    </row>
    <row r="119" ht="15" customFormat="1" customHeight="1" s="666">
      <c r="A119" s="358" t="inlineStr">
        <is>
          <t>MQ-111</t>
        </is>
      </c>
      <c r="B119" s="359" t="inlineStr">
        <is>
          <t>COMUNICACIONES Y SEGURIDAD</t>
        </is>
      </c>
      <c r="C119" s="360" t="inlineStr">
        <is>
          <t>Seguridad</t>
        </is>
      </c>
      <c r="D119" s="361" t="inlineStr">
        <is>
          <t>15.02.01</t>
        </is>
      </c>
      <c r="E119" s="362" t="inlineStr">
        <is>
          <t>Cámaras y sistema CCTV</t>
        </is>
      </c>
      <c r="F119" s="363" t="n"/>
      <c r="G119" s="363" t="n"/>
      <c r="H119" s="363" t="n"/>
      <c r="I119" s="361" t="inlineStr">
        <is>
          <t>und</t>
        </is>
      </c>
      <c r="J119" s="1302" t="n">
        <v>0</v>
      </c>
      <c r="K119" s="1302" t="n">
        <v>0</v>
      </c>
      <c r="L119" s="1302" t="n">
        <v>0</v>
      </c>
      <c r="M119" s="1302" t="n">
        <v>0</v>
      </c>
      <c r="N119" s="1302" t="n">
        <v>1</v>
      </c>
      <c r="O119" s="1302" t="n">
        <v>1</v>
      </c>
      <c r="P119" s="1302" t="n">
        <v>1</v>
      </c>
      <c r="Q119" s="1302" t="n">
        <v>0</v>
      </c>
      <c r="R119" s="1303" t="n">
        <v>0</v>
      </c>
      <c r="S119" s="1302">
        <f>IF(I119="","",ROUND(IF(OR(I119="m²",I119="m2"),J119*IF(K119=0,1,K119)*IF(N119=0,1,N119)*IF(O119=0,1,O119)*P119-Q119,IF(OR(I119="m³",I119="m3"),J119*K119*L119*IF(N119=0,1,N119)*IF(O119=0,1,O119)*P119-Q119,IF(OR(I119="ml",I119="ML"),J119*IF(N119=0,1,N119)*IF(O119=0,1,O119)*P119-Q119,IF(OR(I119="und",I119="UND"),IF(N119=0,1,N119)*IF(O119=0,1,O119)*P119-Q119,IF(I119="kg",J119*IF(N119=0,1,N119)*IF(O119=0,1,O119)*P119-Q119,0))))),3))</f>
        <v/>
      </c>
      <c r="T119" s="1302">
        <f>IF(S119="","",ROUND(S119*(1+R119),3))</f>
        <v/>
      </c>
      <c r="U119" s="361" t="inlineStr">
        <is>
          <t>und</t>
        </is>
      </c>
      <c r="V119" s="363" t="n"/>
      <c r="W119" s="363" t="n"/>
      <c r="X119" s="1304" t="n"/>
      <c r="Y119" s="363" t="inlineStr">
        <is>
          <t>Pendiente</t>
        </is>
      </c>
    </row>
    <row r="120" ht="15" customFormat="1" customHeight="1" s="666">
      <c r="A120" s="358" t="inlineStr">
        <is>
          <t>MQ-112</t>
        </is>
      </c>
      <c r="B120" s="359" t="inlineStr">
        <is>
          <t>COMUNICACIONES Y SEGURIDAD</t>
        </is>
      </c>
      <c r="C120" s="360" t="inlineStr">
        <is>
          <t>Seguridad</t>
        </is>
      </c>
      <c r="D120" s="361" t="inlineStr">
        <is>
          <t>15.02.02</t>
        </is>
      </c>
      <c r="E120" s="362" t="inlineStr">
        <is>
          <t>Control de acceso</t>
        </is>
      </c>
      <c r="F120" s="363" t="n"/>
      <c r="G120" s="363" t="n"/>
      <c r="H120" s="363" t="n"/>
      <c r="I120" s="361" t="inlineStr">
        <is>
          <t>und</t>
        </is>
      </c>
      <c r="J120" s="1302" t="n">
        <v>0</v>
      </c>
      <c r="K120" s="1302" t="n">
        <v>0</v>
      </c>
      <c r="L120" s="1302" t="n">
        <v>0</v>
      </c>
      <c r="M120" s="1302" t="n">
        <v>0</v>
      </c>
      <c r="N120" s="1302" t="n">
        <v>1</v>
      </c>
      <c r="O120" s="1302" t="n">
        <v>1</v>
      </c>
      <c r="P120" s="1302" t="n">
        <v>1</v>
      </c>
      <c r="Q120" s="1302" t="n">
        <v>0</v>
      </c>
      <c r="R120" s="1303" t="n">
        <v>0</v>
      </c>
      <c r="S120" s="1302">
        <f>IF(I120="","",ROUND(IF(OR(I120="m²",I120="m2"),J120*IF(K120=0,1,K120)*IF(N120=0,1,N120)*IF(O120=0,1,O120)*P120-Q120,IF(OR(I120="m³",I120="m3"),J120*K120*L120*IF(N120=0,1,N120)*IF(O120=0,1,O120)*P120-Q120,IF(OR(I120="ml",I120="ML"),J120*IF(N120=0,1,N120)*IF(O120=0,1,O120)*P120-Q120,IF(OR(I120="und",I120="UND"),IF(N120=0,1,N120)*IF(O120=0,1,O120)*P120-Q120,IF(I120="kg",J120*IF(N120=0,1,N120)*IF(O120=0,1,O120)*P120-Q120,0))))),3))</f>
        <v/>
      </c>
      <c r="T120" s="1302">
        <f>IF(S120="","",ROUND(S120*(1+R120),3))</f>
        <v/>
      </c>
      <c r="U120" s="361" t="inlineStr">
        <is>
          <t>und</t>
        </is>
      </c>
      <c r="V120" s="363" t="n"/>
      <c r="W120" s="363" t="n"/>
      <c r="X120" s="1304" t="n"/>
      <c r="Y120" s="363" t="inlineStr">
        <is>
          <t>Pendiente</t>
        </is>
      </c>
    </row>
    <row r="121" ht="15" customFormat="1" customHeight="1" s="666">
      <c r="A121" s="358" t="inlineStr">
        <is>
          <t>MQ-113</t>
        </is>
      </c>
      <c r="B121" s="359" t="inlineStr">
        <is>
          <t>COMUNICACIONES Y SEGURIDAD</t>
        </is>
      </c>
      <c r="C121" s="360" t="inlineStr">
        <is>
          <t>Seguridad</t>
        </is>
      </c>
      <c r="D121" s="361" t="inlineStr">
        <is>
          <t>15.02.03</t>
        </is>
      </c>
      <c r="E121" s="362" t="inlineStr">
        <is>
          <t>Sistema de citofonía</t>
        </is>
      </c>
      <c r="F121" s="363" t="n"/>
      <c r="G121" s="363" t="n"/>
      <c r="H121" s="363" t="n"/>
      <c r="I121" s="361" t="inlineStr">
        <is>
          <t>und</t>
        </is>
      </c>
      <c r="J121" s="1302" t="n">
        <v>0</v>
      </c>
      <c r="K121" s="1302" t="n">
        <v>0</v>
      </c>
      <c r="L121" s="1302" t="n">
        <v>0</v>
      </c>
      <c r="M121" s="1302" t="n">
        <v>0</v>
      </c>
      <c r="N121" s="1302" t="n">
        <v>1</v>
      </c>
      <c r="O121" s="1302" t="n">
        <v>1</v>
      </c>
      <c r="P121" s="1302" t="n">
        <v>1</v>
      </c>
      <c r="Q121" s="1302" t="n">
        <v>0</v>
      </c>
      <c r="R121" s="1303" t="n">
        <v>0</v>
      </c>
      <c r="S121" s="1302">
        <f>IF(I121="","",ROUND(IF(OR(I121="m²",I121="m2"),J121*IF(K121=0,1,K121)*IF(N121=0,1,N121)*IF(O121=0,1,O121)*P121-Q121,IF(OR(I121="m³",I121="m3"),J121*K121*L121*IF(N121=0,1,N121)*IF(O121=0,1,O121)*P121-Q121,IF(OR(I121="ml",I121="ML"),J121*IF(N121=0,1,N121)*IF(O121=0,1,O121)*P121-Q121,IF(OR(I121="und",I121="UND"),IF(N121=0,1,N121)*IF(O121=0,1,O121)*P121-Q121,IF(I121="kg",J121*IF(N121=0,1,N121)*IF(O121=0,1,O121)*P121-Q121,0))))),3))</f>
        <v/>
      </c>
      <c r="T121" s="1302">
        <f>IF(S121="","",ROUND(S121*(1+R121),3))</f>
        <v/>
      </c>
      <c r="U121" s="361" t="inlineStr">
        <is>
          <t>und</t>
        </is>
      </c>
      <c r="V121" s="363" t="n"/>
      <c r="W121" s="363" t="n"/>
      <c r="X121" s="1304" t="n"/>
      <c r="Y121" s="363" t="inlineStr">
        <is>
          <t>Pendiente</t>
        </is>
      </c>
    </row>
    <row r="122" ht="15" customFormat="1" customHeight="1" s="666">
      <c r="A122" s="358" t="inlineStr">
        <is>
          <t>MQ-114</t>
        </is>
      </c>
      <c r="B122" s="359" t="inlineStr">
        <is>
          <t>COMUNICACIONES Y SEGURIDAD</t>
        </is>
      </c>
      <c r="C122" s="360" t="inlineStr">
        <is>
          <t>Detección</t>
        </is>
      </c>
      <c r="D122" s="361" t="inlineStr">
        <is>
          <t>15.03.01</t>
        </is>
      </c>
      <c r="E122" s="362" t="inlineStr">
        <is>
          <t>Sistema de detección de incendios</t>
        </is>
      </c>
      <c r="F122" s="363" t="n"/>
      <c r="G122" s="363" t="n"/>
      <c r="H122" s="363" t="n"/>
      <c r="I122" s="361" t="inlineStr">
        <is>
          <t>gl</t>
        </is>
      </c>
      <c r="J122" s="1302" t="n">
        <v>0</v>
      </c>
      <c r="K122" s="1302" t="n">
        <v>0</v>
      </c>
      <c r="L122" s="1302" t="n">
        <v>0</v>
      </c>
      <c r="M122" s="1302" t="n">
        <v>0</v>
      </c>
      <c r="N122" s="1302" t="n">
        <v>1</v>
      </c>
      <c r="O122" s="1302" t="n">
        <v>1</v>
      </c>
      <c r="P122" s="1302" t="n">
        <v>1</v>
      </c>
      <c r="Q122" s="1302" t="n">
        <v>0</v>
      </c>
      <c r="R122" s="1303" t="n">
        <v>0</v>
      </c>
      <c r="S122" s="1302">
        <f>IF(I122="","",ROUND(IF(OR(I122="m²",I122="m2"),J122*IF(K122=0,1,K122)*IF(N122=0,1,N122)*IF(O122=0,1,O122)*P122-Q122,IF(OR(I122="m³",I122="m3"),J122*K122*L122*IF(N122=0,1,N122)*IF(O122=0,1,O122)*P122-Q122,IF(OR(I122="ml",I122="ML"),J122*IF(N122=0,1,N122)*IF(O122=0,1,O122)*P122-Q122,IF(OR(I122="und",I122="UND"),IF(N122=0,1,N122)*IF(O122=0,1,O122)*P122-Q122,IF(I122="kg",J122*IF(N122=0,1,N122)*IF(O122=0,1,O122)*P122-Q122,0))))),3))</f>
        <v/>
      </c>
      <c r="T122" s="1302">
        <f>IF(S122="","",ROUND(S122*(1+R122),3))</f>
        <v/>
      </c>
      <c r="U122" s="361" t="inlineStr">
        <is>
          <t>gl</t>
        </is>
      </c>
      <c r="V122" s="363" t="n"/>
      <c r="W122" s="363" t="n"/>
      <c r="X122" s="1304" t="n"/>
      <c r="Y122" s="363" t="inlineStr">
        <is>
          <t>Pendiente</t>
        </is>
      </c>
    </row>
    <row r="123" ht="15" customFormat="1" customHeight="1" s="666">
      <c r="A123" s="358" t="inlineStr">
        <is>
          <t>MQ-115</t>
        </is>
      </c>
      <c r="B123" s="359" t="inlineStr">
        <is>
          <t>CLIMATIZACIÓN Y VENTILACIÓN</t>
        </is>
      </c>
      <c r="C123" s="360" t="inlineStr">
        <is>
          <t>HVAC</t>
        </is>
      </c>
      <c r="D123" s="361" t="inlineStr">
        <is>
          <t>16.01.01</t>
        </is>
      </c>
      <c r="E123" s="362" t="inlineStr">
        <is>
          <t>Equipos de aire acondicionado</t>
        </is>
      </c>
      <c r="F123" s="363" t="n"/>
      <c r="G123" s="363" t="n"/>
      <c r="H123" s="363" t="n"/>
      <c r="I123" s="361" t="inlineStr">
        <is>
          <t>und</t>
        </is>
      </c>
      <c r="J123" s="1302" t="n">
        <v>0</v>
      </c>
      <c r="K123" s="1302" t="n">
        <v>0</v>
      </c>
      <c r="L123" s="1302" t="n">
        <v>0</v>
      </c>
      <c r="M123" s="1302" t="n">
        <v>0</v>
      </c>
      <c r="N123" s="1302" t="n">
        <v>1</v>
      </c>
      <c r="O123" s="1302" t="n">
        <v>1</v>
      </c>
      <c r="P123" s="1302" t="n">
        <v>1</v>
      </c>
      <c r="Q123" s="1302" t="n">
        <v>0</v>
      </c>
      <c r="R123" s="1303" t="n">
        <v>0</v>
      </c>
      <c r="S123" s="1302">
        <f>IF(I123="","",ROUND(IF(OR(I123="m²",I123="m2"),J123*IF(K123=0,1,K123)*IF(N123=0,1,N123)*IF(O123=0,1,O123)*P123-Q123,IF(OR(I123="m³",I123="m3"),J123*K123*L123*IF(N123=0,1,N123)*IF(O123=0,1,O123)*P123-Q123,IF(OR(I123="ml",I123="ML"),J123*IF(N123=0,1,N123)*IF(O123=0,1,O123)*P123-Q123,IF(OR(I123="und",I123="UND"),IF(N123=0,1,N123)*IF(O123=0,1,O123)*P123-Q123,IF(I123="kg",J123*IF(N123=0,1,N123)*IF(O123=0,1,O123)*P123-Q123,0))))),3))</f>
        <v/>
      </c>
      <c r="T123" s="1302">
        <f>IF(S123="","",ROUND(S123*(1+R123),3))</f>
        <v/>
      </c>
      <c r="U123" s="361" t="inlineStr">
        <is>
          <t>und</t>
        </is>
      </c>
      <c r="V123" s="363" t="n"/>
      <c r="W123" s="363" t="n"/>
      <c r="X123" s="1304" t="n"/>
      <c r="Y123" s="363" t="inlineStr">
        <is>
          <t>Pendiente</t>
        </is>
      </c>
    </row>
    <row r="124" ht="15" customFormat="1" customHeight="1" s="666">
      <c r="A124" s="358" t="inlineStr">
        <is>
          <t>MQ-116</t>
        </is>
      </c>
      <c r="B124" s="359" t="inlineStr">
        <is>
          <t>CLIMATIZACIÓN Y VENTILACIÓN</t>
        </is>
      </c>
      <c r="C124" s="360" t="inlineStr">
        <is>
          <t>HVAC</t>
        </is>
      </c>
      <c r="D124" s="361" t="inlineStr">
        <is>
          <t>16.01.02</t>
        </is>
      </c>
      <c r="E124" s="362" t="inlineStr">
        <is>
          <t>Ductos de ventilación</t>
        </is>
      </c>
      <c r="F124" s="363" t="n"/>
      <c r="G124" s="363" t="n"/>
      <c r="H124" s="363" t="n"/>
      <c r="I124" s="361" t="inlineStr">
        <is>
          <t>m²</t>
        </is>
      </c>
      <c r="J124" s="1302" t="n">
        <v>0</v>
      </c>
      <c r="K124" s="1302" t="n">
        <v>0</v>
      </c>
      <c r="L124" s="1302" t="n">
        <v>0</v>
      </c>
      <c r="M124" s="1302" t="n">
        <v>0</v>
      </c>
      <c r="N124" s="1302" t="n">
        <v>1</v>
      </c>
      <c r="O124" s="1302" t="n">
        <v>1</v>
      </c>
      <c r="P124" s="1302" t="n">
        <v>1</v>
      </c>
      <c r="Q124" s="1302" t="n">
        <v>0</v>
      </c>
      <c r="R124" s="1303" t="n">
        <v>0</v>
      </c>
      <c r="S124" s="1302">
        <f>IF(I124="","",ROUND(IF(OR(I124="m²",I124="m2"),J124*IF(K124=0,1,K124)*IF(N124=0,1,N124)*IF(O124=0,1,O124)*P124-Q124,IF(OR(I124="m³",I124="m3"),J124*K124*L124*IF(N124=0,1,N124)*IF(O124=0,1,O124)*P124-Q124,IF(OR(I124="ml",I124="ML"),J124*IF(N124=0,1,N124)*IF(O124=0,1,O124)*P124-Q124,IF(OR(I124="und",I124="UND"),IF(N124=0,1,N124)*IF(O124=0,1,O124)*P124-Q124,IF(I124="kg",J124*IF(N124=0,1,N124)*IF(O124=0,1,O124)*P124-Q124,0))))),3))</f>
        <v/>
      </c>
      <c r="T124" s="1302">
        <f>IF(S124="","",ROUND(S124*(1+R124),3))</f>
        <v/>
      </c>
      <c r="U124" s="361" t="inlineStr">
        <is>
          <t>m²</t>
        </is>
      </c>
      <c r="V124" s="363" t="n"/>
      <c r="W124" s="363" t="n"/>
      <c r="X124" s="1304" t="n"/>
      <c r="Y124" s="363" t="inlineStr">
        <is>
          <t>Pendiente</t>
        </is>
      </c>
    </row>
    <row r="125" ht="15" customFormat="1" customHeight="1" s="666">
      <c r="A125" s="358" t="inlineStr">
        <is>
          <t>MQ-117</t>
        </is>
      </c>
      <c r="B125" s="359" t="inlineStr">
        <is>
          <t>CLIMATIZACIÓN Y VENTILACIÓN</t>
        </is>
      </c>
      <c r="C125" s="360" t="inlineStr">
        <is>
          <t>HVAC</t>
        </is>
      </c>
      <c r="D125" s="361" t="inlineStr">
        <is>
          <t>16.01.03</t>
        </is>
      </c>
      <c r="E125" s="362" t="inlineStr">
        <is>
          <t>Tubería de refrigerante</t>
        </is>
      </c>
      <c r="F125" s="363" t="n"/>
      <c r="G125" s="363" t="n"/>
      <c r="H125" s="363" t="n"/>
      <c r="I125" s="361" t="inlineStr">
        <is>
          <t>ml</t>
        </is>
      </c>
      <c r="J125" s="1302" t="n">
        <v>0</v>
      </c>
      <c r="K125" s="1302" t="n">
        <v>0</v>
      </c>
      <c r="L125" s="1302" t="n">
        <v>0</v>
      </c>
      <c r="M125" s="1302" t="n">
        <v>0</v>
      </c>
      <c r="N125" s="1302" t="n">
        <v>1</v>
      </c>
      <c r="O125" s="1302" t="n">
        <v>1</v>
      </c>
      <c r="P125" s="1302" t="n">
        <v>1</v>
      </c>
      <c r="Q125" s="1302" t="n">
        <v>0</v>
      </c>
      <c r="R125" s="1303" t="n">
        <v>0</v>
      </c>
      <c r="S125" s="1302">
        <f>IF(I125="","",ROUND(IF(OR(I125="m²",I125="m2"),J125*IF(K125=0,1,K125)*IF(N125=0,1,N125)*IF(O125=0,1,O125)*P125-Q125,IF(OR(I125="m³",I125="m3"),J125*K125*L125*IF(N125=0,1,N125)*IF(O125=0,1,O125)*P125-Q125,IF(OR(I125="ml",I125="ML"),J125*IF(N125=0,1,N125)*IF(O125=0,1,O125)*P125-Q125,IF(OR(I125="und",I125="UND"),IF(N125=0,1,N125)*IF(O125=0,1,O125)*P125-Q125,IF(I125="kg",J125*IF(N125=0,1,N125)*IF(O125=0,1,O125)*P125-Q125,0))))),3))</f>
        <v/>
      </c>
      <c r="T125" s="1302">
        <f>IF(S125="","",ROUND(S125*(1+R125),3))</f>
        <v/>
      </c>
      <c r="U125" s="361" t="inlineStr">
        <is>
          <t>ml</t>
        </is>
      </c>
      <c r="V125" s="363" t="n"/>
      <c r="W125" s="363" t="n"/>
      <c r="X125" s="1304" t="n"/>
      <c r="Y125" s="363" t="inlineStr">
        <is>
          <t>Pendiente</t>
        </is>
      </c>
    </row>
    <row r="126" ht="15" customFormat="1" customHeight="1" s="666">
      <c r="A126" s="358" t="inlineStr">
        <is>
          <t>MQ-118</t>
        </is>
      </c>
      <c r="B126" s="359" t="inlineStr">
        <is>
          <t>CLIMATIZACIÓN Y VENTILACIÓN</t>
        </is>
      </c>
      <c r="C126" s="360" t="inlineStr">
        <is>
          <t>HVAC</t>
        </is>
      </c>
      <c r="D126" s="361" t="inlineStr">
        <is>
          <t>16.01.04</t>
        </is>
      </c>
      <c r="E126" s="362" t="inlineStr">
        <is>
          <t>Rejillas y difusores</t>
        </is>
      </c>
      <c r="F126" s="363" t="n"/>
      <c r="G126" s="363" t="n"/>
      <c r="H126" s="363" t="n"/>
      <c r="I126" s="361" t="inlineStr">
        <is>
          <t>und</t>
        </is>
      </c>
      <c r="J126" s="1302" t="n">
        <v>0</v>
      </c>
      <c r="K126" s="1302" t="n">
        <v>0</v>
      </c>
      <c r="L126" s="1302" t="n">
        <v>0</v>
      </c>
      <c r="M126" s="1302" t="n">
        <v>0</v>
      </c>
      <c r="N126" s="1302" t="n">
        <v>1</v>
      </c>
      <c r="O126" s="1302" t="n">
        <v>1</v>
      </c>
      <c r="P126" s="1302" t="n">
        <v>1</v>
      </c>
      <c r="Q126" s="1302" t="n">
        <v>0</v>
      </c>
      <c r="R126" s="1303" t="n">
        <v>0</v>
      </c>
      <c r="S126" s="1302">
        <f>IF(I126="","",ROUND(IF(OR(I126="m²",I126="m2"),J126*IF(K126=0,1,K126)*IF(N126=0,1,N126)*IF(O126=0,1,O126)*P126-Q126,IF(OR(I126="m³",I126="m3"),J126*K126*L126*IF(N126=0,1,N126)*IF(O126=0,1,O126)*P126-Q126,IF(OR(I126="ml",I126="ML"),J126*IF(N126=0,1,N126)*IF(O126=0,1,O126)*P126-Q126,IF(OR(I126="und",I126="UND"),IF(N126=0,1,N126)*IF(O126=0,1,O126)*P126-Q126,IF(I126="kg",J126*IF(N126=0,1,N126)*IF(O126=0,1,O126)*P126-Q126,0))))),3))</f>
        <v/>
      </c>
      <c r="T126" s="1302">
        <f>IF(S126="","",ROUND(S126*(1+R126),3))</f>
        <v/>
      </c>
      <c r="U126" s="361" t="inlineStr">
        <is>
          <t>und</t>
        </is>
      </c>
      <c r="V126" s="363" t="n"/>
      <c r="W126" s="363" t="n"/>
      <c r="X126" s="1304" t="n"/>
      <c r="Y126" s="363" t="inlineStr">
        <is>
          <t>Pendiente</t>
        </is>
      </c>
    </row>
    <row r="127" ht="15" customFormat="1" customHeight="1" s="666">
      <c r="A127" s="358" t="inlineStr">
        <is>
          <t>MQ-119</t>
        </is>
      </c>
      <c r="B127" s="359" t="inlineStr">
        <is>
          <t>GAS</t>
        </is>
      </c>
      <c r="C127" s="360" t="inlineStr">
        <is>
          <t>Red de gas</t>
        </is>
      </c>
      <c r="D127" s="361" t="inlineStr">
        <is>
          <t>17.01.01</t>
        </is>
      </c>
      <c r="E127" s="362" t="inlineStr">
        <is>
          <t>Red interna de gas</t>
        </is>
      </c>
      <c r="F127" s="363" t="n"/>
      <c r="G127" s="363" t="n"/>
      <c r="H127" s="363" t="n"/>
      <c r="I127" s="361" t="inlineStr">
        <is>
          <t>ml</t>
        </is>
      </c>
      <c r="J127" s="1302" t="n">
        <v>0</v>
      </c>
      <c r="K127" s="1302" t="n">
        <v>0</v>
      </c>
      <c r="L127" s="1302" t="n">
        <v>0</v>
      </c>
      <c r="M127" s="1302" t="n">
        <v>0</v>
      </c>
      <c r="N127" s="1302" t="n">
        <v>1</v>
      </c>
      <c r="O127" s="1302" t="n">
        <v>1</v>
      </c>
      <c r="P127" s="1302" t="n">
        <v>1</v>
      </c>
      <c r="Q127" s="1302" t="n">
        <v>0</v>
      </c>
      <c r="R127" s="1303" t="n">
        <v>0</v>
      </c>
      <c r="S127" s="1302">
        <f>IF(I127="","",ROUND(IF(OR(I127="m²",I127="m2"),J127*IF(K127=0,1,K127)*IF(N127=0,1,N127)*IF(O127=0,1,O127)*P127-Q127,IF(OR(I127="m³",I127="m3"),J127*K127*L127*IF(N127=0,1,N127)*IF(O127=0,1,O127)*P127-Q127,IF(OR(I127="ml",I127="ML"),J127*IF(N127=0,1,N127)*IF(O127=0,1,O127)*P127-Q127,IF(OR(I127="und",I127="UND"),IF(N127=0,1,N127)*IF(O127=0,1,O127)*P127-Q127,IF(I127="kg",J127*IF(N127=0,1,N127)*IF(O127=0,1,O127)*P127-Q127,0))))),3))</f>
        <v/>
      </c>
      <c r="T127" s="1302">
        <f>IF(S127="","",ROUND(S127*(1+R127),3))</f>
        <v/>
      </c>
      <c r="U127" s="361" t="inlineStr">
        <is>
          <t>ml</t>
        </is>
      </c>
      <c r="V127" s="363" t="n"/>
      <c r="W127" s="363" t="n"/>
      <c r="X127" s="1304" t="n"/>
      <c r="Y127" s="363" t="inlineStr">
        <is>
          <t>Pendiente</t>
        </is>
      </c>
    </row>
    <row r="128" ht="15" customFormat="1" customHeight="1" s="666">
      <c r="A128" s="358" t="inlineStr">
        <is>
          <t>MQ-120</t>
        </is>
      </c>
      <c r="B128" s="359" t="inlineStr">
        <is>
          <t>GAS</t>
        </is>
      </c>
      <c r="C128" s="360" t="inlineStr">
        <is>
          <t>Red de gas</t>
        </is>
      </c>
      <c r="D128" s="361" t="inlineStr">
        <is>
          <t>17.01.02</t>
        </is>
      </c>
      <c r="E128" s="362" t="inlineStr">
        <is>
          <t>Válvulas y accesorios</t>
        </is>
      </c>
      <c r="F128" s="363" t="n"/>
      <c r="G128" s="363" t="n"/>
      <c r="H128" s="363" t="n"/>
      <c r="I128" s="361" t="inlineStr">
        <is>
          <t>und</t>
        </is>
      </c>
      <c r="J128" s="1302" t="n">
        <v>0</v>
      </c>
      <c r="K128" s="1302" t="n">
        <v>0</v>
      </c>
      <c r="L128" s="1302" t="n">
        <v>0</v>
      </c>
      <c r="M128" s="1302" t="n">
        <v>0</v>
      </c>
      <c r="N128" s="1302" t="n">
        <v>1</v>
      </c>
      <c r="O128" s="1302" t="n">
        <v>1</v>
      </c>
      <c r="P128" s="1302" t="n">
        <v>1</v>
      </c>
      <c r="Q128" s="1302" t="n">
        <v>0</v>
      </c>
      <c r="R128" s="1303" t="n">
        <v>0</v>
      </c>
      <c r="S128" s="1302">
        <f>IF(I128="","",ROUND(IF(OR(I128="m²",I128="m2"),J128*IF(K128=0,1,K128)*IF(N128=0,1,N128)*IF(O128=0,1,O128)*P128-Q128,IF(OR(I128="m³",I128="m3"),J128*K128*L128*IF(N128=0,1,N128)*IF(O128=0,1,O128)*P128-Q128,IF(OR(I128="ml",I128="ML"),J128*IF(N128=0,1,N128)*IF(O128=0,1,O128)*P128-Q128,IF(OR(I128="und",I128="UND"),IF(N128=0,1,N128)*IF(O128=0,1,O128)*P128-Q128,IF(I128="kg",J128*IF(N128=0,1,N128)*IF(O128=0,1,O128)*P128-Q128,0))))),3))</f>
        <v/>
      </c>
      <c r="T128" s="1302">
        <f>IF(S128="","",ROUND(S128*(1+R128),3))</f>
        <v/>
      </c>
      <c r="U128" s="361" t="inlineStr">
        <is>
          <t>und</t>
        </is>
      </c>
      <c r="V128" s="363" t="n"/>
      <c r="W128" s="363" t="n"/>
      <c r="X128" s="1304" t="n"/>
      <c r="Y128" s="363" t="inlineStr">
        <is>
          <t>Pendiente</t>
        </is>
      </c>
    </row>
    <row r="129" ht="15" customFormat="1" customHeight="1" s="666">
      <c r="A129" s="358" t="inlineStr">
        <is>
          <t>MQ-121</t>
        </is>
      </c>
      <c r="B129" s="359" t="inlineStr">
        <is>
          <t>GAS</t>
        </is>
      </c>
      <c r="C129" s="360" t="inlineStr">
        <is>
          <t>Red de gas</t>
        </is>
      </c>
      <c r="D129" s="361" t="inlineStr">
        <is>
          <t>17.01.03</t>
        </is>
      </c>
      <c r="E129" s="362" t="inlineStr">
        <is>
          <t>Pruebas y certificación</t>
        </is>
      </c>
      <c r="F129" s="363" t="n"/>
      <c r="G129" s="363" t="n"/>
      <c r="H129" s="363" t="n"/>
      <c r="I129" s="361" t="inlineStr">
        <is>
          <t>gl</t>
        </is>
      </c>
      <c r="J129" s="1302" t="n">
        <v>0</v>
      </c>
      <c r="K129" s="1302" t="n">
        <v>0</v>
      </c>
      <c r="L129" s="1302" t="n">
        <v>0</v>
      </c>
      <c r="M129" s="1302" t="n">
        <v>0</v>
      </c>
      <c r="N129" s="1302" t="n">
        <v>1</v>
      </c>
      <c r="O129" s="1302" t="n">
        <v>1</v>
      </c>
      <c r="P129" s="1302" t="n">
        <v>1</v>
      </c>
      <c r="Q129" s="1302" t="n">
        <v>0</v>
      </c>
      <c r="R129" s="1303" t="n">
        <v>0</v>
      </c>
      <c r="S129" s="1302">
        <f>IF(I129="","",ROUND(IF(OR(I129="m²",I129="m2"),J129*IF(K129=0,1,K129)*IF(N129=0,1,N129)*IF(O129=0,1,O129)*P129-Q129,IF(OR(I129="m³",I129="m3"),J129*K129*L129*IF(N129=0,1,N129)*IF(O129=0,1,O129)*P129-Q129,IF(OR(I129="ml",I129="ML"),J129*IF(N129=0,1,N129)*IF(O129=0,1,O129)*P129-Q129,IF(OR(I129="und",I129="UND"),IF(N129=0,1,N129)*IF(O129=0,1,O129)*P129-Q129,IF(I129="kg",J129*IF(N129=0,1,N129)*IF(O129=0,1,O129)*P129-Q129,0))))),3))</f>
        <v/>
      </c>
      <c r="T129" s="1302">
        <f>IF(S129="","",ROUND(S129*(1+R129),3))</f>
        <v/>
      </c>
      <c r="U129" s="361" t="inlineStr">
        <is>
          <t>gl</t>
        </is>
      </c>
      <c r="V129" s="363" t="n"/>
      <c r="W129" s="363" t="n"/>
      <c r="X129" s="1304" t="n"/>
      <c r="Y129" s="363" t="inlineStr">
        <is>
          <t>Pendiente</t>
        </is>
      </c>
    </row>
    <row r="130" ht="15" customFormat="1" customHeight="1" s="666">
      <c r="A130" s="358" t="inlineStr">
        <is>
          <t>MQ-122</t>
        </is>
      </c>
      <c r="B130" s="359" t="inlineStr">
        <is>
          <t>URBANISMO Y EXTERIORES</t>
        </is>
      </c>
      <c r="C130" s="360" t="inlineStr">
        <is>
          <t>Pavimentos</t>
        </is>
      </c>
      <c r="D130" s="361" t="inlineStr">
        <is>
          <t>18.01.01</t>
        </is>
      </c>
      <c r="E130" s="362" t="inlineStr">
        <is>
          <t>Construcción de andenes</t>
        </is>
      </c>
      <c r="F130" s="363" t="n"/>
      <c r="G130" s="363" t="n"/>
      <c r="H130" s="363" t="n"/>
      <c r="I130" s="361" t="inlineStr">
        <is>
          <t>m²</t>
        </is>
      </c>
      <c r="J130" s="1302" t="n">
        <v>0</v>
      </c>
      <c r="K130" s="1302" t="n">
        <v>0</v>
      </c>
      <c r="L130" s="1302" t="n">
        <v>0</v>
      </c>
      <c r="M130" s="1302" t="n">
        <v>0</v>
      </c>
      <c r="N130" s="1302" t="n">
        <v>1</v>
      </c>
      <c r="O130" s="1302" t="n">
        <v>1</v>
      </c>
      <c r="P130" s="1302" t="n">
        <v>1</v>
      </c>
      <c r="Q130" s="1302" t="n">
        <v>0</v>
      </c>
      <c r="R130" s="1303" t="n">
        <v>0</v>
      </c>
      <c r="S130" s="1302">
        <f>IF(I130="","",ROUND(IF(OR(I130="m²",I130="m2"),J130*IF(K130=0,1,K130)*IF(N130=0,1,N130)*IF(O130=0,1,O130)*P130-Q130,IF(OR(I130="m³",I130="m3"),J130*K130*L130*IF(N130=0,1,N130)*IF(O130=0,1,O130)*P130-Q130,IF(OR(I130="ml",I130="ML"),J130*IF(N130=0,1,N130)*IF(O130=0,1,O130)*P130-Q130,IF(OR(I130="und",I130="UND"),IF(N130=0,1,N130)*IF(O130=0,1,O130)*P130-Q130,IF(I130="kg",J130*IF(N130=0,1,N130)*IF(O130=0,1,O130)*P130-Q130,0))))),3))</f>
        <v/>
      </c>
      <c r="T130" s="1302">
        <f>IF(S130="","",ROUND(S130*(1+R130),3))</f>
        <v/>
      </c>
      <c r="U130" s="361" t="inlineStr">
        <is>
          <t>m²</t>
        </is>
      </c>
      <c r="V130" s="363" t="n"/>
      <c r="W130" s="363" t="n"/>
      <c r="X130" s="1304" t="n"/>
      <c r="Y130" s="363" t="inlineStr">
        <is>
          <t>Pendiente</t>
        </is>
      </c>
    </row>
    <row r="131" ht="15" customFormat="1" customHeight="1" s="666">
      <c r="A131" s="358" t="inlineStr">
        <is>
          <t>MQ-123</t>
        </is>
      </c>
      <c r="B131" s="359" t="inlineStr">
        <is>
          <t>URBANISMO Y EXTERIORES</t>
        </is>
      </c>
      <c r="C131" s="360" t="inlineStr">
        <is>
          <t>Pavimentos</t>
        </is>
      </c>
      <c r="D131" s="361" t="inlineStr">
        <is>
          <t>18.01.02</t>
        </is>
      </c>
      <c r="E131" s="362" t="inlineStr">
        <is>
          <t>Placas de concreto exteriores</t>
        </is>
      </c>
      <c r="F131" s="363" t="n"/>
      <c r="G131" s="363" t="n"/>
      <c r="H131" s="363" t="n"/>
      <c r="I131" s="361" t="inlineStr">
        <is>
          <t>m³</t>
        </is>
      </c>
      <c r="J131" s="1302" t="n">
        <v>0</v>
      </c>
      <c r="K131" s="1302" t="n">
        <v>0</v>
      </c>
      <c r="L131" s="1302" t="n">
        <v>0</v>
      </c>
      <c r="M131" s="1302" t="n">
        <v>0</v>
      </c>
      <c r="N131" s="1302" t="n">
        <v>1</v>
      </c>
      <c r="O131" s="1302" t="n">
        <v>1</v>
      </c>
      <c r="P131" s="1302" t="n">
        <v>1</v>
      </c>
      <c r="Q131" s="1302" t="n">
        <v>0</v>
      </c>
      <c r="R131" s="1303" t="n">
        <v>0</v>
      </c>
      <c r="S131" s="1302">
        <f>IF(I131="","",ROUND(IF(OR(I131="m²",I131="m2"),J131*IF(K131=0,1,K131)*IF(N131=0,1,N131)*IF(O131=0,1,O131)*P131-Q131,IF(OR(I131="m³",I131="m3"),J131*K131*L131*IF(N131=0,1,N131)*IF(O131=0,1,O131)*P131-Q131,IF(OR(I131="ml",I131="ML"),J131*IF(N131=0,1,N131)*IF(O131=0,1,O131)*P131-Q131,IF(OR(I131="und",I131="UND"),IF(N131=0,1,N131)*IF(O131=0,1,O131)*P131-Q131,IF(I131="kg",J131*IF(N131=0,1,N131)*IF(O131=0,1,O131)*P131-Q131,0))))),3))</f>
        <v/>
      </c>
      <c r="T131" s="1302">
        <f>IF(S131="","",ROUND(S131*(1+R131),3))</f>
        <v/>
      </c>
      <c r="U131" s="361" t="inlineStr">
        <is>
          <t>m³</t>
        </is>
      </c>
      <c r="V131" s="363" t="n"/>
      <c r="W131" s="363" t="n"/>
      <c r="X131" s="1304" t="n"/>
      <c r="Y131" s="363" t="inlineStr">
        <is>
          <t>Pendiente</t>
        </is>
      </c>
    </row>
    <row r="132" ht="15" customFormat="1" customHeight="1" s="666">
      <c r="A132" s="358" t="inlineStr">
        <is>
          <t>MQ-124</t>
        </is>
      </c>
      <c r="B132" s="359" t="inlineStr">
        <is>
          <t>URBANISMO Y EXTERIORES</t>
        </is>
      </c>
      <c r="C132" s="360" t="inlineStr">
        <is>
          <t>Pavimentos</t>
        </is>
      </c>
      <c r="D132" s="361" t="inlineStr">
        <is>
          <t>18.01.03</t>
        </is>
      </c>
      <c r="E132" s="362" t="inlineStr">
        <is>
          <t>Pavimento en adoquín</t>
        </is>
      </c>
      <c r="F132" s="363" t="n"/>
      <c r="G132" s="363" t="n"/>
      <c r="H132" s="363" t="n"/>
      <c r="I132" s="361" t="inlineStr">
        <is>
          <t>m²</t>
        </is>
      </c>
      <c r="J132" s="1302" t="n">
        <v>0</v>
      </c>
      <c r="K132" s="1302" t="n">
        <v>0</v>
      </c>
      <c r="L132" s="1302" t="n">
        <v>0</v>
      </c>
      <c r="M132" s="1302" t="n">
        <v>0</v>
      </c>
      <c r="N132" s="1302" t="n">
        <v>1</v>
      </c>
      <c r="O132" s="1302" t="n">
        <v>1</v>
      </c>
      <c r="P132" s="1302" t="n">
        <v>1</v>
      </c>
      <c r="Q132" s="1302" t="n">
        <v>0</v>
      </c>
      <c r="R132" s="1303" t="n">
        <v>0</v>
      </c>
      <c r="S132" s="1302">
        <f>IF(I132="","",ROUND(IF(OR(I132="m²",I132="m2"),J132*IF(K132=0,1,K132)*IF(N132=0,1,N132)*IF(O132=0,1,O132)*P132-Q132,IF(OR(I132="m³",I132="m3"),J132*K132*L132*IF(N132=0,1,N132)*IF(O132=0,1,O132)*P132-Q132,IF(OR(I132="ml",I132="ML"),J132*IF(N132=0,1,N132)*IF(O132=0,1,O132)*P132-Q132,IF(OR(I132="und",I132="UND"),IF(N132=0,1,N132)*IF(O132=0,1,O132)*P132-Q132,IF(I132="kg",J132*IF(N132=0,1,N132)*IF(O132=0,1,O132)*P132-Q132,0))))),3))</f>
        <v/>
      </c>
      <c r="T132" s="1302">
        <f>IF(S132="","",ROUND(S132*(1+R132),3))</f>
        <v/>
      </c>
      <c r="U132" s="361" t="inlineStr">
        <is>
          <t>m²</t>
        </is>
      </c>
      <c r="V132" s="363" t="n"/>
      <c r="W132" s="363" t="n"/>
      <c r="X132" s="1304" t="n"/>
      <c r="Y132" s="363" t="inlineStr">
        <is>
          <t>Pendiente</t>
        </is>
      </c>
    </row>
    <row r="133" ht="15" customFormat="1" customHeight="1" s="666">
      <c r="A133" s="358" t="inlineStr">
        <is>
          <t>MQ-125</t>
        </is>
      </c>
      <c r="B133" s="359" t="inlineStr">
        <is>
          <t>URBANISMO Y EXTERIORES</t>
        </is>
      </c>
      <c r="C133" s="360" t="inlineStr">
        <is>
          <t>Bordillos</t>
        </is>
      </c>
      <c r="D133" s="361" t="inlineStr">
        <is>
          <t>18.02.01</t>
        </is>
      </c>
      <c r="E133" s="362" t="inlineStr">
        <is>
          <t>Sardineles y bordillos</t>
        </is>
      </c>
      <c r="F133" s="363" t="n"/>
      <c r="G133" s="363" t="n"/>
      <c r="H133" s="363" t="n"/>
      <c r="I133" s="361" t="inlineStr">
        <is>
          <t>ml</t>
        </is>
      </c>
      <c r="J133" s="1302" t="n">
        <v>0</v>
      </c>
      <c r="K133" s="1302" t="n">
        <v>0</v>
      </c>
      <c r="L133" s="1302" t="n">
        <v>0</v>
      </c>
      <c r="M133" s="1302" t="n">
        <v>0</v>
      </c>
      <c r="N133" s="1302" t="n">
        <v>1</v>
      </c>
      <c r="O133" s="1302" t="n">
        <v>1</v>
      </c>
      <c r="P133" s="1302" t="n">
        <v>1</v>
      </c>
      <c r="Q133" s="1302" t="n">
        <v>0</v>
      </c>
      <c r="R133" s="1303" t="n">
        <v>0</v>
      </c>
      <c r="S133" s="1302">
        <f>IF(I133="","",ROUND(IF(OR(I133="m²",I133="m2"),J133*IF(K133=0,1,K133)*IF(N133=0,1,N133)*IF(O133=0,1,O133)*P133-Q133,IF(OR(I133="m³",I133="m3"),J133*K133*L133*IF(N133=0,1,N133)*IF(O133=0,1,O133)*P133-Q133,IF(OR(I133="ml",I133="ML"),J133*IF(N133=0,1,N133)*IF(O133=0,1,O133)*P133-Q133,IF(OR(I133="und",I133="UND"),IF(N133=0,1,N133)*IF(O133=0,1,O133)*P133-Q133,IF(I133="kg",J133*IF(N133=0,1,N133)*IF(O133=0,1,O133)*P133-Q133,0))))),3))</f>
        <v/>
      </c>
      <c r="T133" s="1302">
        <f>IF(S133="","",ROUND(S133*(1+R133),3))</f>
        <v/>
      </c>
      <c r="U133" s="361" t="inlineStr">
        <is>
          <t>ml</t>
        </is>
      </c>
      <c r="V133" s="363" t="n"/>
      <c r="W133" s="363" t="n"/>
      <c r="X133" s="1304" t="n"/>
      <c r="Y133" s="363" t="inlineStr">
        <is>
          <t>Pendiente</t>
        </is>
      </c>
    </row>
    <row r="134" ht="15" customFormat="1" customHeight="1" s="666">
      <c r="A134" s="358" t="inlineStr">
        <is>
          <t>MQ-126</t>
        </is>
      </c>
      <c r="B134" s="359" t="inlineStr">
        <is>
          <t>URBANISMO Y EXTERIORES</t>
        </is>
      </c>
      <c r="C134" s="360" t="inlineStr">
        <is>
          <t>Drenajes</t>
        </is>
      </c>
      <c r="D134" s="361" t="inlineStr">
        <is>
          <t>18.03.01</t>
        </is>
      </c>
      <c r="E134" s="362" t="inlineStr">
        <is>
          <t>Sumideros exteriores</t>
        </is>
      </c>
      <c r="F134" s="363" t="n"/>
      <c r="G134" s="363" t="n"/>
      <c r="H134" s="363" t="n"/>
      <c r="I134" s="361" t="inlineStr">
        <is>
          <t>und</t>
        </is>
      </c>
      <c r="J134" s="1302" t="n">
        <v>0</v>
      </c>
      <c r="K134" s="1302" t="n">
        <v>0</v>
      </c>
      <c r="L134" s="1302" t="n">
        <v>0</v>
      </c>
      <c r="M134" s="1302" t="n">
        <v>0</v>
      </c>
      <c r="N134" s="1302" t="n">
        <v>1</v>
      </c>
      <c r="O134" s="1302" t="n">
        <v>1</v>
      </c>
      <c r="P134" s="1302" t="n">
        <v>1</v>
      </c>
      <c r="Q134" s="1302" t="n">
        <v>0</v>
      </c>
      <c r="R134" s="1303" t="n">
        <v>0</v>
      </c>
      <c r="S134" s="1302">
        <f>IF(I134="","",ROUND(IF(OR(I134="m²",I134="m2"),J134*IF(K134=0,1,K134)*IF(N134=0,1,N134)*IF(O134=0,1,O134)*P134-Q134,IF(OR(I134="m³",I134="m3"),J134*K134*L134*IF(N134=0,1,N134)*IF(O134=0,1,O134)*P134-Q134,IF(OR(I134="ml",I134="ML"),J134*IF(N134=0,1,N134)*IF(O134=0,1,O134)*P134-Q134,IF(OR(I134="und",I134="UND"),IF(N134=0,1,N134)*IF(O134=0,1,O134)*P134-Q134,IF(I134="kg",J134*IF(N134=0,1,N134)*IF(O134=0,1,O134)*P134-Q134,0))))),3))</f>
        <v/>
      </c>
      <c r="T134" s="1302">
        <f>IF(S134="","",ROUND(S134*(1+R134),3))</f>
        <v/>
      </c>
      <c r="U134" s="361" t="inlineStr">
        <is>
          <t>und</t>
        </is>
      </c>
      <c r="V134" s="363" t="n"/>
      <c r="W134" s="363" t="n"/>
      <c r="X134" s="1304" t="n"/>
      <c r="Y134" s="363" t="inlineStr">
        <is>
          <t>Pendiente</t>
        </is>
      </c>
    </row>
    <row r="135" ht="15" customFormat="1" customHeight="1" s="666">
      <c r="A135" s="358" t="inlineStr">
        <is>
          <t>MQ-127</t>
        </is>
      </c>
      <c r="B135" s="359" t="inlineStr">
        <is>
          <t>URBANISMO Y EXTERIORES</t>
        </is>
      </c>
      <c r="C135" s="360" t="inlineStr">
        <is>
          <t>Paisajismo</t>
        </is>
      </c>
      <c r="D135" s="361" t="inlineStr">
        <is>
          <t>18.04.01</t>
        </is>
      </c>
      <c r="E135" s="362" t="inlineStr">
        <is>
          <t>Suministro y extendido de tierra vegetal</t>
        </is>
      </c>
      <c r="F135" s="363" t="n"/>
      <c r="G135" s="363" t="n"/>
      <c r="H135" s="363" t="n"/>
      <c r="I135" s="361" t="inlineStr">
        <is>
          <t>m³</t>
        </is>
      </c>
      <c r="J135" s="1302" t="n">
        <v>0</v>
      </c>
      <c r="K135" s="1302" t="n">
        <v>0</v>
      </c>
      <c r="L135" s="1302" t="n">
        <v>0</v>
      </c>
      <c r="M135" s="1302" t="n">
        <v>0</v>
      </c>
      <c r="N135" s="1302" t="n">
        <v>1</v>
      </c>
      <c r="O135" s="1302" t="n">
        <v>1</v>
      </c>
      <c r="P135" s="1302" t="n">
        <v>1</v>
      </c>
      <c r="Q135" s="1302" t="n">
        <v>0</v>
      </c>
      <c r="R135" s="1303" t="n">
        <v>0</v>
      </c>
      <c r="S135" s="1302">
        <f>IF(I135="","",ROUND(IF(OR(I135="m²",I135="m2"),J135*IF(K135=0,1,K135)*IF(N135=0,1,N135)*IF(O135=0,1,O135)*P135-Q135,IF(OR(I135="m³",I135="m3"),J135*K135*L135*IF(N135=0,1,N135)*IF(O135=0,1,O135)*P135-Q135,IF(OR(I135="ml",I135="ML"),J135*IF(N135=0,1,N135)*IF(O135=0,1,O135)*P135-Q135,IF(OR(I135="und",I135="UND"),IF(N135=0,1,N135)*IF(O135=0,1,O135)*P135-Q135,IF(I135="kg",J135*IF(N135=0,1,N135)*IF(O135=0,1,O135)*P135-Q135,0))))),3))</f>
        <v/>
      </c>
      <c r="T135" s="1302">
        <f>IF(S135="","",ROUND(S135*(1+R135),3))</f>
        <v/>
      </c>
      <c r="U135" s="361" t="inlineStr">
        <is>
          <t>m³</t>
        </is>
      </c>
      <c r="V135" s="363" t="n"/>
      <c r="W135" s="363" t="n"/>
      <c r="X135" s="1304" t="n"/>
      <c r="Y135" s="363" t="inlineStr">
        <is>
          <t>Pendiente</t>
        </is>
      </c>
    </row>
    <row r="136" ht="15" customFormat="1" customHeight="1" s="666">
      <c r="A136" s="358" t="inlineStr">
        <is>
          <t>MQ-128</t>
        </is>
      </c>
      <c r="B136" s="359" t="inlineStr">
        <is>
          <t>URBANISMO Y EXTERIORES</t>
        </is>
      </c>
      <c r="C136" s="360" t="inlineStr">
        <is>
          <t>Paisajismo</t>
        </is>
      </c>
      <c r="D136" s="361" t="inlineStr">
        <is>
          <t>18.04.02</t>
        </is>
      </c>
      <c r="E136" s="362" t="inlineStr">
        <is>
          <t>Siembra y jardinería</t>
        </is>
      </c>
      <c r="F136" s="363" t="n"/>
      <c r="G136" s="363" t="n"/>
      <c r="H136" s="363" t="n"/>
      <c r="I136" s="361" t="inlineStr">
        <is>
          <t>m²</t>
        </is>
      </c>
      <c r="J136" s="1302" t="n">
        <v>0</v>
      </c>
      <c r="K136" s="1302" t="n">
        <v>0</v>
      </c>
      <c r="L136" s="1302" t="n">
        <v>0</v>
      </c>
      <c r="M136" s="1302" t="n">
        <v>0</v>
      </c>
      <c r="N136" s="1302" t="n">
        <v>1</v>
      </c>
      <c r="O136" s="1302" t="n">
        <v>1</v>
      </c>
      <c r="P136" s="1302" t="n">
        <v>1</v>
      </c>
      <c r="Q136" s="1302" t="n">
        <v>0</v>
      </c>
      <c r="R136" s="1303" t="n">
        <v>0</v>
      </c>
      <c r="S136" s="1302">
        <f>IF(I136="","",ROUND(IF(OR(I136="m²",I136="m2"),J136*IF(K136=0,1,K136)*IF(N136=0,1,N136)*IF(O136=0,1,O136)*P136-Q136,IF(OR(I136="m³",I136="m3"),J136*K136*L136*IF(N136=0,1,N136)*IF(O136=0,1,O136)*P136-Q136,IF(OR(I136="ml",I136="ML"),J136*IF(N136=0,1,N136)*IF(O136=0,1,O136)*P136-Q136,IF(OR(I136="und",I136="UND"),IF(N136=0,1,N136)*IF(O136=0,1,O136)*P136-Q136,IF(I136="kg",J136*IF(N136=0,1,N136)*IF(O136=0,1,O136)*P136-Q136,0))))),3))</f>
        <v/>
      </c>
      <c r="T136" s="1302">
        <f>IF(S136="","",ROUND(S136*(1+R136),3))</f>
        <v/>
      </c>
      <c r="U136" s="361" t="inlineStr">
        <is>
          <t>m²</t>
        </is>
      </c>
      <c r="V136" s="363" t="n"/>
      <c r="W136" s="363" t="n"/>
      <c r="X136" s="1304" t="n"/>
      <c r="Y136" s="363" t="inlineStr">
        <is>
          <t>Pendiente</t>
        </is>
      </c>
    </row>
    <row r="137" ht="15" customFormat="1" customHeight="1" s="666">
      <c r="A137" s="358" t="inlineStr">
        <is>
          <t>MQ-129</t>
        </is>
      </c>
      <c r="B137" s="359" t="inlineStr">
        <is>
          <t>OBRAS COMPLEMENTARIAS</t>
        </is>
      </c>
      <c r="C137" s="360" t="inlineStr">
        <is>
          <t>Metálicas</t>
        </is>
      </c>
      <c r="D137" s="361" t="inlineStr">
        <is>
          <t>19.01.01</t>
        </is>
      </c>
      <c r="E137" s="362" t="inlineStr">
        <is>
          <t>Rejas metálicas</t>
        </is>
      </c>
      <c r="F137" s="363" t="n"/>
      <c r="G137" s="363" t="n"/>
      <c r="H137" s="363" t="n"/>
      <c r="I137" s="361" t="inlineStr">
        <is>
          <t>m²</t>
        </is>
      </c>
      <c r="J137" s="1302" t="n">
        <v>0</v>
      </c>
      <c r="K137" s="1302" t="n">
        <v>0</v>
      </c>
      <c r="L137" s="1302" t="n">
        <v>0</v>
      </c>
      <c r="M137" s="1302" t="n">
        <v>0</v>
      </c>
      <c r="N137" s="1302" t="n">
        <v>1</v>
      </c>
      <c r="O137" s="1302" t="n">
        <v>1</v>
      </c>
      <c r="P137" s="1302" t="n">
        <v>1</v>
      </c>
      <c r="Q137" s="1302" t="n">
        <v>0</v>
      </c>
      <c r="R137" s="1303" t="n">
        <v>0</v>
      </c>
      <c r="S137" s="1302">
        <f>IF(I137="","",ROUND(IF(OR(I137="m²",I137="m2"),J137*IF(K137=0,1,K137)*IF(N137=0,1,N137)*IF(O137=0,1,O137)*P137-Q137,IF(OR(I137="m³",I137="m3"),J137*K137*L137*IF(N137=0,1,N137)*IF(O137=0,1,O137)*P137-Q137,IF(OR(I137="ml",I137="ML"),J137*IF(N137=0,1,N137)*IF(O137=0,1,O137)*P137-Q137,IF(OR(I137="und",I137="UND"),IF(N137=0,1,N137)*IF(O137=0,1,O137)*P137-Q137,IF(I137="kg",J137*IF(N137=0,1,N137)*IF(O137=0,1,O137)*P137-Q137,0))))),3))</f>
        <v/>
      </c>
      <c r="T137" s="1302">
        <f>IF(S137="","",ROUND(S137*(1+R137),3))</f>
        <v/>
      </c>
      <c r="U137" s="361" t="inlineStr">
        <is>
          <t>m²</t>
        </is>
      </c>
      <c r="V137" s="363" t="n"/>
      <c r="W137" s="363" t="n"/>
      <c r="X137" s="1304" t="n"/>
      <c r="Y137" s="363" t="inlineStr">
        <is>
          <t>Pendiente</t>
        </is>
      </c>
    </row>
    <row r="138" ht="15" customFormat="1" customHeight="1" s="666">
      <c r="A138" s="358" t="inlineStr">
        <is>
          <t>MQ-130</t>
        </is>
      </c>
      <c r="B138" s="359" t="inlineStr">
        <is>
          <t>OBRAS COMPLEMENTARIAS</t>
        </is>
      </c>
      <c r="C138" s="360" t="inlineStr">
        <is>
          <t>Metálicas</t>
        </is>
      </c>
      <c r="D138" s="361" t="inlineStr">
        <is>
          <t>19.01.02</t>
        </is>
      </c>
      <c r="E138" s="362" t="inlineStr">
        <is>
          <t>Escaleras metálicas</t>
        </is>
      </c>
      <c r="F138" s="363" t="n"/>
      <c r="G138" s="363" t="n"/>
      <c r="H138" s="363" t="n"/>
      <c r="I138" s="361" t="inlineStr">
        <is>
          <t>kg</t>
        </is>
      </c>
      <c r="J138" s="1302" t="n">
        <v>0</v>
      </c>
      <c r="K138" s="1302" t="n">
        <v>0</v>
      </c>
      <c r="L138" s="1302" t="n">
        <v>0</v>
      </c>
      <c r="M138" s="1302" t="n">
        <v>0</v>
      </c>
      <c r="N138" s="1302" t="n">
        <v>1</v>
      </c>
      <c r="O138" s="1302" t="n">
        <v>1</v>
      </c>
      <c r="P138" s="1302" t="n">
        <v>1</v>
      </c>
      <c r="Q138" s="1302" t="n">
        <v>0</v>
      </c>
      <c r="R138" s="1303" t="n">
        <v>0</v>
      </c>
      <c r="S138" s="1302">
        <f>IF(I138="","",ROUND(IF(OR(I138="m²",I138="m2"),J138*IF(K138=0,1,K138)*IF(N138=0,1,N138)*IF(O138=0,1,O138)*P138-Q138,IF(OR(I138="m³",I138="m3"),J138*K138*L138*IF(N138=0,1,N138)*IF(O138=0,1,O138)*P138-Q138,IF(OR(I138="ml",I138="ML"),J138*IF(N138=0,1,N138)*IF(O138=0,1,O138)*P138-Q138,IF(OR(I138="und",I138="UND"),IF(N138=0,1,N138)*IF(O138=0,1,O138)*P138-Q138,IF(I138="kg",J138*IF(N138=0,1,N138)*IF(O138=0,1,O138)*P138-Q138,0))))),3))</f>
        <v/>
      </c>
      <c r="T138" s="1302">
        <f>IF(S138="","",ROUND(S138*(1+R138),3))</f>
        <v/>
      </c>
      <c r="U138" s="361" t="inlineStr">
        <is>
          <t>kg</t>
        </is>
      </c>
      <c r="V138" s="363" t="n"/>
      <c r="W138" s="363" t="n"/>
      <c r="X138" s="1304" t="n"/>
      <c r="Y138" s="363" t="inlineStr">
        <is>
          <t>Pendiente</t>
        </is>
      </c>
    </row>
    <row r="139" ht="15" customFormat="1" customHeight="1" s="666">
      <c r="A139" s="358" t="inlineStr">
        <is>
          <t>MQ-131</t>
        </is>
      </c>
      <c r="B139" s="359" t="inlineStr">
        <is>
          <t>OBRAS COMPLEMENTARIAS</t>
        </is>
      </c>
      <c r="C139" s="360" t="inlineStr">
        <is>
          <t>Metálicas</t>
        </is>
      </c>
      <c r="D139" s="361" t="inlineStr">
        <is>
          <t>19.01.03</t>
        </is>
      </c>
      <c r="E139" s="362" t="inlineStr">
        <is>
          <t>Elementos metálicos especiales</t>
        </is>
      </c>
      <c r="F139" s="363" t="n"/>
      <c r="G139" s="363" t="n"/>
      <c r="H139" s="363" t="n"/>
      <c r="I139" s="361" t="inlineStr">
        <is>
          <t>kg</t>
        </is>
      </c>
      <c r="J139" s="1302" t="n">
        <v>0</v>
      </c>
      <c r="K139" s="1302" t="n">
        <v>0</v>
      </c>
      <c r="L139" s="1302" t="n">
        <v>0</v>
      </c>
      <c r="M139" s="1302" t="n">
        <v>0</v>
      </c>
      <c r="N139" s="1302" t="n">
        <v>1</v>
      </c>
      <c r="O139" s="1302" t="n">
        <v>1</v>
      </c>
      <c r="P139" s="1302" t="n">
        <v>1</v>
      </c>
      <c r="Q139" s="1302" t="n">
        <v>0</v>
      </c>
      <c r="R139" s="1303" t="n">
        <v>0</v>
      </c>
      <c r="S139" s="1302">
        <f>IF(I139="","",ROUND(IF(OR(I139="m²",I139="m2"),J139*IF(K139=0,1,K139)*IF(N139=0,1,N139)*IF(O139=0,1,O139)*P139-Q139,IF(OR(I139="m³",I139="m3"),J139*K139*L139*IF(N139=0,1,N139)*IF(O139=0,1,O139)*P139-Q139,IF(OR(I139="ml",I139="ML"),J139*IF(N139=0,1,N139)*IF(O139=0,1,O139)*P139-Q139,IF(OR(I139="und",I139="UND"),IF(N139=0,1,N139)*IF(O139=0,1,O139)*P139-Q139,IF(I139="kg",J139*IF(N139=0,1,N139)*IF(O139=0,1,O139)*P139-Q139,0))))),3))</f>
        <v/>
      </c>
      <c r="T139" s="1302">
        <f>IF(S139="","",ROUND(S139*(1+R139),3))</f>
        <v/>
      </c>
      <c r="U139" s="361" t="inlineStr">
        <is>
          <t>kg</t>
        </is>
      </c>
      <c r="V139" s="363" t="n"/>
      <c r="W139" s="363" t="n"/>
      <c r="X139" s="1304" t="n"/>
      <c r="Y139" s="363" t="inlineStr">
        <is>
          <t>Pendiente</t>
        </is>
      </c>
    </row>
    <row r="140" ht="15" customFormat="1" customHeight="1" s="666">
      <c r="A140" s="358" t="inlineStr">
        <is>
          <t>MQ-132</t>
        </is>
      </c>
      <c r="B140" s="359" t="inlineStr">
        <is>
          <t>OBRAS COMPLEMENTARIAS</t>
        </is>
      </c>
      <c r="C140" s="360" t="inlineStr">
        <is>
          <t>Mobiliario</t>
        </is>
      </c>
      <c r="D140" s="361" t="inlineStr">
        <is>
          <t>19.02.01</t>
        </is>
      </c>
      <c r="E140" s="362" t="inlineStr">
        <is>
          <t>Mobiliario fijo de obra</t>
        </is>
      </c>
      <c r="F140" s="363" t="n"/>
      <c r="G140" s="363" t="n"/>
      <c r="H140" s="363" t="n"/>
      <c r="I140" s="361" t="inlineStr">
        <is>
          <t>und</t>
        </is>
      </c>
      <c r="J140" s="1302" t="n">
        <v>0</v>
      </c>
      <c r="K140" s="1302" t="n">
        <v>0</v>
      </c>
      <c r="L140" s="1302" t="n">
        <v>0</v>
      </c>
      <c r="M140" s="1302" t="n">
        <v>0</v>
      </c>
      <c r="N140" s="1302" t="n">
        <v>1</v>
      </c>
      <c r="O140" s="1302" t="n">
        <v>1</v>
      </c>
      <c r="P140" s="1302" t="n">
        <v>1</v>
      </c>
      <c r="Q140" s="1302" t="n">
        <v>0</v>
      </c>
      <c r="R140" s="1303" t="n">
        <v>0</v>
      </c>
      <c r="S140" s="1302">
        <f>IF(I140="","",ROUND(IF(OR(I140="m²",I140="m2"),J140*IF(K140=0,1,K140)*IF(N140=0,1,N140)*IF(O140=0,1,O140)*P140-Q140,IF(OR(I140="m³",I140="m3"),J140*K140*L140*IF(N140=0,1,N140)*IF(O140=0,1,O140)*P140-Q140,IF(OR(I140="ml",I140="ML"),J140*IF(N140=0,1,N140)*IF(O140=0,1,O140)*P140-Q140,IF(OR(I140="und",I140="UND"),IF(N140=0,1,N140)*IF(O140=0,1,O140)*P140-Q140,IF(I140="kg",J140*IF(N140=0,1,N140)*IF(O140=0,1,O140)*P140-Q140,0))))),3))</f>
        <v/>
      </c>
      <c r="T140" s="1302">
        <f>IF(S140="","",ROUND(S140*(1+R140),3))</f>
        <v/>
      </c>
      <c r="U140" s="361" t="inlineStr">
        <is>
          <t>und</t>
        </is>
      </c>
      <c r="V140" s="363" t="n"/>
      <c r="W140" s="363" t="n"/>
      <c r="X140" s="1304" t="n"/>
      <c r="Y140" s="363" t="inlineStr">
        <is>
          <t>Pendiente</t>
        </is>
      </c>
    </row>
    <row r="141" ht="15" customFormat="1" customHeight="1" s="666">
      <c r="A141" s="358" t="inlineStr">
        <is>
          <t>MQ-133</t>
        </is>
      </c>
      <c r="B141" s="359" t="inlineStr">
        <is>
          <t>ASEO, ENTREGA Y CIERRE</t>
        </is>
      </c>
      <c r="C141" s="360" t="inlineStr">
        <is>
          <t>Limpieza</t>
        </is>
      </c>
      <c r="D141" s="361" t="inlineStr">
        <is>
          <t>20.01.01</t>
        </is>
      </c>
      <c r="E141" s="362" t="inlineStr">
        <is>
          <t>Limpieza gruesa y fina de obra</t>
        </is>
      </c>
      <c r="F141" s="363" t="n"/>
      <c r="G141" s="363" t="n"/>
      <c r="H141" s="363" t="n"/>
      <c r="I141" s="361" t="inlineStr">
        <is>
          <t>m²</t>
        </is>
      </c>
      <c r="J141" s="1302" t="n">
        <v>0</v>
      </c>
      <c r="K141" s="1302" t="n">
        <v>0</v>
      </c>
      <c r="L141" s="1302" t="n">
        <v>0</v>
      </c>
      <c r="M141" s="1302" t="n">
        <v>0</v>
      </c>
      <c r="N141" s="1302" t="n">
        <v>1</v>
      </c>
      <c r="O141" s="1302" t="n">
        <v>1</v>
      </c>
      <c r="P141" s="1302" t="n">
        <v>1</v>
      </c>
      <c r="Q141" s="1302" t="n">
        <v>0</v>
      </c>
      <c r="R141" s="1303" t="n">
        <v>0</v>
      </c>
      <c r="S141" s="1302">
        <f>IF(I141="","",ROUND(IF(OR(I141="m²",I141="m2"),J141*IF(K141=0,1,K141)*IF(N141=0,1,N141)*IF(O141=0,1,O141)*P141-Q141,IF(OR(I141="m³",I141="m3"),J141*K141*L141*IF(N141=0,1,N141)*IF(O141=0,1,O141)*P141-Q141,IF(OR(I141="ml",I141="ML"),J141*IF(N141=0,1,N141)*IF(O141=0,1,O141)*P141-Q141,IF(OR(I141="und",I141="UND"),IF(N141=0,1,N141)*IF(O141=0,1,O141)*P141-Q141,IF(I141="kg",J141*IF(N141=0,1,N141)*IF(O141=0,1,O141)*P141-Q141,0))))),3))</f>
        <v/>
      </c>
      <c r="T141" s="1302">
        <f>IF(S141="","",ROUND(S141*(1+R141),3))</f>
        <v/>
      </c>
      <c r="U141" s="361" t="inlineStr">
        <is>
          <t>m²</t>
        </is>
      </c>
      <c r="V141" s="363" t="n"/>
      <c r="W141" s="363" t="n"/>
      <c r="X141" s="1304" t="n"/>
      <c r="Y141" s="363" t="inlineStr">
        <is>
          <t>Pendiente</t>
        </is>
      </c>
    </row>
    <row r="142" ht="15" customFormat="1" customHeight="1" s="666">
      <c r="A142" s="358" t="inlineStr">
        <is>
          <t>MQ-134</t>
        </is>
      </c>
      <c r="B142" s="359" t="inlineStr">
        <is>
          <t>ASEO, ENTREGA Y CIERRE</t>
        </is>
      </c>
      <c r="C142" s="360" t="inlineStr">
        <is>
          <t>Limpieza</t>
        </is>
      </c>
      <c r="D142" s="361" t="inlineStr">
        <is>
          <t>20.01.02</t>
        </is>
      </c>
      <c r="E142" s="362" t="inlineStr">
        <is>
          <t>Limpieza final para entrega</t>
        </is>
      </c>
      <c r="F142" s="363" t="n"/>
      <c r="G142" s="363" t="n"/>
      <c r="H142" s="363" t="n"/>
      <c r="I142" s="361" t="inlineStr">
        <is>
          <t>m²</t>
        </is>
      </c>
      <c r="J142" s="1302" t="n">
        <v>0</v>
      </c>
      <c r="K142" s="1302" t="n">
        <v>0</v>
      </c>
      <c r="L142" s="1302" t="n">
        <v>0</v>
      </c>
      <c r="M142" s="1302" t="n">
        <v>0</v>
      </c>
      <c r="N142" s="1302" t="n">
        <v>1</v>
      </c>
      <c r="O142" s="1302" t="n">
        <v>1</v>
      </c>
      <c r="P142" s="1302" t="n">
        <v>1</v>
      </c>
      <c r="Q142" s="1302" t="n">
        <v>0</v>
      </c>
      <c r="R142" s="1303" t="n">
        <v>0</v>
      </c>
      <c r="S142" s="1302">
        <f>IF(I142="","",ROUND(IF(OR(I142="m²",I142="m2"),J142*IF(K142=0,1,K142)*IF(N142=0,1,N142)*IF(O142=0,1,O142)*P142-Q142,IF(OR(I142="m³",I142="m3"),J142*K142*L142*IF(N142=0,1,N142)*IF(O142=0,1,O142)*P142-Q142,IF(OR(I142="ml",I142="ML"),J142*IF(N142=0,1,N142)*IF(O142=0,1,O142)*P142-Q142,IF(OR(I142="und",I142="UND"),IF(N142=0,1,N142)*IF(O142=0,1,O142)*P142-Q142,IF(I142="kg",J142*IF(N142=0,1,N142)*IF(O142=0,1,O142)*P142-Q142,0))))),3))</f>
        <v/>
      </c>
      <c r="T142" s="1302">
        <f>IF(S142="","",ROUND(S142*(1+R142),3))</f>
        <v/>
      </c>
      <c r="U142" s="361" t="inlineStr">
        <is>
          <t>m²</t>
        </is>
      </c>
      <c r="V142" s="363" t="n"/>
      <c r="W142" s="363" t="n"/>
      <c r="X142" s="1304" t="n"/>
      <c r="Y142" s="363" t="inlineStr">
        <is>
          <t>Pendiente</t>
        </is>
      </c>
    </row>
    <row r="143" ht="15" customFormat="1" customHeight="1" s="666">
      <c r="A143" s="358" t="inlineStr">
        <is>
          <t>MQ-135</t>
        </is>
      </c>
      <c r="B143" s="359" t="inlineStr">
        <is>
          <t>ASEO, ENTREGA Y CIERRE</t>
        </is>
      </c>
      <c r="C143" s="360" t="inlineStr">
        <is>
          <t>Pruebas</t>
        </is>
      </c>
      <c r="D143" s="361" t="inlineStr">
        <is>
          <t>20.02.01</t>
        </is>
      </c>
      <c r="E143" s="362" t="inlineStr">
        <is>
          <t>Pruebas, puesta en marcha y ajustes</t>
        </is>
      </c>
      <c r="F143" s="363" t="n"/>
      <c r="G143" s="363" t="n"/>
      <c r="H143" s="363" t="n"/>
      <c r="I143" s="361" t="inlineStr">
        <is>
          <t>gl</t>
        </is>
      </c>
      <c r="J143" s="1302" t="n">
        <v>0</v>
      </c>
      <c r="K143" s="1302" t="n">
        <v>0</v>
      </c>
      <c r="L143" s="1302" t="n">
        <v>0</v>
      </c>
      <c r="M143" s="1302" t="n">
        <v>0</v>
      </c>
      <c r="N143" s="1302" t="n">
        <v>1</v>
      </c>
      <c r="O143" s="1302" t="n">
        <v>1</v>
      </c>
      <c r="P143" s="1302" t="n">
        <v>1</v>
      </c>
      <c r="Q143" s="1302" t="n">
        <v>0</v>
      </c>
      <c r="R143" s="1303" t="n">
        <v>0</v>
      </c>
      <c r="S143" s="1302">
        <f>IF(I143="","",ROUND(IF(OR(I143="m²",I143="m2"),J143*IF(K143=0,1,K143)*IF(N143=0,1,N143)*IF(O143=0,1,O143)*P143-Q143,IF(OR(I143="m³",I143="m3"),J143*K143*L143*IF(N143=0,1,N143)*IF(O143=0,1,O143)*P143-Q143,IF(OR(I143="ml",I143="ML"),J143*IF(N143=0,1,N143)*IF(O143=0,1,O143)*P143-Q143,IF(OR(I143="und",I143="UND"),IF(N143=0,1,N143)*IF(O143=0,1,O143)*P143-Q143,IF(I143="kg",J143*IF(N143=0,1,N143)*IF(O143=0,1,O143)*P143-Q143,0))))),3))</f>
        <v/>
      </c>
      <c r="T143" s="1302">
        <f>IF(S143="","",ROUND(S143*(1+R143),3))</f>
        <v/>
      </c>
      <c r="U143" s="361" t="inlineStr">
        <is>
          <t>gl</t>
        </is>
      </c>
      <c r="V143" s="363" t="n"/>
      <c r="W143" s="363" t="n"/>
      <c r="X143" s="1304" t="n"/>
      <c r="Y143" s="363" t="inlineStr">
        <is>
          <t>Pendiente</t>
        </is>
      </c>
    </row>
    <row r="144" ht="15" customFormat="1" customHeight="1" s="666">
      <c r="A144" s="358" t="inlineStr">
        <is>
          <t>MQ-136</t>
        </is>
      </c>
      <c r="B144" s="359" t="inlineStr">
        <is>
          <t>ASEO, ENTREGA Y CIERRE</t>
        </is>
      </c>
      <c r="C144" s="360" t="inlineStr">
        <is>
          <t>Documentación</t>
        </is>
      </c>
      <c r="D144" s="361" t="inlineStr">
        <is>
          <t>20.02.01</t>
        </is>
      </c>
      <c r="E144" s="362" t="inlineStr">
        <is>
          <t>Actualización de planos récord / as-built</t>
        </is>
      </c>
      <c r="F144" s="363" t="n"/>
      <c r="G144" s="363" t="n"/>
      <c r="H144" s="363" t="n"/>
      <c r="I144" s="361" t="inlineStr">
        <is>
          <t>gl</t>
        </is>
      </c>
      <c r="J144" s="1302" t="n">
        <v>0</v>
      </c>
      <c r="K144" s="1302" t="n">
        <v>0</v>
      </c>
      <c r="L144" s="1302" t="n">
        <v>0</v>
      </c>
      <c r="M144" s="1302" t="n">
        <v>0</v>
      </c>
      <c r="N144" s="1302" t="n">
        <v>1</v>
      </c>
      <c r="O144" s="1302" t="n">
        <v>1</v>
      </c>
      <c r="P144" s="1302" t="n">
        <v>1</v>
      </c>
      <c r="Q144" s="1302" t="n">
        <v>0</v>
      </c>
      <c r="R144" s="1303" t="n">
        <v>0</v>
      </c>
      <c r="S144" s="1302">
        <f>IF(I144="","",ROUND(IF(OR(I144="m²",I144="m2"),J144*IF(K144=0,1,K144)*IF(N144=0,1,N144)*IF(O144=0,1,O144)*P144-Q144,IF(OR(I144="m³",I144="m3"),J144*K144*L144*IF(N144=0,1,N144)*IF(O144=0,1,O144)*P144-Q144,IF(OR(I144="ml",I144="ML"),J144*IF(N144=0,1,N144)*IF(O144=0,1,O144)*P144-Q144,IF(OR(I144="und",I144="UND"),IF(N144=0,1,N144)*IF(O144=0,1,O144)*P144-Q144,IF(I144="kg",J144*IF(N144=0,1,N144)*IF(O144=0,1,O144)*P144-Q144,0))))),3))</f>
        <v/>
      </c>
      <c r="T144" s="1302">
        <f>IF(S144="","",ROUND(S144*(1+R144),3))</f>
        <v/>
      </c>
      <c r="U144" s="361" t="inlineStr">
        <is>
          <t>gl</t>
        </is>
      </c>
      <c r="V144" s="363" t="n"/>
      <c r="W144" s="363" t="n"/>
      <c r="X144" s="1304" t="n"/>
      <c r="Y144" s="363" t="inlineStr">
        <is>
          <t>Pendiente</t>
        </is>
      </c>
    </row>
    <row r="145" ht="15" customFormat="1" customHeight="1" s="666">
      <c r="A145" s="358" t="inlineStr">
        <is>
          <t>MQ-137</t>
        </is>
      </c>
      <c r="B145" s="359" t="inlineStr">
        <is>
          <t>ASEO, ENTREGA Y CIERRE</t>
        </is>
      </c>
      <c r="C145" s="360" t="inlineStr">
        <is>
          <t>Entrega</t>
        </is>
      </c>
      <c r="D145" s="361" t="inlineStr">
        <is>
          <t>20.02.02</t>
        </is>
      </c>
      <c r="E145" s="362" t="inlineStr">
        <is>
          <t>Entrega, manuales y acta de recibo</t>
        </is>
      </c>
      <c r="F145" s="363" t="n"/>
      <c r="G145" s="363" t="n"/>
      <c r="H145" s="363" t="n"/>
      <c r="I145" s="361" t="inlineStr">
        <is>
          <t>gl</t>
        </is>
      </c>
      <c r="J145" s="1302" t="n">
        <v>0</v>
      </c>
      <c r="K145" s="1302" t="n">
        <v>0</v>
      </c>
      <c r="L145" s="1302" t="n">
        <v>0</v>
      </c>
      <c r="M145" s="1302" t="n">
        <v>0</v>
      </c>
      <c r="N145" s="1302" t="n">
        <v>1</v>
      </c>
      <c r="O145" s="1302" t="n">
        <v>1</v>
      </c>
      <c r="P145" s="1302" t="n">
        <v>1</v>
      </c>
      <c r="Q145" s="1302" t="n">
        <v>0</v>
      </c>
      <c r="R145" s="1303" t="n">
        <v>0</v>
      </c>
      <c r="S145" s="1302">
        <f>IF(I145="","",ROUND(IF(OR(I145="m²",I145="m2"),J145*IF(K145=0,1,K145)*IF(N145=0,1,N145)*IF(O145=0,1,O145)*P145-Q145,IF(OR(I145="m³",I145="m3"),J145*K145*L145*IF(N145=0,1,N145)*IF(O145=0,1,O145)*P145-Q145,IF(OR(I145="ml",I145="ML"),J145*IF(N145=0,1,N145)*IF(O145=0,1,O145)*P145-Q145,IF(OR(I145="und",I145="UND"),IF(N145=0,1,N145)*IF(O145=0,1,O145)*P145-Q145,IF(I145="kg",J145*IF(N145=0,1,N145)*IF(O145=0,1,O145)*P145-Q145,0))))),3))</f>
        <v/>
      </c>
      <c r="T145" s="1302">
        <f>IF(S145="","",ROUND(S145*(1+R145),3))</f>
        <v/>
      </c>
      <c r="U145" s="361" t="inlineStr">
        <is>
          <t>gl</t>
        </is>
      </c>
      <c r="V145" s="363" t="n"/>
      <c r="W145" s="363" t="n"/>
      <c r="X145" s="1304" t="n"/>
      <c r="Y145" s="363" t="inlineStr">
        <is>
          <t>Pendiente</t>
        </is>
      </c>
    </row>
    <row r="146">
      <c r="A146" s="226" t="inlineStr">
        <is>
          <t>REV. 10/09/2026</t>
        </is>
      </c>
      <c r="Y146" s="497">
        <f>I4</f>
        <v/>
      </c>
    </row>
  </sheetData>
  <mergeCells count="12">
    <mergeCell ref="I4:J4"/>
    <mergeCell ref="D3:G3"/>
    <mergeCell ref="I6:J6"/>
    <mergeCell ref="A1:C7"/>
    <mergeCell ref="I7:J7"/>
    <mergeCell ref="I5:J5"/>
    <mergeCell ref="K1:Y7"/>
    <mergeCell ref="D5:G5"/>
    <mergeCell ref="H3:J3"/>
    <mergeCell ref="D6:G7"/>
    <mergeCell ref="D1:J1"/>
    <mergeCell ref="D4:G4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1565C0"/>
    <outlinePr summaryBelow="1" summaryRight="1"/>
    <pageSetUpPr/>
  </sheetPr>
  <dimension ref="A1:N49"/>
  <sheetViews>
    <sheetView topLeftCell="A23" zoomScale="79" zoomScaleNormal="79" workbookViewId="0">
      <selection activeCell="A45" sqref="A45"/>
    </sheetView>
  </sheetViews>
  <sheetFormatPr baseColWidth="10" defaultColWidth="8.88671875" defaultRowHeight="14.4"/>
  <cols>
    <col width="40.77734375" customWidth="1" style="1062" min="1" max="1"/>
    <col width="15.77734375" customWidth="1" style="1062" min="2" max="4"/>
    <col width="15.77734375" customWidth="1" style="1062" min="10" max="12"/>
  </cols>
  <sheetData>
    <row r="1" ht="40.05" customHeight="1" s="1062">
      <c r="A1" s="263" t="n"/>
      <c r="B1" s="618" t="inlineStr">
        <is>
          <t>REFORMAS Y REMODELACIONES</t>
        </is>
      </c>
      <c r="C1" s="619" t="n"/>
      <c r="D1" s="619" t="n"/>
      <c r="E1" s="619" t="n"/>
      <c r="F1" s="619" t="n"/>
      <c r="G1" s="619" t="n"/>
      <c r="H1" s="619" t="n"/>
      <c r="I1" s="619" t="n"/>
      <c r="J1" s="619" t="n"/>
      <c r="K1" s="619" t="n"/>
      <c r="L1" s="620" t="n"/>
      <c r="M1" s="669" t="n"/>
      <c r="N1" s="669" t="n"/>
    </row>
    <row r="2" ht="4.95" customHeight="1" s="1062">
      <c r="A2" s="271" t="n"/>
      <c r="B2" s="647" t="n"/>
      <c r="L2" s="616" t="n"/>
      <c r="M2" s="669" t="n"/>
      <c r="N2" s="669" t="n"/>
    </row>
    <row r="3">
      <c r="A3" s="654" t="n"/>
      <c r="B3" s="607" t="n"/>
      <c r="C3" s="607" t="n"/>
      <c r="D3" s="607" t="n"/>
      <c r="E3" s="607" t="n"/>
      <c r="F3" s="607" t="n"/>
      <c r="G3" s="607" t="n"/>
      <c r="H3" s="607" t="n"/>
      <c r="I3" s="608" t="n"/>
      <c r="J3" s="609" t="inlineStr">
        <is>
          <t>CONTROL DOCUMENTAL</t>
        </is>
      </c>
      <c r="K3" s="610" t="n"/>
      <c r="L3" s="611" t="n"/>
    </row>
    <row r="4" ht="21" customHeight="1" s="1062">
      <c r="A4" s="263" t="n"/>
      <c r="B4" s="565" t="inlineStr">
        <is>
          <t>REFORMAS Y REMODELACIONES</t>
        </is>
      </c>
      <c r="J4" s="262" t="inlineStr">
        <is>
          <t>Código</t>
        </is>
      </c>
      <c r="K4" s="637" t="inlineStr">
        <is>
          <t>RYR-CO-001</t>
        </is>
      </c>
      <c r="L4" s="638" t="n"/>
    </row>
    <row r="5">
      <c r="A5" s="263" t="n"/>
      <c r="B5" s="636" t="inlineStr">
        <is>
          <t>DISEÑAMOS, RENOVAMOS Y CONSTRUIMOS ESPACIOS QUE INSPIRAN</t>
        </is>
      </c>
      <c r="J5" s="260" t="inlineStr">
        <is>
          <t>Versión</t>
        </is>
      </c>
      <c r="K5" s="604" t="n">
        <v>1</v>
      </c>
      <c r="L5" s="605" t="n"/>
    </row>
    <row r="6">
      <c r="A6" s="628" t="n"/>
      <c r="J6" s="260" t="inlineStr">
        <is>
          <t>Fecha de Emisión</t>
        </is>
      </c>
      <c r="K6" s="617" t="inlineStr">
        <is>
          <t>10/09/2026</t>
        </is>
      </c>
      <c r="L6" s="605" t="n"/>
    </row>
    <row r="7">
      <c r="J7" s="261" t="inlineStr">
        <is>
          <t>Página</t>
        </is>
      </c>
      <c r="K7" s="602" t="inlineStr">
        <is>
          <t>1 de 1</t>
        </is>
      </c>
      <c r="L7" s="603" t="n"/>
    </row>
    <row r="8" ht="15" customHeight="1" s="1062">
      <c r="A8" s="648" t="inlineStr">
        <is>
          <t>CONTROL MAESTRO DE CANTIDADES DE OBRA — TODAS LAS ACTIVIDADES</t>
        </is>
      </c>
    </row>
    <row r="9" ht="15" customHeight="1" s="1062">
      <c r="A9" s="630" t="inlineStr">
        <is>
          <t>Catálogo detallado para medición: preliminares • tierras • cimentación • estructura • mampostería • cubiertas • acabados • instalaciones • exteriores • cierre</t>
        </is>
      </c>
    </row>
    <row r="10" ht="15" customHeight="1" s="1062">
      <c r="A10" s="621" t="inlineStr">
        <is>
          <t>ACTIVIDADES CATALOGADAS</t>
        </is>
      </c>
      <c r="C10" s="622" t="n"/>
      <c r="D10" s="631" t="inlineStr">
        <is>
          <t>CANTIDADES CALCULADAS</t>
        </is>
      </c>
      <c r="G10" s="650" t="inlineStr">
        <is>
          <t>ACTIVIDADES APROBADAS</t>
        </is>
      </c>
      <c r="J10" s="632" t="inlineStr">
        <is>
          <t>PENDIENTES</t>
        </is>
      </c>
    </row>
    <row r="11" ht="15" customHeight="1" s="1062">
      <c r="A11" s="656">
        <f>COUNTA('Cantidades de Obra'!A9:A153)</f>
        <v/>
      </c>
      <c r="C11" s="622" t="n"/>
      <c r="D11" s="626">
        <f>COUNT('Cantidades de Obra'!T9:T153)</f>
        <v/>
      </c>
      <c r="G11" s="655">
        <f>COUNTIF('Cantidades de Obra'!Y9:Y153,"Aprobada")</f>
        <v/>
      </c>
      <c r="J11" s="627">
        <f>COUNTIF('Cantidades de Obra'!Y9:Y153,"Pendiente")</f>
        <v/>
      </c>
    </row>
    <row r="12" ht="15" customHeight="1" s="1062">
      <c r="C12" s="622" t="n"/>
    </row>
    <row r="13" ht="15" customHeight="1" s="1062">
      <c r="A13" s="629" t="inlineStr">
        <is>
          <t>CONTROL POR CAPÍTULO</t>
        </is>
      </c>
    </row>
    <row r="14" ht="15" customHeight="1" s="1062">
      <c r="A14" s="250" t="inlineStr">
        <is>
          <t>Capítulo</t>
        </is>
      </c>
      <c r="B14" s="250" t="inlineStr">
        <is>
          <t>Actividades</t>
        </is>
      </c>
      <c r="C14" s="250" t="inlineStr">
        <is>
          <t>Calculadas</t>
        </is>
      </c>
      <c r="D14" s="250" t="inlineStr">
        <is>
          <t>Pendientes</t>
        </is>
      </c>
      <c r="E14" s="296" t="n"/>
      <c r="F14" s="296" t="n"/>
      <c r="G14" s="296" t="n"/>
      <c r="H14" s="296" t="n"/>
      <c r="I14" s="296" t="n"/>
      <c r="J14" s="296" t="n"/>
      <c r="K14" s="296" t="n"/>
      <c r="L14" s="296" t="n"/>
    </row>
    <row r="15" ht="15" customHeight="1" s="1062">
      <c r="A15" s="247" t="inlineStr">
        <is>
          <t>PRELIMINARES</t>
        </is>
      </c>
      <c r="B15" s="252">
        <f>COUNTIF('Cantidades de Obra'!B:B,A15)</f>
        <v/>
      </c>
      <c r="C15" s="253">
        <f>COUNTIFS('Cantidades de Obra'!B:B,A15,'Cantidades de Obra'!T:T,"&gt;0")</f>
        <v/>
      </c>
      <c r="D15" s="251">
        <f>B15-C15</f>
        <v/>
      </c>
      <c r="E15" s="248" t="n"/>
      <c r="F15" s="248" t="n"/>
      <c r="G15" s="248" t="n"/>
      <c r="H15" s="248" t="n"/>
      <c r="I15" s="248" t="n"/>
      <c r="J15" s="248" t="n"/>
      <c r="K15" s="248" t="n"/>
      <c r="L15" s="249" t="n"/>
    </row>
    <row r="16" ht="15" customHeight="1" s="1062">
      <c r="A16" s="247" t="inlineStr">
        <is>
          <t>MOVIMIENTO DE TIERRAS</t>
        </is>
      </c>
      <c r="B16" s="252">
        <f>COUNTIF('Cantidades de Obra'!B:B,A16)</f>
        <v/>
      </c>
      <c r="C16" s="253">
        <f>COUNTIFS('Cantidades de Obra'!B:B,A16,'Cantidades de Obra'!T:T,"&gt;0")</f>
        <v/>
      </c>
      <c r="D16" s="251">
        <f>B16-C16</f>
        <v/>
      </c>
      <c r="E16" s="248" t="n"/>
      <c r="F16" s="248" t="n"/>
      <c r="G16" s="248" t="n"/>
      <c r="H16" s="248" t="n"/>
      <c r="I16" s="248" t="n"/>
      <c r="J16" s="248" t="n"/>
      <c r="K16" s="248" t="n"/>
      <c r="L16" s="249" t="n"/>
    </row>
    <row r="17" ht="15" customHeight="1" s="1062">
      <c r="A17" s="247" t="inlineStr">
        <is>
          <t>CIMENTACIONES</t>
        </is>
      </c>
      <c r="B17" s="252">
        <f>COUNTIF('Cantidades de Obra'!B:B,A17)</f>
        <v/>
      </c>
      <c r="C17" s="253">
        <f>COUNTIFS('Cantidades de Obra'!B:B,A17,'Cantidades de Obra'!T:T,"&gt;0")</f>
        <v/>
      </c>
      <c r="D17" s="251">
        <f>B17-C17</f>
        <v/>
      </c>
      <c r="E17" s="248" t="n"/>
      <c r="F17" s="248" t="n"/>
      <c r="G17" s="248" t="n"/>
      <c r="H17" s="248" t="n"/>
      <c r="I17" s="248" t="n"/>
      <c r="J17" s="248" t="n"/>
      <c r="K17" s="248" t="n"/>
      <c r="L17" s="249" t="n"/>
    </row>
    <row r="18" ht="15" customHeight="1" s="1062">
      <c r="A18" s="247" t="inlineStr">
        <is>
          <t>ESTRUCTURA</t>
        </is>
      </c>
      <c r="B18" s="252">
        <f>COUNTIF('Cantidades de Obra'!B:B,A18)</f>
        <v/>
      </c>
      <c r="C18" s="253">
        <f>COUNTIFS('Cantidades de Obra'!B:B,A18,'Cantidades de Obra'!T:T,"&gt;0")</f>
        <v/>
      </c>
      <c r="D18" s="251">
        <f>B18-C18</f>
        <v/>
      </c>
      <c r="E18" s="248" t="n"/>
      <c r="F18" s="248" t="n"/>
      <c r="G18" s="248" t="n"/>
      <c r="H18" s="248" t="n"/>
      <c r="I18" s="248" t="n"/>
      <c r="J18" s="248" t="n"/>
      <c r="K18" s="248" t="n"/>
      <c r="L18" s="249" t="n"/>
    </row>
    <row r="19" ht="15" customHeight="1" s="1062">
      <c r="A19" s="247" t="inlineStr">
        <is>
          <t>MAMPOSTERÍA</t>
        </is>
      </c>
      <c r="B19" s="252">
        <f>COUNTIF('Cantidades de Obra'!B:B,A19)</f>
        <v/>
      </c>
      <c r="C19" s="253">
        <f>COUNTIFS('Cantidades de Obra'!B:B,A19,'Cantidades de Obra'!T:T,"&gt;0")</f>
        <v/>
      </c>
      <c r="D19" s="251">
        <f>B19-C19</f>
        <v/>
      </c>
      <c r="E19" s="248" t="n"/>
      <c r="F19" s="248" t="n"/>
      <c r="G19" s="248" t="n"/>
      <c r="H19" s="248" t="n"/>
      <c r="I19" s="248" t="n"/>
      <c r="J19" s="248" t="n"/>
      <c r="K19" s="248" t="n"/>
      <c r="L19" s="249" t="n"/>
    </row>
    <row r="20" ht="15" customHeight="1" s="1062">
      <c r="A20" s="247" t="inlineStr">
        <is>
          <t>CUBIERTAS</t>
        </is>
      </c>
      <c r="B20" s="252">
        <f>COUNTIF('Cantidades de Obra'!B:B,A20)</f>
        <v/>
      </c>
      <c r="C20" s="253">
        <f>COUNTIFS('Cantidades de Obra'!B:B,A20,'Cantidades de Obra'!T:T,"&gt;0")</f>
        <v/>
      </c>
      <c r="D20" s="251">
        <f>B20-C20</f>
        <v/>
      </c>
      <c r="E20" s="248" t="n"/>
      <c r="F20" s="248" t="n"/>
      <c r="G20" s="248" t="n"/>
      <c r="H20" s="248" t="n"/>
      <c r="I20" s="248" t="n"/>
      <c r="J20" s="248" t="n"/>
      <c r="K20" s="248" t="n"/>
      <c r="L20" s="249" t="n"/>
    </row>
    <row r="21" ht="15" customHeight="1" s="1062">
      <c r="A21" s="247" t="inlineStr">
        <is>
          <t>IMPERMEABILIZACIONES</t>
        </is>
      </c>
      <c r="B21" s="252">
        <f>COUNTIF('Cantidades de Obra'!B:B,A21)</f>
        <v/>
      </c>
      <c r="C21" s="253">
        <f>COUNTIFS('Cantidades de Obra'!B:B,A21,'Cantidades de Obra'!T:T,"&gt;0")</f>
        <v/>
      </c>
      <c r="D21" s="251">
        <f>B21-C21</f>
        <v/>
      </c>
      <c r="E21" s="248" t="n"/>
      <c r="F21" s="248" t="n"/>
      <c r="G21" s="248" t="n"/>
      <c r="H21" s="248" t="n"/>
      <c r="I21" s="248" t="n"/>
      <c r="J21" s="248" t="n"/>
      <c r="K21" s="248" t="n"/>
      <c r="L21" s="249" t="n"/>
    </row>
    <row r="22" ht="15" customHeight="1" s="1062">
      <c r="A22" s="247" t="inlineStr">
        <is>
          <t>PAÑETES Y REVOQUES</t>
        </is>
      </c>
      <c r="B22" s="252">
        <f>COUNTIF('Cantidades de Obra'!B:B,A22)</f>
        <v/>
      </c>
      <c r="C22" s="253">
        <f>COUNTIFS('Cantidades de Obra'!B:B,A22,'Cantidades de Obra'!T:T,"&gt;0")</f>
        <v/>
      </c>
      <c r="D22" s="251">
        <f>B22-C22</f>
        <v/>
      </c>
      <c r="E22" s="248" t="n"/>
      <c r="F22" s="248" t="n"/>
      <c r="G22" s="248" t="n"/>
      <c r="H22" s="248" t="n"/>
      <c r="I22" s="248" t="n"/>
      <c r="J22" s="248" t="n"/>
      <c r="K22" s="248" t="n"/>
      <c r="L22" s="249" t="n"/>
    </row>
    <row r="23" ht="15" customHeight="1" s="1062">
      <c r="A23" s="247" t="inlineStr">
        <is>
          <t>PISOS Y ENCHAPES</t>
        </is>
      </c>
      <c r="B23" s="252">
        <f>COUNTIF('Cantidades de Obra'!B:B,A23)</f>
        <v/>
      </c>
      <c r="C23" s="253">
        <f>COUNTIFS('Cantidades de Obra'!B:B,A23,'Cantidades de Obra'!T:T,"&gt;0")</f>
        <v/>
      </c>
      <c r="D23" s="251">
        <f>B23-C23</f>
        <v/>
      </c>
      <c r="E23" s="248" t="n"/>
      <c r="F23" s="248" t="n"/>
      <c r="G23" s="248" t="n"/>
      <c r="H23" s="248" t="n"/>
      <c r="I23" s="248" t="n"/>
      <c r="J23" s="248" t="n"/>
      <c r="K23" s="248" t="n"/>
      <c r="L23" s="249" t="n"/>
    </row>
    <row r="24" ht="15" customHeight="1" s="1062">
      <c r="A24" s="247" t="inlineStr">
        <is>
          <t>PINTURA</t>
        </is>
      </c>
      <c r="B24" s="252">
        <f>COUNTIF('Cantidades de Obra'!B:B,A24)</f>
        <v/>
      </c>
      <c r="C24" s="253">
        <f>COUNTIFS('Cantidades de Obra'!B:B,A24,'Cantidades de Obra'!T:T,"&gt;0")</f>
        <v/>
      </c>
      <c r="D24" s="251">
        <f>B24-C24</f>
        <v/>
      </c>
      <c r="E24" s="248" t="n"/>
      <c r="F24" s="248" t="n"/>
      <c r="G24" s="248" t="n"/>
      <c r="H24" s="248" t="n"/>
      <c r="I24" s="248" t="n"/>
      <c r="J24" s="248" t="n"/>
      <c r="K24" s="248" t="n"/>
      <c r="L24" s="249" t="n"/>
    </row>
    <row r="25" ht="15" customHeight="1" s="1062">
      <c r="A25" s="247" t="inlineStr">
        <is>
          <t>CARPINTERÍA</t>
        </is>
      </c>
      <c r="B25" s="252">
        <f>COUNTIF('Cantidades de Obra'!B:B,A25)</f>
        <v/>
      </c>
      <c r="C25" s="253">
        <f>COUNTIFS('Cantidades de Obra'!B:B,A25,'Cantidades de Obra'!T:T,"&gt;0")</f>
        <v/>
      </c>
      <c r="D25" s="251">
        <f>B25-C25</f>
        <v/>
      </c>
      <c r="E25" s="248" t="n"/>
      <c r="F25" s="248" t="n"/>
      <c r="G25" s="248" t="n"/>
      <c r="H25" s="248" t="n"/>
      <c r="I25" s="248" t="n"/>
      <c r="J25" s="248" t="n"/>
      <c r="K25" s="248" t="n"/>
      <c r="L25" s="249" t="n"/>
    </row>
    <row r="26" ht="15" customHeight="1" s="1062">
      <c r="A26" s="269" t="inlineStr">
        <is>
          <t>VIDRIOS</t>
        </is>
      </c>
      <c r="B26" s="252">
        <f>COUNTIF('Cantidades de Obra'!B:B,A26)</f>
        <v/>
      </c>
      <c r="C26" s="253">
        <f>COUNTIFS('Cantidades de Obra'!B:B,A26,'Cantidades de Obra'!T:T,"&gt;0")</f>
        <v/>
      </c>
      <c r="D26" s="251">
        <f>B26-C26</f>
        <v/>
      </c>
      <c r="E26" s="248" t="n"/>
      <c r="F26" s="248" t="n"/>
      <c r="G26" s="248" t="n"/>
      <c r="H26" s="248" t="n"/>
      <c r="I26" s="248" t="n"/>
      <c r="J26" s="248" t="n"/>
      <c r="K26" s="248" t="n"/>
      <c r="L26" s="249" t="n"/>
    </row>
    <row r="27" ht="15" customHeight="1" s="1062">
      <c r="A27" s="247" t="inlineStr">
        <is>
          <t>INSTALACIONES HIDROSANITARIAS</t>
        </is>
      </c>
      <c r="B27" s="252">
        <f>COUNTIF('Cantidades de Obra'!B:B,A27)</f>
        <v/>
      </c>
      <c r="C27" s="253">
        <f>COUNTIFS('Cantidades de Obra'!B:B,A27,'Cantidades de Obra'!T:T,"&gt;0")</f>
        <v/>
      </c>
      <c r="D27" s="251">
        <f>B27-C27</f>
        <v/>
      </c>
      <c r="E27" s="248" t="n"/>
      <c r="F27" s="248" t="n"/>
      <c r="G27" s="248" t="n"/>
      <c r="H27" s="248" t="n"/>
      <c r="I27" s="248" t="n"/>
      <c r="J27" s="248" t="n"/>
      <c r="K27" s="248" t="n"/>
      <c r="L27" s="249" t="n"/>
    </row>
    <row r="28" ht="15" customHeight="1" s="1062">
      <c r="A28" s="247" t="inlineStr">
        <is>
          <t>INSTALACIONES ELÉCTRICAS</t>
        </is>
      </c>
      <c r="B28" s="252">
        <f>COUNTIF('Cantidades de Obra'!B:B,A28)</f>
        <v/>
      </c>
      <c r="C28" s="253">
        <f>COUNTIFS('Cantidades de Obra'!B:B,A28,'Cantidades de Obra'!T:T,"&gt;0")</f>
        <v/>
      </c>
      <c r="D28" s="251">
        <f>B28-C28</f>
        <v/>
      </c>
      <c r="E28" s="248" t="n"/>
      <c r="F28" s="248" t="n"/>
      <c r="G28" s="248" t="n"/>
      <c r="H28" s="248" t="n"/>
      <c r="I28" s="248" t="n"/>
      <c r="J28" s="248" t="n"/>
      <c r="K28" s="248" t="n"/>
      <c r="L28" s="249" t="n"/>
    </row>
    <row r="29" ht="15" customHeight="1" s="1062">
      <c r="A29" s="247" t="inlineStr">
        <is>
          <t>COMUNICACIONES Y SEGURIDAD</t>
        </is>
      </c>
      <c r="B29" s="252">
        <f>COUNTIF('Cantidades de Obra'!B:B,A29)</f>
        <v/>
      </c>
      <c r="C29" s="253">
        <f>COUNTIFS('Cantidades de Obra'!B:B,A29,'Cantidades de Obra'!T:T,"&gt;0")</f>
        <v/>
      </c>
      <c r="D29" s="251">
        <f>B29-C29</f>
        <v/>
      </c>
      <c r="E29" s="248" t="n"/>
      <c r="F29" s="248" t="n"/>
      <c r="G29" s="248" t="n"/>
      <c r="H29" s="248" t="n"/>
      <c r="I29" s="248" t="n"/>
      <c r="J29" s="248" t="n"/>
      <c r="K29" s="248" t="n"/>
      <c r="L29" s="249" t="n"/>
    </row>
    <row r="30" ht="15" customHeight="1" s="1062">
      <c r="A30" s="247" t="inlineStr">
        <is>
          <t>CLIMATIZACIÓN Y VENTILACIÓN</t>
        </is>
      </c>
      <c r="B30" s="252">
        <f>COUNTIF('Cantidades de Obra'!B:B,A30)</f>
        <v/>
      </c>
      <c r="C30" s="253">
        <f>COUNTIFS('Cantidades de Obra'!B:B,A30,'Cantidades de Obra'!T:T,"&gt;0")</f>
        <v/>
      </c>
      <c r="D30" s="251">
        <f>B30-C30</f>
        <v/>
      </c>
      <c r="E30" s="248" t="n"/>
      <c r="F30" s="248" t="n"/>
      <c r="G30" s="248" t="n"/>
      <c r="H30" s="248" t="n"/>
      <c r="I30" s="248" t="n"/>
      <c r="J30" s="248" t="n"/>
      <c r="K30" s="248" t="n"/>
      <c r="L30" s="249" t="n"/>
    </row>
    <row r="31" ht="15" customHeight="1" s="1062">
      <c r="A31" s="247" t="inlineStr">
        <is>
          <t>GAS</t>
        </is>
      </c>
      <c r="B31" s="252">
        <f>COUNTIF('Cantidades de Obra'!B:B,A31)</f>
        <v/>
      </c>
      <c r="C31" s="253">
        <f>COUNTIFS('Cantidades de Obra'!B:B,A31,'Cantidades de Obra'!T:T,"&gt;0")</f>
        <v/>
      </c>
      <c r="D31" s="251">
        <f>B31-C31</f>
        <v/>
      </c>
      <c r="E31" s="248" t="n"/>
      <c r="F31" s="248" t="n"/>
      <c r="G31" s="248" t="n"/>
      <c r="H31" s="248" t="n"/>
      <c r="I31" s="248" t="n"/>
      <c r="J31" s="248" t="n"/>
      <c r="K31" s="248" t="n"/>
      <c r="L31" s="249" t="n"/>
    </row>
    <row r="32">
      <c r="A32" s="349" t="inlineStr">
        <is>
          <t>URBANISMO Y EXTERIORES</t>
        </is>
      </c>
      <c r="B32" s="252">
        <f>COUNTIF('Cantidades de Obra'!B:B,A32)</f>
        <v/>
      </c>
      <c r="C32" s="253">
        <f>COUNTIFS('Cantidades de Obra'!B:B,A32,'Cantidades de Obra'!T:T,"&gt;0")</f>
        <v/>
      </c>
      <c r="D32" s="251">
        <f>B32-C32</f>
        <v/>
      </c>
    </row>
    <row r="33" ht="15" customHeight="1" s="1062">
      <c r="A33" s="247" t="inlineStr">
        <is>
          <t>OBRAS COMPLEMENTARIAS</t>
        </is>
      </c>
      <c r="B33" s="252">
        <f>COUNTIF('Cantidades de Obra'!B:B,A33)</f>
        <v/>
      </c>
      <c r="C33" s="253">
        <f>COUNTIFS('Cantidades de Obra'!B:B,A33,'Cantidades de Obra'!T:T,"&gt;0")</f>
        <v/>
      </c>
      <c r="D33" s="251">
        <f>B33-C33</f>
        <v/>
      </c>
      <c r="E33" s="248" t="n"/>
      <c r="F33" s="248" t="n"/>
      <c r="G33" s="248" t="n"/>
      <c r="H33" s="248" t="n"/>
      <c r="I33" s="248" t="n"/>
      <c r="J33" s="248" t="n"/>
      <c r="K33" s="248" t="n"/>
      <c r="L33" s="249" t="n"/>
    </row>
    <row r="34">
      <c r="A34" s="247" t="inlineStr">
        <is>
          <t>ASEO, ENTREGA Y CIERRE</t>
        </is>
      </c>
      <c r="B34" s="252">
        <f>COUNTIF('Cantidades de Obra'!B:B,A34)</f>
        <v/>
      </c>
      <c r="C34" s="253">
        <f>COUNTIFS('Cantidades de Obra'!B:B,A34,'Cantidades de Obra'!T:T,"&gt;0")</f>
        <v/>
      </c>
      <c r="D34" s="251">
        <f>B34-C34</f>
        <v/>
      </c>
      <c r="E34" s="248" t="n"/>
      <c r="F34" s="248" t="n"/>
      <c r="G34" s="248" t="n"/>
      <c r="H34" s="248" t="n"/>
      <c r="I34" s="248" t="n"/>
      <c r="J34" s="248" t="n"/>
      <c r="K34" s="248" t="n"/>
      <c r="L34" s="249" t="n"/>
    </row>
    <row r="35">
      <c r="A35" s="649" t="inlineStr">
        <is>
          <t>FLUJO DE TRABAJO RECOMENDADO</t>
        </is>
      </c>
      <c r="L35" s="622" t="n"/>
    </row>
    <row r="36" ht="15" customHeight="1" s="1062">
      <c r="A36" s="633" t="inlineStr">
        <is>
          <t>1. Seleccionar actividad específica.</t>
        </is>
      </c>
      <c r="B36" s="634" t="n"/>
      <c r="C36" s="634" t="n"/>
      <c r="D36" s="634" t="n"/>
      <c r="E36" s="634" t="n"/>
      <c r="F36" s="634" t="n"/>
      <c r="G36" s="634" t="n"/>
      <c r="H36" s="634" t="n"/>
      <c r="I36" s="634" t="n"/>
      <c r="J36" s="634" t="n"/>
      <c r="K36" s="634" t="n"/>
      <c r="L36" s="635" t="n"/>
    </row>
    <row r="37" ht="15" customHeight="1" s="1062">
      <c r="A37" s="623" t="inlineStr">
        <is>
          <t>2. Registrar ubicación y plano/revisión.</t>
        </is>
      </c>
      <c r="B37" s="624" t="n"/>
      <c r="C37" s="624" t="n"/>
      <c r="D37" s="624" t="n"/>
      <c r="E37" s="624" t="n"/>
      <c r="F37" s="624" t="n"/>
      <c r="G37" s="624" t="n"/>
      <c r="H37" s="624" t="n"/>
      <c r="I37" s="624" t="n"/>
      <c r="J37" s="624" t="n"/>
      <c r="K37" s="624" t="n"/>
      <c r="L37" s="625" t="n"/>
    </row>
    <row r="38" ht="15" customHeight="1" s="1062">
      <c r="A38" s="623" t="inlineStr">
        <is>
          <t>3. Medir dimensiones y número de elementos.</t>
        </is>
      </c>
      <c r="B38" s="624" t="n"/>
      <c r="C38" s="624" t="n"/>
      <c r="D38" s="624" t="n"/>
      <c r="E38" s="624" t="n"/>
      <c r="F38" s="624" t="n"/>
      <c r="G38" s="624" t="n"/>
      <c r="H38" s="624" t="n"/>
      <c r="I38" s="624" t="n"/>
      <c r="J38" s="624" t="n"/>
      <c r="K38" s="624" t="n"/>
      <c r="L38" s="625" t="n"/>
    </row>
    <row r="39">
      <c r="A39" s="623" t="inlineStr">
        <is>
          <t>4. Registrar deducciones y desperdicio justificado.</t>
        </is>
      </c>
      <c r="B39" s="624" t="n"/>
      <c r="C39" s="624" t="n"/>
      <c r="D39" s="624" t="n"/>
      <c r="E39" s="624" t="n"/>
      <c r="F39" s="624" t="n"/>
      <c r="G39" s="624" t="n"/>
      <c r="H39" s="624" t="n"/>
      <c r="I39" s="624" t="n"/>
      <c r="J39" s="624" t="n"/>
      <c r="K39" s="624" t="n"/>
      <c r="L39" s="625" t="n"/>
    </row>
    <row r="40">
      <c r="A40" s="623" t="inlineStr">
        <is>
          <t>5. Revisar cantidad neta y final.</t>
        </is>
      </c>
      <c r="B40" s="624" t="n"/>
      <c r="C40" s="624" t="n"/>
      <c r="D40" s="624" t="n"/>
      <c r="E40" s="624" t="n"/>
      <c r="F40" s="624" t="n"/>
      <c r="G40" s="624" t="n"/>
      <c r="H40" s="624" t="n"/>
      <c r="I40" s="624" t="n"/>
      <c r="J40" s="624" t="n"/>
      <c r="K40" s="624" t="n"/>
      <c r="L40" s="625" t="n"/>
    </row>
    <row r="41">
      <c r="A41" s="651" t="inlineStr">
        <is>
          <t>6. Contrastar con presupuesto/APU y aprobar.</t>
        </is>
      </c>
      <c r="B41" s="652" t="n"/>
      <c r="C41" s="652" t="n"/>
      <c r="D41" s="652" t="n"/>
      <c r="E41" s="652" t="n"/>
      <c r="F41" s="652" t="n"/>
      <c r="G41" s="652" t="n"/>
      <c r="H41" s="652" t="n"/>
      <c r="I41" s="652" t="n"/>
      <c r="J41" s="652" t="n"/>
      <c r="K41" s="652" t="n"/>
      <c r="L41" s="653" t="n"/>
    </row>
    <row r="42">
      <c r="A42" s="639" t="inlineStr">
        <is>
          <t>NOTA: el catálogo reúne actividades típicas y debe adaptarse al alcance contractual de cada proyecto. No todas las partidas aplican a todas las obras. Antes de utilizar una cantidad en presupuesto, compras, actas o avance, verifique planos vigentes, especificaciones, APU y condiciones contractuales.</t>
        </is>
      </c>
      <c r="B42" s="640" t="n"/>
      <c r="C42" s="640" t="n"/>
      <c r="D42" s="640" t="n"/>
      <c r="E42" s="640" t="n"/>
      <c r="F42" s="640" t="n"/>
      <c r="G42" s="640" t="n"/>
      <c r="H42" s="640" t="n"/>
      <c r="I42" s="640" t="n"/>
      <c r="J42" s="640" t="n"/>
      <c r="K42" s="640" t="n"/>
      <c r="L42" s="641" t="n"/>
    </row>
    <row r="43">
      <c r="A43" s="642" t="n"/>
      <c r="L43" s="643" t="n"/>
    </row>
    <row r="44">
      <c r="A44" s="644" t="n"/>
      <c r="B44" s="645" t="n"/>
      <c r="C44" s="645" t="n"/>
      <c r="D44" s="645" t="n"/>
      <c r="E44" s="645" t="n"/>
      <c r="F44" s="645" t="n"/>
      <c r="G44" s="645" t="n"/>
      <c r="H44" s="645" t="n"/>
      <c r="I44" s="645" t="n"/>
      <c r="J44" s="645" t="n"/>
      <c r="K44" s="645" t="n"/>
      <c r="L44" s="646" t="n"/>
    </row>
    <row r="45">
      <c r="A45" s="226" t="inlineStr">
        <is>
          <t>REV. 10/09/2026</t>
        </is>
      </c>
      <c r="B45" s="669" t="n"/>
      <c r="C45" s="669" t="n"/>
      <c r="D45" s="669" t="n"/>
      <c r="E45" s="669" t="n"/>
      <c r="F45" s="669" t="n"/>
      <c r="G45" s="669" t="n"/>
      <c r="H45" s="669" t="n"/>
      <c r="I45" s="669" t="n"/>
      <c r="J45" s="669" t="n"/>
      <c r="K45" s="669" t="n"/>
      <c r="L45" s="499">
        <f>K4</f>
        <v/>
      </c>
    </row>
    <row r="46">
      <c r="A46" s="669" t="n"/>
      <c r="B46" s="669" t="n"/>
      <c r="C46" s="669" t="n"/>
      <c r="D46" s="669" t="n"/>
      <c r="E46" s="669" t="n"/>
      <c r="F46" s="669" t="n"/>
      <c r="G46" s="669" t="n"/>
      <c r="H46" s="669" t="n"/>
      <c r="I46" s="669" t="n"/>
      <c r="J46" s="669" t="n"/>
      <c r="K46" s="669" t="n"/>
      <c r="L46" s="669" t="n"/>
    </row>
    <row r="47">
      <c r="A47" s="669" t="n"/>
      <c r="B47" s="669" t="n"/>
      <c r="C47" s="669" t="n"/>
      <c r="D47" s="669" t="n"/>
      <c r="E47" s="669" t="n"/>
      <c r="F47" s="669" t="n"/>
      <c r="G47" s="669" t="n"/>
      <c r="H47" s="669" t="n"/>
      <c r="I47" s="669" t="n"/>
      <c r="J47" s="669" t="n"/>
      <c r="K47" s="669" t="n"/>
      <c r="L47" s="669" t="n"/>
    </row>
    <row r="48">
      <c r="A48" s="669" t="n"/>
      <c r="B48" s="669" t="n"/>
      <c r="C48" s="669" t="n"/>
      <c r="D48" s="669" t="n"/>
      <c r="E48" s="669" t="n"/>
      <c r="F48" s="669" t="n"/>
      <c r="G48" s="669" t="n"/>
      <c r="H48" s="669" t="n"/>
      <c r="I48" s="669" t="n"/>
      <c r="J48" s="669" t="n"/>
      <c r="K48" s="669" t="n"/>
      <c r="L48" s="669" t="n"/>
    </row>
    <row r="49">
      <c r="A49" s="669" t="n"/>
      <c r="B49" s="669" t="n"/>
      <c r="C49" s="669" t="n"/>
      <c r="D49" s="669" t="n"/>
      <c r="E49" s="669" t="n"/>
      <c r="F49" s="669" t="n"/>
      <c r="G49" s="669" t="n"/>
      <c r="H49" s="669" t="n"/>
      <c r="I49" s="669" t="n"/>
      <c r="J49" s="669" t="n"/>
      <c r="K49" s="669" t="n"/>
      <c r="L49" s="669" t="n"/>
    </row>
  </sheetData>
  <mergeCells count="30">
    <mergeCell ref="G10:I10"/>
    <mergeCell ref="A41:L41"/>
    <mergeCell ref="A37:L37"/>
    <mergeCell ref="K5:L5"/>
    <mergeCell ref="A3:I3"/>
    <mergeCell ref="G11:I12"/>
    <mergeCell ref="A11:C12"/>
    <mergeCell ref="A42:L44"/>
    <mergeCell ref="B2:L2"/>
    <mergeCell ref="A8:L8"/>
    <mergeCell ref="J3:L3"/>
    <mergeCell ref="A35:L35"/>
    <mergeCell ref="B1:L1"/>
    <mergeCell ref="A10:C10"/>
    <mergeCell ref="A38:L38"/>
    <mergeCell ref="D11:F12"/>
    <mergeCell ref="J11:L12"/>
    <mergeCell ref="A6:I7"/>
    <mergeCell ref="A13:L13"/>
    <mergeCell ref="K6:L6"/>
    <mergeCell ref="A40:L40"/>
    <mergeCell ref="A9:L9"/>
    <mergeCell ref="A39:L39"/>
    <mergeCell ref="D10:F10"/>
    <mergeCell ref="K7:L7"/>
    <mergeCell ref="J10:L10"/>
    <mergeCell ref="A36:L36"/>
    <mergeCell ref="B5:I5"/>
    <mergeCell ref="K4:L4"/>
    <mergeCell ref="B4:I4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1565C0"/>
    <outlinePr summaryBelow="1" summaryRight="1"/>
    <pageSetUpPr/>
  </sheetPr>
  <dimension ref="A1:U146"/>
  <sheetViews>
    <sheetView topLeftCell="A133" zoomScale="80" zoomScaleNormal="80" workbookViewId="0">
      <selection activeCell="A146" sqref="A146"/>
    </sheetView>
  </sheetViews>
  <sheetFormatPr baseColWidth="10" defaultColWidth="8.88671875" defaultRowHeight="14.4"/>
  <cols>
    <col width="15.77734375" customWidth="1" style="667" min="1" max="1"/>
    <col width="15.77734375" customWidth="1" style="600" min="2" max="2"/>
    <col width="20.77734375" customWidth="1" style="600" min="3" max="3"/>
    <col width="44" customWidth="1" style="1062" min="4" max="4"/>
    <col width="20.77734375" customWidth="1" style="1062" min="5" max="5"/>
    <col width="15.77734375" customWidth="1" style="1062" min="6" max="6"/>
    <col width="8.77734375" customWidth="1" style="600" min="7" max="7"/>
    <col width="15.77734375" customWidth="1" style="600" min="8" max="8"/>
    <col width="15.77734375" customWidth="1" style="1062" min="9" max="10"/>
    <col width="12" customWidth="1" style="1062" min="11" max="11"/>
    <col width="13" customWidth="1" style="1062" min="12" max="12"/>
    <col width="10" customWidth="1" style="1062" min="14" max="14"/>
    <col width="13" customWidth="1" style="1062" min="15" max="15"/>
    <col width="14" customWidth="1" style="1062" min="16" max="16"/>
    <col width="15" customWidth="1" style="1062" min="17" max="17"/>
    <col width="52" customWidth="1" style="600" min="19" max="19"/>
    <col width="22" customWidth="1" style="600" min="20" max="20"/>
    <col width="50.77734375" customWidth="1" style="1062" min="21" max="21"/>
  </cols>
  <sheetData>
    <row r="1" ht="40.05" customHeight="1" s="1062">
      <c r="D1" s="585" t="inlineStr">
        <is>
          <t>CANTIDADES DE OBRA</t>
        </is>
      </c>
      <c r="K1" s="600" t="n"/>
    </row>
    <row r="2">
      <c r="D2" s="290" t="n"/>
      <c r="E2" s="290" t="n"/>
      <c r="F2" s="290" t="n"/>
      <c r="G2" s="290" t="n"/>
      <c r="H2" s="290" t="n"/>
      <c r="I2" s="290" t="n"/>
      <c r="J2" s="290" t="n"/>
    </row>
    <row r="3">
      <c r="D3" s="600" t="n"/>
      <c r="H3" s="657" t="inlineStr">
        <is>
          <t>CONTROL DOCUMENTAL</t>
        </is>
      </c>
      <c r="I3" s="658" t="n"/>
      <c r="J3" s="659" t="n"/>
    </row>
    <row r="4" ht="21" customHeight="1" s="1062">
      <c r="D4" s="660" t="inlineStr">
        <is>
          <t>REFORMAS Y REMODELACIONES</t>
        </is>
      </c>
      <c r="E4" s="607" t="n"/>
      <c r="F4" s="607" t="n"/>
      <c r="G4" s="608" t="n"/>
      <c r="H4" s="262" t="inlineStr">
        <is>
          <t>Código</t>
        </is>
      </c>
      <c r="I4" s="637" t="inlineStr">
        <is>
          <t>RYR-CO-006</t>
        </is>
      </c>
      <c r="J4" s="638" t="n"/>
    </row>
    <row r="5">
      <c r="D5" s="606" t="inlineStr">
        <is>
          <t>DISEÑAMOS, RENOVAMOS Y CONSTRUIMOS ESPACIOS QUE INSPIRAN</t>
        </is>
      </c>
      <c r="E5" s="607" t="n"/>
      <c r="F5" s="607" t="n"/>
      <c r="G5" s="608" t="n"/>
      <c r="H5" s="260" t="inlineStr">
        <is>
          <t>Versión</t>
        </is>
      </c>
      <c r="I5" s="604" t="n">
        <v>1</v>
      </c>
      <c r="J5" s="605" t="n"/>
    </row>
    <row r="6">
      <c r="D6" s="600" t="n"/>
      <c r="H6" s="260" t="inlineStr">
        <is>
          <t>Fecha de Emisión</t>
        </is>
      </c>
      <c r="I6" s="617" t="inlineStr">
        <is>
          <t>10/09/2026</t>
        </is>
      </c>
      <c r="J6" s="605" t="n"/>
    </row>
    <row r="7">
      <c r="H7" s="261" t="inlineStr">
        <is>
          <t>Página</t>
        </is>
      </c>
      <c r="I7" s="602" t="inlineStr">
        <is>
          <t>1 de 1</t>
        </is>
      </c>
      <c r="J7" s="603" t="n"/>
    </row>
    <row r="8" ht="19.95" customFormat="1" customHeight="1" s="270">
      <c r="A8" s="374" t="inlineStr">
        <is>
          <t>ID cálculo</t>
        </is>
      </c>
      <c r="B8" s="375" t="inlineStr">
        <is>
          <t>ID cantidad</t>
        </is>
      </c>
      <c r="C8" s="375" t="inlineStr">
        <is>
          <t>Código actividad</t>
        </is>
      </c>
      <c r="D8" s="375" t="inlineStr">
        <is>
          <t>Actividad</t>
        </is>
      </c>
      <c r="E8" s="375" t="inlineStr">
        <is>
          <t>Ubicación</t>
        </is>
      </c>
      <c r="F8" s="375" t="inlineStr">
        <is>
          <t>Plano</t>
        </is>
      </c>
      <c r="G8" s="375" t="inlineStr">
        <is>
          <t>Rev.</t>
        </is>
      </c>
      <c r="H8" s="375" t="inlineStr">
        <is>
          <t>Unidad</t>
        </is>
      </c>
      <c r="I8" s="375" t="inlineStr">
        <is>
          <t>Largo</t>
        </is>
      </c>
      <c r="J8" s="375" t="inlineStr">
        <is>
          <t>Ancho</t>
        </is>
      </c>
      <c r="K8" s="375" t="inlineStr">
        <is>
          <t>Alto/Prof.</t>
        </is>
      </c>
      <c r="L8" s="375" t="inlineStr">
        <is>
          <t>N° elementos</t>
        </is>
      </c>
      <c r="M8" s="375" t="inlineStr">
        <is>
          <t>Repeticiones</t>
        </is>
      </c>
      <c r="N8" s="375" t="inlineStr">
        <is>
          <t>Factor</t>
        </is>
      </c>
      <c r="O8" s="375" t="inlineStr">
        <is>
          <t>Deducción</t>
        </is>
      </c>
      <c r="P8" s="375" t="inlineStr">
        <is>
          <t>Desperdicio %</t>
        </is>
      </c>
      <c r="Q8" s="375" t="inlineStr">
        <is>
          <t>Cantidad neta</t>
        </is>
      </c>
      <c r="R8" s="375" t="inlineStr">
        <is>
          <t>Cantidad final</t>
        </is>
      </c>
      <c r="S8" s="375" t="inlineStr">
        <is>
          <t>Criterio matemático</t>
        </is>
      </c>
      <c r="T8" s="375" t="inlineStr">
        <is>
          <t>Fuente / soporte</t>
        </is>
      </c>
      <c r="U8" s="376" t="inlineStr">
        <is>
          <t>Observaciones</t>
        </is>
      </c>
    </row>
    <row r="9" ht="15" customFormat="1" customHeight="1" s="265">
      <c r="A9" s="369" t="n"/>
      <c r="B9" s="370" t="n"/>
      <c r="C9" s="371" t="n"/>
      <c r="D9" s="372" t="n"/>
      <c r="E9" s="372" t="n"/>
      <c r="F9" s="372" t="n"/>
      <c r="G9" s="373" t="n"/>
      <c r="H9" s="373" t="n"/>
      <c r="I9" s="1305" t="n"/>
      <c r="J9" s="1305" t="n"/>
      <c r="K9" s="1305" t="n"/>
      <c r="L9" s="1305" t="n"/>
      <c r="M9" s="1305" t="n"/>
      <c r="N9" s="1305" t="n"/>
      <c r="O9" s="1305" t="n"/>
      <c r="P9" s="1306" t="n"/>
      <c r="Q9" s="1305" t="n"/>
      <c r="R9" s="1305" t="n"/>
      <c r="S9" s="373" t="n"/>
      <c r="T9" s="373" t="n"/>
      <c r="U9" s="372" t="n"/>
    </row>
    <row r="10" ht="15" customFormat="1" customHeight="1" s="265">
      <c r="A10" s="364" t="n"/>
      <c r="B10" s="365" t="n"/>
      <c r="C10" s="366" t="n"/>
      <c r="D10" s="367" t="n"/>
      <c r="E10" s="367" t="n"/>
      <c r="F10" s="367" t="n"/>
      <c r="G10" s="368" t="n"/>
      <c r="H10" s="368" t="n"/>
      <c r="I10" s="1307" t="n"/>
      <c r="J10" s="1307" t="n"/>
      <c r="K10" s="1307" t="n"/>
      <c r="L10" s="1307" t="n"/>
      <c r="M10" s="1307" t="n"/>
      <c r="N10" s="1307" t="n"/>
      <c r="O10" s="1307" t="n"/>
      <c r="P10" s="1308" t="n"/>
      <c r="Q10" s="1307" t="n"/>
      <c r="R10" s="1307" t="n"/>
      <c r="S10" s="368" t="n"/>
      <c r="T10" s="368" t="n"/>
      <c r="U10" s="367" t="n"/>
    </row>
    <row r="11" ht="15" customFormat="1" customHeight="1" s="265">
      <c r="A11" s="364" t="n"/>
      <c r="B11" s="365" t="n"/>
      <c r="C11" s="366" t="n"/>
      <c r="D11" s="367" t="n"/>
      <c r="E11" s="367" t="n"/>
      <c r="F11" s="367" t="n"/>
      <c r="G11" s="368" t="n"/>
      <c r="H11" s="368" t="n"/>
      <c r="I11" s="1307" t="n"/>
      <c r="J11" s="1307" t="n"/>
      <c r="K11" s="1307" t="n"/>
      <c r="L11" s="1307" t="n"/>
      <c r="M11" s="1307" t="n"/>
      <c r="N11" s="1307" t="n"/>
      <c r="O11" s="1307" t="n"/>
      <c r="P11" s="1308" t="n"/>
      <c r="Q11" s="1307" t="n"/>
      <c r="R11" s="1307" t="n"/>
      <c r="S11" s="368" t="n"/>
      <c r="T11" s="368" t="n"/>
      <c r="U11" s="367" t="n"/>
    </row>
    <row r="12" ht="15" customFormat="1" customHeight="1" s="265">
      <c r="A12" s="364" t="n"/>
      <c r="B12" s="365" t="n"/>
      <c r="C12" s="366" t="n"/>
      <c r="D12" s="367" t="n"/>
      <c r="E12" s="367" t="n"/>
      <c r="F12" s="367" t="n"/>
      <c r="G12" s="368" t="n"/>
      <c r="H12" s="368" t="n"/>
      <c r="I12" s="1307" t="n"/>
      <c r="J12" s="1307" t="n"/>
      <c r="K12" s="1307" t="n"/>
      <c r="L12" s="1307" t="n"/>
      <c r="M12" s="1307" t="n"/>
      <c r="N12" s="1307" t="n"/>
      <c r="O12" s="1307" t="n"/>
      <c r="P12" s="1308" t="n"/>
      <c r="Q12" s="1307" t="n"/>
      <c r="R12" s="1307" t="n"/>
      <c r="S12" s="368" t="n"/>
      <c r="T12" s="368" t="n"/>
      <c r="U12" s="367" t="n"/>
    </row>
    <row r="13" ht="15" customFormat="1" customHeight="1" s="265">
      <c r="A13" s="364" t="n"/>
      <c r="B13" s="365" t="n"/>
      <c r="C13" s="366" t="n"/>
      <c r="D13" s="367" t="n"/>
      <c r="E13" s="367" t="n"/>
      <c r="F13" s="367" t="n"/>
      <c r="G13" s="368" t="n"/>
      <c r="H13" s="368" t="n"/>
      <c r="I13" s="1307" t="n"/>
      <c r="J13" s="1307" t="n"/>
      <c r="K13" s="1307" t="n"/>
      <c r="L13" s="1307" t="n"/>
      <c r="M13" s="1307" t="n"/>
      <c r="N13" s="1307" t="n"/>
      <c r="O13" s="1307" t="n"/>
      <c r="P13" s="1308" t="n"/>
      <c r="Q13" s="1307" t="n"/>
      <c r="R13" s="1307" t="n"/>
      <c r="S13" s="368" t="n"/>
      <c r="T13" s="368" t="n"/>
      <c r="U13" s="367" t="n"/>
    </row>
    <row r="14" ht="15" customFormat="1" customHeight="1" s="265">
      <c r="A14" s="364" t="n"/>
      <c r="B14" s="365" t="n"/>
      <c r="C14" s="366" t="n"/>
      <c r="D14" s="367" t="n"/>
      <c r="E14" s="367" t="n"/>
      <c r="F14" s="367" t="n"/>
      <c r="G14" s="368" t="n"/>
      <c r="H14" s="368" t="n"/>
      <c r="I14" s="1307" t="n"/>
      <c r="J14" s="1307" t="n"/>
      <c r="K14" s="1307" t="n"/>
      <c r="L14" s="1307" t="n"/>
      <c r="M14" s="1307" t="n"/>
      <c r="N14" s="1307" t="n"/>
      <c r="O14" s="1307" t="n"/>
      <c r="P14" s="1308" t="n"/>
      <c r="Q14" s="1307" t="n"/>
      <c r="R14" s="1307" t="n"/>
      <c r="S14" s="368" t="n"/>
      <c r="T14" s="368" t="n"/>
      <c r="U14" s="367" t="n"/>
    </row>
    <row r="15" ht="15" customFormat="1" customHeight="1" s="265">
      <c r="A15" s="364" t="n"/>
      <c r="B15" s="365" t="n"/>
      <c r="C15" s="366" t="n"/>
      <c r="D15" s="367" t="n"/>
      <c r="E15" s="367" t="n"/>
      <c r="F15" s="367" t="n"/>
      <c r="G15" s="368" t="n"/>
      <c r="H15" s="368" t="n"/>
      <c r="I15" s="1307" t="n"/>
      <c r="J15" s="1307" t="n"/>
      <c r="K15" s="1307" t="n"/>
      <c r="L15" s="1307" t="n"/>
      <c r="M15" s="1307" t="n"/>
      <c r="N15" s="1307" t="n"/>
      <c r="O15" s="1307" t="n"/>
      <c r="P15" s="1308" t="n"/>
      <c r="Q15" s="1307" t="n"/>
      <c r="R15" s="1307" t="n"/>
      <c r="S15" s="368" t="n"/>
      <c r="T15" s="368" t="n"/>
      <c r="U15" s="367" t="n"/>
    </row>
    <row r="16" ht="15" customFormat="1" customHeight="1" s="265">
      <c r="A16" s="364" t="n"/>
      <c r="B16" s="365" t="n"/>
      <c r="C16" s="366" t="n"/>
      <c r="D16" s="367" t="n"/>
      <c r="E16" s="367" t="n"/>
      <c r="F16" s="367" t="n"/>
      <c r="G16" s="368" t="n"/>
      <c r="H16" s="368" t="n"/>
      <c r="I16" s="1307" t="n"/>
      <c r="J16" s="1307" t="n"/>
      <c r="K16" s="1307" t="n"/>
      <c r="L16" s="1307" t="n"/>
      <c r="M16" s="1307" t="n"/>
      <c r="N16" s="1307" t="n"/>
      <c r="O16" s="1307" t="n"/>
      <c r="P16" s="1308" t="n"/>
      <c r="Q16" s="1307" t="n"/>
      <c r="R16" s="1307" t="n"/>
      <c r="S16" s="368" t="n"/>
      <c r="T16" s="368" t="n"/>
      <c r="U16" s="367" t="n"/>
    </row>
    <row r="17" ht="15" customFormat="1" customHeight="1" s="265">
      <c r="A17" s="364" t="n"/>
      <c r="B17" s="365" t="n"/>
      <c r="C17" s="366" t="n"/>
      <c r="D17" s="367" t="n"/>
      <c r="E17" s="367" t="n"/>
      <c r="F17" s="367" t="n"/>
      <c r="G17" s="368" t="n"/>
      <c r="H17" s="368" t="n"/>
      <c r="I17" s="1307" t="n"/>
      <c r="J17" s="1307" t="n"/>
      <c r="K17" s="1307" t="n"/>
      <c r="L17" s="1307" t="n"/>
      <c r="M17" s="1307" t="n"/>
      <c r="N17" s="1307" t="n"/>
      <c r="O17" s="1307" t="n"/>
      <c r="P17" s="1308" t="n"/>
      <c r="Q17" s="1307" t="n"/>
      <c r="R17" s="1307" t="n"/>
      <c r="S17" s="368" t="n"/>
      <c r="T17" s="368" t="n"/>
      <c r="U17" s="367" t="n"/>
    </row>
    <row r="18" ht="15" customFormat="1" customHeight="1" s="265">
      <c r="A18" s="364" t="n"/>
      <c r="B18" s="365" t="n"/>
      <c r="C18" s="366" t="n"/>
      <c r="D18" s="367" t="n"/>
      <c r="E18" s="367" t="n"/>
      <c r="F18" s="367" t="n"/>
      <c r="G18" s="368" t="n"/>
      <c r="H18" s="368" t="n"/>
      <c r="I18" s="1307" t="n"/>
      <c r="J18" s="1307" t="n"/>
      <c r="K18" s="1307" t="n"/>
      <c r="L18" s="1307" t="n"/>
      <c r="M18" s="1307" t="n"/>
      <c r="N18" s="1307" t="n"/>
      <c r="O18" s="1307" t="n"/>
      <c r="P18" s="1308" t="n"/>
      <c r="Q18" s="1307" t="n"/>
      <c r="R18" s="1307" t="n"/>
      <c r="S18" s="368" t="n"/>
      <c r="T18" s="368" t="n"/>
      <c r="U18" s="367" t="n"/>
    </row>
    <row r="19" ht="15" customFormat="1" customHeight="1" s="265">
      <c r="A19" s="364" t="n"/>
      <c r="B19" s="365" t="n"/>
      <c r="C19" s="366" t="n"/>
      <c r="D19" s="367" t="n"/>
      <c r="E19" s="367" t="n"/>
      <c r="F19" s="367" t="n"/>
      <c r="G19" s="368" t="n"/>
      <c r="H19" s="368" t="n"/>
      <c r="I19" s="1307" t="n"/>
      <c r="J19" s="1307" t="n"/>
      <c r="K19" s="1307" t="n"/>
      <c r="L19" s="1307" t="n"/>
      <c r="M19" s="1307" t="n"/>
      <c r="N19" s="1307" t="n"/>
      <c r="O19" s="1307" t="n"/>
      <c r="P19" s="1308" t="n"/>
      <c r="Q19" s="1307" t="n"/>
      <c r="R19" s="1307" t="n"/>
      <c r="S19" s="368" t="n"/>
      <c r="T19" s="368" t="n"/>
      <c r="U19" s="367" t="n"/>
    </row>
    <row r="20" ht="15" customFormat="1" customHeight="1" s="265">
      <c r="A20" s="364" t="n"/>
      <c r="B20" s="365" t="n"/>
      <c r="C20" s="366" t="n"/>
      <c r="D20" s="367" t="n"/>
      <c r="E20" s="367" t="n"/>
      <c r="F20" s="367" t="n"/>
      <c r="G20" s="368" t="n"/>
      <c r="H20" s="368" t="n"/>
      <c r="I20" s="1307" t="n"/>
      <c r="J20" s="1307" t="n"/>
      <c r="K20" s="1307" t="n"/>
      <c r="L20" s="1307" t="n"/>
      <c r="M20" s="1307" t="n"/>
      <c r="N20" s="1307" t="n"/>
      <c r="O20" s="1307" t="n"/>
      <c r="P20" s="1308" t="n"/>
      <c r="Q20" s="1307" t="n"/>
      <c r="R20" s="1307" t="n"/>
      <c r="S20" s="368" t="n"/>
      <c r="T20" s="368" t="n"/>
      <c r="U20" s="367" t="n"/>
    </row>
    <row r="21" ht="15" customFormat="1" customHeight="1" s="265">
      <c r="A21" s="364" t="n"/>
      <c r="B21" s="365" t="n"/>
      <c r="C21" s="366" t="n"/>
      <c r="D21" s="367" t="n"/>
      <c r="E21" s="367" t="n"/>
      <c r="F21" s="367" t="n"/>
      <c r="G21" s="368" t="n"/>
      <c r="H21" s="368" t="n"/>
      <c r="I21" s="1307" t="n"/>
      <c r="J21" s="1307" t="n"/>
      <c r="K21" s="1307" t="n"/>
      <c r="L21" s="1307" t="n"/>
      <c r="M21" s="1307" t="n"/>
      <c r="N21" s="1307" t="n"/>
      <c r="O21" s="1307" t="n"/>
      <c r="P21" s="1308" t="n"/>
      <c r="Q21" s="1307" t="n"/>
      <c r="R21" s="1307" t="n"/>
      <c r="S21" s="368" t="n"/>
      <c r="T21" s="368" t="n"/>
      <c r="U21" s="367" t="n"/>
    </row>
    <row r="22" ht="15" customFormat="1" customHeight="1" s="265">
      <c r="A22" s="364" t="n"/>
      <c r="B22" s="365" t="n"/>
      <c r="C22" s="366" t="n"/>
      <c r="D22" s="367" t="n"/>
      <c r="E22" s="367" t="n"/>
      <c r="F22" s="367" t="n"/>
      <c r="G22" s="368" t="n"/>
      <c r="H22" s="368" t="n"/>
      <c r="I22" s="1307" t="n"/>
      <c r="J22" s="1307" t="n"/>
      <c r="K22" s="1307" t="n"/>
      <c r="L22" s="1307" t="n"/>
      <c r="M22" s="1307" t="n"/>
      <c r="N22" s="1307" t="n"/>
      <c r="O22" s="1307" t="n"/>
      <c r="P22" s="1308" t="n"/>
      <c r="Q22" s="1307" t="n"/>
      <c r="R22" s="1307" t="n"/>
      <c r="S22" s="368" t="n"/>
      <c r="T22" s="368" t="n"/>
      <c r="U22" s="367" t="n"/>
    </row>
    <row r="23" ht="15" customFormat="1" customHeight="1" s="265">
      <c r="A23" s="364" t="n"/>
      <c r="B23" s="365" t="n"/>
      <c r="C23" s="366" t="n"/>
      <c r="D23" s="367" t="n"/>
      <c r="E23" s="367" t="n"/>
      <c r="F23" s="367" t="n"/>
      <c r="G23" s="368" t="n"/>
      <c r="H23" s="368" t="n"/>
      <c r="I23" s="1307" t="n"/>
      <c r="J23" s="1307" t="n"/>
      <c r="K23" s="1307" t="n"/>
      <c r="L23" s="1307" t="n"/>
      <c r="M23" s="1307" t="n"/>
      <c r="N23" s="1307" t="n"/>
      <c r="O23" s="1307" t="n"/>
      <c r="P23" s="1308" t="n"/>
      <c r="Q23" s="1307" t="n"/>
      <c r="R23" s="1307" t="n"/>
      <c r="S23" s="368" t="n"/>
      <c r="T23" s="368" t="n"/>
      <c r="U23" s="367" t="n"/>
    </row>
    <row r="24" ht="15" customFormat="1" customHeight="1" s="265">
      <c r="A24" s="364" t="n"/>
      <c r="B24" s="365" t="n"/>
      <c r="C24" s="366" t="n"/>
      <c r="D24" s="367" t="n"/>
      <c r="E24" s="367" t="n"/>
      <c r="F24" s="367" t="n"/>
      <c r="G24" s="368" t="n"/>
      <c r="H24" s="368" t="n"/>
      <c r="I24" s="1307" t="n"/>
      <c r="J24" s="1307" t="n"/>
      <c r="K24" s="1307" t="n"/>
      <c r="L24" s="1307" t="n"/>
      <c r="M24" s="1307" t="n"/>
      <c r="N24" s="1307" t="n"/>
      <c r="O24" s="1307" t="n"/>
      <c r="P24" s="1308" t="n"/>
      <c r="Q24" s="1307" t="n"/>
      <c r="R24" s="1307" t="n"/>
      <c r="S24" s="368" t="n"/>
      <c r="T24" s="368" t="n"/>
      <c r="U24" s="367" t="n"/>
    </row>
    <row r="25" ht="15" customFormat="1" customHeight="1" s="265">
      <c r="A25" s="364" t="n"/>
      <c r="B25" s="365" t="n"/>
      <c r="C25" s="366" t="n"/>
      <c r="D25" s="367" t="n"/>
      <c r="E25" s="367" t="n"/>
      <c r="F25" s="367" t="n"/>
      <c r="G25" s="368" t="n"/>
      <c r="H25" s="368" t="n"/>
      <c r="I25" s="1307" t="n"/>
      <c r="J25" s="1307" t="n"/>
      <c r="K25" s="1307" t="n"/>
      <c r="L25" s="1307" t="n"/>
      <c r="M25" s="1307" t="n"/>
      <c r="N25" s="1307" t="n"/>
      <c r="O25" s="1307" t="n"/>
      <c r="P25" s="1308" t="n"/>
      <c r="Q25" s="1307" t="n"/>
      <c r="R25" s="1307" t="n"/>
      <c r="S25" s="368" t="n"/>
      <c r="T25" s="368" t="n"/>
      <c r="U25" s="367" t="n"/>
    </row>
    <row r="26" ht="15" customFormat="1" customHeight="1" s="265">
      <c r="A26" s="364" t="n"/>
      <c r="B26" s="365" t="n"/>
      <c r="C26" s="366" t="n"/>
      <c r="D26" s="367" t="n"/>
      <c r="E26" s="367" t="n"/>
      <c r="F26" s="367" t="n"/>
      <c r="G26" s="368" t="n"/>
      <c r="H26" s="368" t="n"/>
      <c r="I26" s="1307" t="n"/>
      <c r="J26" s="1307" t="n"/>
      <c r="K26" s="1307" t="n"/>
      <c r="L26" s="1307" t="n"/>
      <c r="M26" s="1307" t="n"/>
      <c r="N26" s="1307" t="n"/>
      <c r="O26" s="1307" t="n"/>
      <c r="P26" s="1308" t="n"/>
      <c r="Q26" s="1307" t="n"/>
      <c r="R26" s="1307" t="n"/>
      <c r="S26" s="368" t="n"/>
      <c r="T26" s="368" t="n"/>
      <c r="U26" s="367" t="n"/>
    </row>
    <row r="27" ht="15" customFormat="1" customHeight="1" s="265">
      <c r="A27" s="364" t="n"/>
      <c r="B27" s="365" t="n"/>
      <c r="C27" s="366" t="n"/>
      <c r="D27" s="367" t="n"/>
      <c r="E27" s="367" t="n"/>
      <c r="F27" s="367" t="n"/>
      <c r="G27" s="368" t="n"/>
      <c r="H27" s="368" t="n"/>
      <c r="I27" s="1307" t="n"/>
      <c r="J27" s="1307" t="n"/>
      <c r="K27" s="1307" t="n"/>
      <c r="L27" s="1307" t="n"/>
      <c r="M27" s="1307" t="n"/>
      <c r="N27" s="1307" t="n"/>
      <c r="O27" s="1307" t="n"/>
      <c r="P27" s="1308" t="n"/>
      <c r="Q27" s="1307" t="n"/>
      <c r="R27" s="1307" t="n"/>
      <c r="S27" s="368" t="n"/>
      <c r="T27" s="368" t="n"/>
      <c r="U27" s="367" t="n"/>
    </row>
    <row r="28" ht="15" customFormat="1" customHeight="1" s="265">
      <c r="A28" s="364" t="n"/>
      <c r="B28" s="365" t="n"/>
      <c r="C28" s="366" t="n"/>
      <c r="D28" s="367" t="n"/>
      <c r="E28" s="367" t="n"/>
      <c r="F28" s="367" t="n"/>
      <c r="G28" s="368" t="n"/>
      <c r="H28" s="368" t="n"/>
      <c r="I28" s="1307" t="n"/>
      <c r="J28" s="1307" t="n"/>
      <c r="K28" s="1307" t="n"/>
      <c r="L28" s="1307" t="n"/>
      <c r="M28" s="1307" t="n"/>
      <c r="N28" s="1307" t="n"/>
      <c r="O28" s="1307" t="n"/>
      <c r="P28" s="1308" t="n"/>
      <c r="Q28" s="1307" t="n"/>
      <c r="R28" s="1307" t="n"/>
      <c r="S28" s="368" t="n"/>
      <c r="T28" s="368" t="n"/>
      <c r="U28" s="367" t="n"/>
    </row>
    <row r="29" ht="15" customFormat="1" customHeight="1" s="265">
      <c r="A29" s="364" t="n"/>
      <c r="B29" s="365" t="n"/>
      <c r="C29" s="366" t="n"/>
      <c r="D29" s="367" t="n"/>
      <c r="E29" s="367" t="n"/>
      <c r="F29" s="367" t="n"/>
      <c r="G29" s="368" t="n"/>
      <c r="H29" s="368" t="n"/>
      <c r="I29" s="1307" t="n"/>
      <c r="J29" s="1307" t="n"/>
      <c r="K29" s="1307" t="n"/>
      <c r="L29" s="1307" t="n"/>
      <c r="M29" s="1307" t="n"/>
      <c r="N29" s="1307" t="n"/>
      <c r="O29" s="1307" t="n"/>
      <c r="P29" s="1308" t="n"/>
      <c r="Q29" s="1307" t="n"/>
      <c r="R29" s="1307" t="n"/>
      <c r="S29" s="368" t="n"/>
      <c r="T29" s="368" t="n"/>
      <c r="U29" s="367" t="n"/>
    </row>
    <row r="30" ht="15" customFormat="1" customHeight="1" s="265">
      <c r="A30" s="364" t="n"/>
      <c r="B30" s="365" t="n"/>
      <c r="C30" s="366" t="n"/>
      <c r="D30" s="367" t="n"/>
      <c r="E30" s="367" t="n"/>
      <c r="F30" s="367" t="n"/>
      <c r="G30" s="368" t="n"/>
      <c r="H30" s="368" t="n"/>
      <c r="I30" s="1307" t="n"/>
      <c r="J30" s="1307" t="n"/>
      <c r="K30" s="1307" t="n"/>
      <c r="L30" s="1307" t="n"/>
      <c r="M30" s="1307" t="n"/>
      <c r="N30" s="1307" t="n"/>
      <c r="O30" s="1307" t="n"/>
      <c r="P30" s="1308" t="n"/>
      <c r="Q30" s="1307" t="n"/>
      <c r="R30" s="1307" t="n"/>
      <c r="S30" s="368" t="n"/>
      <c r="T30" s="368" t="n"/>
      <c r="U30" s="367" t="n"/>
    </row>
    <row r="31" ht="15" customFormat="1" customHeight="1" s="265">
      <c r="A31" s="364" t="n"/>
      <c r="B31" s="365" t="n"/>
      <c r="C31" s="366" t="n"/>
      <c r="D31" s="367" t="n"/>
      <c r="E31" s="367" t="n"/>
      <c r="F31" s="367" t="n"/>
      <c r="G31" s="368" t="n"/>
      <c r="H31" s="368" t="n"/>
      <c r="I31" s="1307" t="n"/>
      <c r="J31" s="1307" t="n"/>
      <c r="K31" s="1307" t="n"/>
      <c r="L31" s="1307" t="n"/>
      <c r="M31" s="1307" t="n"/>
      <c r="N31" s="1307" t="n"/>
      <c r="O31" s="1307" t="n"/>
      <c r="P31" s="1308" t="n"/>
      <c r="Q31" s="1307" t="n"/>
      <c r="R31" s="1307" t="n"/>
      <c r="S31" s="368" t="n"/>
      <c r="T31" s="368" t="n"/>
      <c r="U31" s="367" t="n"/>
    </row>
    <row r="32" ht="15" customFormat="1" customHeight="1" s="265">
      <c r="A32" s="364" t="n"/>
      <c r="B32" s="365" t="n"/>
      <c r="C32" s="366" t="n"/>
      <c r="D32" s="367" t="n"/>
      <c r="E32" s="367" t="n"/>
      <c r="F32" s="367" t="n"/>
      <c r="G32" s="368" t="n"/>
      <c r="H32" s="368" t="n"/>
      <c r="I32" s="1307" t="n"/>
      <c r="J32" s="1307" t="n"/>
      <c r="K32" s="1307" t="n"/>
      <c r="L32" s="1307" t="n"/>
      <c r="M32" s="1307" t="n"/>
      <c r="N32" s="1307" t="n"/>
      <c r="O32" s="1307" t="n"/>
      <c r="P32" s="1308" t="n"/>
      <c r="Q32" s="1307" t="n"/>
      <c r="R32" s="1307" t="n"/>
      <c r="S32" s="368" t="n"/>
      <c r="T32" s="368" t="n"/>
      <c r="U32" s="367" t="n"/>
    </row>
    <row r="33" ht="15" customFormat="1" customHeight="1" s="265">
      <c r="A33" s="364" t="n"/>
      <c r="B33" s="365" t="n"/>
      <c r="C33" s="366" t="n"/>
      <c r="D33" s="367" t="n"/>
      <c r="E33" s="367" t="n"/>
      <c r="F33" s="367" t="n"/>
      <c r="G33" s="368" t="n"/>
      <c r="H33" s="368" t="n"/>
      <c r="I33" s="1307" t="n"/>
      <c r="J33" s="1307" t="n"/>
      <c r="K33" s="1307" t="n"/>
      <c r="L33" s="1307" t="n"/>
      <c r="M33" s="1307" t="n"/>
      <c r="N33" s="1307" t="n"/>
      <c r="O33" s="1307" t="n"/>
      <c r="P33" s="1308" t="n"/>
      <c r="Q33" s="1307" t="n"/>
      <c r="R33" s="1307" t="n"/>
      <c r="S33" s="368" t="n"/>
      <c r="T33" s="368" t="n"/>
      <c r="U33" s="367" t="n"/>
    </row>
    <row r="34" ht="15" customFormat="1" customHeight="1" s="265">
      <c r="A34" s="364" t="n"/>
      <c r="B34" s="365" t="n"/>
      <c r="C34" s="366" t="n"/>
      <c r="D34" s="367" t="n"/>
      <c r="E34" s="367" t="n"/>
      <c r="F34" s="367" t="n"/>
      <c r="G34" s="368" t="n"/>
      <c r="H34" s="368" t="n"/>
      <c r="I34" s="1307" t="n"/>
      <c r="J34" s="1307" t="n"/>
      <c r="K34" s="1307" t="n"/>
      <c r="L34" s="1307" t="n"/>
      <c r="M34" s="1307" t="n"/>
      <c r="N34" s="1307" t="n"/>
      <c r="O34" s="1307" t="n"/>
      <c r="P34" s="1308" t="n"/>
      <c r="Q34" s="1307" t="n"/>
      <c r="R34" s="1307" t="n"/>
      <c r="S34" s="368" t="n"/>
      <c r="T34" s="368" t="n"/>
      <c r="U34" s="367" t="n"/>
    </row>
    <row r="35" ht="15" customFormat="1" customHeight="1" s="265">
      <c r="A35" s="364" t="n"/>
      <c r="B35" s="365" t="n"/>
      <c r="C35" s="366" t="n"/>
      <c r="D35" s="367" t="n"/>
      <c r="E35" s="367" t="n"/>
      <c r="F35" s="367" t="n"/>
      <c r="G35" s="368" t="n"/>
      <c r="H35" s="368" t="n"/>
      <c r="I35" s="1307" t="n"/>
      <c r="J35" s="1307" t="n"/>
      <c r="K35" s="1307" t="n"/>
      <c r="L35" s="1307" t="n"/>
      <c r="M35" s="1307" t="n"/>
      <c r="N35" s="1307" t="n"/>
      <c r="O35" s="1307" t="n"/>
      <c r="P35" s="1308" t="n"/>
      <c r="Q35" s="1307" t="n"/>
      <c r="R35" s="1307" t="n"/>
      <c r="S35" s="368" t="n"/>
      <c r="T35" s="368" t="n"/>
      <c r="U35" s="367" t="n"/>
    </row>
    <row r="36" ht="15" customFormat="1" customHeight="1" s="265">
      <c r="A36" s="364" t="n"/>
      <c r="B36" s="365" t="n"/>
      <c r="C36" s="366" t="n"/>
      <c r="D36" s="367" t="n"/>
      <c r="E36" s="367" t="n"/>
      <c r="F36" s="367" t="n"/>
      <c r="G36" s="368" t="n"/>
      <c r="H36" s="368" t="n"/>
      <c r="I36" s="1307" t="n"/>
      <c r="J36" s="1307" t="n"/>
      <c r="K36" s="1307" t="n"/>
      <c r="L36" s="1307" t="n"/>
      <c r="M36" s="1307" t="n"/>
      <c r="N36" s="1307" t="n"/>
      <c r="O36" s="1307" t="n"/>
      <c r="P36" s="1308" t="n"/>
      <c r="Q36" s="1307" t="n"/>
      <c r="R36" s="1307" t="n"/>
      <c r="S36" s="368" t="n"/>
      <c r="T36" s="368" t="n"/>
      <c r="U36" s="367" t="n"/>
    </row>
    <row r="37" ht="15" customFormat="1" customHeight="1" s="265">
      <c r="A37" s="364" t="n"/>
      <c r="B37" s="365" t="n"/>
      <c r="C37" s="366" t="n"/>
      <c r="D37" s="367" t="n"/>
      <c r="E37" s="367" t="n"/>
      <c r="F37" s="367" t="n"/>
      <c r="G37" s="368" t="n"/>
      <c r="H37" s="368" t="n"/>
      <c r="I37" s="1307" t="n"/>
      <c r="J37" s="1307" t="n"/>
      <c r="K37" s="1307" t="n"/>
      <c r="L37" s="1307" t="n"/>
      <c r="M37" s="1307" t="n"/>
      <c r="N37" s="1307" t="n"/>
      <c r="O37" s="1307" t="n"/>
      <c r="P37" s="1308" t="n"/>
      <c r="Q37" s="1307" t="n"/>
      <c r="R37" s="1307" t="n"/>
      <c r="S37" s="368" t="n"/>
      <c r="T37" s="368" t="n"/>
      <c r="U37" s="367" t="n"/>
    </row>
    <row r="38" ht="15" customFormat="1" customHeight="1" s="265">
      <c r="A38" s="364" t="n"/>
      <c r="B38" s="365" t="n"/>
      <c r="C38" s="366" t="n"/>
      <c r="D38" s="367" t="n"/>
      <c r="E38" s="367" t="n"/>
      <c r="F38" s="367" t="n"/>
      <c r="G38" s="368" t="n"/>
      <c r="H38" s="368" t="n"/>
      <c r="I38" s="1307" t="n"/>
      <c r="J38" s="1307" t="n"/>
      <c r="K38" s="1307" t="n"/>
      <c r="L38" s="1307" t="n"/>
      <c r="M38" s="1307" t="n"/>
      <c r="N38" s="1307" t="n"/>
      <c r="O38" s="1307" t="n"/>
      <c r="P38" s="1308" t="n"/>
      <c r="Q38" s="1307" t="n"/>
      <c r="R38" s="1307" t="n"/>
      <c r="S38" s="368" t="n"/>
      <c r="T38" s="368" t="n"/>
      <c r="U38" s="367" t="n"/>
    </row>
    <row r="39" ht="15" customFormat="1" customHeight="1" s="265">
      <c r="A39" s="364" t="n"/>
      <c r="B39" s="365" t="n"/>
      <c r="C39" s="366" t="n"/>
      <c r="D39" s="367" t="n"/>
      <c r="E39" s="367" t="n"/>
      <c r="F39" s="367" t="n"/>
      <c r="G39" s="368" t="n"/>
      <c r="H39" s="368" t="n"/>
      <c r="I39" s="1307" t="n"/>
      <c r="J39" s="1307" t="n"/>
      <c r="K39" s="1307" t="n"/>
      <c r="L39" s="1307" t="n"/>
      <c r="M39" s="1307" t="n"/>
      <c r="N39" s="1307" t="n"/>
      <c r="O39" s="1307" t="n"/>
      <c r="P39" s="1308" t="n"/>
      <c r="Q39" s="1307" t="n"/>
      <c r="R39" s="1307" t="n"/>
      <c r="S39" s="368" t="n"/>
      <c r="T39" s="368" t="n"/>
      <c r="U39" s="367" t="n"/>
    </row>
    <row r="40" ht="15" customFormat="1" customHeight="1" s="265">
      <c r="A40" s="364" t="n"/>
      <c r="B40" s="365" t="n"/>
      <c r="C40" s="366" t="n"/>
      <c r="D40" s="367" t="n"/>
      <c r="E40" s="367" t="n"/>
      <c r="F40" s="367" t="n"/>
      <c r="G40" s="368" t="n"/>
      <c r="H40" s="368" t="n"/>
      <c r="I40" s="1307" t="n"/>
      <c r="J40" s="1307" t="n"/>
      <c r="K40" s="1307" t="n"/>
      <c r="L40" s="1307" t="n"/>
      <c r="M40" s="1307" t="n"/>
      <c r="N40" s="1307" t="n"/>
      <c r="O40" s="1307" t="n"/>
      <c r="P40" s="1308" t="n"/>
      <c r="Q40" s="1307" t="n"/>
      <c r="R40" s="1307" t="n"/>
      <c r="S40" s="368" t="n"/>
      <c r="T40" s="368" t="n"/>
      <c r="U40" s="367" t="n"/>
    </row>
    <row r="41" ht="15" customFormat="1" customHeight="1" s="265">
      <c r="A41" s="364" t="n"/>
      <c r="B41" s="365" t="n"/>
      <c r="C41" s="366" t="n"/>
      <c r="D41" s="367" t="n"/>
      <c r="E41" s="367" t="n"/>
      <c r="F41" s="367" t="n"/>
      <c r="G41" s="368" t="n"/>
      <c r="H41" s="368" t="n"/>
      <c r="I41" s="1307" t="n"/>
      <c r="J41" s="1307" t="n"/>
      <c r="K41" s="1307" t="n"/>
      <c r="L41" s="1307" t="n"/>
      <c r="M41" s="1307" t="n"/>
      <c r="N41" s="1307" t="n"/>
      <c r="O41" s="1307" t="n"/>
      <c r="P41" s="1308" t="n"/>
      <c r="Q41" s="1307" t="n"/>
      <c r="R41" s="1307" t="n"/>
      <c r="S41" s="368" t="n"/>
      <c r="T41" s="368" t="n"/>
      <c r="U41" s="367" t="n"/>
    </row>
    <row r="42" ht="15" customFormat="1" customHeight="1" s="265">
      <c r="A42" s="364" t="n"/>
      <c r="B42" s="365" t="n"/>
      <c r="C42" s="366" t="n"/>
      <c r="D42" s="367" t="n"/>
      <c r="E42" s="367" t="n"/>
      <c r="F42" s="367" t="n"/>
      <c r="G42" s="368" t="n"/>
      <c r="H42" s="368" t="n"/>
      <c r="I42" s="1307" t="n"/>
      <c r="J42" s="1307" t="n"/>
      <c r="K42" s="1307" t="n"/>
      <c r="L42" s="1307" t="n"/>
      <c r="M42" s="1307" t="n"/>
      <c r="N42" s="1307" t="n"/>
      <c r="O42" s="1307" t="n"/>
      <c r="P42" s="1308" t="n"/>
      <c r="Q42" s="1307" t="n"/>
      <c r="R42" s="1307" t="n"/>
      <c r="S42" s="368" t="n"/>
      <c r="T42" s="368" t="n"/>
      <c r="U42" s="367" t="n"/>
    </row>
    <row r="43" ht="15" customFormat="1" customHeight="1" s="265">
      <c r="A43" s="364" t="n"/>
      <c r="B43" s="365" t="n"/>
      <c r="C43" s="366" t="n"/>
      <c r="D43" s="367" t="n"/>
      <c r="E43" s="367" t="n"/>
      <c r="F43" s="367" t="n"/>
      <c r="G43" s="368" t="n"/>
      <c r="H43" s="368" t="n"/>
      <c r="I43" s="1307" t="n"/>
      <c r="J43" s="1307" t="n"/>
      <c r="K43" s="1307" t="n"/>
      <c r="L43" s="1307" t="n"/>
      <c r="M43" s="1307" t="n"/>
      <c r="N43" s="1307" t="n"/>
      <c r="O43" s="1307" t="n"/>
      <c r="P43" s="1308" t="n"/>
      <c r="Q43" s="1307" t="n"/>
      <c r="R43" s="1307" t="n"/>
      <c r="S43" s="368" t="n"/>
      <c r="T43" s="368" t="n"/>
      <c r="U43" s="367" t="n"/>
    </row>
    <row r="44" ht="15" customFormat="1" customHeight="1" s="265">
      <c r="A44" s="364" t="n"/>
      <c r="B44" s="365" t="n"/>
      <c r="C44" s="366" t="n"/>
      <c r="D44" s="367" t="n"/>
      <c r="E44" s="367" t="n"/>
      <c r="F44" s="367" t="n"/>
      <c r="G44" s="368" t="n"/>
      <c r="H44" s="368" t="n"/>
      <c r="I44" s="1307" t="n"/>
      <c r="J44" s="1307" t="n"/>
      <c r="K44" s="1307" t="n"/>
      <c r="L44" s="1307" t="n"/>
      <c r="M44" s="1307" t="n"/>
      <c r="N44" s="1307" t="n"/>
      <c r="O44" s="1307" t="n"/>
      <c r="P44" s="1308" t="n"/>
      <c r="Q44" s="1307" t="n"/>
      <c r="R44" s="1307" t="n"/>
      <c r="S44" s="368" t="n"/>
      <c r="T44" s="368" t="n"/>
      <c r="U44" s="367" t="n"/>
    </row>
    <row r="45" ht="15" customFormat="1" customHeight="1" s="265">
      <c r="A45" s="364" t="n"/>
      <c r="B45" s="365" t="n"/>
      <c r="C45" s="366" t="n"/>
      <c r="D45" s="367" t="n"/>
      <c r="E45" s="367" t="n"/>
      <c r="F45" s="367" t="n"/>
      <c r="G45" s="368" t="n"/>
      <c r="H45" s="368" t="n"/>
      <c r="I45" s="1307" t="n"/>
      <c r="J45" s="1307" t="n"/>
      <c r="K45" s="1307" t="n"/>
      <c r="L45" s="1307" t="n"/>
      <c r="M45" s="1307" t="n"/>
      <c r="N45" s="1307" t="n"/>
      <c r="O45" s="1307" t="n"/>
      <c r="P45" s="1308" t="n"/>
      <c r="Q45" s="1307" t="n"/>
      <c r="R45" s="1307" t="n"/>
      <c r="S45" s="368" t="n"/>
      <c r="T45" s="368" t="n"/>
      <c r="U45" s="367" t="n"/>
    </row>
    <row r="46" ht="15" customFormat="1" customHeight="1" s="265">
      <c r="A46" s="364" t="n"/>
      <c r="B46" s="365" t="n"/>
      <c r="C46" s="366" t="n"/>
      <c r="D46" s="367" t="n"/>
      <c r="E46" s="367" t="n"/>
      <c r="F46" s="367" t="n"/>
      <c r="G46" s="368" t="n"/>
      <c r="H46" s="368" t="n"/>
      <c r="I46" s="1307" t="n"/>
      <c r="J46" s="1307" t="n"/>
      <c r="K46" s="1307" t="n"/>
      <c r="L46" s="1307" t="n"/>
      <c r="M46" s="1307" t="n"/>
      <c r="N46" s="1307" t="n"/>
      <c r="O46" s="1307" t="n"/>
      <c r="P46" s="1308" t="n"/>
      <c r="Q46" s="1307" t="n"/>
      <c r="R46" s="1307" t="n"/>
      <c r="S46" s="368" t="n"/>
      <c r="T46" s="368" t="n"/>
      <c r="U46" s="367" t="n"/>
    </row>
    <row r="47" ht="15" customFormat="1" customHeight="1" s="265">
      <c r="A47" s="364" t="n"/>
      <c r="B47" s="365" t="n"/>
      <c r="C47" s="366" t="n"/>
      <c r="D47" s="367" t="n"/>
      <c r="E47" s="367" t="n"/>
      <c r="F47" s="367" t="n"/>
      <c r="G47" s="368" t="n"/>
      <c r="H47" s="368" t="n"/>
      <c r="I47" s="1307" t="n"/>
      <c r="J47" s="1307" t="n"/>
      <c r="K47" s="1307" t="n"/>
      <c r="L47" s="1307" t="n"/>
      <c r="M47" s="1307" t="n"/>
      <c r="N47" s="1307" t="n"/>
      <c r="O47" s="1307" t="n"/>
      <c r="P47" s="1308" t="n"/>
      <c r="Q47" s="1307" t="n"/>
      <c r="R47" s="1307" t="n"/>
      <c r="S47" s="368" t="n"/>
      <c r="T47" s="368" t="n"/>
      <c r="U47" s="367" t="n"/>
    </row>
    <row r="48" ht="15" customFormat="1" customHeight="1" s="265">
      <c r="A48" s="364" t="n"/>
      <c r="B48" s="365" t="n"/>
      <c r="C48" s="366" t="n"/>
      <c r="D48" s="367" t="n"/>
      <c r="E48" s="367" t="n"/>
      <c r="F48" s="367" t="n"/>
      <c r="G48" s="368" t="n"/>
      <c r="H48" s="368" t="n"/>
      <c r="I48" s="1307" t="n"/>
      <c r="J48" s="1307" t="n"/>
      <c r="K48" s="1307" t="n"/>
      <c r="L48" s="1307" t="n"/>
      <c r="M48" s="1307" t="n"/>
      <c r="N48" s="1307" t="n"/>
      <c r="O48" s="1307" t="n"/>
      <c r="P48" s="1308" t="n"/>
      <c r="Q48" s="1307" t="n"/>
      <c r="R48" s="1307" t="n"/>
      <c r="S48" s="368" t="n"/>
      <c r="T48" s="368" t="n"/>
      <c r="U48" s="367" t="n"/>
    </row>
    <row r="49" ht="15" customFormat="1" customHeight="1" s="265">
      <c r="A49" s="364" t="n"/>
      <c r="B49" s="365" t="n"/>
      <c r="C49" s="366" t="n"/>
      <c r="D49" s="367" t="n"/>
      <c r="E49" s="367" t="n"/>
      <c r="F49" s="367" t="n"/>
      <c r="G49" s="368" t="n"/>
      <c r="H49" s="368" t="n"/>
      <c r="I49" s="1307" t="n"/>
      <c r="J49" s="1307" t="n"/>
      <c r="K49" s="1307" t="n"/>
      <c r="L49" s="1307" t="n"/>
      <c r="M49" s="1307" t="n"/>
      <c r="N49" s="1307" t="n"/>
      <c r="O49" s="1307" t="n"/>
      <c r="P49" s="1308" t="n"/>
      <c r="Q49" s="1307" t="n"/>
      <c r="R49" s="1307" t="n"/>
      <c r="S49" s="368" t="n"/>
      <c r="T49" s="368" t="n"/>
      <c r="U49" s="367" t="n"/>
    </row>
    <row r="50" ht="15" customFormat="1" customHeight="1" s="265">
      <c r="A50" s="364" t="n"/>
      <c r="B50" s="365" t="n"/>
      <c r="C50" s="366" t="n"/>
      <c r="D50" s="367" t="n"/>
      <c r="E50" s="367" t="n"/>
      <c r="F50" s="367" t="n"/>
      <c r="G50" s="368" t="n"/>
      <c r="H50" s="368" t="n"/>
      <c r="I50" s="1307" t="n"/>
      <c r="J50" s="1307" t="n"/>
      <c r="K50" s="1307" t="n"/>
      <c r="L50" s="1307" t="n"/>
      <c r="M50" s="1307" t="n"/>
      <c r="N50" s="1307" t="n"/>
      <c r="O50" s="1307" t="n"/>
      <c r="P50" s="1308" t="n"/>
      <c r="Q50" s="1307" t="n"/>
      <c r="R50" s="1307" t="n"/>
      <c r="S50" s="368" t="n"/>
      <c r="T50" s="368" t="n"/>
      <c r="U50" s="367" t="n"/>
    </row>
    <row r="51" ht="15" customFormat="1" customHeight="1" s="265">
      <c r="A51" s="364" t="n"/>
      <c r="B51" s="365" t="n"/>
      <c r="C51" s="366" t="n"/>
      <c r="D51" s="367" t="n"/>
      <c r="E51" s="367" t="n"/>
      <c r="F51" s="367" t="n"/>
      <c r="G51" s="368" t="n"/>
      <c r="H51" s="368" t="n"/>
      <c r="I51" s="1307" t="n"/>
      <c r="J51" s="1307" t="n"/>
      <c r="K51" s="1307" t="n"/>
      <c r="L51" s="1307" t="n"/>
      <c r="M51" s="1307" t="n"/>
      <c r="N51" s="1307" t="n"/>
      <c r="O51" s="1307" t="n"/>
      <c r="P51" s="1308" t="n"/>
      <c r="Q51" s="1307" t="n"/>
      <c r="R51" s="1307" t="n"/>
      <c r="S51" s="368" t="n"/>
      <c r="T51" s="368" t="n"/>
      <c r="U51" s="367" t="n"/>
    </row>
    <row r="52" ht="15" customFormat="1" customHeight="1" s="265">
      <c r="A52" s="364" t="n"/>
      <c r="B52" s="365" t="n"/>
      <c r="C52" s="366" t="n"/>
      <c r="D52" s="367" t="n"/>
      <c r="E52" s="367" t="n"/>
      <c r="F52" s="367" t="n"/>
      <c r="G52" s="368" t="n"/>
      <c r="H52" s="368" t="n"/>
      <c r="I52" s="1307" t="n"/>
      <c r="J52" s="1307" t="n"/>
      <c r="K52" s="1307" t="n"/>
      <c r="L52" s="1307" t="n"/>
      <c r="M52" s="1307" t="n"/>
      <c r="N52" s="1307" t="n"/>
      <c r="O52" s="1307" t="n"/>
      <c r="P52" s="1308" t="n"/>
      <c r="Q52" s="1307" t="n"/>
      <c r="R52" s="1307" t="n"/>
      <c r="S52" s="368" t="n"/>
      <c r="T52" s="368" t="n"/>
      <c r="U52" s="367" t="n"/>
    </row>
    <row r="53" ht="15" customFormat="1" customHeight="1" s="265">
      <c r="A53" s="364" t="n"/>
      <c r="B53" s="365" t="n"/>
      <c r="C53" s="366" t="n"/>
      <c r="D53" s="367" t="n"/>
      <c r="E53" s="367" t="n"/>
      <c r="F53" s="367" t="n"/>
      <c r="G53" s="368" t="n"/>
      <c r="H53" s="368" t="n"/>
      <c r="I53" s="1307" t="n"/>
      <c r="J53" s="1307" t="n"/>
      <c r="K53" s="1307" t="n"/>
      <c r="L53" s="1307" t="n"/>
      <c r="M53" s="1307" t="n"/>
      <c r="N53" s="1307" t="n"/>
      <c r="O53" s="1307" t="n"/>
      <c r="P53" s="1308" t="n"/>
      <c r="Q53" s="1307" t="n"/>
      <c r="R53" s="1307" t="n"/>
      <c r="S53" s="368" t="n"/>
      <c r="T53" s="368" t="n"/>
      <c r="U53" s="367" t="n"/>
    </row>
    <row r="54" ht="15" customFormat="1" customHeight="1" s="265">
      <c r="A54" s="364" t="n"/>
      <c r="B54" s="365" t="n"/>
      <c r="C54" s="366" t="n"/>
      <c r="D54" s="367" t="n"/>
      <c r="E54" s="367" t="n"/>
      <c r="F54" s="367" t="n"/>
      <c r="G54" s="368" t="n"/>
      <c r="H54" s="368" t="n"/>
      <c r="I54" s="1307" t="n"/>
      <c r="J54" s="1307" t="n"/>
      <c r="K54" s="1307" t="n"/>
      <c r="L54" s="1307" t="n"/>
      <c r="M54" s="1307" t="n"/>
      <c r="N54" s="1307" t="n"/>
      <c r="O54" s="1307" t="n"/>
      <c r="P54" s="1308" t="n"/>
      <c r="Q54" s="1307" t="n"/>
      <c r="R54" s="1307" t="n"/>
      <c r="S54" s="368" t="n"/>
      <c r="T54" s="368" t="n"/>
      <c r="U54" s="367" t="n"/>
    </row>
    <row r="55" ht="15" customFormat="1" customHeight="1" s="265">
      <c r="A55" s="364" t="n"/>
      <c r="B55" s="365" t="n"/>
      <c r="C55" s="366" t="n"/>
      <c r="D55" s="367" t="n"/>
      <c r="E55" s="367" t="n"/>
      <c r="F55" s="367" t="n"/>
      <c r="G55" s="368" t="n"/>
      <c r="H55" s="368" t="n"/>
      <c r="I55" s="1307" t="n"/>
      <c r="J55" s="1307" t="n"/>
      <c r="K55" s="1307" t="n"/>
      <c r="L55" s="1307" t="n"/>
      <c r="M55" s="1307" t="n"/>
      <c r="N55" s="1307" t="n"/>
      <c r="O55" s="1307" t="n"/>
      <c r="P55" s="1308" t="n"/>
      <c r="Q55" s="1307" t="n"/>
      <c r="R55" s="1307" t="n"/>
      <c r="S55" s="368" t="n"/>
      <c r="T55" s="368" t="n"/>
      <c r="U55" s="367" t="n"/>
    </row>
    <row r="56" ht="15" customFormat="1" customHeight="1" s="265">
      <c r="A56" s="364" t="n"/>
      <c r="B56" s="365" t="n"/>
      <c r="C56" s="366" t="n"/>
      <c r="D56" s="367" t="n"/>
      <c r="E56" s="367" t="n"/>
      <c r="F56" s="367" t="n"/>
      <c r="G56" s="368" t="n"/>
      <c r="H56" s="368" t="n"/>
      <c r="I56" s="1307" t="n"/>
      <c r="J56" s="1307" t="n"/>
      <c r="K56" s="1307" t="n"/>
      <c r="L56" s="1307" t="n"/>
      <c r="M56" s="1307" t="n"/>
      <c r="N56" s="1307" t="n"/>
      <c r="O56" s="1307" t="n"/>
      <c r="P56" s="1308" t="n"/>
      <c r="Q56" s="1307" t="n"/>
      <c r="R56" s="1307" t="n"/>
      <c r="S56" s="368" t="n"/>
      <c r="T56" s="368" t="n"/>
      <c r="U56" s="367" t="n"/>
    </row>
    <row r="57" ht="15" customFormat="1" customHeight="1" s="265">
      <c r="A57" s="364" t="n"/>
      <c r="B57" s="365" t="n"/>
      <c r="C57" s="366" t="n"/>
      <c r="D57" s="367" t="n"/>
      <c r="E57" s="367" t="n"/>
      <c r="F57" s="367" t="n"/>
      <c r="G57" s="368" t="n"/>
      <c r="H57" s="368" t="n"/>
      <c r="I57" s="1307" t="n"/>
      <c r="J57" s="1307" t="n"/>
      <c r="K57" s="1307" t="n"/>
      <c r="L57" s="1307" t="n"/>
      <c r="M57" s="1307" t="n"/>
      <c r="N57" s="1307" t="n"/>
      <c r="O57" s="1307" t="n"/>
      <c r="P57" s="1308" t="n"/>
      <c r="Q57" s="1307" t="n"/>
      <c r="R57" s="1307" t="n"/>
      <c r="S57" s="368" t="n"/>
      <c r="T57" s="368" t="n"/>
      <c r="U57" s="367" t="n"/>
    </row>
    <row r="58" ht="15" customFormat="1" customHeight="1" s="265">
      <c r="A58" s="364" t="n"/>
      <c r="B58" s="365" t="n"/>
      <c r="C58" s="366" t="n"/>
      <c r="D58" s="367" t="n"/>
      <c r="E58" s="367" t="n"/>
      <c r="F58" s="367" t="n"/>
      <c r="G58" s="368" t="n"/>
      <c r="H58" s="368" t="n"/>
      <c r="I58" s="1307" t="n"/>
      <c r="J58" s="1307" t="n"/>
      <c r="K58" s="1307" t="n"/>
      <c r="L58" s="1307" t="n"/>
      <c r="M58" s="1307" t="n"/>
      <c r="N58" s="1307" t="n"/>
      <c r="O58" s="1307" t="n"/>
      <c r="P58" s="1308" t="n"/>
      <c r="Q58" s="1307" t="n"/>
      <c r="R58" s="1307" t="n"/>
      <c r="S58" s="368" t="n"/>
      <c r="T58" s="368" t="n"/>
      <c r="U58" s="367" t="n"/>
    </row>
    <row r="59" ht="15" customFormat="1" customHeight="1" s="265">
      <c r="A59" s="364" t="n"/>
      <c r="B59" s="365" t="n"/>
      <c r="C59" s="366" t="n"/>
      <c r="D59" s="367" t="n"/>
      <c r="E59" s="367" t="n"/>
      <c r="F59" s="367" t="n"/>
      <c r="G59" s="368" t="n"/>
      <c r="H59" s="368" t="n"/>
      <c r="I59" s="1307" t="n"/>
      <c r="J59" s="1307" t="n"/>
      <c r="K59" s="1307" t="n"/>
      <c r="L59" s="1307" t="n"/>
      <c r="M59" s="1307" t="n"/>
      <c r="N59" s="1307" t="n"/>
      <c r="O59" s="1307" t="n"/>
      <c r="P59" s="1308" t="n"/>
      <c r="Q59" s="1307" t="n"/>
      <c r="R59" s="1307" t="n"/>
      <c r="S59" s="368" t="n"/>
      <c r="T59" s="368" t="n"/>
      <c r="U59" s="367" t="n"/>
    </row>
    <row r="60" ht="15" customFormat="1" customHeight="1" s="265">
      <c r="A60" s="364" t="n"/>
      <c r="B60" s="365" t="n"/>
      <c r="C60" s="366" t="n"/>
      <c r="D60" s="367" t="n"/>
      <c r="E60" s="367" t="n"/>
      <c r="F60" s="367" t="n"/>
      <c r="G60" s="368" t="n"/>
      <c r="H60" s="368" t="n"/>
      <c r="I60" s="1307" t="n"/>
      <c r="J60" s="1307" t="n"/>
      <c r="K60" s="1307" t="n"/>
      <c r="L60" s="1307" t="n"/>
      <c r="M60" s="1307" t="n"/>
      <c r="N60" s="1307" t="n"/>
      <c r="O60" s="1307" t="n"/>
      <c r="P60" s="1308" t="n"/>
      <c r="Q60" s="1307" t="n"/>
      <c r="R60" s="1307" t="n"/>
      <c r="S60" s="368" t="n"/>
      <c r="T60" s="368" t="n"/>
      <c r="U60" s="367" t="n"/>
    </row>
    <row r="61" ht="15" customFormat="1" customHeight="1" s="265">
      <c r="A61" s="364" t="n"/>
      <c r="B61" s="365" t="n"/>
      <c r="C61" s="366" t="n"/>
      <c r="D61" s="367" t="n"/>
      <c r="E61" s="367" t="n"/>
      <c r="F61" s="367" t="n"/>
      <c r="G61" s="368" t="n"/>
      <c r="H61" s="368" t="n"/>
      <c r="I61" s="1307" t="n"/>
      <c r="J61" s="1307" t="n"/>
      <c r="K61" s="1307" t="n"/>
      <c r="L61" s="1307" t="n"/>
      <c r="M61" s="1307" t="n"/>
      <c r="N61" s="1307" t="n"/>
      <c r="O61" s="1307" t="n"/>
      <c r="P61" s="1308" t="n"/>
      <c r="Q61" s="1307" t="n"/>
      <c r="R61" s="1307" t="n"/>
      <c r="S61" s="368" t="n"/>
      <c r="T61" s="368" t="n"/>
      <c r="U61" s="367" t="n"/>
    </row>
    <row r="62" ht="15" customFormat="1" customHeight="1" s="265">
      <c r="A62" s="364" t="n"/>
      <c r="B62" s="365" t="n"/>
      <c r="C62" s="366" t="n"/>
      <c r="D62" s="367" t="n"/>
      <c r="E62" s="367" t="n"/>
      <c r="F62" s="367" t="n"/>
      <c r="G62" s="368" t="n"/>
      <c r="H62" s="368" t="n"/>
      <c r="I62" s="1307" t="n"/>
      <c r="J62" s="1307" t="n"/>
      <c r="K62" s="1307" t="n"/>
      <c r="L62" s="1307" t="n"/>
      <c r="M62" s="1307" t="n"/>
      <c r="N62" s="1307" t="n"/>
      <c r="O62" s="1307" t="n"/>
      <c r="P62" s="1308" t="n"/>
      <c r="Q62" s="1307" t="n"/>
      <c r="R62" s="1307" t="n"/>
      <c r="S62" s="368" t="n"/>
      <c r="T62" s="368" t="n"/>
      <c r="U62" s="367" t="n"/>
    </row>
    <row r="63" ht="15" customFormat="1" customHeight="1" s="265">
      <c r="A63" s="364" t="n"/>
      <c r="B63" s="365" t="n"/>
      <c r="C63" s="366" t="n"/>
      <c r="D63" s="367" t="n"/>
      <c r="E63" s="367" t="n"/>
      <c r="F63" s="367" t="n"/>
      <c r="G63" s="368" t="n"/>
      <c r="H63" s="368" t="n"/>
      <c r="I63" s="1307" t="n"/>
      <c r="J63" s="1307" t="n"/>
      <c r="K63" s="1307" t="n"/>
      <c r="L63" s="1307" t="n"/>
      <c r="M63" s="1307" t="n"/>
      <c r="N63" s="1307" t="n"/>
      <c r="O63" s="1307" t="n"/>
      <c r="P63" s="1308" t="n"/>
      <c r="Q63" s="1307" t="n"/>
      <c r="R63" s="1307" t="n"/>
      <c r="S63" s="368" t="n"/>
      <c r="T63" s="368" t="n"/>
      <c r="U63" s="367" t="n"/>
    </row>
    <row r="64" ht="15" customFormat="1" customHeight="1" s="265">
      <c r="A64" s="364" t="n"/>
      <c r="B64" s="365" t="n"/>
      <c r="C64" s="366" t="n"/>
      <c r="D64" s="367" t="n"/>
      <c r="E64" s="367" t="n"/>
      <c r="F64" s="367" t="n"/>
      <c r="G64" s="368" t="n"/>
      <c r="H64" s="368" t="n"/>
      <c r="I64" s="1307" t="n"/>
      <c r="J64" s="1307" t="n"/>
      <c r="K64" s="1307" t="n"/>
      <c r="L64" s="1307" t="n"/>
      <c r="M64" s="1307" t="n"/>
      <c r="N64" s="1307" t="n"/>
      <c r="O64" s="1307" t="n"/>
      <c r="P64" s="1308" t="n"/>
      <c r="Q64" s="1307" t="n"/>
      <c r="R64" s="1307" t="n"/>
      <c r="S64" s="368" t="n"/>
      <c r="T64" s="368" t="n"/>
      <c r="U64" s="367" t="n"/>
    </row>
    <row r="65" ht="15" customFormat="1" customHeight="1" s="265">
      <c r="A65" s="364" t="n"/>
      <c r="B65" s="365" t="n"/>
      <c r="C65" s="366" t="n"/>
      <c r="D65" s="367" t="n"/>
      <c r="E65" s="367" t="n"/>
      <c r="F65" s="367" t="n"/>
      <c r="G65" s="368" t="n"/>
      <c r="H65" s="368" t="n"/>
      <c r="I65" s="1307" t="n"/>
      <c r="J65" s="1307" t="n"/>
      <c r="K65" s="1307" t="n"/>
      <c r="L65" s="1307" t="n"/>
      <c r="M65" s="1307" t="n"/>
      <c r="N65" s="1307" t="n"/>
      <c r="O65" s="1307" t="n"/>
      <c r="P65" s="1308" t="n"/>
      <c r="Q65" s="1307" t="n"/>
      <c r="R65" s="1307" t="n"/>
      <c r="S65" s="368" t="n"/>
      <c r="T65" s="368" t="n"/>
      <c r="U65" s="367" t="n"/>
    </row>
    <row r="66" ht="15" customFormat="1" customHeight="1" s="265">
      <c r="A66" s="364" t="n"/>
      <c r="B66" s="365" t="n"/>
      <c r="C66" s="366" t="n"/>
      <c r="D66" s="367" t="n"/>
      <c r="E66" s="367" t="n"/>
      <c r="F66" s="367" t="n"/>
      <c r="G66" s="368" t="n"/>
      <c r="H66" s="368" t="n"/>
      <c r="I66" s="1307" t="n"/>
      <c r="J66" s="1307" t="n"/>
      <c r="K66" s="1307" t="n"/>
      <c r="L66" s="1307" t="n"/>
      <c r="M66" s="1307" t="n"/>
      <c r="N66" s="1307" t="n"/>
      <c r="O66" s="1307" t="n"/>
      <c r="P66" s="1308" t="n"/>
      <c r="Q66" s="1307" t="n"/>
      <c r="R66" s="1307" t="n"/>
      <c r="S66" s="368" t="n"/>
      <c r="T66" s="368" t="n"/>
      <c r="U66" s="367" t="n"/>
    </row>
    <row r="67" ht="15" customFormat="1" customHeight="1" s="265">
      <c r="A67" s="364" t="n"/>
      <c r="B67" s="365" t="n"/>
      <c r="C67" s="366" t="n"/>
      <c r="D67" s="367" t="n"/>
      <c r="E67" s="367" t="n"/>
      <c r="F67" s="367" t="n"/>
      <c r="G67" s="368" t="n"/>
      <c r="H67" s="368" t="n"/>
      <c r="I67" s="1307" t="n"/>
      <c r="J67" s="1307" t="n"/>
      <c r="K67" s="1307" t="n"/>
      <c r="L67" s="1307" t="n"/>
      <c r="M67" s="1307" t="n"/>
      <c r="N67" s="1307" t="n"/>
      <c r="O67" s="1307" t="n"/>
      <c r="P67" s="1308" t="n"/>
      <c r="Q67" s="1307" t="n"/>
      <c r="R67" s="1307" t="n"/>
      <c r="S67" s="368" t="n"/>
      <c r="T67" s="368" t="n"/>
      <c r="U67" s="367" t="n"/>
    </row>
    <row r="68" ht="15" customFormat="1" customHeight="1" s="265">
      <c r="A68" s="364" t="n"/>
      <c r="B68" s="365" t="n"/>
      <c r="C68" s="366" t="n"/>
      <c r="D68" s="367" t="n"/>
      <c r="E68" s="367" t="n"/>
      <c r="F68" s="367" t="n"/>
      <c r="G68" s="368" t="n"/>
      <c r="H68" s="368" t="n"/>
      <c r="I68" s="1307" t="n"/>
      <c r="J68" s="1307" t="n"/>
      <c r="K68" s="1307" t="n"/>
      <c r="L68" s="1307" t="n"/>
      <c r="M68" s="1307" t="n"/>
      <c r="N68" s="1307" t="n"/>
      <c r="O68" s="1307" t="n"/>
      <c r="P68" s="1308" t="n"/>
      <c r="Q68" s="1307" t="n"/>
      <c r="R68" s="1307" t="n"/>
      <c r="S68" s="368" t="n"/>
      <c r="T68" s="368" t="n"/>
      <c r="U68" s="367" t="n"/>
    </row>
    <row r="69" ht="15" customFormat="1" customHeight="1" s="265">
      <c r="A69" s="364" t="n"/>
      <c r="B69" s="365" t="n"/>
      <c r="C69" s="366" t="n"/>
      <c r="D69" s="367" t="n"/>
      <c r="E69" s="367" t="n"/>
      <c r="F69" s="367" t="n"/>
      <c r="G69" s="368" t="n"/>
      <c r="H69" s="368" t="n"/>
      <c r="I69" s="1307" t="n"/>
      <c r="J69" s="1307" t="n"/>
      <c r="K69" s="1307" t="n"/>
      <c r="L69" s="1307" t="n"/>
      <c r="M69" s="1307" t="n"/>
      <c r="N69" s="1307" t="n"/>
      <c r="O69" s="1307" t="n"/>
      <c r="P69" s="1308" t="n"/>
      <c r="Q69" s="1307" t="n"/>
      <c r="R69" s="1307" t="n"/>
      <c r="S69" s="368" t="n"/>
      <c r="T69" s="368" t="n"/>
      <c r="U69" s="367" t="n"/>
    </row>
    <row r="70" ht="15" customFormat="1" customHeight="1" s="265">
      <c r="A70" s="364" t="n"/>
      <c r="B70" s="365" t="n"/>
      <c r="C70" s="366" t="n"/>
      <c r="D70" s="367" t="n"/>
      <c r="E70" s="367" t="n"/>
      <c r="F70" s="367" t="n"/>
      <c r="G70" s="368" t="n"/>
      <c r="H70" s="368" t="n"/>
      <c r="I70" s="1307" t="n"/>
      <c r="J70" s="1307" t="n"/>
      <c r="K70" s="1307" t="n"/>
      <c r="L70" s="1307" t="n"/>
      <c r="M70" s="1307" t="n"/>
      <c r="N70" s="1307" t="n"/>
      <c r="O70" s="1307" t="n"/>
      <c r="P70" s="1308" t="n"/>
      <c r="Q70" s="1307" t="n"/>
      <c r="R70" s="1307" t="n"/>
      <c r="S70" s="368" t="n"/>
      <c r="T70" s="368" t="n"/>
      <c r="U70" s="367" t="n"/>
    </row>
    <row r="71" ht="15" customFormat="1" customHeight="1" s="265">
      <c r="A71" s="364" t="n"/>
      <c r="B71" s="365" t="n"/>
      <c r="C71" s="366" t="n"/>
      <c r="D71" s="367" t="n"/>
      <c r="E71" s="367" t="n"/>
      <c r="F71" s="367" t="n"/>
      <c r="G71" s="368" t="n"/>
      <c r="H71" s="368" t="n"/>
      <c r="I71" s="1307" t="n"/>
      <c r="J71" s="1307" t="n"/>
      <c r="K71" s="1307" t="n"/>
      <c r="L71" s="1307" t="n"/>
      <c r="M71" s="1307" t="n"/>
      <c r="N71" s="1307" t="n"/>
      <c r="O71" s="1307" t="n"/>
      <c r="P71" s="1308" t="n"/>
      <c r="Q71" s="1307" t="n"/>
      <c r="R71" s="1307" t="n"/>
      <c r="S71" s="368" t="n"/>
      <c r="T71" s="368" t="n"/>
      <c r="U71" s="367" t="n"/>
    </row>
    <row r="72" ht="15" customFormat="1" customHeight="1" s="265">
      <c r="A72" s="364" t="n"/>
      <c r="B72" s="365" t="n"/>
      <c r="C72" s="366" t="n"/>
      <c r="D72" s="367" t="n"/>
      <c r="E72" s="367" t="n"/>
      <c r="F72" s="367" t="n"/>
      <c r="G72" s="368" t="n"/>
      <c r="H72" s="368" t="n"/>
      <c r="I72" s="1307" t="n"/>
      <c r="J72" s="1307" t="n"/>
      <c r="K72" s="1307" t="n"/>
      <c r="L72" s="1307" t="n"/>
      <c r="M72" s="1307" t="n"/>
      <c r="N72" s="1307" t="n"/>
      <c r="O72" s="1307" t="n"/>
      <c r="P72" s="1308" t="n"/>
      <c r="Q72" s="1307" t="n"/>
      <c r="R72" s="1307" t="n"/>
      <c r="S72" s="368" t="n"/>
      <c r="T72" s="368" t="n"/>
      <c r="U72" s="367" t="n"/>
    </row>
    <row r="73" ht="15" customFormat="1" customHeight="1" s="265">
      <c r="A73" s="364" t="n"/>
      <c r="B73" s="365" t="n"/>
      <c r="C73" s="366" t="n"/>
      <c r="D73" s="367" t="n"/>
      <c r="E73" s="367" t="n"/>
      <c r="F73" s="367" t="n"/>
      <c r="G73" s="368" t="n"/>
      <c r="H73" s="368" t="n"/>
      <c r="I73" s="1307" t="n"/>
      <c r="J73" s="1307" t="n"/>
      <c r="K73" s="1307" t="n"/>
      <c r="L73" s="1307" t="n"/>
      <c r="M73" s="1307" t="n"/>
      <c r="N73" s="1307" t="n"/>
      <c r="O73" s="1307" t="n"/>
      <c r="P73" s="1308" t="n"/>
      <c r="Q73" s="1307" t="n"/>
      <c r="R73" s="1307" t="n"/>
      <c r="S73" s="368" t="n"/>
      <c r="T73" s="368" t="n"/>
      <c r="U73" s="367" t="n"/>
    </row>
    <row r="74" ht="15" customFormat="1" customHeight="1" s="265">
      <c r="A74" s="364" t="n"/>
      <c r="B74" s="365" t="n"/>
      <c r="C74" s="366" t="n"/>
      <c r="D74" s="367" t="n"/>
      <c r="E74" s="367" t="n"/>
      <c r="F74" s="367" t="n"/>
      <c r="G74" s="368" t="n"/>
      <c r="H74" s="368" t="n"/>
      <c r="I74" s="1307" t="n"/>
      <c r="J74" s="1307" t="n"/>
      <c r="K74" s="1307" t="n"/>
      <c r="L74" s="1307" t="n"/>
      <c r="M74" s="1307" t="n"/>
      <c r="N74" s="1307" t="n"/>
      <c r="O74" s="1307" t="n"/>
      <c r="P74" s="1308" t="n"/>
      <c r="Q74" s="1307" t="n"/>
      <c r="R74" s="1307" t="n"/>
      <c r="S74" s="368" t="n"/>
      <c r="T74" s="368" t="n"/>
      <c r="U74" s="367" t="n"/>
    </row>
    <row r="75" ht="15" customFormat="1" customHeight="1" s="265">
      <c r="A75" s="364" t="n"/>
      <c r="B75" s="365" t="n"/>
      <c r="C75" s="366" t="n"/>
      <c r="D75" s="367" t="n"/>
      <c r="E75" s="367" t="n"/>
      <c r="F75" s="367" t="n"/>
      <c r="G75" s="368" t="n"/>
      <c r="H75" s="368" t="n"/>
      <c r="I75" s="1307" t="n"/>
      <c r="J75" s="1307" t="n"/>
      <c r="K75" s="1307" t="n"/>
      <c r="L75" s="1307" t="n"/>
      <c r="M75" s="1307" t="n"/>
      <c r="N75" s="1307" t="n"/>
      <c r="O75" s="1307" t="n"/>
      <c r="P75" s="1308" t="n"/>
      <c r="Q75" s="1307" t="n"/>
      <c r="R75" s="1307" t="n"/>
      <c r="S75" s="368" t="n"/>
      <c r="T75" s="368" t="n"/>
      <c r="U75" s="367" t="n"/>
    </row>
    <row r="76" ht="15" customFormat="1" customHeight="1" s="265">
      <c r="A76" s="364" t="n"/>
      <c r="B76" s="365" t="n"/>
      <c r="C76" s="366" t="n"/>
      <c r="D76" s="367" t="n"/>
      <c r="E76" s="367" t="n"/>
      <c r="F76" s="367" t="n"/>
      <c r="G76" s="368" t="n"/>
      <c r="H76" s="368" t="n"/>
      <c r="I76" s="1307" t="n"/>
      <c r="J76" s="1307" t="n"/>
      <c r="K76" s="1307" t="n"/>
      <c r="L76" s="1307" t="n"/>
      <c r="M76" s="1307" t="n"/>
      <c r="N76" s="1307" t="n"/>
      <c r="O76" s="1307" t="n"/>
      <c r="P76" s="1308" t="n"/>
      <c r="Q76" s="1307" t="n"/>
      <c r="R76" s="1307" t="n"/>
      <c r="S76" s="368" t="n"/>
      <c r="T76" s="368" t="n"/>
      <c r="U76" s="367" t="n"/>
    </row>
    <row r="77" ht="15" customFormat="1" customHeight="1" s="265">
      <c r="A77" s="364" t="n"/>
      <c r="B77" s="365" t="n"/>
      <c r="C77" s="366" t="n"/>
      <c r="D77" s="367" t="n"/>
      <c r="E77" s="367" t="n"/>
      <c r="F77" s="367" t="n"/>
      <c r="G77" s="368" t="n"/>
      <c r="H77" s="368" t="n"/>
      <c r="I77" s="1307" t="n"/>
      <c r="J77" s="1307" t="n"/>
      <c r="K77" s="1307" t="n"/>
      <c r="L77" s="1307" t="n"/>
      <c r="M77" s="1307" t="n"/>
      <c r="N77" s="1307" t="n"/>
      <c r="O77" s="1307" t="n"/>
      <c r="P77" s="1308" t="n"/>
      <c r="Q77" s="1307" t="n"/>
      <c r="R77" s="1307" t="n"/>
      <c r="S77" s="368" t="n"/>
      <c r="T77" s="368" t="n"/>
      <c r="U77" s="367" t="n"/>
    </row>
    <row r="78" ht="15" customFormat="1" customHeight="1" s="265">
      <c r="A78" s="364" t="n"/>
      <c r="B78" s="365" t="n"/>
      <c r="C78" s="366" t="n"/>
      <c r="D78" s="367" t="n"/>
      <c r="E78" s="367" t="n"/>
      <c r="F78" s="367" t="n"/>
      <c r="G78" s="368" t="n"/>
      <c r="H78" s="368" t="n"/>
      <c r="I78" s="1307" t="n"/>
      <c r="J78" s="1307" t="n"/>
      <c r="K78" s="1307" t="n"/>
      <c r="L78" s="1307" t="n"/>
      <c r="M78" s="1307" t="n"/>
      <c r="N78" s="1307" t="n"/>
      <c r="O78" s="1307" t="n"/>
      <c r="P78" s="1308" t="n"/>
      <c r="Q78" s="1307" t="n"/>
      <c r="R78" s="1307" t="n"/>
      <c r="S78" s="368" t="n"/>
      <c r="T78" s="368" t="n"/>
      <c r="U78" s="367" t="n"/>
    </row>
    <row r="79" ht="15" customFormat="1" customHeight="1" s="265">
      <c r="A79" s="364" t="n"/>
      <c r="B79" s="365" t="n"/>
      <c r="C79" s="366" t="n"/>
      <c r="D79" s="367" t="n"/>
      <c r="E79" s="367" t="n"/>
      <c r="F79" s="367" t="n"/>
      <c r="G79" s="368" t="n"/>
      <c r="H79" s="368" t="n"/>
      <c r="I79" s="1307" t="n"/>
      <c r="J79" s="1307" t="n"/>
      <c r="K79" s="1307" t="n"/>
      <c r="L79" s="1307" t="n"/>
      <c r="M79" s="1307" t="n"/>
      <c r="N79" s="1307" t="n"/>
      <c r="O79" s="1307" t="n"/>
      <c r="P79" s="1308" t="n"/>
      <c r="Q79" s="1307" t="n"/>
      <c r="R79" s="1307" t="n"/>
      <c r="S79" s="368" t="n"/>
      <c r="T79" s="368" t="n"/>
      <c r="U79" s="367" t="n"/>
    </row>
    <row r="80" ht="15" customFormat="1" customHeight="1" s="265">
      <c r="A80" s="364" t="n"/>
      <c r="B80" s="365" t="n"/>
      <c r="C80" s="366" t="n"/>
      <c r="D80" s="367" t="n"/>
      <c r="E80" s="367" t="n"/>
      <c r="F80" s="367" t="n"/>
      <c r="G80" s="368" t="n"/>
      <c r="H80" s="368" t="n"/>
      <c r="I80" s="1307" t="n"/>
      <c r="J80" s="1307" t="n"/>
      <c r="K80" s="1307" t="n"/>
      <c r="L80" s="1307" t="n"/>
      <c r="M80" s="1307" t="n"/>
      <c r="N80" s="1307" t="n"/>
      <c r="O80" s="1307" t="n"/>
      <c r="P80" s="1308" t="n"/>
      <c r="Q80" s="1307" t="n"/>
      <c r="R80" s="1307" t="n"/>
      <c r="S80" s="368" t="n"/>
      <c r="T80" s="368" t="n"/>
      <c r="U80" s="367" t="n"/>
    </row>
    <row r="81" ht="15" customFormat="1" customHeight="1" s="265">
      <c r="A81" s="364" t="n"/>
      <c r="B81" s="365" t="n"/>
      <c r="C81" s="366" t="n"/>
      <c r="D81" s="367" t="n"/>
      <c r="E81" s="367" t="n"/>
      <c r="F81" s="367" t="n"/>
      <c r="G81" s="368" t="n"/>
      <c r="H81" s="368" t="n"/>
      <c r="I81" s="1307" t="n"/>
      <c r="J81" s="1307" t="n"/>
      <c r="K81" s="1307" t="n"/>
      <c r="L81" s="1307" t="n"/>
      <c r="M81" s="1307" t="n"/>
      <c r="N81" s="1307" t="n"/>
      <c r="O81" s="1307" t="n"/>
      <c r="P81" s="1308" t="n"/>
      <c r="Q81" s="1307" t="n"/>
      <c r="R81" s="1307" t="n"/>
      <c r="S81" s="368" t="n"/>
      <c r="T81" s="368" t="n"/>
      <c r="U81" s="367" t="n"/>
    </row>
    <row r="82" ht="15" customFormat="1" customHeight="1" s="265">
      <c r="A82" s="364" t="n"/>
      <c r="B82" s="365" t="n"/>
      <c r="C82" s="366" t="n"/>
      <c r="D82" s="367" t="n"/>
      <c r="E82" s="367" t="n"/>
      <c r="F82" s="367" t="n"/>
      <c r="G82" s="368" t="n"/>
      <c r="H82" s="368" t="n"/>
      <c r="I82" s="1307" t="n"/>
      <c r="J82" s="1307" t="n"/>
      <c r="K82" s="1307" t="n"/>
      <c r="L82" s="1307" t="n"/>
      <c r="M82" s="1307" t="n"/>
      <c r="N82" s="1307" t="n"/>
      <c r="O82" s="1307" t="n"/>
      <c r="P82" s="1308" t="n"/>
      <c r="Q82" s="1307" t="n"/>
      <c r="R82" s="1307" t="n"/>
      <c r="S82" s="368" t="n"/>
      <c r="T82" s="368" t="n"/>
      <c r="U82" s="367" t="n"/>
    </row>
    <row r="83" ht="15" customFormat="1" customHeight="1" s="265">
      <c r="A83" s="364" t="n"/>
      <c r="B83" s="365" t="n"/>
      <c r="C83" s="366" t="n"/>
      <c r="D83" s="367" t="n"/>
      <c r="E83" s="367" t="n"/>
      <c r="F83" s="367" t="n"/>
      <c r="G83" s="368" t="n"/>
      <c r="H83" s="368" t="n"/>
      <c r="I83" s="1307" t="n"/>
      <c r="J83" s="1307" t="n"/>
      <c r="K83" s="1307" t="n"/>
      <c r="L83" s="1307" t="n"/>
      <c r="M83" s="1307" t="n"/>
      <c r="N83" s="1307" t="n"/>
      <c r="O83" s="1307" t="n"/>
      <c r="P83" s="1308" t="n"/>
      <c r="Q83" s="1307" t="n"/>
      <c r="R83" s="1307" t="n"/>
      <c r="S83" s="368" t="n"/>
      <c r="T83" s="368" t="n"/>
      <c r="U83" s="367" t="n"/>
    </row>
    <row r="84" ht="15" customFormat="1" customHeight="1" s="265">
      <c r="A84" s="364" t="n"/>
      <c r="B84" s="365" t="n"/>
      <c r="C84" s="366" t="n"/>
      <c r="D84" s="367" t="n"/>
      <c r="E84" s="367" t="n"/>
      <c r="F84" s="367" t="n"/>
      <c r="G84" s="368" t="n"/>
      <c r="H84" s="368" t="n"/>
      <c r="I84" s="1307" t="n"/>
      <c r="J84" s="1307" t="n"/>
      <c r="K84" s="1307" t="n"/>
      <c r="L84" s="1307" t="n"/>
      <c r="M84" s="1307" t="n"/>
      <c r="N84" s="1307" t="n"/>
      <c r="O84" s="1307" t="n"/>
      <c r="P84" s="1308" t="n"/>
      <c r="Q84" s="1307" t="n"/>
      <c r="R84" s="1307" t="n"/>
      <c r="S84" s="368" t="n"/>
      <c r="T84" s="368" t="n"/>
      <c r="U84" s="367" t="n"/>
    </row>
    <row r="85" ht="15" customFormat="1" customHeight="1" s="265">
      <c r="A85" s="364" t="n"/>
      <c r="B85" s="365" t="n"/>
      <c r="C85" s="366" t="n"/>
      <c r="D85" s="367" t="n"/>
      <c r="E85" s="367" t="n"/>
      <c r="F85" s="367" t="n"/>
      <c r="G85" s="368" t="n"/>
      <c r="H85" s="368" t="n"/>
      <c r="I85" s="1307" t="n"/>
      <c r="J85" s="1307" t="n"/>
      <c r="K85" s="1307" t="n"/>
      <c r="L85" s="1307" t="n"/>
      <c r="M85" s="1307" t="n"/>
      <c r="N85" s="1307" t="n"/>
      <c r="O85" s="1307" t="n"/>
      <c r="P85" s="1308" t="n"/>
      <c r="Q85" s="1307" t="n"/>
      <c r="R85" s="1307" t="n"/>
      <c r="S85" s="368" t="n"/>
      <c r="T85" s="368" t="n"/>
      <c r="U85" s="367" t="n"/>
    </row>
    <row r="86" ht="15" customFormat="1" customHeight="1" s="265">
      <c r="A86" s="364" t="n"/>
      <c r="B86" s="365" t="n"/>
      <c r="C86" s="366" t="n"/>
      <c r="D86" s="367" t="n"/>
      <c r="E86" s="367" t="n"/>
      <c r="F86" s="367" t="n"/>
      <c r="G86" s="368" t="n"/>
      <c r="H86" s="368" t="n"/>
      <c r="I86" s="1307" t="n"/>
      <c r="J86" s="1307" t="n"/>
      <c r="K86" s="1307" t="n"/>
      <c r="L86" s="1307" t="n"/>
      <c r="M86" s="1307" t="n"/>
      <c r="N86" s="1307" t="n"/>
      <c r="O86" s="1307" t="n"/>
      <c r="P86" s="1308" t="n"/>
      <c r="Q86" s="1307" t="n"/>
      <c r="R86" s="1307" t="n"/>
      <c r="S86" s="368" t="n"/>
      <c r="T86" s="368" t="n"/>
      <c r="U86" s="367" t="n"/>
    </row>
    <row r="87" ht="15" customFormat="1" customHeight="1" s="265">
      <c r="A87" s="364" t="n"/>
      <c r="B87" s="365" t="n"/>
      <c r="C87" s="366" t="n"/>
      <c r="D87" s="367" t="n"/>
      <c r="E87" s="367" t="n"/>
      <c r="F87" s="367" t="n"/>
      <c r="G87" s="368" t="n"/>
      <c r="H87" s="368" t="n"/>
      <c r="I87" s="1307" t="n"/>
      <c r="J87" s="1307" t="n"/>
      <c r="K87" s="1307" t="n"/>
      <c r="L87" s="1307" t="n"/>
      <c r="M87" s="1307" t="n"/>
      <c r="N87" s="1307" t="n"/>
      <c r="O87" s="1307" t="n"/>
      <c r="P87" s="1308" t="n"/>
      <c r="Q87" s="1307" t="n"/>
      <c r="R87" s="1307" t="n"/>
      <c r="S87" s="368" t="n"/>
      <c r="T87" s="368" t="n"/>
      <c r="U87" s="367" t="n"/>
    </row>
    <row r="88" ht="15" customFormat="1" customHeight="1" s="265">
      <c r="A88" s="364" t="n"/>
      <c r="B88" s="365" t="n"/>
      <c r="C88" s="366" t="n"/>
      <c r="D88" s="367" t="n"/>
      <c r="E88" s="367" t="n"/>
      <c r="F88" s="367" t="n"/>
      <c r="G88" s="368" t="n"/>
      <c r="H88" s="368" t="n"/>
      <c r="I88" s="1307" t="n"/>
      <c r="J88" s="1307" t="n"/>
      <c r="K88" s="1307" t="n"/>
      <c r="L88" s="1307" t="n"/>
      <c r="M88" s="1307" t="n"/>
      <c r="N88" s="1307" t="n"/>
      <c r="O88" s="1307" t="n"/>
      <c r="P88" s="1308" t="n"/>
      <c r="Q88" s="1307" t="n"/>
      <c r="R88" s="1307" t="n"/>
      <c r="S88" s="368" t="n"/>
      <c r="T88" s="368" t="n"/>
      <c r="U88" s="367" t="n"/>
    </row>
    <row r="89" ht="15" customFormat="1" customHeight="1" s="265">
      <c r="A89" s="364" t="n"/>
      <c r="B89" s="365" t="n"/>
      <c r="C89" s="366" t="n"/>
      <c r="D89" s="367" t="n"/>
      <c r="E89" s="367" t="n"/>
      <c r="F89" s="367" t="n"/>
      <c r="G89" s="368" t="n"/>
      <c r="H89" s="368" t="n"/>
      <c r="I89" s="1307" t="n"/>
      <c r="J89" s="1307" t="n"/>
      <c r="K89" s="1307" t="n"/>
      <c r="L89" s="1307" t="n"/>
      <c r="M89" s="1307" t="n"/>
      <c r="N89" s="1307" t="n"/>
      <c r="O89" s="1307" t="n"/>
      <c r="P89" s="1308" t="n"/>
      <c r="Q89" s="1307" t="n"/>
      <c r="R89" s="1307" t="n"/>
      <c r="S89" s="368" t="n"/>
      <c r="T89" s="368" t="n"/>
      <c r="U89" s="367" t="n"/>
    </row>
    <row r="90" ht="15" customFormat="1" customHeight="1" s="265">
      <c r="A90" s="364" t="n"/>
      <c r="B90" s="365" t="n"/>
      <c r="C90" s="366" t="n"/>
      <c r="D90" s="367" t="n"/>
      <c r="E90" s="367" t="n"/>
      <c r="F90" s="367" t="n"/>
      <c r="G90" s="368" t="n"/>
      <c r="H90" s="368" t="n"/>
      <c r="I90" s="1307" t="n"/>
      <c r="J90" s="1307" t="n"/>
      <c r="K90" s="1307" t="n"/>
      <c r="L90" s="1307" t="n"/>
      <c r="M90" s="1307" t="n"/>
      <c r="N90" s="1307" t="n"/>
      <c r="O90" s="1307" t="n"/>
      <c r="P90" s="1308" t="n"/>
      <c r="Q90" s="1307" t="n"/>
      <c r="R90" s="1307" t="n"/>
      <c r="S90" s="368" t="n"/>
      <c r="T90" s="368" t="n"/>
      <c r="U90" s="367" t="n"/>
    </row>
    <row r="91" ht="15" customFormat="1" customHeight="1" s="265">
      <c r="A91" s="364" t="n"/>
      <c r="B91" s="365" t="n"/>
      <c r="C91" s="366" t="n"/>
      <c r="D91" s="367" t="n"/>
      <c r="E91" s="367" t="n"/>
      <c r="F91" s="367" t="n"/>
      <c r="G91" s="368" t="n"/>
      <c r="H91" s="368" t="n"/>
      <c r="I91" s="1307" t="n"/>
      <c r="J91" s="1307" t="n"/>
      <c r="K91" s="1307" t="n"/>
      <c r="L91" s="1307" t="n"/>
      <c r="M91" s="1307" t="n"/>
      <c r="N91" s="1307" t="n"/>
      <c r="O91" s="1307" t="n"/>
      <c r="P91" s="1308" t="n"/>
      <c r="Q91" s="1307" t="n"/>
      <c r="R91" s="1307" t="n"/>
      <c r="S91" s="368" t="n"/>
      <c r="T91" s="368" t="n"/>
      <c r="U91" s="367" t="n"/>
    </row>
    <row r="92" ht="15" customFormat="1" customHeight="1" s="265">
      <c r="A92" s="364" t="n"/>
      <c r="B92" s="365" t="n"/>
      <c r="C92" s="366" t="n"/>
      <c r="D92" s="367" t="n"/>
      <c r="E92" s="367" t="n"/>
      <c r="F92" s="367" t="n"/>
      <c r="G92" s="368" t="n"/>
      <c r="H92" s="368" t="n"/>
      <c r="I92" s="1307" t="n"/>
      <c r="J92" s="1307" t="n"/>
      <c r="K92" s="1307" t="n"/>
      <c r="L92" s="1307" t="n"/>
      <c r="M92" s="1307" t="n"/>
      <c r="N92" s="1307" t="n"/>
      <c r="O92" s="1307" t="n"/>
      <c r="P92" s="1308" t="n"/>
      <c r="Q92" s="1307" t="n"/>
      <c r="R92" s="1307" t="n"/>
      <c r="S92" s="368" t="n"/>
      <c r="T92" s="368" t="n"/>
      <c r="U92" s="367" t="n"/>
    </row>
    <row r="93" ht="15" customFormat="1" customHeight="1" s="265">
      <c r="A93" s="364" t="n"/>
      <c r="B93" s="365" t="n"/>
      <c r="C93" s="366" t="n"/>
      <c r="D93" s="367" t="n"/>
      <c r="E93" s="367" t="n"/>
      <c r="F93" s="367" t="n"/>
      <c r="G93" s="368" t="n"/>
      <c r="H93" s="368" t="n"/>
      <c r="I93" s="1307" t="n"/>
      <c r="J93" s="1307" t="n"/>
      <c r="K93" s="1307" t="n"/>
      <c r="L93" s="1307" t="n"/>
      <c r="M93" s="1307" t="n"/>
      <c r="N93" s="1307" t="n"/>
      <c r="O93" s="1307" t="n"/>
      <c r="P93" s="1308" t="n"/>
      <c r="Q93" s="1307" t="n"/>
      <c r="R93" s="1307" t="n"/>
      <c r="S93" s="368" t="n"/>
      <c r="T93" s="368" t="n"/>
      <c r="U93" s="367" t="n"/>
    </row>
    <row r="94" ht="15" customFormat="1" customHeight="1" s="265">
      <c r="A94" s="364" t="n"/>
      <c r="B94" s="365" t="n"/>
      <c r="C94" s="366" t="n"/>
      <c r="D94" s="367" t="n"/>
      <c r="E94" s="367" t="n"/>
      <c r="F94" s="367" t="n"/>
      <c r="G94" s="368" t="n"/>
      <c r="H94" s="368" t="n"/>
      <c r="I94" s="1307" t="n"/>
      <c r="J94" s="1307" t="n"/>
      <c r="K94" s="1307" t="n"/>
      <c r="L94" s="1307" t="n"/>
      <c r="M94" s="1307" t="n"/>
      <c r="N94" s="1307" t="n"/>
      <c r="O94" s="1307" t="n"/>
      <c r="P94" s="1308" t="n"/>
      <c r="Q94" s="1307" t="n"/>
      <c r="R94" s="1307" t="n"/>
      <c r="S94" s="368" t="n"/>
      <c r="T94" s="368" t="n"/>
      <c r="U94" s="367" t="n"/>
    </row>
    <row r="95" ht="15" customFormat="1" customHeight="1" s="265">
      <c r="A95" s="364" t="n"/>
      <c r="B95" s="365" t="n"/>
      <c r="C95" s="366" t="n"/>
      <c r="D95" s="367" t="n"/>
      <c r="E95" s="367" t="n"/>
      <c r="F95" s="367" t="n"/>
      <c r="G95" s="368" t="n"/>
      <c r="H95" s="368" t="n"/>
      <c r="I95" s="1307" t="n"/>
      <c r="J95" s="1307" t="n"/>
      <c r="K95" s="1307" t="n"/>
      <c r="L95" s="1307" t="n"/>
      <c r="M95" s="1307" t="n"/>
      <c r="N95" s="1307" t="n"/>
      <c r="O95" s="1307" t="n"/>
      <c r="P95" s="1308" t="n"/>
      <c r="Q95" s="1307" t="n"/>
      <c r="R95" s="1307" t="n"/>
      <c r="S95" s="368" t="n"/>
      <c r="T95" s="368" t="n"/>
      <c r="U95" s="367" t="n"/>
    </row>
    <row r="96" ht="15" customFormat="1" customHeight="1" s="265">
      <c r="A96" s="364" t="n"/>
      <c r="B96" s="365" t="n"/>
      <c r="C96" s="366" t="n"/>
      <c r="D96" s="367" t="n"/>
      <c r="E96" s="367" t="n"/>
      <c r="F96" s="367" t="n"/>
      <c r="G96" s="368" t="n"/>
      <c r="H96" s="368" t="n"/>
      <c r="I96" s="1307" t="n"/>
      <c r="J96" s="1307" t="n"/>
      <c r="K96" s="1307" t="n"/>
      <c r="L96" s="1307" t="n"/>
      <c r="M96" s="1307" t="n"/>
      <c r="N96" s="1307" t="n"/>
      <c r="O96" s="1307" t="n"/>
      <c r="P96" s="1308" t="n"/>
      <c r="Q96" s="1307" t="n"/>
      <c r="R96" s="1307" t="n"/>
      <c r="S96" s="368" t="n"/>
      <c r="T96" s="368" t="n"/>
      <c r="U96" s="367" t="n"/>
    </row>
    <row r="97" ht="15" customFormat="1" customHeight="1" s="265">
      <c r="A97" s="364" t="n"/>
      <c r="B97" s="365" t="n"/>
      <c r="C97" s="366" t="n"/>
      <c r="D97" s="367" t="n"/>
      <c r="E97" s="367" t="n"/>
      <c r="F97" s="367" t="n"/>
      <c r="G97" s="368" t="n"/>
      <c r="H97" s="368" t="n"/>
      <c r="I97" s="1307" t="n"/>
      <c r="J97" s="1307" t="n"/>
      <c r="K97" s="1307" t="n"/>
      <c r="L97" s="1307" t="n"/>
      <c r="M97" s="1307" t="n"/>
      <c r="N97" s="1307" t="n"/>
      <c r="O97" s="1307" t="n"/>
      <c r="P97" s="1308" t="n"/>
      <c r="Q97" s="1307" t="n"/>
      <c r="R97" s="1307" t="n"/>
      <c r="S97" s="368" t="n"/>
      <c r="T97" s="368" t="n"/>
      <c r="U97" s="367" t="n"/>
    </row>
    <row r="98" ht="15" customFormat="1" customHeight="1" s="265">
      <c r="A98" s="364" t="n"/>
      <c r="B98" s="365" t="n"/>
      <c r="C98" s="366" t="n"/>
      <c r="D98" s="367" t="n"/>
      <c r="E98" s="367" t="n"/>
      <c r="F98" s="367" t="n"/>
      <c r="G98" s="368" t="n"/>
      <c r="H98" s="368" t="n"/>
      <c r="I98" s="1307" t="n"/>
      <c r="J98" s="1307" t="n"/>
      <c r="K98" s="1307" t="n"/>
      <c r="L98" s="1307" t="n"/>
      <c r="M98" s="1307" t="n"/>
      <c r="N98" s="1307" t="n"/>
      <c r="O98" s="1307" t="n"/>
      <c r="P98" s="1308" t="n"/>
      <c r="Q98" s="1307" t="n"/>
      <c r="R98" s="1307" t="n"/>
      <c r="S98" s="368" t="n"/>
      <c r="T98" s="368" t="n"/>
      <c r="U98" s="367" t="n"/>
    </row>
    <row r="99" ht="15" customFormat="1" customHeight="1" s="265">
      <c r="A99" s="364" t="n"/>
      <c r="B99" s="365" t="n"/>
      <c r="C99" s="366" t="n"/>
      <c r="D99" s="367" t="n"/>
      <c r="E99" s="367" t="n"/>
      <c r="F99" s="367" t="n"/>
      <c r="G99" s="368" t="n"/>
      <c r="H99" s="368" t="n"/>
      <c r="I99" s="1307" t="n"/>
      <c r="J99" s="1307" t="n"/>
      <c r="K99" s="1307" t="n"/>
      <c r="L99" s="1307" t="n"/>
      <c r="M99" s="1307" t="n"/>
      <c r="N99" s="1307" t="n"/>
      <c r="O99" s="1307" t="n"/>
      <c r="P99" s="1308" t="n"/>
      <c r="Q99" s="1307" t="n"/>
      <c r="R99" s="1307" t="n"/>
      <c r="S99" s="368" t="n"/>
      <c r="T99" s="368" t="n"/>
      <c r="U99" s="367" t="n"/>
    </row>
    <row r="100" ht="15" customFormat="1" customHeight="1" s="265">
      <c r="A100" s="364" t="n"/>
      <c r="B100" s="365" t="n"/>
      <c r="C100" s="366" t="n"/>
      <c r="D100" s="367" t="n"/>
      <c r="E100" s="367" t="n"/>
      <c r="F100" s="367" t="n"/>
      <c r="G100" s="368" t="n"/>
      <c r="H100" s="368" t="n"/>
      <c r="I100" s="1307" t="n"/>
      <c r="J100" s="1307" t="n"/>
      <c r="K100" s="1307" t="n"/>
      <c r="L100" s="1307" t="n"/>
      <c r="M100" s="1307" t="n"/>
      <c r="N100" s="1307" t="n"/>
      <c r="O100" s="1307" t="n"/>
      <c r="P100" s="1308" t="n"/>
      <c r="Q100" s="1307" t="n"/>
      <c r="R100" s="1307" t="n"/>
      <c r="S100" s="368" t="n"/>
      <c r="T100" s="368" t="n"/>
      <c r="U100" s="367" t="n"/>
    </row>
    <row r="101" ht="15" customFormat="1" customHeight="1" s="265">
      <c r="A101" s="364" t="n"/>
      <c r="B101" s="365" t="n"/>
      <c r="C101" s="366" t="n"/>
      <c r="D101" s="367" t="n"/>
      <c r="E101" s="367" t="n"/>
      <c r="F101" s="367" t="n"/>
      <c r="G101" s="368" t="n"/>
      <c r="H101" s="368" t="n"/>
      <c r="I101" s="1307" t="n"/>
      <c r="J101" s="1307" t="n"/>
      <c r="K101" s="1307" t="n"/>
      <c r="L101" s="1307" t="n"/>
      <c r="M101" s="1307" t="n"/>
      <c r="N101" s="1307" t="n"/>
      <c r="O101" s="1307" t="n"/>
      <c r="P101" s="1308" t="n"/>
      <c r="Q101" s="1307" t="n"/>
      <c r="R101" s="1307" t="n"/>
      <c r="S101" s="368" t="n"/>
      <c r="T101" s="368" t="n"/>
      <c r="U101" s="367" t="n"/>
    </row>
    <row r="102" ht="15" customFormat="1" customHeight="1" s="265">
      <c r="A102" s="364" t="n"/>
      <c r="B102" s="365" t="n"/>
      <c r="C102" s="366" t="n"/>
      <c r="D102" s="367" t="n"/>
      <c r="E102" s="367" t="n"/>
      <c r="F102" s="367" t="n"/>
      <c r="G102" s="368" t="n"/>
      <c r="H102" s="368" t="n"/>
      <c r="I102" s="1307" t="n"/>
      <c r="J102" s="1307" t="n"/>
      <c r="K102" s="1307" t="n"/>
      <c r="L102" s="1307" t="n"/>
      <c r="M102" s="1307" t="n"/>
      <c r="N102" s="1307" t="n"/>
      <c r="O102" s="1307" t="n"/>
      <c r="P102" s="1308" t="n"/>
      <c r="Q102" s="1307" t="n"/>
      <c r="R102" s="1307" t="n"/>
      <c r="S102" s="368" t="n"/>
      <c r="T102" s="368" t="n"/>
      <c r="U102" s="367" t="n"/>
    </row>
    <row r="103" ht="15" customFormat="1" customHeight="1" s="265">
      <c r="A103" s="364" t="n"/>
      <c r="B103" s="365" t="n"/>
      <c r="C103" s="366" t="n"/>
      <c r="D103" s="367" t="n"/>
      <c r="E103" s="367" t="n"/>
      <c r="F103" s="367" t="n"/>
      <c r="G103" s="368" t="n"/>
      <c r="H103" s="368" t="n"/>
      <c r="I103" s="1307" t="n"/>
      <c r="J103" s="1307" t="n"/>
      <c r="K103" s="1307" t="n"/>
      <c r="L103" s="1307" t="n"/>
      <c r="M103" s="1307" t="n"/>
      <c r="N103" s="1307" t="n"/>
      <c r="O103" s="1307" t="n"/>
      <c r="P103" s="1308" t="n"/>
      <c r="Q103" s="1307" t="n"/>
      <c r="R103" s="1307" t="n"/>
      <c r="S103" s="368" t="n"/>
      <c r="T103" s="368" t="n"/>
      <c r="U103" s="367" t="n"/>
    </row>
    <row r="104" ht="15" customFormat="1" customHeight="1" s="265">
      <c r="A104" s="364" t="n"/>
      <c r="B104" s="365" t="n"/>
      <c r="C104" s="366" t="n"/>
      <c r="D104" s="367" t="n"/>
      <c r="E104" s="367" t="n"/>
      <c r="F104" s="367" t="n"/>
      <c r="G104" s="368" t="n"/>
      <c r="H104" s="368" t="n"/>
      <c r="I104" s="1307" t="n"/>
      <c r="J104" s="1307" t="n"/>
      <c r="K104" s="1307" t="n"/>
      <c r="L104" s="1307" t="n"/>
      <c r="M104" s="1307" t="n"/>
      <c r="N104" s="1307" t="n"/>
      <c r="O104" s="1307" t="n"/>
      <c r="P104" s="1308" t="n"/>
      <c r="Q104" s="1307" t="n"/>
      <c r="R104" s="1307" t="n"/>
      <c r="S104" s="368" t="n"/>
      <c r="T104" s="368" t="n"/>
      <c r="U104" s="367" t="n"/>
    </row>
    <row r="105" ht="15" customFormat="1" customHeight="1" s="265">
      <c r="A105" s="364" t="n"/>
      <c r="B105" s="365" t="n"/>
      <c r="C105" s="366" t="n"/>
      <c r="D105" s="367" t="n"/>
      <c r="E105" s="367" t="n"/>
      <c r="F105" s="367" t="n"/>
      <c r="G105" s="368" t="n"/>
      <c r="H105" s="368" t="n"/>
      <c r="I105" s="1307" t="n"/>
      <c r="J105" s="1307" t="n"/>
      <c r="K105" s="1307" t="n"/>
      <c r="L105" s="1307" t="n"/>
      <c r="M105" s="1307" t="n"/>
      <c r="N105" s="1307" t="n"/>
      <c r="O105" s="1307" t="n"/>
      <c r="P105" s="1308" t="n"/>
      <c r="Q105" s="1307" t="n"/>
      <c r="R105" s="1307" t="n"/>
      <c r="S105" s="368" t="n"/>
      <c r="T105" s="368" t="n"/>
      <c r="U105" s="367" t="n"/>
    </row>
    <row r="106" ht="15" customFormat="1" customHeight="1" s="265">
      <c r="A106" s="364" t="n"/>
      <c r="B106" s="365" t="n"/>
      <c r="C106" s="366" t="n"/>
      <c r="D106" s="367" t="n"/>
      <c r="E106" s="367" t="n"/>
      <c r="F106" s="367" t="n"/>
      <c r="G106" s="368" t="n"/>
      <c r="H106" s="368" t="n"/>
      <c r="I106" s="1307" t="n"/>
      <c r="J106" s="1307" t="n"/>
      <c r="K106" s="1307" t="n"/>
      <c r="L106" s="1307" t="n"/>
      <c r="M106" s="1307" t="n"/>
      <c r="N106" s="1307" t="n"/>
      <c r="O106" s="1307" t="n"/>
      <c r="P106" s="1308" t="n"/>
      <c r="Q106" s="1307" t="n"/>
      <c r="R106" s="1307" t="n"/>
      <c r="S106" s="368" t="n"/>
      <c r="T106" s="368" t="n"/>
      <c r="U106" s="367" t="n"/>
    </row>
    <row r="107" ht="15" customFormat="1" customHeight="1" s="265">
      <c r="A107" s="364" t="n"/>
      <c r="B107" s="365" t="n"/>
      <c r="C107" s="366" t="n"/>
      <c r="D107" s="367" t="n"/>
      <c r="E107" s="367" t="n"/>
      <c r="F107" s="367" t="n"/>
      <c r="G107" s="368" t="n"/>
      <c r="H107" s="368" t="n"/>
      <c r="I107" s="1307" t="n"/>
      <c r="J107" s="1307" t="n"/>
      <c r="K107" s="1307" t="n"/>
      <c r="L107" s="1307" t="n"/>
      <c r="M107" s="1307" t="n"/>
      <c r="N107" s="1307" t="n"/>
      <c r="O107" s="1307" t="n"/>
      <c r="P107" s="1308" t="n"/>
      <c r="Q107" s="1307" t="n"/>
      <c r="R107" s="1307" t="n"/>
      <c r="S107" s="368" t="n"/>
      <c r="T107" s="368" t="n"/>
      <c r="U107" s="367" t="n"/>
    </row>
    <row r="108" ht="15" customFormat="1" customHeight="1" s="265">
      <c r="A108" s="364" t="n"/>
      <c r="B108" s="365" t="n"/>
      <c r="C108" s="366" t="n"/>
      <c r="D108" s="367" t="n"/>
      <c r="E108" s="367" t="n"/>
      <c r="F108" s="367" t="n"/>
      <c r="G108" s="368" t="n"/>
      <c r="H108" s="368" t="n"/>
      <c r="I108" s="1307" t="n"/>
      <c r="J108" s="1307" t="n"/>
      <c r="K108" s="1307" t="n"/>
      <c r="L108" s="1307" t="n"/>
      <c r="M108" s="1307" t="n"/>
      <c r="N108" s="1307" t="n"/>
      <c r="O108" s="1307" t="n"/>
      <c r="P108" s="1308" t="n"/>
      <c r="Q108" s="1307" t="n"/>
      <c r="R108" s="1307" t="n"/>
      <c r="S108" s="368" t="n"/>
      <c r="T108" s="368" t="n"/>
      <c r="U108" s="367" t="n"/>
    </row>
    <row r="109" ht="15" customFormat="1" customHeight="1" s="265">
      <c r="A109" s="364" t="n"/>
      <c r="B109" s="365" t="n"/>
      <c r="C109" s="366" t="n"/>
      <c r="D109" s="367" t="n"/>
      <c r="E109" s="367" t="n"/>
      <c r="F109" s="367" t="n"/>
      <c r="G109" s="368" t="n"/>
      <c r="H109" s="368" t="n"/>
      <c r="I109" s="1307" t="n"/>
      <c r="J109" s="1307" t="n"/>
      <c r="K109" s="1307" t="n"/>
      <c r="L109" s="1307" t="n"/>
      <c r="M109" s="1307" t="n"/>
      <c r="N109" s="1307" t="n"/>
      <c r="O109" s="1307" t="n"/>
      <c r="P109" s="1308" t="n"/>
      <c r="Q109" s="1307" t="n"/>
      <c r="R109" s="1307" t="n"/>
      <c r="S109" s="368" t="n"/>
      <c r="T109" s="368" t="n"/>
      <c r="U109" s="367" t="n"/>
    </row>
    <row r="110" ht="15" customFormat="1" customHeight="1" s="265">
      <c r="A110" s="364" t="n"/>
      <c r="B110" s="365" t="n"/>
      <c r="C110" s="366" t="n"/>
      <c r="D110" s="367" t="n"/>
      <c r="E110" s="367" t="n"/>
      <c r="F110" s="367" t="n"/>
      <c r="G110" s="368" t="n"/>
      <c r="H110" s="368" t="n"/>
      <c r="I110" s="1307" t="n"/>
      <c r="J110" s="1307" t="n"/>
      <c r="K110" s="1307" t="n"/>
      <c r="L110" s="1307" t="n"/>
      <c r="M110" s="1307" t="n"/>
      <c r="N110" s="1307" t="n"/>
      <c r="O110" s="1307" t="n"/>
      <c r="P110" s="1308" t="n"/>
      <c r="Q110" s="1307" t="n"/>
      <c r="R110" s="1307" t="n"/>
      <c r="S110" s="368" t="n"/>
      <c r="T110" s="368" t="n"/>
      <c r="U110" s="367" t="n"/>
    </row>
    <row r="111" ht="15" customFormat="1" customHeight="1" s="265">
      <c r="A111" s="364" t="n"/>
      <c r="B111" s="365" t="n"/>
      <c r="C111" s="366" t="n"/>
      <c r="D111" s="367" t="n"/>
      <c r="E111" s="367" t="n"/>
      <c r="F111" s="367" t="n"/>
      <c r="G111" s="368" t="n"/>
      <c r="H111" s="368" t="n"/>
      <c r="I111" s="1307" t="n"/>
      <c r="J111" s="1307" t="n"/>
      <c r="K111" s="1307" t="n"/>
      <c r="L111" s="1307" t="n"/>
      <c r="M111" s="1307" t="n"/>
      <c r="N111" s="1307" t="n"/>
      <c r="O111" s="1307" t="n"/>
      <c r="P111" s="1308" t="n"/>
      <c r="Q111" s="1307" t="n"/>
      <c r="R111" s="1307" t="n"/>
      <c r="S111" s="368" t="n"/>
      <c r="T111" s="368" t="n"/>
      <c r="U111" s="367" t="n"/>
    </row>
    <row r="112" ht="15" customFormat="1" customHeight="1" s="265">
      <c r="A112" s="364" t="n"/>
      <c r="B112" s="365" t="n"/>
      <c r="C112" s="366" t="n"/>
      <c r="D112" s="367" t="n"/>
      <c r="E112" s="367" t="n"/>
      <c r="F112" s="367" t="n"/>
      <c r="G112" s="368" t="n"/>
      <c r="H112" s="368" t="n"/>
      <c r="I112" s="1307" t="n"/>
      <c r="J112" s="1307" t="n"/>
      <c r="K112" s="1307" t="n"/>
      <c r="L112" s="1307" t="n"/>
      <c r="M112" s="1307" t="n"/>
      <c r="N112" s="1307" t="n"/>
      <c r="O112" s="1307" t="n"/>
      <c r="P112" s="1308" t="n"/>
      <c r="Q112" s="1307" t="n"/>
      <c r="R112" s="1307" t="n"/>
      <c r="S112" s="368" t="n"/>
      <c r="T112" s="368" t="n"/>
      <c r="U112" s="367" t="n"/>
    </row>
    <row r="113" ht="15" customFormat="1" customHeight="1" s="265">
      <c r="A113" s="364" t="n"/>
      <c r="B113" s="365" t="n"/>
      <c r="C113" s="366" t="n"/>
      <c r="D113" s="367" t="n"/>
      <c r="E113" s="367" t="n"/>
      <c r="F113" s="367" t="n"/>
      <c r="G113" s="368" t="n"/>
      <c r="H113" s="368" t="n"/>
      <c r="I113" s="1307" t="n"/>
      <c r="J113" s="1307" t="n"/>
      <c r="K113" s="1307" t="n"/>
      <c r="L113" s="1307" t="n"/>
      <c r="M113" s="1307" t="n"/>
      <c r="N113" s="1307" t="n"/>
      <c r="O113" s="1307" t="n"/>
      <c r="P113" s="1308" t="n"/>
      <c r="Q113" s="1307" t="n"/>
      <c r="R113" s="1307" t="n"/>
      <c r="S113" s="368" t="n"/>
      <c r="T113" s="368" t="n"/>
      <c r="U113" s="367" t="n"/>
    </row>
    <row r="114" ht="15" customFormat="1" customHeight="1" s="265">
      <c r="A114" s="364" t="n"/>
      <c r="B114" s="365" t="n"/>
      <c r="C114" s="366" t="n"/>
      <c r="D114" s="367" t="n"/>
      <c r="E114" s="367" t="n"/>
      <c r="F114" s="367" t="n"/>
      <c r="G114" s="368" t="n"/>
      <c r="H114" s="368" t="n"/>
      <c r="I114" s="1307" t="n"/>
      <c r="J114" s="1307" t="n"/>
      <c r="K114" s="1307" t="n"/>
      <c r="L114" s="1307" t="n"/>
      <c r="M114" s="1307" t="n"/>
      <c r="N114" s="1307" t="n"/>
      <c r="O114" s="1307" t="n"/>
      <c r="P114" s="1308" t="n"/>
      <c r="Q114" s="1307" t="n"/>
      <c r="R114" s="1307" t="n"/>
      <c r="S114" s="368" t="n"/>
      <c r="T114" s="368" t="n"/>
      <c r="U114" s="367" t="n"/>
    </row>
    <row r="115" ht="15" customFormat="1" customHeight="1" s="265">
      <c r="A115" s="364" t="n"/>
      <c r="B115" s="365" t="n"/>
      <c r="C115" s="366" t="n"/>
      <c r="D115" s="367" t="n"/>
      <c r="E115" s="367" t="n"/>
      <c r="F115" s="367" t="n"/>
      <c r="G115" s="368" t="n"/>
      <c r="H115" s="368" t="n"/>
      <c r="I115" s="1307" t="n"/>
      <c r="J115" s="1307" t="n"/>
      <c r="K115" s="1307" t="n"/>
      <c r="L115" s="1307" t="n"/>
      <c r="M115" s="1307" t="n"/>
      <c r="N115" s="1307" t="n"/>
      <c r="O115" s="1307" t="n"/>
      <c r="P115" s="1308" t="n"/>
      <c r="Q115" s="1307" t="n"/>
      <c r="R115" s="1307" t="n"/>
      <c r="S115" s="368" t="n"/>
      <c r="T115" s="368" t="n"/>
      <c r="U115" s="367" t="n"/>
    </row>
    <row r="116" ht="15" customFormat="1" customHeight="1" s="265">
      <c r="A116" s="364" t="n"/>
      <c r="B116" s="365" t="n"/>
      <c r="C116" s="366" t="n"/>
      <c r="D116" s="367" t="n"/>
      <c r="E116" s="367" t="n"/>
      <c r="F116" s="367" t="n"/>
      <c r="G116" s="368" t="n"/>
      <c r="H116" s="368" t="n"/>
      <c r="I116" s="1307" t="n"/>
      <c r="J116" s="1307" t="n"/>
      <c r="K116" s="1307" t="n"/>
      <c r="L116" s="1307" t="n"/>
      <c r="M116" s="1307" t="n"/>
      <c r="N116" s="1307" t="n"/>
      <c r="O116" s="1307" t="n"/>
      <c r="P116" s="1308" t="n"/>
      <c r="Q116" s="1307" t="n"/>
      <c r="R116" s="1307" t="n"/>
      <c r="S116" s="368" t="n"/>
      <c r="T116" s="368" t="n"/>
      <c r="U116" s="367" t="n"/>
    </row>
    <row r="117" ht="15" customFormat="1" customHeight="1" s="265">
      <c r="A117" s="364" t="n"/>
      <c r="B117" s="365" t="n"/>
      <c r="C117" s="366" t="n"/>
      <c r="D117" s="367" t="n"/>
      <c r="E117" s="367" t="n"/>
      <c r="F117" s="367" t="n"/>
      <c r="G117" s="368" t="n"/>
      <c r="H117" s="368" t="n"/>
      <c r="I117" s="1307" t="n"/>
      <c r="J117" s="1307" t="n"/>
      <c r="K117" s="1307" t="n"/>
      <c r="L117" s="1307" t="n"/>
      <c r="M117" s="1307" t="n"/>
      <c r="N117" s="1307" t="n"/>
      <c r="O117" s="1307" t="n"/>
      <c r="P117" s="1308" t="n"/>
      <c r="Q117" s="1307" t="n"/>
      <c r="R117" s="1307" t="n"/>
      <c r="S117" s="368" t="n"/>
      <c r="T117" s="368" t="n"/>
      <c r="U117" s="367" t="n"/>
    </row>
    <row r="118" ht="15" customFormat="1" customHeight="1" s="265">
      <c r="A118" s="364" t="n"/>
      <c r="B118" s="365" t="n"/>
      <c r="C118" s="366" t="n"/>
      <c r="D118" s="367" t="n"/>
      <c r="E118" s="367" t="n"/>
      <c r="F118" s="367" t="n"/>
      <c r="G118" s="368" t="n"/>
      <c r="H118" s="368" t="n"/>
      <c r="I118" s="1307" t="n"/>
      <c r="J118" s="1307" t="n"/>
      <c r="K118" s="1307" t="n"/>
      <c r="L118" s="1307" t="n"/>
      <c r="M118" s="1307" t="n"/>
      <c r="N118" s="1307" t="n"/>
      <c r="O118" s="1307" t="n"/>
      <c r="P118" s="1308" t="n"/>
      <c r="Q118" s="1307" t="n"/>
      <c r="R118" s="1307" t="n"/>
      <c r="S118" s="368" t="n"/>
      <c r="T118" s="368" t="n"/>
      <c r="U118" s="367" t="n"/>
    </row>
    <row r="119" ht="15" customFormat="1" customHeight="1" s="265">
      <c r="A119" s="364" t="n"/>
      <c r="B119" s="365" t="n"/>
      <c r="C119" s="366" t="n"/>
      <c r="D119" s="367" t="n"/>
      <c r="E119" s="367" t="n"/>
      <c r="F119" s="367" t="n"/>
      <c r="G119" s="368" t="n"/>
      <c r="H119" s="368" t="n"/>
      <c r="I119" s="1307" t="n"/>
      <c r="J119" s="1307" t="n"/>
      <c r="K119" s="1307" t="n"/>
      <c r="L119" s="1307" t="n"/>
      <c r="M119" s="1307" t="n"/>
      <c r="N119" s="1307" t="n"/>
      <c r="O119" s="1307" t="n"/>
      <c r="P119" s="1308" t="n"/>
      <c r="Q119" s="1307" t="n"/>
      <c r="R119" s="1307" t="n"/>
      <c r="S119" s="368" t="n"/>
      <c r="T119" s="368" t="n"/>
      <c r="U119" s="367" t="n"/>
    </row>
    <row r="120" ht="15" customFormat="1" customHeight="1" s="265">
      <c r="A120" s="364" t="n"/>
      <c r="B120" s="365" t="n"/>
      <c r="C120" s="366" t="n"/>
      <c r="D120" s="367" t="n"/>
      <c r="E120" s="367" t="n"/>
      <c r="F120" s="367" t="n"/>
      <c r="G120" s="368" t="n"/>
      <c r="H120" s="368" t="n"/>
      <c r="I120" s="1307" t="n"/>
      <c r="J120" s="1307" t="n"/>
      <c r="K120" s="1307" t="n"/>
      <c r="L120" s="1307" t="n"/>
      <c r="M120" s="1307" t="n"/>
      <c r="N120" s="1307" t="n"/>
      <c r="O120" s="1307" t="n"/>
      <c r="P120" s="1308" t="n"/>
      <c r="Q120" s="1307" t="n"/>
      <c r="R120" s="1307" t="n"/>
      <c r="S120" s="368" t="n"/>
      <c r="T120" s="368" t="n"/>
      <c r="U120" s="367" t="n"/>
    </row>
    <row r="121" ht="15" customFormat="1" customHeight="1" s="265">
      <c r="A121" s="364" t="n"/>
      <c r="B121" s="365" t="n"/>
      <c r="C121" s="366" t="n"/>
      <c r="D121" s="367" t="n"/>
      <c r="E121" s="367" t="n"/>
      <c r="F121" s="367" t="n"/>
      <c r="G121" s="368" t="n"/>
      <c r="H121" s="368" t="n"/>
      <c r="I121" s="1307" t="n"/>
      <c r="J121" s="1307" t="n"/>
      <c r="K121" s="1307" t="n"/>
      <c r="L121" s="1307" t="n"/>
      <c r="M121" s="1307" t="n"/>
      <c r="N121" s="1307" t="n"/>
      <c r="O121" s="1307" t="n"/>
      <c r="P121" s="1308" t="n"/>
      <c r="Q121" s="1307" t="n"/>
      <c r="R121" s="1307" t="n"/>
      <c r="S121" s="368" t="n"/>
      <c r="T121" s="368" t="n"/>
      <c r="U121" s="367" t="n"/>
    </row>
    <row r="122" ht="15" customFormat="1" customHeight="1" s="265">
      <c r="A122" s="364" t="n"/>
      <c r="B122" s="365" t="n"/>
      <c r="C122" s="366" t="n"/>
      <c r="D122" s="367" t="n"/>
      <c r="E122" s="367" t="n"/>
      <c r="F122" s="367" t="n"/>
      <c r="G122" s="368" t="n"/>
      <c r="H122" s="368" t="n"/>
      <c r="I122" s="1307" t="n"/>
      <c r="J122" s="1307" t="n"/>
      <c r="K122" s="1307" t="n"/>
      <c r="L122" s="1307" t="n"/>
      <c r="M122" s="1307" t="n"/>
      <c r="N122" s="1307" t="n"/>
      <c r="O122" s="1307" t="n"/>
      <c r="P122" s="1308" t="n"/>
      <c r="Q122" s="1307" t="n"/>
      <c r="R122" s="1307" t="n"/>
      <c r="S122" s="368" t="n"/>
      <c r="T122" s="368" t="n"/>
      <c r="U122" s="367" t="n"/>
    </row>
    <row r="123" ht="15" customFormat="1" customHeight="1" s="265">
      <c r="A123" s="364" t="n"/>
      <c r="B123" s="365" t="n"/>
      <c r="C123" s="366" t="n"/>
      <c r="D123" s="367" t="n"/>
      <c r="E123" s="367" t="n"/>
      <c r="F123" s="367" t="n"/>
      <c r="G123" s="368" t="n"/>
      <c r="H123" s="368" t="n"/>
      <c r="I123" s="1307" t="n"/>
      <c r="J123" s="1307" t="n"/>
      <c r="K123" s="1307" t="n"/>
      <c r="L123" s="1307" t="n"/>
      <c r="M123" s="1307" t="n"/>
      <c r="N123" s="1307" t="n"/>
      <c r="O123" s="1307" t="n"/>
      <c r="P123" s="1308" t="n"/>
      <c r="Q123" s="1307" t="n"/>
      <c r="R123" s="1307" t="n"/>
      <c r="S123" s="368" t="n"/>
      <c r="T123" s="368" t="n"/>
      <c r="U123" s="367" t="n"/>
    </row>
    <row r="124" ht="15" customFormat="1" customHeight="1" s="265">
      <c r="A124" s="364" t="n"/>
      <c r="B124" s="365" t="n"/>
      <c r="C124" s="366" t="n"/>
      <c r="D124" s="367" t="n"/>
      <c r="E124" s="367" t="n"/>
      <c r="F124" s="367" t="n"/>
      <c r="G124" s="368" t="n"/>
      <c r="H124" s="368" t="n"/>
      <c r="I124" s="1307" t="n"/>
      <c r="J124" s="1307" t="n"/>
      <c r="K124" s="1307" t="n"/>
      <c r="L124" s="1307" t="n"/>
      <c r="M124" s="1307" t="n"/>
      <c r="N124" s="1307" t="n"/>
      <c r="O124" s="1307" t="n"/>
      <c r="P124" s="1308" t="n"/>
      <c r="Q124" s="1307" t="n"/>
      <c r="R124" s="1307" t="n"/>
      <c r="S124" s="368" t="n"/>
      <c r="T124" s="368" t="n"/>
      <c r="U124" s="367" t="n"/>
    </row>
    <row r="125" ht="15" customFormat="1" customHeight="1" s="265">
      <c r="A125" s="364" t="n"/>
      <c r="B125" s="365" t="n"/>
      <c r="C125" s="366" t="n"/>
      <c r="D125" s="367" t="n"/>
      <c r="E125" s="367" t="n"/>
      <c r="F125" s="367" t="n"/>
      <c r="G125" s="368" t="n"/>
      <c r="H125" s="368" t="n"/>
      <c r="I125" s="1307" t="n"/>
      <c r="J125" s="1307" t="n"/>
      <c r="K125" s="1307" t="n"/>
      <c r="L125" s="1307" t="n"/>
      <c r="M125" s="1307" t="n"/>
      <c r="N125" s="1307" t="n"/>
      <c r="O125" s="1307" t="n"/>
      <c r="P125" s="1308" t="n"/>
      <c r="Q125" s="1307" t="n"/>
      <c r="R125" s="1307" t="n"/>
      <c r="S125" s="368" t="n"/>
      <c r="T125" s="368" t="n"/>
      <c r="U125" s="367" t="n"/>
    </row>
    <row r="126" ht="15" customFormat="1" customHeight="1" s="265">
      <c r="A126" s="364" t="n"/>
      <c r="B126" s="365" t="n"/>
      <c r="C126" s="366" t="n"/>
      <c r="D126" s="367" t="n"/>
      <c r="E126" s="367" t="n"/>
      <c r="F126" s="367" t="n"/>
      <c r="G126" s="368" t="n"/>
      <c r="H126" s="368" t="n"/>
      <c r="I126" s="1307" t="n"/>
      <c r="J126" s="1307" t="n"/>
      <c r="K126" s="1307" t="n"/>
      <c r="L126" s="1307" t="n"/>
      <c r="M126" s="1307" t="n"/>
      <c r="N126" s="1307" t="n"/>
      <c r="O126" s="1307" t="n"/>
      <c r="P126" s="1308" t="n"/>
      <c r="Q126" s="1307" t="n"/>
      <c r="R126" s="1307" t="n"/>
      <c r="S126" s="368" t="n"/>
      <c r="T126" s="368" t="n"/>
      <c r="U126" s="367" t="n"/>
    </row>
    <row r="127" ht="15" customFormat="1" customHeight="1" s="265">
      <c r="A127" s="364" t="n"/>
      <c r="B127" s="365" t="n"/>
      <c r="C127" s="366" t="n"/>
      <c r="D127" s="367" t="n"/>
      <c r="E127" s="367" t="n"/>
      <c r="F127" s="367" t="n"/>
      <c r="G127" s="368" t="n"/>
      <c r="H127" s="368" t="n"/>
      <c r="I127" s="1307" t="n"/>
      <c r="J127" s="1307" t="n"/>
      <c r="K127" s="1307" t="n"/>
      <c r="L127" s="1307" t="n"/>
      <c r="M127" s="1307" t="n"/>
      <c r="N127" s="1307" t="n"/>
      <c r="O127" s="1307" t="n"/>
      <c r="P127" s="1308" t="n"/>
      <c r="Q127" s="1307" t="n"/>
      <c r="R127" s="1307" t="n"/>
      <c r="S127" s="368" t="n"/>
      <c r="T127" s="368" t="n"/>
      <c r="U127" s="367" t="n"/>
    </row>
    <row r="128" ht="15" customFormat="1" customHeight="1" s="265">
      <c r="A128" s="364" t="n"/>
      <c r="B128" s="365" t="n"/>
      <c r="C128" s="366" t="n"/>
      <c r="D128" s="367" t="n"/>
      <c r="E128" s="367" t="n"/>
      <c r="F128" s="367" t="n"/>
      <c r="G128" s="368" t="n"/>
      <c r="H128" s="368" t="n"/>
      <c r="I128" s="1307" t="n"/>
      <c r="J128" s="1307" t="n"/>
      <c r="K128" s="1307" t="n"/>
      <c r="L128" s="1307" t="n"/>
      <c r="M128" s="1307" t="n"/>
      <c r="N128" s="1307" t="n"/>
      <c r="O128" s="1307" t="n"/>
      <c r="P128" s="1308" t="n"/>
      <c r="Q128" s="1307" t="n"/>
      <c r="R128" s="1307" t="n"/>
      <c r="S128" s="368" t="n"/>
      <c r="T128" s="368" t="n"/>
      <c r="U128" s="367" t="n"/>
    </row>
    <row r="129" ht="15" customFormat="1" customHeight="1" s="265">
      <c r="A129" s="364" t="n"/>
      <c r="B129" s="365" t="n"/>
      <c r="C129" s="366" t="n"/>
      <c r="D129" s="367" t="n"/>
      <c r="E129" s="367" t="n"/>
      <c r="F129" s="367" t="n"/>
      <c r="G129" s="368" t="n"/>
      <c r="H129" s="368" t="n"/>
      <c r="I129" s="1307" t="n"/>
      <c r="J129" s="1307" t="n"/>
      <c r="K129" s="1307" t="n"/>
      <c r="L129" s="1307" t="n"/>
      <c r="M129" s="1307" t="n"/>
      <c r="N129" s="1307" t="n"/>
      <c r="O129" s="1307" t="n"/>
      <c r="P129" s="1308" t="n"/>
      <c r="Q129" s="1307" t="n"/>
      <c r="R129" s="1307" t="n"/>
      <c r="S129" s="368" t="n"/>
      <c r="T129" s="368" t="n"/>
      <c r="U129" s="367" t="n"/>
    </row>
    <row r="130" ht="15" customFormat="1" customHeight="1" s="265">
      <c r="A130" s="364" t="n"/>
      <c r="B130" s="365" t="n"/>
      <c r="C130" s="366" t="n"/>
      <c r="D130" s="367" t="n"/>
      <c r="E130" s="367" t="n"/>
      <c r="F130" s="367" t="n"/>
      <c r="G130" s="368" t="n"/>
      <c r="H130" s="368" t="n"/>
      <c r="I130" s="1307" t="n"/>
      <c r="J130" s="1307" t="n"/>
      <c r="K130" s="1307" t="n"/>
      <c r="L130" s="1307" t="n"/>
      <c r="M130" s="1307" t="n"/>
      <c r="N130" s="1307" t="n"/>
      <c r="O130" s="1307" t="n"/>
      <c r="P130" s="1308" t="n"/>
      <c r="Q130" s="1307" t="n"/>
      <c r="R130" s="1307" t="n"/>
      <c r="S130" s="368" t="n"/>
      <c r="T130" s="368" t="n"/>
      <c r="U130" s="367" t="n"/>
    </row>
    <row r="131" ht="15" customFormat="1" customHeight="1" s="265">
      <c r="A131" s="364" t="n"/>
      <c r="B131" s="365" t="n"/>
      <c r="C131" s="366" t="n"/>
      <c r="D131" s="367" t="n"/>
      <c r="E131" s="367" t="n"/>
      <c r="F131" s="367" t="n"/>
      <c r="G131" s="368" t="n"/>
      <c r="H131" s="368" t="n"/>
      <c r="I131" s="1307" t="n"/>
      <c r="J131" s="1307" t="n"/>
      <c r="K131" s="1307" t="n"/>
      <c r="L131" s="1307" t="n"/>
      <c r="M131" s="1307" t="n"/>
      <c r="N131" s="1307" t="n"/>
      <c r="O131" s="1307" t="n"/>
      <c r="P131" s="1308" t="n"/>
      <c r="Q131" s="1307" t="n"/>
      <c r="R131" s="1307" t="n"/>
      <c r="S131" s="368" t="n"/>
      <c r="T131" s="368" t="n"/>
      <c r="U131" s="367" t="n"/>
    </row>
    <row r="132" ht="15" customFormat="1" customHeight="1" s="265">
      <c r="A132" s="364" t="n"/>
      <c r="B132" s="365" t="n"/>
      <c r="C132" s="366" t="n"/>
      <c r="D132" s="367" t="n"/>
      <c r="E132" s="367" t="n"/>
      <c r="F132" s="367" t="n"/>
      <c r="G132" s="368" t="n"/>
      <c r="H132" s="368" t="n"/>
      <c r="I132" s="1307" t="n"/>
      <c r="J132" s="1307" t="n"/>
      <c r="K132" s="1307" t="n"/>
      <c r="L132" s="1307" t="n"/>
      <c r="M132" s="1307" t="n"/>
      <c r="N132" s="1307" t="n"/>
      <c r="O132" s="1307" t="n"/>
      <c r="P132" s="1308" t="n"/>
      <c r="Q132" s="1307" t="n"/>
      <c r="R132" s="1307" t="n"/>
      <c r="S132" s="368" t="n"/>
      <c r="T132" s="368" t="n"/>
      <c r="U132" s="367" t="n"/>
    </row>
    <row r="133" ht="15" customFormat="1" customHeight="1" s="265">
      <c r="A133" s="364" t="n"/>
      <c r="B133" s="365" t="n"/>
      <c r="C133" s="366" t="n"/>
      <c r="D133" s="367" t="n"/>
      <c r="E133" s="367" t="n"/>
      <c r="F133" s="367" t="n"/>
      <c r="G133" s="368" t="n"/>
      <c r="H133" s="368" t="n"/>
      <c r="I133" s="1307" t="n"/>
      <c r="J133" s="1307" t="n"/>
      <c r="K133" s="1307" t="n"/>
      <c r="L133" s="1307" t="n"/>
      <c r="M133" s="1307" t="n"/>
      <c r="N133" s="1307" t="n"/>
      <c r="O133" s="1307" t="n"/>
      <c r="P133" s="1308" t="n"/>
      <c r="Q133" s="1307" t="n"/>
      <c r="R133" s="1307" t="n"/>
      <c r="S133" s="368" t="n"/>
      <c r="T133" s="368" t="n"/>
      <c r="U133" s="367" t="n"/>
    </row>
    <row r="134" ht="15" customFormat="1" customHeight="1" s="265">
      <c r="A134" s="364" t="n"/>
      <c r="B134" s="365" t="n"/>
      <c r="C134" s="366" t="n"/>
      <c r="D134" s="367" t="n"/>
      <c r="E134" s="367" t="n"/>
      <c r="F134" s="367" t="n"/>
      <c r="G134" s="368" t="n"/>
      <c r="H134" s="368" t="n"/>
      <c r="I134" s="1307" t="n"/>
      <c r="J134" s="1307" t="n"/>
      <c r="K134" s="1307" t="n"/>
      <c r="L134" s="1307" t="n"/>
      <c r="M134" s="1307" t="n"/>
      <c r="N134" s="1307" t="n"/>
      <c r="O134" s="1307" t="n"/>
      <c r="P134" s="1308" t="n"/>
      <c r="Q134" s="1307" t="n"/>
      <c r="R134" s="1307" t="n"/>
      <c r="S134" s="368" t="n"/>
      <c r="T134" s="368" t="n"/>
      <c r="U134" s="367" t="n"/>
    </row>
    <row r="135" ht="15" customFormat="1" customHeight="1" s="265">
      <c r="A135" s="364" t="n"/>
      <c r="B135" s="365" t="n"/>
      <c r="C135" s="366" t="n"/>
      <c r="D135" s="367" t="n"/>
      <c r="E135" s="367" t="n"/>
      <c r="F135" s="367" t="n"/>
      <c r="G135" s="368" t="n"/>
      <c r="H135" s="368" t="n"/>
      <c r="I135" s="1307" t="n"/>
      <c r="J135" s="1307" t="n"/>
      <c r="K135" s="1307" t="n"/>
      <c r="L135" s="1307" t="n"/>
      <c r="M135" s="1307" t="n"/>
      <c r="N135" s="1307" t="n"/>
      <c r="O135" s="1307" t="n"/>
      <c r="P135" s="1308" t="n"/>
      <c r="Q135" s="1307" t="n"/>
      <c r="R135" s="1307" t="n"/>
      <c r="S135" s="368" t="n"/>
      <c r="T135" s="368" t="n"/>
      <c r="U135" s="367" t="n"/>
    </row>
    <row r="136" ht="15" customFormat="1" customHeight="1" s="265">
      <c r="A136" s="364" t="n"/>
      <c r="B136" s="365" t="n"/>
      <c r="C136" s="366" t="n"/>
      <c r="D136" s="367" t="n"/>
      <c r="E136" s="367" t="n"/>
      <c r="F136" s="367" t="n"/>
      <c r="G136" s="368" t="n"/>
      <c r="H136" s="368" t="n"/>
      <c r="I136" s="1307" t="n"/>
      <c r="J136" s="1307" t="n"/>
      <c r="K136" s="1307" t="n"/>
      <c r="L136" s="1307" t="n"/>
      <c r="M136" s="1307" t="n"/>
      <c r="N136" s="1307" t="n"/>
      <c r="O136" s="1307" t="n"/>
      <c r="P136" s="1308" t="n"/>
      <c r="Q136" s="1307" t="n"/>
      <c r="R136" s="1307" t="n"/>
      <c r="S136" s="368" t="n"/>
      <c r="T136" s="368" t="n"/>
      <c r="U136" s="367" t="n"/>
    </row>
    <row r="137" ht="15" customFormat="1" customHeight="1" s="265">
      <c r="A137" s="364" t="n"/>
      <c r="B137" s="365" t="n"/>
      <c r="C137" s="366" t="n"/>
      <c r="D137" s="367" t="n"/>
      <c r="E137" s="367" t="n"/>
      <c r="F137" s="367" t="n"/>
      <c r="G137" s="368" t="n"/>
      <c r="H137" s="368" t="n"/>
      <c r="I137" s="1307" t="n"/>
      <c r="J137" s="1307" t="n"/>
      <c r="K137" s="1307" t="n"/>
      <c r="L137" s="1307" t="n"/>
      <c r="M137" s="1307" t="n"/>
      <c r="N137" s="1307" t="n"/>
      <c r="O137" s="1307" t="n"/>
      <c r="P137" s="1308" t="n"/>
      <c r="Q137" s="1307" t="n"/>
      <c r="R137" s="1307" t="n"/>
      <c r="S137" s="368" t="n"/>
      <c r="T137" s="368" t="n"/>
      <c r="U137" s="367" t="n"/>
    </row>
    <row r="138" ht="15" customFormat="1" customHeight="1" s="265">
      <c r="A138" s="364" t="n"/>
      <c r="B138" s="365" t="n"/>
      <c r="C138" s="366" t="n"/>
      <c r="D138" s="367" t="n"/>
      <c r="E138" s="367" t="n"/>
      <c r="F138" s="367" t="n"/>
      <c r="G138" s="368" t="n"/>
      <c r="H138" s="368" t="n"/>
      <c r="I138" s="1307" t="n"/>
      <c r="J138" s="1307" t="n"/>
      <c r="K138" s="1307" t="n"/>
      <c r="L138" s="1307" t="n"/>
      <c r="M138" s="1307" t="n"/>
      <c r="N138" s="1307" t="n"/>
      <c r="O138" s="1307" t="n"/>
      <c r="P138" s="1308" t="n"/>
      <c r="Q138" s="1307" t="n"/>
      <c r="R138" s="1307" t="n"/>
      <c r="S138" s="368" t="n"/>
      <c r="T138" s="368" t="n"/>
      <c r="U138" s="367" t="n"/>
    </row>
    <row r="139" ht="15" customFormat="1" customHeight="1" s="265">
      <c r="A139" s="364" t="n"/>
      <c r="B139" s="365" t="n"/>
      <c r="C139" s="366" t="n"/>
      <c r="D139" s="367" t="n"/>
      <c r="E139" s="367" t="n"/>
      <c r="F139" s="367" t="n"/>
      <c r="G139" s="368" t="n"/>
      <c r="H139" s="368" t="n"/>
      <c r="I139" s="1307" t="n"/>
      <c r="J139" s="1307" t="n"/>
      <c r="K139" s="1307" t="n"/>
      <c r="L139" s="1307" t="n"/>
      <c r="M139" s="1307" t="n"/>
      <c r="N139" s="1307" t="n"/>
      <c r="O139" s="1307" t="n"/>
      <c r="P139" s="1308" t="n"/>
      <c r="Q139" s="1307" t="n"/>
      <c r="R139" s="1307" t="n"/>
      <c r="S139" s="368" t="n"/>
      <c r="T139" s="368" t="n"/>
      <c r="U139" s="367" t="n"/>
    </row>
    <row r="140" ht="15" customFormat="1" customHeight="1" s="265">
      <c r="A140" s="364" t="n"/>
      <c r="B140" s="365" t="n"/>
      <c r="C140" s="366" t="n"/>
      <c r="D140" s="367" t="n"/>
      <c r="E140" s="367" t="n"/>
      <c r="F140" s="367" t="n"/>
      <c r="G140" s="368" t="n"/>
      <c r="H140" s="368" t="n"/>
      <c r="I140" s="1307" t="n"/>
      <c r="J140" s="1307" t="n"/>
      <c r="K140" s="1307" t="n"/>
      <c r="L140" s="1307" t="n"/>
      <c r="M140" s="1307" t="n"/>
      <c r="N140" s="1307" t="n"/>
      <c r="O140" s="1307" t="n"/>
      <c r="P140" s="1308" t="n"/>
      <c r="Q140" s="1307" t="n"/>
      <c r="R140" s="1307" t="n"/>
      <c r="S140" s="368" t="n"/>
      <c r="T140" s="368" t="n"/>
      <c r="U140" s="367" t="n"/>
    </row>
    <row r="141" ht="15" customFormat="1" customHeight="1" s="265">
      <c r="A141" s="364" t="n"/>
      <c r="B141" s="365" t="n"/>
      <c r="C141" s="366" t="n"/>
      <c r="D141" s="367" t="n"/>
      <c r="E141" s="367" t="n"/>
      <c r="F141" s="367" t="n"/>
      <c r="G141" s="368" t="n"/>
      <c r="H141" s="368" t="n"/>
      <c r="I141" s="1307" t="n"/>
      <c r="J141" s="1307" t="n"/>
      <c r="K141" s="1307" t="n"/>
      <c r="L141" s="1307" t="n"/>
      <c r="M141" s="1307" t="n"/>
      <c r="N141" s="1307" t="n"/>
      <c r="O141" s="1307" t="n"/>
      <c r="P141" s="1308" t="n"/>
      <c r="Q141" s="1307" t="n"/>
      <c r="R141" s="1307" t="n"/>
      <c r="S141" s="368" t="n"/>
      <c r="T141" s="368" t="n"/>
      <c r="U141" s="367" t="n"/>
    </row>
    <row r="142" ht="15" customFormat="1" customHeight="1" s="265">
      <c r="A142" s="364" t="n"/>
      <c r="B142" s="365" t="n"/>
      <c r="C142" s="366" t="n"/>
      <c r="D142" s="367" t="n"/>
      <c r="E142" s="367" t="n"/>
      <c r="F142" s="367" t="n"/>
      <c r="G142" s="368" t="n"/>
      <c r="H142" s="368" t="n"/>
      <c r="I142" s="1307" t="n"/>
      <c r="J142" s="1307" t="n"/>
      <c r="K142" s="1307" t="n"/>
      <c r="L142" s="1307" t="n"/>
      <c r="M142" s="1307" t="n"/>
      <c r="N142" s="1307" t="n"/>
      <c r="O142" s="1307" t="n"/>
      <c r="P142" s="1308" t="n"/>
      <c r="Q142" s="1307" t="n"/>
      <c r="R142" s="1307" t="n"/>
      <c r="S142" s="368" t="n"/>
      <c r="T142" s="368" t="n"/>
      <c r="U142" s="367" t="n"/>
    </row>
    <row r="143" ht="15" customFormat="1" customHeight="1" s="265">
      <c r="A143" s="364" t="n"/>
      <c r="B143" s="365" t="n"/>
      <c r="C143" s="366" t="n"/>
      <c r="D143" s="367" t="n"/>
      <c r="E143" s="367" t="n"/>
      <c r="F143" s="367" t="n"/>
      <c r="G143" s="368" t="n"/>
      <c r="H143" s="368" t="n"/>
      <c r="I143" s="1307" t="n"/>
      <c r="J143" s="1307" t="n"/>
      <c r="K143" s="1307" t="n"/>
      <c r="L143" s="1307" t="n"/>
      <c r="M143" s="1307" t="n"/>
      <c r="N143" s="1307" t="n"/>
      <c r="O143" s="1307" t="n"/>
      <c r="P143" s="1308" t="n"/>
      <c r="Q143" s="1307" t="n"/>
      <c r="R143" s="1307" t="n"/>
      <c r="S143" s="368" t="n"/>
      <c r="T143" s="368" t="n"/>
      <c r="U143" s="367" t="n"/>
    </row>
    <row r="144" ht="15" customFormat="1" customHeight="1" s="265">
      <c r="A144" s="364" t="n"/>
      <c r="B144" s="365" t="n"/>
      <c r="C144" s="366" t="n"/>
      <c r="D144" s="367" t="n"/>
      <c r="E144" s="367" t="n"/>
      <c r="F144" s="367" t="n"/>
      <c r="G144" s="368" t="n"/>
      <c r="H144" s="368" t="n"/>
      <c r="I144" s="1307" t="n"/>
      <c r="J144" s="1307" t="n"/>
      <c r="K144" s="1307" t="n"/>
      <c r="L144" s="1307" t="n"/>
      <c r="M144" s="1307" t="n"/>
      <c r="N144" s="1307" t="n"/>
      <c r="O144" s="1307" t="n"/>
      <c r="P144" s="1308" t="n"/>
      <c r="Q144" s="1307" t="n"/>
      <c r="R144" s="1307" t="n"/>
      <c r="S144" s="368" t="n"/>
      <c r="T144" s="368" t="n"/>
      <c r="U144" s="367" t="n"/>
    </row>
    <row r="145" ht="15" customFormat="1" customHeight="1" s="265">
      <c r="A145" s="364" t="n"/>
      <c r="B145" s="365" t="n"/>
      <c r="C145" s="366" t="n"/>
      <c r="D145" s="367" t="n"/>
      <c r="E145" s="367" t="n"/>
      <c r="F145" s="367" t="n"/>
      <c r="G145" s="368" t="n"/>
      <c r="H145" s="368" t="n"/>
      <c r="I145" s="1307" t="n"/>
      <c r="J145" s="1307" t="n"/>
      <c r="K145" s="1307" t="n"/>
      <c r="L145" s="1307" t="n"/>
      <c r="M145" s="1307" t="n"/>
      <c r="N145" s="1307" t="n"/>
      <c r="O145" s="1307" t="n"/>
      <c r="P145" s="1308" t="n"/>
      <c r="Q145" s="1307" t="n"/>
      <c r="R145" s="1307" t="n"/>
      <c r="S145" s="368" t="n"/>
      <c r="T145" s="368" t="n"/>
      <c r="U145" s="367" t="n"/>
    </row>
    <row r="146">
      <c r="A146" s="226" t="n"/>
      <c r="U146" s="497" t="n"/>
    </row>
  </sheetData>
  <mergeCells count="11">
    <mergeCell ref="K1:U7"/>
    <mergeCell ref="I4:J4"/>
    <mergeCell ref="D3:G3"/>
    <mergeCell ref="I6:J6"/>
    <mergeCell ref="I7:J7"/>
    <mergeCell ref="I5:J5"/>
    <mergeCell ref="D1:J1"/>
    <mergeCell ref="D5:G5"/>
    <mergeCell ref="H3:J3"/>
    <mergeCell ref="D6:G7"/>
    <mergeCell ref="D4:G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1565C0"/>
    <outlinePr summaryBelow="1" summaryRight="1"/>
    <pageSetUpPr/>
  </sheetPr>
  <dimension ref="A1:I176"/>
  <sheetViews>
    <sheetView topLeftCell="A152" zoomScale="89" zoomScaleNormal="89" workbookViewId="0">
      <selection activeCell="H175" sqref="H175"/>
    </sheetView>
  </sheetViews>
  <sheetFormatPr baseColWidth="10" defaultColWidth="8.88671875" defaultRowHeight="14.4"/>
  <cols>
    <col width="15.77734375" customWidth="1" style="1062" min="1" max="1"/>
    <col width="26" customWidth="1" style="1062" min="2" max="2"/>
    <col width="25.77734375" customWidth="1" style="1062" min="3" max="3"/>
    <col width="40" customWidth="1" style="1062" min="4" max="4"/>
    <col width="15.77734375" customWidth="1" style="600" min="5" max="5"/>
    <col width="15.77734375" customWidth="1" style="1062" min="6" max="8"/>
  </cols>
  <sheetData>
    <row r="1" ht="40.05" customFormat="1" customHeight="1" s="665">
      <c r="A1" s="672" t="n"/>
      <c r="C1" s="585" t="inlineStr">
        <is>
          <t>CATÁLOGO MAESTRO DE ACTIVIDADES</t>
        </is>
      </c>
    </row>
    <row r="2" ht="4.95" customFormat="1" customHeight="1" s="665">
      <c r="C2" s="685" t="n"/>
      <c r="D2" s="685" t="n"/>
      <c r="E2" s="685" t="n"/>
      <c r="F2" s="685" t="n"/>
      <c r="G2" s="685" t="n"/>
      <c r="H2" s="685" t="n"/>
    </row>
    <row r="3" ht="15" customHeight="1" s="1062">
      <c r="C3" s="594" t="n"/>
      <c r="E3" s="554" t="n"/>
      <c r="F3" s="664" t="inlineStr">
        <is>
          <t>CONTROL DOCUMENTAL</t>
        </is>
      </c>
    </row>
    <row r="4" ht="15" customHeight="1" s="1062">
      <c r="C4" s="594" t="inlineStr">
        <is>
          <t>REFORMAS Y REMODELACIONES</t>
        </is>
      </c>
      <c r="E4" s="554" t="n"/>
      <c r="F4" s="262" t="inlineStr">
        <is>
          <t>Código</t>
        </is>
      </c>
      <c r="G4" s="667" t="inlineStr">
        <is>
          <t>RYR-CO-002</t>
        </is>
      </c>
    </row>
    <row r="5" ht="15" customHeight="1" s="1062">
      <c r="C5" s="670" t="inlineStr">
        <is>
          <t>DISEÑAMOS, RENOVAMOS Y CONSTRUIMOS ESPACIOS QUE INSPIRAN</t>
        </is>
      </c>
      <c r="E5" s="554" t="n"/>
      <c r="F5" s="260" t="inlineStr">
        <is>
          <t>Versión</t>
        </is>
      </c>
      <c r="G5" s="667" t="n">
        <v>1</v>
      </c>
    </row>
    <row r="6" ht="15" customHeight="1" s="1062">
      <c r="C6" s="670" t="n"/>
      <c r="E6" s="554" t="n"/>
      <c r="F6" s="260" t="inlineStr">
        <is>
          <t>Fecha de Emisión</t>
        </is>
      </c>
      <c r="G6" s="667" t="inlineStr">
        <is>
          <t>10/09/2026</t>
        </is>
      </c>
    </row>
    <row r="7" ht="15" customHeight="1" s="1062">
      <c r="C7" s="670" t="n"/>
      <c r="E7" s="554" t="n"/>
      <c r="F7" s="261" t="inlineStr">
        <is>
          <t>Página</t>
        </is>
      </c>
      <c r="G7" s="667" t="inlineStr">
        <is>
          <t>1 de 1</t>
        </is>
      </c>
    </row>
    <row r="8" ht="15" customFormat="1" customHeight="1" s="669">
      <c r="A8" s="668" t="inlineStr">
        <is>
          <t>CATÁLOGO MAESTRO DE ACTIVIDADES — REFORMAS Y REMODELACIONES</t>
        </is>
      </c>
      <c r="I8" s="628" t="n"/>
    </row>
    <row r="9" ht="15" customFormat="1" customHeight="1" s="666">
      <c r="A9" s="266" t="n"/>
      <c r="B9" s="266" t="n"/>
      <c r="C9" s="266" t="n"/>
      <c r="D9" s="266" t="n"/>
      <c r="E9" s="267" t="n"/>
      <c r="F9" s="266" t="n"/>
    </row>
    <row r="10" ht="15" customFormat="1" customHeight="1" s="669">
      <c r="A10" s="671" t="inlineStr">
        <is>
          <t>CÓD. ACTIVIDAD</t>
        </is>
      </c>
      <c r="B10" s="671" t="inlineStr">
        <is>
          <t>SUBCAPÍTULO</t>
        </is>
      </c>
      <c r="C10" s="671" t="inlineStr">
        <is>
          <t>GRUPO</t>
        </is>
      </c>
      <c r="D10" s="671" t="inlineStr">
        <is>
          <t>ACTIVIDAD ESPECÍFICA</t>
        </is>
      </c>
      <c r="E10" s="671" t="inlineStr">
        <is>
          <t>UNIDAD</t>
        </is>
      </c>
      <c r="F10" s="671" t="inlineStr">
        <is>
          <t>MÉTODO SUGERIDO</t>
        </is>
      </c>
    </row>
    <row r="11" ht="15" customFormat="1" customHeight="1" s="268">
      <c r="A11" s="1309" t="inlineStr">
        <is>
          <t>01  |  PRELIMINARES</t>
        </is>
      </c>
      <c r="B11" s="545" t="n"/>
      <c r="C11" s="545" t="n"/>
      <c r="D11" s="545" t="n"/>
      <c r="E11" s="545" t="n"/>
      <c r="F11" s="545" t="n"/>
      <c r="G11" s="545" t="n"/>
      <c r="H11" s="1023" t="n"/>
    </row>
    <row r="12" ht="15" customFormat="1" customHeight="1" s="268">
      <c r="A12" s="500" t="inlineStr">
        <is>
          <t>01.01.01</t>
        </is>
      </c>
      <c r="B12" s="501" t="inlineStr">
        <is>
          <t>Preliminares generales</t>
        </is>
      </c>
      <c r="C12" s="501" t="inlineStr">
        <is>
          <t>Localización y replanteo</t>
        </is>
      </c>
      <c r="D12" s="501" t="inlineStr">
        <is>
          <t>Replanteo general de ejes y niveles</t>
        </is>
      </c>
      <c r="E12" s="502" t="inlineStr">
        <is>
          <t>ml</t>
        </is>
      </c>
      <c r="F12" s="501" t="inlineStr">
        <is>
          <t>Longitud × N° elementos × repeticiones − deducciones</t>
        </is>
      </c>
      <c r="G12" s="662" t="n"/>
      <c r="H12" s="663" t="n"/>
    </row>
    <row r="13" ht="15" customFormat="1" customHeight="1" s="268">
      <c r="A13" s="500" t="inlineStr">
        <is>
          <t>01.01.02</t>
        </is>
      </c>
      <c r="B13" s="501" t="inlineStr">
        <is>
          <t>Preliminares generales</t>
        </is>
      </c>
      <c r="C13" s="501" t="inlineStr">
        <is>
          <t>Cerramiento provisional</t>
        </is>
      </c>
      <c r="D13" s="501" t="inlineStr">
        <is>
          <t>Cerramiento provisional de obra</t>
        </is>
      </c>
      <c r="E13" s="502" t="inlineStr">
        <is>
          <t>ml</t>
        </is>
      </c>
      <c r="F13" s="501" t="inlineStr">
        <is>
          <t>Longitud × N° elementos × repeticiones − deducciones</t>
        </is>
      </c>
      <c r="G13" s="662" t="n"/>
      <c r="H13" s="663" t="n"/>
    </row>
    <row r="14" ht="15" customFormat="1" customHeight="1" s="268">
      <c r="A14" s="500" t="inlineStr">
        <is>
          <t>01.01.03</t>
        </is>
      </c>
      <c r="B14" s="501" t="inlineStr">
        <is>
          <t>Preliminares generales</t>
        </is>
      </c>
      <c r="C14" s="501" t="inlineStr">
        <is>
          <t>Campamento</t>
        </is>
      </c>
      <c r="D14" s="501" t="inlineStr">
        <is>
          <t>Instalación de campamento y oficinas provisionales</t>
        </is>
      </c>
      <c r="E14" s="502" t="inlineStr">
        <is>
          <t>m²</t>
        </is>
      </c>
      <c r="F14" s="501" t="inlineStr">
        <is>
          <t>Largo × Ancho × N° elementos × repeticiones − deducciones</t>
        </is>
      </c>
      <c r="G14" s="662" t="n"/>
      <c r="H14" s="663" t="n"/>
    </row>
    <row r="15" ht="15" customFormat="1" customHeight="1" s="268">
      <c r="A15" s="500" t="inlineStr">
        <is>
          <t>01.01.04</t>
        </is>
      </c>
      <c r="B15" s="501" t="inlineStr">
        <is>
          <t>Preliminares generales</t>
        </is>
      </c>
      <c r="C15" s="501" t="inlineStr">
        <is>
          <t>Almacenamiento</t>
        </is>
      </c>
      <c r="D15" s="501" t="inlineStr">
        <is>
          <t>Adecuación de área de almacenamiento</t>
        </is>
      </c>
      <c r="E15" s="502" t="inlineStr">
        <is>
          <t>m²</t>
        </is>
      </c>
      <c r="F15" s="501" t="inlineStr">
        <is>
          <t>Largo × Ancho × N° elementos × repeticiones − deducciones</t>
        </is>
      </c>
      <c r="G15" s="662" t="n"/>
      <c r="H15" s="663" t="n"/>
    </row>
    <row r="16" ht="15" customFormat="1" customHeight="1" s="268">
      <c r="A16" s="500" t="inlineStr">
        <is>
          <t>01.01.05</t>
        </is>
      </c>
      <c r="B16" s="501" t="inlineStr">
        <is>
          <t>Preliminares generales</t>
        </is>
      </c>
      <c r="C16" s="501" t="inlineStr">
        <is>
          <t>Señalización</t>
        </is>
      </c>
      <c r="D16" s="501" t="inlineStr">
        <is>
          <t>Señalización preventiva e informativa de obra</t>
        </is>
      </c>
      <c r="E16" s="502" t="inlineStr">
        <is>
          <t>und</t>
        </is>
      </c>
      <c r="F16" s="501" t="inlineStr">
        <is>
          <t>N° elementos × repeticiones − deducciones</t>
        </is>
      </c>
      <c r="G16" s="662" t="n"/>
      <c r="H16" s="663" t="n"/>
    </row>
    <row r="17" ht="15" customFormat="1" customHeight="1" s="268">
      <c r="A17" s="500" t="inlineStr">
        <is>
          <t>01.01.06</t>
        </is>
      </c>
      <c r="B17" s="501" t="inlineStr">
        <is>
          <t>Preliminares generales</t>
        </is>
      </c>
      <c r="C17" s="501" t="inlineStr">
        <is>
          <t>Servicios provisionales</t>
        </is>
      </c>
      <c r="D17" s="501" t="inlineStr">
        <is>
          <t>Instalaciones provisionales de agua y energía</t>
        </is>
      </c>
      <c r="E17" s="502" t="inlineStr">
        <is>
          <t>gl</t>
        </is>
      </c>
      <c r="F17" s="501" t="inlineStr">
        <is>
          <t>Según alcance contractual / presupuesto</t>
        </is>
      </c>
      <c r="G17" s="662" t="n"/>
      <c r="H17" s="663" t="n"/>
    </row>
    <row r="18" ht="15" customFormat="1" customHeight="1" s="268">
      <c r="A18" s="500" t="inlineStr">
        <is>
          <t>01.01.07</t>
        </is>
      </c>
      <c r="B18" s="501" t="inlineStr">
        <is>
          <t>Preliminares generales</t>
        </is>
      </c>
      <c r="C18" s="501" t="inlineStr">
        <is>
          <t>Protecciones</t>
        </is>
      </c>
      <c r="D18" s="501" t="inlineStr">
        <is>
          <t>Protección de elementos existentes</t>
        </is>
      </c>
      <c r="E18" s="502" t="inlineStr">
        <is>
          <t>m²</t>
        </is>
      </c>
      <c r="F18" s="501" t="inlineStr">
        <is>
          <t>Largo × Ancho × N° elementos × repeticiones − deducciones</t>
        </is>
      </c>
      <c r="G18" s="662" t="n"/>
      <c r="H18" s="663" t="n"/>
    </row>
    <row r="19" ht="15" customFormat="1" customHeight="1" s="268">
      <c r="A19" s="500" t="inlineStr">
        <is>
          <t>01.01.08</t>
        </is>
      </c>
      <c r="B19" s="501" t="inlineStr">
        <is>
          <t>Preliminares generales</t>
        </is>
      </c>
      <c r="C19" s="501" t="inlineStr">
        <is>
          <t>Desmonte</t>
        </is>
      </c>
      <c r="D19" s="501" t="inlineStr">
        <is>
          <t>Desmonte y limpieza inicial</t>
        </is>
      </c>
      <c r="E19" s="502" t="inlineStr">
        <is>
          <t>m²</t>
        </is>
      </c>
      <c r="F19" s="501" t="inlineStr">
        <is>
          <t>Largo × Ancho × N° elementos × repeticiones − deducciones</t>
        </is>
      </c>
      <c r="G19" s="662" t="n"/>
      <c r="H19" s="663" t="n"/>
    </row>
    <row r="20" ht="15" customFormat="1" customHeight="1" s="268">
      <c r="A20" s="500" t="inlineStr">
        <is>
          <t>01.01.09</t>
        </is>
      </c>
      <c r="B20" s="501" t="inlineStr">
        <is>
          <t>Preliminares generales</t>
        </is>
      </c>
      <c r="C20" s="501" t="inlineStr">
        <is>
          <t>Demoliciones</t>
        </is>
      </c>
      <c r="D20" s="501" t="inlineStr">
        <is>
          <t>Demoliciones preliminares</t>
        </is>
      </c>
      <c r="E20" s="502" t="inlineStr">
        <is>
          <t>m³</t>
        </is>
      </c>
      <c r="F20" s="501" t="inlineStr">
        <is>
          <t>Largo × Ancho × Alto/Prof. × N° elementos × repeticiones − deducciones</t>
        </is>
      </c>
      <c r="G20" s="662" t="n"/>
      <c r="H20" s="663" t="n"/>
    </row>
    <row r="21" ht="15" customFormat="1" customHeight="1" s="268">
      <c r="A21" s="1309" t="inlineStr">
        <is>
          <t>02  |  MOVIMIENTO DE TIERRAS</t>
        </is>
      </c>
      <c r="B21" s="545" t="n"/>
      <c r="C21" s="545" t="n"/>
      <c r="D21" s="545" t="n"/>
      <c r="E21" s="545" t="n"/>
      <c r="F21" s="545" t="n"/>
      <c r="G21" s="545" t="n"/>
      <c r="H21" s="1023" t="n"/>
    </row>
    <row r="22" ht="15" customFormat="1" customHeight="1" s="268">
      <c r="A22" s="500" t="inlineStr">
        <is>
          <t>02.01.01</t>
        </is>
      </c>
      <c r="B22" s="501" t="inlineStr">
        <is>
          <t>Excavaciones</t>
        </is>
      </c>
      <c r="C22" s="501" t="inlineStr">
        <is>
          <t>Excavación manual</t>
        </is>
      </c>
      <c r="D22" s="501" t="inlineStr">
        <is>
          <t>Excavación manual en material común</t>
        </is>
      </c>
      <c r="E22" s="502" t="inlineStr">
        <is>
          <t>m³</t>
        </is>
      </c>
      <c r="F22" s="501" t="inlineStr">
        <is>
          <t>Largo × Ancho × Alto/Prof. × N° elementos × repeticiones − deducciones</t>
        </is>
      </c>
      <c r="G22" s="662" t="n"/>
      <c r="H22" s="663" t="n"/>
    </row>
    <row r="23" ht="15" customFormat="1" customHeight="1" s="268">
      <c r="A23" s="500" t="inlineStr">
        <is>
          <t>02.01.02</t>
        </is>
      </c>
      <c r="B23" s="501" t="inlineStr">
        <is>
          <t>Excavaciones</t>
        </is>
      </c>
      <c r="C23" s="501" t="inlineStr">
        <is>
          <t>Excavación mecánica</t>
        </is>
      </c>
      <c r="D23" s="501" t="inlineStr">
        <is>
          <t>Excavación mecánica</t>
        </is>
      </c>
      <c r="E23" s="502" t="inlineStr">
        <is>
          <t>m³</t>
        </is>
      </c>
      <c r="F23" s="501" t="inlineStr">
        <is>
          <t>Largo × Ancho × Alto/Prof. × N° elementos × repeticiones − deducciones</t>
        </is>
      </c>
      <c r="G23" s="662" t="n"/>
      <c r="H23" s="663" t="n"/>
    </row>
    <row r="24" ht="15" customFormat="1" customHeight="1" s="268">
      <c r="A24" s="500" t="inlineStr">
        <is>
          <t>02.01.03</t>
        </is>
      </c>
      <c r="B24" s="501" t="inlineStr">
        <is>
          <t>Excavaciones</t>
        </is>
      </c>
      <c r="C24" s="501" t="inlineStr">
        <is>
          <t>Excavación en roca</t>
        </is>
      </c>
      <c r="D24" s="501" t="inlineStr">
        <is>
          <t>Excavación en roca</t>
        </is>
      </c>
      <c r="E24" s="502" t="inlineStr">
        <is>
          <t>m³</t>
        </is>
      </c>
      <c r="F24" s="501" t="inlineStr">
        <is>
          <t>Largo × Ancho × Alto/Prof. × N° elementos × repeticiones − deducciones</t>
        </is>
      </c>
      <c r="G24" s="662" t="n"/>
      <c r="H24" s="663" t="n"/>
    </row>
    <row r="25" ht="15" customFormat="1" customHeight="1" s="268">
      <c r="A25" s="500" t="inlineStr">
        <is>
          <t>02.01.04</t>
        </is>
      </c>
      <c r="B25" s="501" t="inlineStr">
        <is>
          <t>Excavaciones</t>
        </is>
      </c>
      <c r="C25" s="501" t="inlineStr">
        <is>
          <t>Perfilado</t>
        </is>
      </c>
      <c r="D25" s="501" t="inlineStr">
        <is>
          <t>Perfilado y conformación de excavaciones</t>
        </is>
      </c>
      <c r="E25" s="502" t="inlineStr">
        <is>
          <t>m²</t>
        </is>
      </c>
      <c r="F25" s="501" t="inlineStr">
        <is>
          <t>Largo × Ancho × N° elementos × repeticiones − deducciones</t>
        </is>
      </c>
      <c r="G25" s="662" t="n"/>
      <c r="H25" s="663" t="n"/>
    </row>
    <row r="26" ht="15" customFormat="1" customHeight="1" s="268">
      <c r="A26" s="500" t="inlineStr">
        <is>
          <t>02.02.01</t>
        </is>
      </c>
      <c r="B26" s="501" t="inlineStr">
        <is>
          <t>Rellenos</t>
        </is>
      </c>
      <c r="C26" s="501" t="inlineStr">
        <is>
          <t>Relleno seleccionado</t>
        </is>
      </c>
      <c r="D26" s="501" t="inlineStr">
        <is>
          <t>Relleno con material seleccionado compactado</t>
        </is>
      </c>
      <c r="E26" s="502" t="inlineStr">
        <is>
          <t>m³</t>
        </is>
      </c>
      <c r="F26" s="501" t="inlineStr">
        <is>
          <t>Largo × Ancho × Alto/Prof. × N° elementos × repeticiones − deducciones</t>
        </is>
      </c>
      <c r="G26" s="662" t="n"/>
      <c r="H26" s="663" t="n"/>
    </row>
    <row r="27" ht="15" customFormat="1" customHeight="1" s="268">
      <c r="A27" s="500" t="inlineStr">
        <is>
          <t>02.02.02</t>
        </is>
      </c>
      <c r="B27" s="501" t="inlineStr">
        <is>
          <t>Rellenos</t>
        </is>
      </c>
      <c r="C27" s="501" t="inlineStr">
        <is>
          <t>Relleno material excavación</t>
        </is>
      </c>
      <c r="D27" s="501" t="inlineStr">
        <is>
          <t>Relleno con material proveniente de excavación</t>
        </is>
      </c>
      <c r="E27" s="502" t="inlineStr">
        <is>
          <t>m³</t>
        </is>
      </c>
      <c r="F27" s="501" t="inlineStr">
        <is>
          <t>Largo × Ancho × Alto/Prof. × N° elementos × repeticiones − deducciones</t>
        </is>
      </c>
      <c r="G27" s="662" t="n"/>
      <c r="H27" s="663" t="n"/>
    </row>
    <row r="28" ht="15" customFormat="1" customHeight="1" s="268">
      <c r="A28" s="500" t="inlineStr">
        <is>
          <t>02.02.03</t>
        </is>
      </c>
      <c r="B28" s="501" t="inlineStr">
        <is>
          <t>Rellenos</t>
        </is>
      </c>
      <c r="C28" s="501" t="inlineStr">
        <is>
          <t>Subbase</t>
        </is>
      </c>
      <c r="D28" s="501" t="inlineStr">
        <is>
          <t>Suministro, extendido y compactación de subbase</t>
        </is>
      </c>
      <c r="E28" s="502" t="inlineStr">
        <is>
          <t>m³</t>
        </is>
      </c>
      <c r="F28" s="501" t="inlineStr">
        <is>
          <t>Largo × Ancho × Alto/Prof. × N° elementos × repeticiones − deducciones</t>
        </is>
      </c>
      <c r="G28" s="662" t="n"/>
      <c r="H28" s="663" t="n"/>
    </row>
    <row r="29" ht="15" customFormat="1" customHeight="1" s="268">
      <c r="A29" s="500" t="inlineStr">
        <is>
          <t>02.02.04</t>
        </is>
      </c>
      <c r="B29" s="501" t="inlineStr">
        <is>
          <t>Rellenos</t>
        </is>
      </c>
      <c r="C29" s="501" t="inlineStr">
        <is>
          <t>Base granular</t>
        </is>
      </c>
      <c r="D29" s="501" t="inlineStr">
        <is>
          <t>Suministro, extendido y compactación de base granular</t>
        </is>
      </c>
      <c r="E29" s="502" t="inlineStr">
        <is>
          <t>m³</t>
        </is>
      </c>
      <c r="F29" s="501" t="inlineStr">
        <is>
          <t>Largo × Ancho × Alto/Prof. × N° elementos × repeticiones − deducciones</t>
        </is>
      </c>
      <c r="G29" s="662" t="n"/>
      <c r="H29" s="663" t="n"/>
    </row>
    <row r="30" ht="15" customFormat="1" customHeight="1" s="268">
      <c r="A30" s="500" t="inlineStr">
        <is>
          <t>02.03.01</t>
        </is>
      </c>
      <c r="B30" s="501" t="inlineStr">
        <is>
          <t>Retiro</t>
        </is>
      </c>
      <c r="C30" s="501" t="inlineStr">
        <is>
          <t>Cargue</t>
        </is>
      </c>
      <c r="D30" s="501" t="inlineStr">
        <is>
          <t>Cargue de material sobrante</t>
        </is>
      </c>
      <c r="E30" s="502" t="inlineStr">
        <is>
          <t>m³</t>
        </is>
      </c>
      <c r="F30" s="501" t="inlineStr">
        <is>
          <t>Largo × Ancho × Alto/Prof. × N° elementos × repeticiones − deducciones</t>
        </is>
      </c>
      <c r="G30" s="662" t="n"/>
      <c r="H30" s="663" t="n"/>
    </row>
    <row r="31" ht="15" customFormat="1" customHeight="1" s="268">
      <c r="A31" s="500" t="inlineStr">
        <is>
          <t>02.03.02</t>
        </is>
      </c>
      <c r="B31" s="501" t="inlineStr">
        <is>
          <t>Retiro</t>
        </is>
      </c>
      <c r="C31" s="501" t="inlineStr">
        <is>
          <t>Transporte</t>
        </is>
      </c>
      <c r="D31" s="501" t="inlineStr">
        <is>
          <t>Transporte de material sobrante</t>
        </is>
      </c>
      <c r="E31" s="502" t="inlineStr">
        <is>
          <t>m³</t>
        </is>
      </c>
      <c r="F31" s="501" t="inlineStr">
        <is>
          <t>Largo × Ancho × Alto/Prof. × N° elementos × repeticiones − deducciones</t>
        </is>
      </c>
      <c r="G31" s="662" t="n"/>
      <c r="H31" s="663" t="n"/>
    </row>
    <row r="32" ht="15" customFormat="1" customHeight="1" s="268">
      <c r="A32" s="500" t="inlineStr">
        <is>
          <t>02.03.03</t>
        </is>
      </c>
      <c r="B32" s="501" t="inlineStr">
        <is>
          <t>Retiro</t>
        </is>
      </c>
      <c r="C32" s="501" t="inlineStr">
        <is>
          <t>Disposición</t>
        </is>
      </c>
      <c r="D32" s="501" t="inlineStr">
        <is>
          <t>Disposición final de sobrantes</t>
        </is>
      </c>
      <c r="E32" s="502" t="inlineStr">
        <is>
          <t>m³</t>
        </is>
      </c>
      <c r="F32" s="501" t="inlineStr">
        <is>
          <t>Largo × Ancho × Alto/Prof. × N° elementos × repeticiones − deducciones</t>
        </is>
      </c>
      <c r="G32" s="662" t="n"/>
      <c r="H32" s="663" t="n"/>
    </row>
    <row r="33" ht="15" customFormat="1" customHeight="1" s="268">
      <c r="A33" s="1309" t="inlineStr">
        <is>
          <t>03  |  CIMENTACIONES</t>
        </is>
      </c>
      <c r="B33" s="545" t="n"/>
      <c r="C33" s="545" t="n"/>
      <c r="D33" s="545" t="n"/>
      <c r="E33" s="545" t="n"/>
      <c r="F33" s="545" t="n"/>
      <c r="G33" s="545" t="n"/>
      <c r="H33" s="1023" t="n"/>
    </row>
    <row r="34" ht="15" customFormat="1" customHeight="1" s="268">
      <c r="A34" s="500" t="inlineStr">
        <is>
          <t>03.01.01</t>
        </is>
      </c>
      <c r="B34" s="501" t="inlineStr">
        <is>
          <t>Concreto</t>
        </is>
      </c>
      <c r="C34" s="501" t="inlineStr">
        <is>
          <t>Solados</t>
        </is>
      </c>
      <c r="D34" s="501" t="inlineStr">
        <is>
          <t>Concreto de limpieza / solado</t>
        </is>
      </c>
      <c r="E34" s="502" t="inlineStr">
        <is>
          <t>m³</t>
        </is>
      </c>
      <c r="F34" s="501" t="inlineStr">
        <is>
          <t>Largo × Ancho × Alto/Prof. × N° elementos × repeticiones − deducciones</t>
        </is>
      </c>
      <c r="G34" s="662" t="n"/>
      <c r="H34" s="663" t="n"/>
    </row>
    <row r="35" ht="15" customFormat="1" customHeight="1" s="268">
      <c r="A35" s="500" t="inlineStr">
        <is>
          <t>03.01.02</t>
        </is>
      </c>
      <c r="B35" s="501" t="inlineStr">
        <is>
          <t>Concreto</t>
        </is>
      </c>
      <c r="C35" s="501" t="inlineStr">
        <is>
          <t>Zapatas</t>
        </is>
      </c>
      <c r="D35" s="501" t="inlineStr">
        <is>
          <t>Concreto para zapatas</t>
        </is>
      </c>
      <c r="E35" s="502" t="inlineStr">
        <is>
          <t>m³</t>
        </is>
      </c>
      <c r="F35" s="501" t="inlineStr">
        <is>
          <t>Largo × Ancho × Alto/Prof. × N° elementos × repeticiones − deducciones</t>
        </is>
      </c>
      <c r="G35" s="662" t="n"/>
      <c r="H35" s="663" t="n"/>
    </row>
    <row r="36" ht="15" customFormat="1" customHeight="1" s="268">
      <c r="A36" s="500" t="inlineStr">
        <is>
          <t>03.01.03</t>
        </is>
      </c>
      <c r="B36" s="501" t="inlineStr">
        <is>
          <t>Concreto</t>
        </is>
      </c>
      <c r="C36" s="501" t="inlineStr">
        <is>
          <t>Vigas de cimentación</t>
        </is>
      </c>
      <c r="D36" s="501" t="inlineStr">
        <is>
          <t>Concreto para vigas de cimentación</t>
        </is>
      </c>
      <c r="E36" s="502" t="inlineStr">
        <is>
          <t>m³</t>
        </is>
      </c>
      <c r="F36" s="501" t="inlineStr">
        <is>
          <t>Largo × Ancho × Alto/Prof. × N° elementos × repeticiones − deducciones</t>
        </is>
      </c>
      <c r="G36" s="662" t="n"/>
      <c r="H36" s="663" t="n"/>
    </row>
    <row r="37" ht="15" customFormat="1" customHeight="1" s="268">
      <c r="A37" s="500" t="inlineStr">
        <is>
          <t>03.01.04</t>
        </is>
      </c>
      <c r="B37" s="501" t="inlineStr">
        <is>
          <t>Concreto</t>
        </is>
      </c>
      <c r="C37" s="501" t="inlineStr">
        <is>
          <t>Losas de cimentación</t>
        </is>
      </c>
      <c r="D37" s="501" t="inlineStr">
        <is>
          <t>Concreto para losas de cimentación</t>
        </is>
      </c>
      <c r="E37" s="502" t="inlineStr">
        <is>
          <t>m³</t>
        </is>
      </c>
      <c r="F37" s="501" t="inlineStr">
        <is>
          <t>Largo × Ancho × Alto/Prof. × N° elementos × repeticiones − deducciones</t>
        </is>
      </c>
      <c r="G37" s="662" t="n"/>
      <c r="H37" s="663" t="n"/>
    </row>
    <row r="38" ht="15" customFormat="1" customHeight="1" s="268">
      <c r="A38" s="500" t="inlineStr">
        <is>
          <t>03.01.05</t>
        </is>
      </c>
      <c r="B38" s="501" t="inlineStr">
        <is>
          <t>Concreto</t>
        </is>
      </c>
      <c r="C38" s="501" t="inlineStr">
        <is>
          <t>Pedestales</t>
        </is>
      </c>
      <c r="D38" s="501" t="inlineStr">
        <is>
          <t>Concreto para pedestales</t>
        </is>
      </c>
      <c r="E38" s="502" t="inlineStr">
        <is>
          <t>m³</t>
        </is>
      </c>
      <c r="F38" s="501" t="inlineStr">
        <is>
          <t>Largo × Ancho × Alto/Prof. × N° elementos × repeticiones − deducciones</t>
        </is>
      </c>
      <c r="G38" s="662" t="n"/>
      <c r="H38" s="663" t="n"/>
    </row>
    <row r="39" ht="15" customFormat="1" customHeight="1" s="268">
      <c r="A39" s="500" t="inlineStr">
        <is>
          <t>03.02.01</t>
        </is>
      </c>
      <c r="B39" s="501" t="inlineStr">
        <is>
          <t>Acero</t>
        </is>
      </c>
      <c r="C39" s="501" t="inlineStr">
        <is>
          <t>Acero de refuerzo</t>
        </is>
      </c>
      <c r="D39" s="501" t="inlineStr">
        <is>
          <t>Acero de refuerzo en cimentación</t>
        </is>
      </c>
      <c r="E39" s="502" t="inlineStr">
        <is>
          <t>kg</t>
        </is>
      </c>
      <c r="F39" s="501" t="inlineStr">
        <is>
          <t>Peso/despiece × N° elementos × repeticiones</t>
        </is>
      </c>
      <c r="G39" s="662" t="n"/>
      <c r="H39" s="663" t="n"/>
    </row>
    <row r="40" ht="15" customFormat="1" customHeight="1" s="268">
      <c r="A40" s="500" t="inlineStr">
        <is>
          <t>03.03.01</t>
        </is>
      </c>
      <c r="B40" s="501" t="inlineStr">
        <is>
          <t>Formaleta</t>
        </is>
      </c>
      <c r="C40" s="501" t="inlineStr">
        <is>
          <t>Formaleta cimentación</t>
        </is>
      </c>
      <c r="D40" s="501" t="inlineStr">
        <is>
          <t>Formaleta para elementos de cimentación</t>
        </is>
      </c>
      <c r="E40" s="502" t="inlineStr">
        <is>
          <t>m²</t>
        </is>
      </c>
      <c r="F40" s="501" t="inlineStr">
        <is>
          <t>Largo × Ancho × N° elementos × repeticiones − deducciones</t>
        </is>
      </c>
      <c r="G40" s="662" t="n"/>
      <c r="H40" s="663" t="n"/>
    </row>
    <row r="41" ht="15" customFormat="1" customHeight="1" s="268">
      <c r="A41" s="661" t="inlineStr">
        <is>
          <t>04  |  ESTRUCTURA</t>
        </is>
      </c>
      <c r="B41" s="545" t="n"/>
      <c r="C41" s="545" t="n"/>
      <c r="D41" s="545" t="n"/>
      <c r="E41" s="545" t="n"/>
      <c r="F41" s="545" t="n"/>
      <c r="G41" s="505" t="n"/>
      <c r="H41" s="506" t="n"/>
    </row>
    <row r="42" ht="15" customFormat="1" customHeight="1" s="268">
      <c r="A42" s="500" t="inlineStr">
        <is>
          <t>04.01.01</t>
        </is>
      </c>
      <c r="B42" s="501" t="inlineStr">
        <is>
          <t>Concreto</t>
        </is>
      </c>
      <c r="C42" s="501" t="inlineStr">
        <is>
          <t>Columnas</t>
        </is>
      </c>
      <c r="D42" s="501" t="inlineStr">
        <is>
          <t>Concreto para columnas</t>
        </is>
      </c>
      <c r="E42" s="502" t="inlineStr">
        <is>
          <t>m³</t>
        </is>
      </c>
      <c r="F42" s="501" t="inlineStr">
        <is>
          <t>Largo × Ancho × Alto/Prof. × N° elementos × repeticiones − deducciones</t>
        </is>
      </c>
      <c r="G42" s="662" t="n"/>
      <c r="H42" s="663" t="n"/>
    </row>
    <row r="43" ht="15" customFormat="1" customHeight="1" s="268">
      <c r="A43" s="500" t="inlineStr">
        <is>
          <t>04.01.02</t>
        </is>
      </c>
      <c r="B43" s="501" t="inlineStr">
        <is>
          <t>Concreto</t>
        </is>
      </c>
      <c r="C43" s="501" t="inlineStr">
        <is>
          <t>Vigas</t>
        </is>
      </c>
      <c r="D43" s="501" t="inlineStr">
        <is>
          <t>Concreto para vigas</t>
        </is>
      </c>
      <c r="E43" s="502" t="inlineStr">
        <is>
          <t>m³</t>
        </is>
      </c>
      <c r="F43" s="501" t="inlineStr">
        <is>
          <t>Largo × Ancho × Alto/Prof. × N° elementos × repeticiones − deducciones</t>
        </is>
      </c>
      <c r="G43" s="662" t="n"/>
      <c r="H43" s="663" t="n"/>
    </row>
    <row r="44" ht="15" customFormat="1" customHeight="1" s="268">
      <c r="A44" s="500" t="inlineStr">
        <is>
          <t>04.01.03</t>
        </is>
      </c>
      <c r="B44" s="501" t="inlineStr">
        <is>
          <t>Concreto</t>
        </is>
      </c>
      <c r="C44" s="501" t="inlineStr">
        <is>
          <t>Losas</t>
        </is>
      </c>
      <c r="D44" s="501" t="inlineStr">
        <is>
          <t>Concreto para losas</t>
        </is>
      </c>
      <c r="E44" s="502" t="inlineStr">
        <is>
          <t>m³</t>
        </is>
      </c>
      <c r="F44" s="501" t="inlineStr">
        <is>
          <t>Largo × Ancho × Alto/Prof. × N° elementos × repeticiones − deducciones</t>
        </is>
      </c>
      <c r="G44" s="662" t="n"/>
      <c r="H44" s="663" t="n"/>
    </row>
    <row r="45" ht="15" customFormat="1" customHeight="1" s="268">
      <c r="A45" s="500" t="inlineStr">
        <is>
          <t>04.01.04</t>
        </is>
      </c>
      <c r="B45" s="501" t="inlineStr">
        <is>
          <t>Concreto</t>
        </is>
      </c>
      <c r="C45" s="501" t="inlineStr">
        <is>
          <t>Escaleras</t>
        </is>
      </c>
      <c r="D45" s="501" t="inlineStr">
        <is>
          <t>Concreto para escaleras</t>
        </is>
      </c>
      <c r="E45" s="502" t="inlineStr">
        <is>
          <t>m³</t>
        </is>
      </c>
      <c r="F45" s="501" t="inlineStr">
        <is>
          <t>Largo × Ancho × Alto/Prof. × N° elementos × repeticiones − deducciones</t>
        </is>
      </c>
      <c r="G45" s="662" t="n"/>
      <c r="H45" s="663" t="n"/>
    </row>
    <row r="46" ht="15" customFormat="1" customHeight="1" s="268">
      <c r="A46" s="500" t="inlineStr">
        <is>
          <t>04.01.05</t>
        </is>
      </c>
      <c r="B46" s="501" t="inlineStr">
        <is>
          <t>Concreto</t>
        </is>
      </c>
      <c r="C46" s="501" t="inlineStr">
        <is>
          <t>Muros estructurales</t>
        </is>
      </c>
      <c r="D46" s="501" t="inlineStr">
        <is>
          <t>Concreto para muros estructurales</t>
        </is>
      </c>
      <c r="E46" s="502" t="inlineStr">
        <is>
          <t>m³</t>
        </is>
      </c>
      <c r="F46" s="501" t="inlineStr">
        <is>
          <t>Largo × Ancho × Alto/Prof. × N° elementos × repeticiones − deducciones</t>
        </is>
      </c>
      <c r="G46" s="662" t="n"/>
      <c r="H46" s="663" t="n"/>
    </row>
    <row r="47" ht="15" customFormat="1" customHeight="1" s="268">
      <c r="A47" s="500" t="inlineStr">
        <is>
          <t>04.02.01</t>
        </is>
      </c>
      <c r="B47" s="501" t="inlineStr">
        <is>
          <t>Acero</t>
        </is>
      </c>
      <c r="C47" s="501" t="inlineStr">
        <is>
          <t>Acero columnas</t>
        </is>
      </c>
      <c r="D47" s="501" t="inlineStr">
        <is>
          <t>Acero de refuerzo de columnas</t>
        </is>
      </c>
      <c r="E47" s="502" t="inlineStr">
        <is>
          <t>kg</t>
        </is>
      </c>
      <c r="F47" s="501" t="inlineStr">
        <is>
          <t>Peso/despiece × N° elementos × repeticiones</t>
        </is>
      </c>
      <c r="G47" s="662" t="n"/>
      <c r="H47" s="663" t="n"/>
    </row>
    <row r="48" ht="15" customFormat="1" customHeight="1" s="268">
      <c r="A48" s="500" t="inlineStr">
        <is>
          <t>04.02.02</t>
        </is>
      </c>
      <c r="B48" s="501" t="inlineStr">
        <is>
          <t>Acero</t>
        </is>
      </c>
      <c r="C48" s="501" t="inlineStr">
        <is>
          <t>Acero vigas</t>
        </is>
      </c>
      <c r="D48" s="501" t="inlineStr">
        <is>
          <t>Acero de refuerzo de vigas</t>
        </is>
      </c>
      <c r="E48" s="502" t="inlineStr">
        <is>
          <t>kg</t>
        </is>
      </c>
      <c r="F48" s="501" t="inlineStr">
        <is>
          <t>Peso/despiece × N° elementos × repeticiones</t>
        </is>
      </c>
      <c r="G48" s="662" t="n"/>
      <c r="H48" s="663" t="n"/>
    </row>
    <row r="49" ht="15" customFormat="1" customHeight="1" s="268">
      <c r="A49" s="500" t="inlineStr">
        <is>
          <t>04.02.03</t>
        </is>
      </c>
      <c r="B49" s="501" t="inlineStr">
        <is>
          <t>Acero</t>
        </is>
      </c>
      <c r="C49" s="501" t="inlineStr">
        <is>
          <t>Acero losas</t>
        </is>
      </c>
      <c r="D49" s="501" t="inlineStr">
        <is>
          <t>Acero de refuerzo de losas</t>
        </is>
      </c>
      <c r="E49" s="502" t="inlineStr">
        <is>
          <t>kg</t>
        </is>
      </c>
      <c r="F49" s="501" t="inlineStr">
        <is>
          <t>Peso/despiece × N° elementos × repeticiones</t>
        </is>
      </c>
      <c r="G49" s="662" t="n"/>
      <c r="H49" s="663" t="n"/>
    </row>
    <row r="50" ht="15" customFormat="1" customHeight="1" s="268">
      <c r="A50" s="500" t="inlineStr">
        <is>
          <t>04.03.01</t>
        </is>
      </c>
      <c r="B50" s="501" t="inlineStr">
        <is>
          <t>Formaleta</t>
        </is>
      </c>
      <c r="C50" s="501" t="inlineStr">
        <is>
          <t>Formaleta columnas</t>
        </is>
      </c>
      <c r="D50" s="501" t="inlineStr">
        <is>
          <t>Formaleta de columnas</t>
        </is>
      </c>
      <c r="E50" s="502" t="inlineStr">
        <is>
          <t>m²</t>
        </is>
      </c>
      <c r="F50" s="501" t="inlineStr">
        <is>
          <t>Largo × Ancho × N° elementos × repeticiones − deducciones</t>
        </is>
      </c>
      <c r="G50" s="662" t="n"/>
      <c r="H50" s="663" t="n"/>
    </row>
    <row r="51" ht="15" customFormat="1" customHeight="1" s="268">
      <c r="A51" s="500" t="inlineStr">
        <is>
          <t>04.03.02</t>
        </is>
      </c>
      <c r="B51" s="501" t="inlineStr">
        <is>
          <t>Formaleta</t>
        </is>
      </c>
      <c r="C51" s="501" t="inlineStr">
        <is>
          <t>Formaleta vigas</t>
        </is>
      </c>
      <c r="D51" s="501" t="inlineStr">
        <is>
          <t>Formaleta de vigas</t>
        </is>
      </c>
      <c r="E51" s="502" t="inlineStr">
        <is>
          <t>m²</t>
        </is>
      </c>
      <c r="F51" s="501" t="inlineStr">
        <is>
          <t>Largo × Ancho × N° elementos × repeticiones − deducciones</t>
        </is>
      </c>
      <c r="G51" s="662" t="n"/>
      <c r="H51" s="663" t="n"/>
    </row>
    <row r="52" ht="15" customFormat="1" customHeight="1" s="268">
      <c r="A52" s="500" t="inlineStr">
        <is>
          <t>04.03.03</t>
        </is>
      </c>
      <c r="B52" s="501" t="inlineStr">
        <is>
          <t>Formaleta</t>
        </is>
      </c>
      <c r="C52" s="501" t="inlineStr">
        <is>
          <t>Formaleta losas</t>
        </is>
      </c>
      <c r="D52" s="501" t="inlineStr">
        <is>
          <t>Formaleta de losas</t>
        </is>
      </c>
      <c r="E52" s="502" t="inlineStr">
        <is>
          <t>m²</t>
        </is>
      </c>
      <c r="F52" s="501" t="inlineStr">
        <is>
          <t>Largo × Ancho × N° elementos × repeticiones − deducciones</t>
        </is>
      </c>
      <c r="G52" s="662" t="n"/>
      <c r="H52" s="663" t="n"/>
    </row>
    <row r="53" ht="15" customFormat="1" customHeight="1" s="268">
      <c r="A53" s="500" t="inlineStr">
        <is>
          <t>04.03.04</t>
        </is>
      </c>
      <c r="B53" s="501" t="inlineStr">
        <is>
          <t>Formaleta</t>
        </is>
      </c>
      <c r="C53" s="501" t="inlineStr">
        <is>
          <t>Formaleta escaleras</t>
        </is>
      </c>
      <c r="D53" s="501" t="inlineStr">
        <is>
          <t>Formaleta de escaleras</t>
        </is>
      </c>
      <c r="E53" s="502" t="inlineStr">
        <is>
          <t>m²</t>
        </is>
      </c>
      <c r="F53" s="501" t="inlineStr">
        <is>
          <t>Largo × Ancho × N° elementos × repeticiones − deducciones</t>
        </is>
      </c>
      <c r="G53" s="662" t="n"/>
      <c r="H53" s="663" t="n"/>
    </row>
    <row r="54" ht="15" customFormat="1" customHeight="1" s="268">
      <c r="A54" s="500" t="inlineStr">
        <is>
          <t>04.04.01</t>
        </is>
      </c>
      <c r="B54" s="501" t="inlineStr">
        <is>
          <t>Estructura metálica</t>
        </is>
      </c>
      <c r="C54" s="501" t="inlineStr">
        <is>
          <t>Perfiles metálicos</t>
        </is>
      </c>
      <c r="D54" s="501" t="inlineStr">
        <is>
          <t>Suministro y montaje de perfiles metálicos</t>
        </is>
      </c>
      <c r="E54" s="502" t="inlineStr">
        <is>
          <t>kg</t>
        </is>
      </c>
      <c r="F54" s="501" t="inlineStr">
        <is>
          <t>Peso/despiece × N° elementos × repeticiones</t>
        </is>
      </c>
      <c r="G54" s="662" t="n"/>
      <c r="H54" s="663" t="n"/>
    </row>
    <row r="55" ht="15" customFormat="1" customHeight="1" s="268">
      <c r="A55" s="500" t="inlineStr">
        <is>
          <t>04.04.02</t>
        </is>
      </c>
      <c r="B55" s="501" t="inlineStr">
        <is>
          <t>Estructura metálica</t>
        </is>
      </c>
      <c r="C55" s="501" t="inlineStr">
        <is>
          <t>Placas y conexiones</t>
        </is>
      </c>
      <c r="D55" s="501" t="inlineStr">
        <is>
          <t>Placas, pernos y conexiones metálicas</t>
        </is>
      </c>
      <c r="E55" s="502" t="inlineStr">
        <is>
          <t>kg</t>
        </is>
      </c>
      <c r="F55" s="501" t="inlineStr">
        <is>
          <t>Peso/despiece × N° elementos × repeticiones</t>
        </is>
      </c>
      <c r="G55" s="662" t="n"/>
      <c r="H55" s="663" t="n"/>
    </row>
    <row r="56" ht="15" customFormat="1" customHeight="1" s="268">
      <c r="A56" s="1309" t="inlineStr">
        <is>
          <t>05  |  MAMPOSTERÍA</t>
        </is>
      </c>
      <c r="B56" s="545" t="n"/>
      <c r="C56" s="545" t="n"/>
      <c r="D56" s="545" t="n"/>
      <c r="E56" s="545" t="n"/>
      <c r="F56" s="545" t="n"/>
      <c r="G56" s="545" t="n"/>
      <c r="H56" s="1023" t="n"/>
    </row>
    <row r="57" ht="15" customFormat="1" customHeight="1" s="268">
      <c r="A57" s="500" t="inlineStr">
        <is>
          <t>05.01.01</t>
        </is>
      </c>
      <c r="B57" s="501" t="inlineStr">
        <is>
          <t>Muros</t>
        </is>
      </c>
      <c r="C57" s="501" t="inlineStr">
        <is>
          <t>Bloque</t>
        </is>
      </c>
      <c r="D57" s="501" t="inlineStr">
        <is>
          <t>Mampostería en bloque de concreto</t>
        </is>
      </c>
      <c r="E57" s="502" t="inlineStr">
        <is>
          <t>m²</t>
        </is>
      </c>
      <c r="F57" s="501" t="inlineStr">
        <is>
          <t>Largo × Ancho × N° elementos × repeticiones − deducciones</t>
        </is>
      </c>
      <c r="G57" s="662" t="n"/>
      <c r="H57" s="663" t="n"/>
    </row>
    <row r="58" ht="15" customFormat="1" customHeight="1" s="268">
      <c r="A58" s="500" t="inlineStr">
        <is>
          <t>05.01.02</t>
        </is>
      </c>
      <c r="B58" s="501" t="inlineStr">
        <is>
          <t>Muros</t>
        </is>
      </c>
      <c r="C58" s="501" t="inlineStr">
        <is>
          <t>Ladrillo</t>
        </is>
      </c>
      <c r="D58" s="501" t="inlineStr">
        <is>
          <t>Mampostería en ladrillo</t>
        </is>
      </c>
      <c r="E58" s="502" t="inlineStr">
        <is>
          <t>m²</t>
        </is>
      </c>
      <c r="F58" s="501" t="inlineStr">
        <is>
          <t>Largo × Ancho × N° elementos × repeticiones − deducciones</t>
        </is>
      </c>
      <c r="G58" s="662" t="n"/>
      <c r="H58" s="663" t="n"/>
    </row>
    <row r="59" ht="15" customFormat="1" customHeight="1" s="268">
      <c r="A59" s="500" t="inlineStr">
        <is>
          <t>05.01.03</t>
        </is>
      </c>
      <c r="B59" s="501" t="inlineStr">
        <is>
          <t>Muros</t>
        </is>
      </c>
      <c r="C59" s="501" t="inlineStr">
        <is>
          <t>Ladrillo estructural</t>
        </is>
      </c>
      <c r="D59" s="501" t="inlineStr">
        <is>
          <t>Mampostería estructural</t>
        </is>
      </c>
      <c r="E59" s="502" t="inlineStr">
        <is>
          <t>m²</t>
        </is>
      </c>
      <c r="F59" s="501" t="inlineStr">
        <is>
          <t>Largo × Ancho × N° elementos × repeticiones − deducciones</t>
        </is>
      </c>
      <c r="G59" s="662" t="n"/>
      <c r="H59" s="663" t="n"/>
    </row>
    <row r="60" ht="15" customFormat="1" customHeight="1" s="268">
      <c r="A60" s="500" t="inlineStr">
        <is>
          <t>05.01.04</t>
        </is>
      </c>
      <c r="B60" s="501" t="inlineStr">
        <is>
          <t>Muros</t>
        </is>
      </c>
      <c r="C60" s="501" t="inlineStr">
        <is>
          <t>Divisiones livianas</t>
        </is>
      </c>
      <c r="D60" s="501" t="inlineStr">
        <is>
          <t>Muros en sistema liviano / drywall</t>
        </is>
      </c>
      <c r="E60" s="502" t="inlineStr">
        <is>
          <t>m²</t>
        </is>
      </c>
      <c r="F60" s="501" t="inlineStr">
        <is>
          <t>Largo × Ancho × N° elementos × repeticiones − deducciones</t>
        </is>
      </c>
      <c r="G60" s="662" t="n"/>
      <c r="H60" s="663" t="n"/>
    </row>
    <row r="61" ht="15" customFormat="1" customHeight="1" s="268">
      <c r="A61" s="500" t="inlineStr">
        <is>
          <t>05.02.01</t>
        </is>
      </c>
      <c r="B61" s="501" t="inlineStr">
        <is>
          <t>Complementarios</t>
        </is>
      </c>
      <c r="C61" s="501" t="inlineStr">
        <is>
          <t>Dinteles</t>
        </is>
      </c>
      <c r="D61" s="501" t="inlineStr">
        <is>
          <t>Dinteles sobre vanos</t>
        </is>
      </c>
      <c r="E61" s="502" t="inlineStr">
        <is>
          <t>ml</t>
        </is>
      </c>
      <c r="F61" s="501" t="inlineStr">
        <is>
          <t>Longitud × N° elementos × repeticiones − deducciones</t>
        </is>
      </c>
      <c r="G61" s="662" t="n"/>
      <c r="H61" s="663" t="n"/>
    </row>
    <row r="62" ht="15" customFormat="1" customHeight="1" s="268">
      <c r="A62" s="500" t="inlineStr">
        <is>
          <t>05.02.02</t>
        </is>
      </c>
      <c r="B62" s="501" t="inlineStr">
        <is>
          <t>Complementarios</t>
        </is>
      </c>
      <c r="C62" s="501" t="inlineStr">
        <is>
          <t>Alfajías</t>
        </is>
      </c>
      <c r="D62" s="501" t="inlineStr">
        <is>
          <t>Alfajías y remates</t>
        </is>
      </c>
      <c r="E62" s="502" t="inlineStr">
        <is>
          <t>ml</t>
        </is>
      </c>
      <c r="F62" s="501" t="inlineStr">
        <is>
          <t>Longitud × N° elementos × repeticiones − deducciones</t>
        </is>
      </c>
      <c r="G62" s="662" t="n"/>
      <c r="H62" s="663" t="n"/>
    </row>
    <row r="63" ht="15" customFormat="1" customHeight="1" s="268">
      <c r="A63" s="500" t="inlineStr">
        <is>
          <t>05.02.03</t>
        </is>
      </c>
      <c r="B63" s="501" t="inlineStr">
        <is>
          <t>Complementarios</t>
        </is>
      </c>
      <c r="C63" s="501" t="inlineStr">
        <is>
          <t>Anclajes</t>
        </is>
      </c>
      <c r="D63" s="501" t="inlineStr">
        <is>
          <t>Anclajes y refuerzos de mampostería</t>
        </is>
      </c>
      <c r="E63" s="502" t="inlineStr">
        <is>
          <t>und</t>
        </is>
      </c>
      <c r="F63" s="501" t="inlineStr">
        <is>
          <t>N° elementos × repeticiones − deducciones</t>
        </is>
      </c>
      <c r="G63" s="662" t="n"/>
      <c r="H63" s="663" t="n"/>
    </row>
    <row r="64" ht="15" customFormat="1" customHeight="1" s="268">
      <c r="A64" s="1309" t="inlineStr">
        <is>
          <t>06  |  CUBIERTAS</t>
        </is>
      </c>
      <c r="B64" s="545" t="n"/>
      <c r="C64" s="545" t="n"/>
      <c r="D64" s="545" t="n"/>
      <c r="E64" s="545" t="n"/>
      <c r="F64" s="545" t="n"/>
      <c r="G64" s="545" t="n"/>
      <c r="H64" s="1023" t="n"/>
    </row>
    <row r="65" ht="15" customFormat="1" customHeight="1" s="268">
      <c r="A65" s="500" t="inlineStr">
        <is>
          <t>06.01.01</t>
        </is>
      </c>
      <c r="B65" s="501" t="inlineStr">
        <is>
          <t>Estructura</t>
        </is>
      </c>
      <c r="C65" s="501" t="inlineStr">
        <is>
          <t>Estructura cubierta</t>
        </is>
      </c>
      <c r="D65" s="501" t="inlineStr">
        <is>
          <t>Estructura metálica o de madera para cubierta</t>
        </is>
      </c>
      <c r="E65" s="502" t="inlineStr">
        <is>
          <t>kg</t>
        </is>
      </c>
      <c r="F65" s="501" t="inlineStr">
        <is>
          <t>Peso/despiece × N° elementos × repeticiones</t>
        </is>
      </c>
      <c r="G65" s="662" t="n"/>
      <c r="H65" s="663" t="n"/>
    </row>
    <row r="66" ht="15" customFormat="1" customHeight="1" s="268">
      <c r="A66" s="500" t="inlineStr">
        <is>
          <t>06.01.02</t>
        </is>
      </c>
      <c r="B66" s="501" t="inlineStr">
        <is>
          <t>Estructura</t>
        </is>
      </c>
      <c r="C66" s="501" t="inlineStr">
        <is>
          <t>Cerchas</t>
        </is>
      </c>
      <c r="D66" s="501" t="inlineStr">
        <is>
          <t>Cerchas y elementos estructurales</t>
        </is>
      </c>
      <c r="E66" s="502" t="inlineStr">
        <is>
          <t>kg</t>
        </is>
      </c>
      <c r="F66" s="501" t="inlineStr">
        <is>
          <t>Peso/despiece × N° elementos × repeticiones</t>
        </is>
      </c>
      <c r="G66" s="662" t="n"/>
      <c r="H66" s="663" t="n"/>
    </row>
    <row r="67" ht="15" customFormat="1" customHeight="1" s="268">
      <c r="A67" s="500" t="inlineStr">
        <is>
          <t>06.02.01</t>
        </is>
      </c>
      <c r="B67" s="501" t="inlineStr">
        <is>
          <t>Cubierta</t>
        </is>
      </c>
      <c r="C67" s="501" t="inlineStr">
        <is>
          <t>Teja</t>
        </is>
      </c>
      <c r="D67" s="501" t="inlineStr">
        <is>
          <t>Suministro e instalación de teja</t>
        </is>
      </c>
      <c r="E67" s="502" t="inlineStr">
        <is>
          <t>m²</t>
        </is>
      </c>
      <c r="F67" s="501" t="inlineStr">
        <is>
          <t>Largo × Ancho × N° elementos × repeticiones − deducciones</t>
        </is>
      </c>
      <c r="G67" s="662" t="n"/>
      <c r="H67" s="663" t="n"/>
    </row>
    <row r="68" ht="15" customFormat="1" customHeight="1" s="268">
      <c r="A68" s="500" t="inlineStr">
        <is>
          <t>06.02.02</t>
        </is>
      </c>
      <c r="B68" s="501" t="inlineStr">
        <is>
          <t>Cubierta</t>
        </is>
      </c>
      <c r="C68" s="501" t="inlineStr">
        <is>
          <t>Impermeabilización cubierta</t>
        </is>
      </c>
      <c r="D68" s="501" t="inlineStr">
        <is>
          <t>Impermeabilización de cubierta</t>
        </is>
      </c>
      <c r="E68" s="502" t="inlineStr">
        <is>
          <t>m²</t>
        </is>
      </c>
      <c r="F68" s="501" t="inlineStr">
        <is>
          <t>Largo × Ancho × N° elementos × repeticiones − deducciones</t>
        </is>
      </c>
      <c r="G68" s="662" t="n"/>
      <c r="H68" s="663" t="n"/>
    </row>
    <row r="69" ht="15" customFormat="1" customHeight="1" s="268">
      <c r="A69" s="500" t="inlineStr">
        <is>
          <t>06.02.03</t>
        </is>
      </c>
      <c r="B69" s="501" t="inlineStr">
        <is>
          <t>Cubierta</t>
        </is>
      </c>
      <c r="C69" s="501" t="inlineStr">
        <is>
          <t>Aislamiento</t>
        </is>
      </c>
      <c r="D69" s="501" t="inlineStr">
        <is>
          <t>Aislamiento térmico/acústico</t>
        </is>
      </c>
      <c r="E69" s="502" t="inlineStr">
        <is>
          <t>m²</t>
        </is>
      </c>
      <c r="F69" s="501" t="inlineStr">
        <is>
          <t>Largo × Ancho × N° elementos × repeticiones − deducciones</t>
        </is>
      </c>
      <c r="G69" s="662" t="n"/>
      <c r="H69" s="663" t="n"/>
    </row>
    <row r="70" ht="15" customFormat="1" customHeight="1" s="268">
      <c r="A70" s="500" t="inlineStr">
        <is>
          <t>06.03.01</t>
        </is>
      </c>
      <c r="B70" s="501" t="inlineStr">
        <is>
          <t>Canales</t>
        </is>
      </c>
      <c r="C70" s="501" t="inlineStr">
        <is>
          <t>Canales</t>
        </is>
      </c>
      <c r="D70" s="501" t="inlineStr">
        <is>
          <t>Canales de aguas lluvias</t>
        </is>
      </c>
      <c r="E70" s="502" t="inlineStr">
        <is>
          <t>ml</t>
        </is>
      </c>
      <c r="F70" s="501" t="inlineStr">
        <is>
          <t>Longitud × N° elementos × repeticiones − deducciones</t>
        </is>
      </c>
      <c r="G70" s="662" t="n"/>
      <c r="H70" s="663" t="n"/>
    </row>
    <row r="71" ht="15" customFormat="1" customHeight="1" s="268">
      <c r="A71" s="500" t="inlineStr">
        <is>
          <t>06.03.02</t>
        </is>
      </c>
      <c r="B71" s="501" t="inlineStr">
        <is>
          <t>Canales</t>
        </is>
      </c>
      <c r="C71" s="501" t="inlineStr">
        <is>
          <t>Bajantes</t>
        </is>
      </c>
      <c r="D71" s="501" t="inlineStr">
        <is>
          <t>Bajantes de aguas lluvias</t>
        </is>
      </c>
      <c r="E71" s="502" t="inlineStr">
        <is>
          <t>ml</t>
        </is>
      </c>
      <c r="F71" s="501" t="inlineStr">
        <is>
          <t>Longitud × N° elementos × repeticiones − deducciones</t>
        </is>
      </c>
      <c r="G71" s="662" t="n"/>
      <c r="H71" s="663" t="n"/>
    </row>
    <row r="72" ht="15" customFormat="1" customHeight="1" s="268">
      <c r="A72" s="1309" t="inlineStr">
        <is>
          <t>07  |  IMPERMEABILIZACIONES</t>
        </is>
      </c>
      <c r="B72" s="545" t="n"/>
      <c r="C72" s="545" t="n"/>
      <c r="D72" s="545" t="n"/>
      <c r="E72" s="545" t="n"/>
      <c r="F72" s="545" t="n"/>
      <c r="G72" s="545" t="n"/>
      <c r="H72" s="1023" t="n"/>
    </row>
    <row r="73" ht="15" customFormat="1" customHeight="1" s="268">
      <c r="A73" s="500" t="inlineStr">
        <is>
          <t>07.01.01</t>
        </is>
      </c>
      <c r="B73" s="501" t="inlineStr">
        <is>
          <t>Superficies</t>
        </is>
      </c>
      <c r="C73" s="501" t="inlineStr">
        <is>
          <t>Impermeabilización losas</t>
        </is>
      </c>
      <c r="D73" s="501" t="inlineStr">
        <is>
          <t>Impermeabilización de losas y terrazas</t>
        </is>
      </c>
      <c r="E73" s="502" t="inlineStr">
        <is>
          <t>m²</t>
        </is>
      </c>
      <c r="F73" s="501" t="inlineStr">
        <is>
          <t>Largo × Ancho × N° elementos × repeticiones − deducciones</t>
        </is>
      </c>
      <c r="G73" s="662" t="n"/>
      <c r="H73" s="663" t="n"/>
    </row>
    <row r="74" ht="15" customFormat="1" customHeight="1" s="268">
      <c r="A74" s="500" t="inlineStr">
        <is>
          <t>07.01.02</t>
        </is>
      </c>
      <c r="B74" s="501" t="inlineStr">
        <is>
          <t>Superficies</t>
        </is>
      </c>
      <c r="C74" s="501" t="inlineStr">
        <is>
          <t>Impermeabilización muros</t>
        </is>
      </c>
      <c r="D74" s="501" t="inlineStr">
        <is>
          <t>Impermeabilización de muros</t>
        </is>
      </c>
      <c r="E74" s="502" t="inlineStr">
        <is>
          <t>m²</t>
        </is>
      </c>
      <c r="F74" s="501" t="inlineStr">
        <is>
          <t>Largo × Ancho × N° elementos × repeticiones − deducciones</t>
        </is>
      </c>
      <c r="G74" s="662" t="n"/>
      <c r="H74" s="663" t="n"/>
    </row>
    <row r="75" ht="15" customFormat="1" customHeight="1" s="268">
      <c r="A75" s="500" t="inlineStr">
        <is>
          <t>07.01.03</t>
        </is>
      </c>
      <c r="B75" s="501" t="inlineStr">
        <is>
          <t>Superficies</t>
        </is>
      </c>
      <c r="C75" s="501" t="inlineStr">
        <is>
          <t>Impermeabilización baños</t>
        </is>
      </c>
      <c r="D75" s="501" t="inlineStr">
        <is>
          <t>Impermeabilización de zonas húmedas</t>
        </is>
      </c>
      <c r="E75" s="502" t="inlineStr">
        <is>
          <t>m²</t>
        </is>
      </c>
      <c r="F75" s="501" t="inlineStr">
        <is>
          <t>Largo × Ancho × N° elementos × repeticiones − deducciones</t>
        </is>
      </c>
      <c r="G75" s="662" t="n"/>
      <c r="H75" s="663" t="n"/>
    </row>
    <row r="76" ht="15" customFormat="1" customHeight="1" s="268">
      <c r="A76" s="1309" t="inlineStr">
        <is>
          <t>08  |  PAÑETES Y REVOQUES</t>
        </is>
      </c>
      <c r="B76" s="545" t="n"/>
      <c r="C76" s="545" t="n"/>
      <c r="D76" s="545" t="n"/>
      <c r="E76" s="545" t="n"/>
      <c r="F76" s="545" t="n"/>
      <c r="G76" s="545" t="n"/>
      <c r="H76" s="1023" t="n"/>
    </row>
    <row r="77" ht="15" customFormat="1" customHeight="1" s="268">
      <c r="A77" s="500" t="inlineStr">
        <is>
          <t>08.01.01</t>
        </is>
      </c>
      <c r="B77" s="501" t="inlineStr">
        <is>
          <t>Pañetes</t>
        </is>
      </c>
      <c r="C77" s="501" t="inlineStr">
        <is>
          <t>Pañete interior</t>
        </is>
      </c>
      <c r="D77" s="501" t="inlineStr">
        <is>
          <t>Pañete / revoque interior</t>
        </is>
      </c>
      <c r="E77" s="502" t="inlineStr">
        <is>
          <t>m²</t>
        </is>
      </c>
      <c r="F77" s="501" t="inlineStr">
        <is>
          <t>Largo × Ancho × N° elementos × repeticiones − deducciones</t>
        </is>
      </c>
      <c r="G77" s="662" t="n"/>
      <c r="H77" s="663" t="n"/>
    </row>
    <row r="78" ht="15" customFormat="1" customHeight="1" s="268">
      <c r="A78" s="500" t="inlineStr">
        <is>
          <t>08.01.02</t>
        </is>
      </c>
      <c r="B78" s="501" t="inlineStr">
        <is>
          <t>Pañetes</t>
        </is>
      </c>
      <c r="C78" s="501" t="inlineStr">
        <is>
          <t>Pañete exterior</t>
        </is>
      </c>
      <c r="D78" s="501" t="inlineStr">
        <is>
          <t>Pañete / revoque exterior</t>
        </is>
      </c>
      <c r="E78" s="502" t="inlineStr">
        <is>
          <t>m²</t>
        </is>
      </c>
      <c r="F78" s="501" t="inlineStr">
        <is>
          <t>Largo × Ancho × N° elementos × repeticiones − deducciones</t>
        </is>
      </c>
      <c r="G78" s="662" t="n"/>
      <c r="H78" s="663" t="n"/>
    </row>
    <row r="79" ht="15" customFormat="1" customHeight="1" s="268">
      <c r="A79" s="500" t="inlineStr">
        <is>
          <t>08.01.03</t>
        </is>
      </c>
      <c r="B79" s="501" t="inlineStr">
        <is>
          <t>Pañetes</t>
        </is>
      </c>
      <c r="C79" s="501" t="inlineStr">
        <is>
          <t>Pañete impermeable</t>
        </is>
      </c>
      <c r="D79" s="501" t="inlineStr">
        <is>
          <t>Pañete impermeabilizado</t>
        </is>
      </c>
      <c r="E79" s="502" t="inlineStr">
        <is>
          <t>m²</t>
        </is>
      </c>
      <c r="F79" s="501" t="inlineStr">
        <is>
          <t>Largo × Ancho × N° elementos × repeticiones − deducciones</t>
        </is>
      </c>
      <c r="G79" s="662" t="n"/>
      <c r="H79" s="663" t="n"/>
    </row>
    <row r="80" ht="15" customFormat="1" customHeight="1" s="268">
      <c r="A80" s="500" t="inlineStr">
        <is>
          <t>08.01.04</t>
        </is>
      </c>
      <c r="B80" s="501" t="inlineStr">
        <is>
          <t>Pañetes</t>
        </is>
      </c>
      <c r="C80" s="501" t="inlineStr">
        <is>
          <t>Estuco</t>
        </is>
      </c>
      <c r="D80" s="501" t="inlineStr">
        <is>
          <t>Estuco plástico o tradicional</t>
        </is>
      </c>
      <c r="E80" s="502" t="inlineStr">
        <is>
          <t>m²</t>
        </is>
      </c>
      <c r="F80" s="501" t="inlineStr">
        <is>
          <t>Largo × Ancho × N° elementos × repeticiones − deducciones</t>
        </is>
      </c>
      <c r="G80" s="662" t="n"/>
      <c r="H80" s="663" t="n"/>
    </row>
    <row r="81" ht="15" customFormat="1" customHeight="1" s="268">
      <c r="A81" s="1309" t="inlineStr">
        <is>
          <t>09  |  PISOS Y ENCHAPES</t>
        </is>
      </c>
      <c r="B81" s="545" t="n"/>
      <c r="C81" s="545" t="n"/>
      <c r="D81" s="545" t="n"/>
      <c r="E81" s="545" t="n"/>
      <c r="F81" s="545" t="n"/>
      <c r="G81" s="545" t="n"/>
      <c r="H81" s="1023" t="n"/>
    </row>
    <row r="82" ht="15" customFormat="1" customHeight="1" s="268">
      <c r="A82" s="500" t="inlineStr">
        <is>
          <t>09.01.01</t>
        </is>
      </c>
      <c r="B82" s="501" t="inlineStr">
        <is>
          <t>Pisos</t>
        </is>
      </c>
      <c r="C82" s="501" t="inlineStr">
        <is>
          <t>Mortero nivelación</t>
        </is>
      </c>
      <c r="D82" s="501" t="inlineStr">
        <is>
          <t>Mortero de nivelación</t>
        </is>
      </c>
      <c r="E82" s="502" t="inlineStr">
        <is>
          <t>m²</t>
        </is>
      </c>
      <c r="F82" s="501" t="inlineStr">
        <is>
          <t>Largo × Ancho × N° elementos × repeticiones − deducciones</t>
        </is>
      </c>
      <c r="G82" s="662" t="n"/>
      <c r="H82" s="663" t="n"/>
    </row>
    <row r="83" ht="15" customFormat="1" customHeight="1" s="268">
      <c r="A83" s="500" t="inlineStr">
        <is>
          <t>09.01.02</t>
        </is>
      </c>
      <c r="B83" s="501" t="inlineStr">
        <is>
          <t>Pisos</t>
        </is>
      </c>
      <c r="C83" s="501" t="inlineStr">
        <is>
          <t>Cerámica piso</t>
        </is>
      </c>
      <c r="D83" s="501" t="inlineStr">
        <is>
          <t>Piso cerámico</t>
        </is>
      </c>
      <c r="E83" s="502" t="inlineStr">
        <is>
          <t>m²</t>
        </is>
      </c>
      <c r="F83" s="501" t="inlineStr">
        <is>
          <t>Largo × Ancho × N° elementos × repeticiones − deducciones</t>
        </is>
      </c>
      <c r="G83" s="662" t="n"/>
      <c r="H83" s="663" t="n"/>
    </row>
    <row r="84" ht="15" customFormat="1" customHeight="1" s="268">
      <c r="A84" s="500" t="inlineStr">
        <is>
          <t>09.01.03</t>
        </is>
      </c>
      <c r="B84" s="501" t="inlineStr">
        <is>
          <t>Pisos</t>
        </is>
      </c>
      <c r="C84" s="501" t="inlineStr">
        <is>
          <t>Porcelanato</t>
        </is>
      </c>
      <c r="D84" s="501" t="inlineStr">
        <is>
          <t>Piso en porcelanato</t>
        </is>
      </c>
      <c r="E84" s="502" t="inlineStr">
        <is>
          <t>m²</t>
        </is>
      </c>
      <c r="F84" s="501" t="inlineStr">
        <is>
          <t>Largo × Ancho × N° elementos × repeticiones − deducciones</t>
        </is>
      </c>
      <c r="G84" s="662" t="n"/>
      <c r="H84" s="663" t="n"/>
    </row>
    <row r="85" ht="15" customFormat="1" customHeight="1" s="268">
      <c r="A85" s="500" t="inlineStr">
        <is>
          <t>09.01.04</t>
        </is>
      </c>
      <c r="B85" s="501" t="inlineStr">
        <is>
          <t>Pisos</t>
        </is>
      </c>
      <c r="C85" s="501" t="inlineStr">
        <is>
          <t>Piso vinílico</t>
        </is>
      </c>
      <c r="D85" s="501" t="inlineStr">
        <is>
          <t>Piso vinílico</t>
        </is>
      </c>
      <c r="E85" s="502" t="inlineStr">
        <is>
          <t>m²</t>
        </is>
      </c>
      <c r="F85" s="501" t="inlineStr">
        <is>
          <t>Largo × Ancho × N° elementos × repeticiones − deducciones</t>
        </is>
      </c>
      <c r="G85" s="662" t="n"/>
      <c r="H85" s="663" t="n"/>
    </row>
    <row r="86" ht="15" customFormat="1" customHeight="1" s="268">
      <c r="A86" s="500" t="inlineStr">
        <is>
          <t>09.01.05</t>
        </is>
      </c>
      <c r="B86" s="501" t="inlineStr">
        <is>
          <t>Pisos</t>
        </is>
      </c>
      <c r="C86" s="501" t="inlineStr">
        <is>
          <t>Piso laminado</t>
        </is>
      </c>
      <c r="D86" s="501" t="inlineStr">
        <is>
          <t>Piso laminado</t>
        </is>
      </c>
      <c r="E86" s="502" t="inlineStr">
        <is>
          <t>m²</t>
        </is>
      </c>
      <c r="F86" s="501" t="inlineStr">
        <is>
          <t>Largo × Ancho × N° elementos × repeticiones − deducciones</t>
        </is>
      </c>
      <c r="G86" s="662" t="n"/>
      <c r="H86" s="663" t="n"/>
    </row>
    <row r="87" ht="15" customFormat="1" customHeight="1" s="268">
      <c r="A87" s="500" t="inlineStr">
        <is>
          <t>09.02.01</t>
        </is>
      </c>
      <c r="B87" s="501" t="inlineStr">
        <is>
          <t>Enchapes</t>
        </is>
      </c>
      <c r="C87" s="501" t="inlineStr">
        <is>
          <t>Enchape muro</t>
        </is>
      </c>
      <c r="D87" s="501" t="inlineStr">
        <is>
          <t>Enchape cerámico en muros</t>
        </is>
      </c>
      <c r="E87" s="502" t="inlineStr">
        <is>
          <t>m²</t>
        </is>
      </c>
      <c r="F87" s="501" t="inlineStr">
        <is>
          <t>Largo × Ancho × N° elementos × repeticiones − deducciones</t>
        </is>
      </c>
      <c r="G87" s="662" t="n"/>
      <c r="H87" s="663" t="n"/>
    </row>
    <row r="88" ht="15" customFormat="1" customHeight="1" s="268">
      <c r="A88" s="500" t="inlineStr">
        <is>
          <t>09.02.02</t>
        </is>
      </c>
      <c r="B88" s="501" t="inlineStr">
        <is>
          <t>Enchapes</t>
        </is>
      </c>
      <c r="C88" s="501" t="inlineStr">
        <is>
          <t>Guardaescoba</t>
        </is>
      </c>
      <c r="D88" s="501" t="inlineStr">
        <is>
          <t>Guardaescoba</t>
        </is>
      </c>
      <c r="E88" s="502" t="inlineStr">
        <is>
          <t>ml</t>
        </is>
      </c>
      <c r="F88" s="501" t="inlineStr">
        <is>
          <t>Longitud × N° elementos × repeticiones − deducciones</t>
        </is>
      </c>
      <c r="G88" s="662" t="n"/>
      <c r="H88" s="663" t="n"/>
    </row>
    <row r="89" ht="15" customFormat="1" customHeight="1" s="268">
      <c r="A89" s="500" t="inlineStr">
        <is>
          <t>09.02.03</t>
        </is>
      </c>
      <c r="B89" s="501" t="inlineStr">
        <is>
          <t>Enchapes</t>
        </is>
      </c>
      <c r="C89" s="501" t="inlineStr">
        <is>
          <t>Juntas</t>
        </is>
      </c>
      <c r="D89" s="501" t="inlineStr">
        <is>
          <t>Juntas de dilatación / construcción</t>
        </is>
      </c>
      <c r="E89" s="502" t="inlineStr">
        <is>
          <t>ml</t>
        </is>
      </c>
      <c r="F89" s="501" t="inlineStr">
        <is>
          <t>Longitud × N° elementos × repeticiones − deducciones</t>
        </is>
      </c>
      <c r="G89" s="662" t="n"/>
      <c r="H89" s="663" t="n"/>
    </row>
    <row r="90" ht="15" customFormat="1" customHeight="1" s="268">
      <c r="A90" s="1309" t="inlineStr">
        <is>
          <t>10  |  PINTURA</t>
        </is>
      </c>
      <c r="B90" s="545" t="n"/>
      <c r="C90" s="545" t="n"/>
      <c r="D90" s="545" t="n"/>
      <c r="E90" s="545" t="n"/>
      <c r="F90" s="545" t="n"/>
      <c r="G90" s="545" t="n"/>
      <c r="H90" s="1023" t="n"/>
    </row>
    <row r="91" ht="15" customFormat="1" customHeight="1" s="268">
      <c r="A91" s="500" t="inlineStr">
        <is>
          <t>10.01.01</t>
        </is>
      </c>
      <c r="B91" s="501" t="inlineStr">
        <is>
          <t>Pintura</t>
        </is>
      </c>
      <c r="C91" s="501" t="inlineStr">
        <is>
          <t>Vinilo interior</t>
        </is>
      </c>
      <c r="D91" s="501" t="inlineStr">
        <is>
          <t>Pintura vinílica interior</t>
        </is>
      </c>
      <c r="E91" s="502" t="inlineStr">
        <is>
          <t>m²</t>
        </is>
      </c>
      <c r="F91" s="501" t="inlineStr">
        <is>
          <t>Largo × Ancho × N° elementos × repeticiones − deducciones</t>
        </is>
      </c>
      <c r="G91" s="662" t="n"/>
      <c r="H91" s="663" t="n"/>
    </row>
    <row r="92" ht="15" customFormat="1" customHeight="1" s="268">
      <c r="A92" s="500" t="inlineStr">
        <is>
          <t>10.01.02</t>
        </is>
      </c>
      <c r="B92" s="501" t="inlineStr">
        <is>
          <t>Pintura</t>
        </is>
      </c>
      <c r="C92" s="501" t="inlineStr">
        <is>
          <t>Vinilo exterior</t>
        </is>
      </c>
      <c r="D92" s="501" t="inlineStr">
        <is>
          <t>Pintura exterior</t>
        </is>
      </c>
      <c r="E92" s="502" t="inlineStr">
        <is>
          <t>m²</t>
        </is>
      </c>
      <c r="F92" s="501" t="inlineStr">
        <is>
          <t>Largo × Ancho × N° elementos × repeticiones − deducciones</t>
        </is>
      </c>
      <c r="G92" s="662" t="n"/>
      <c r="H92" s="663" t="n"/>
    </row>
    <row r="93" ht="15" customFormat="1" customHeight="1" s="268">
      <c r="A93" s="500" t="inlineStr">
        <is>
          <t>10.01.03</t>
        </is>
      </c>
      <c r="B93" s="501" t="inlineStr">
        <is>
          <t>Pintura</t>
        </is>
      </c>
      <c r="C93" s="501" t="inlineStr">
        <is>
          <t>Esmalte</t>
        </is>
      </c>
      <c r="D93" s="501" t="inlineStr">
        <is>
          <t>Pintura esmalte en superficies metálicas/madera</t>
        </is>
      </c>
      <c r="E93" s="502" t="inlineStr">
        <is>
          <t>m²</t>
        </is>
      </c>
      <c r="F93" s="501" t="inlineStr">
        <is>
          <t>Largo × Ancho × N° elementos × repeticiones − deducciones</t>
        </is>
      </c>
      <c r="G93" s="662" t="n"/>
      <c r="H93" s="663" t="n"/>
    </row>
    <row r="94" ht="15" customFormat="1" customHeight="1" s="268">
      <c r="A94" s="500" t="inlineStr">
        <is>
          <t>10.01.04</t>
        </is>
      </c>
      <c r="B94" s="501" t="inlineStr">
        <is>
          <t>Pintura</t>
        </is>
      </c>
      <c r="C94" s="501" t="inlineStr">
        <is>
          <t>Anticorrosivo</t>
        </is>
      </c>
      <c r="D94" s="501" t="inlineStr">
        <is>
          <t>Pintura anticorrosiva</t>
        </is>
      </c>
      <c r="E94" s="502" t="inlineStr">
        <is>
          <t>m²</t>
        </is>
      </c>
      <c r="F94" s="501" t="inlineStr">
        <is>
          <t>Largo × Ancho × N° elementos × repeticiones − deducciones</t>
        </is>
      </c>
      <c r="G94" s="662" t="n"/>
      <c r="H94" s="663" t="n"/>
    </row>
    <row r="95" ht="15" customFormat="1" customHeight="1" s="268">
      <c r="A95" s="500" t="inlineStr">
        <is>
          <t>10.01.05</t>
        </is>
      </c>
      <c r="B95" s="501" t="inlineStr">
        <is>
          <t>Pintura</t>
        </is>
      </c>
      <c r="C95" s="501" t="inlineStr">
        <is>
          <t>Sellador</t>
        </is>
      </c>
      <c r="D95" s="501" t="inlineStr">
        <is>
          <t>Sellador / imprimante</t>
        </is>
      </c>
      <c r="E95" s="502" t="inlineStr">
        <is>
          <t>m²</t>
        </is>
      </c>
      <c r="F95" s="501" t="inlineStr">
        <is>
          <t>Largo × Ancho × N° elementos × repeticiones − deducciones</t>
        </is>
      </c>
      <c r="G95" s="662" t="n"/>
      <c r="H95" s="663" t="n"/>
    </row>
    <row r="96" ht="15" customFormat="1" customHeight="1" s="268">
      <c r="A96" s="1309" t="inlineStr">
        <is>
          <t>11  |  CARPINTERÍA</t>
        </is>
      </c>
      <c r="B96" s="545" t="n"/>
      <c r="C96" s="545" t="n"/>
      <c r="D96" s="545" t="n"/>
      <c r="E96" s="545" t="n"/>
      <c r="F96" s="545" t="n"/>
      <c r="G96" s="545" t="n"/>
      <c r="H96" s="1023" t="n"/>
    </row>
    <row r="97" ht="15" customFormat="1" customHeight="1" s="268">
      <c r="A97" s="500" t="inlineStr">
        <is>
          <t>11.01.01</t>
        </is>
      </c>
      <c r="B97" s="501" t="inlineStr">
        <is>
          <t>Madera</t>
        </is>
      </c>
      <c r="C97" s="501" t="inlineStr">
        <is>
          <t>Puertas madera</t>
        </is>
      </c>
      <c r="D97" s="501" t="inlineStr">
        <is>
          <t>Puertas de madera</t>
        </is>
      </c>
      <c r="E97" s="502" t="inlineStr">
        <is>
          <t>und</t>
        </is>
      </c>
      <c r="F97" s="501" t="inlineStr">
        <is>
          <t>N° elementos × repeticiones − deducciones</t>
        </is>
      </c>
      <c r="G97" s="662" t="n"/>
      <c r="H97" s="663" t="n"/>
    </row>
    <row r="98" ht="15" customFormat="1" customHeight="1" s="268">
      <c r="A98" s="500" t="inlineStr">
        <is>
          <t>11.01.02</t>
        </is>
      </c>
      <c r="B98" s="501" t="inlineStr">
        <is>
          <t>Madera</t>
        </is>
      </c>
      <c r="C98" s="501" t="inlineStr">
        <is>
          <t>Muebles</t>
        </is>
      </c>
      <c r="D98" s="501" t="inlineStr">
        <is>
          <t>Muebles fijos de madera</t>
        </is>
      </c>
      <c r="E98" s="502" t="inlineStr">
        <is>
          <t>ml</t>
        </is>
      </c>
      <c r="F98" s="501" t="inlineStr">
        <is>
          <t>Longitud × N° elementos × repeticiones − deducciones</t>
        </is>
      </c>
      <c r="G98" s="662" t="n"/>
      <c r="H98" s="663" t="n"/>
    </row>
    <row r="99" ht="15" customFormat="1" customHeight="1" s="268">
      <c r="A99" s="500" t="inlineStr">
        <is>
          <t>11.02.01</t>
        </is>
      </c>
      <c r="B99" s="501" t="inlineStr">
        <is>
          <t>Metálica</t>
        </is>
      </c>
      <c r="C99" s="501" t="inlineStr">
        <is>
          <t>Puertas metálicas</t>
        </is>
      </c>
      <c r="D99" s="501" t="inlineStr">
        <is>
          <t>Puertas metálicas</t>
        </is>
      </c>
      <c r="E99" s="502" t="inlineStr">
        <is>
          <t>und</t>
        </is>
      </c>
      <c r="F99" s="501" t="inlineStr">
        <is>
          <t>N° elementos × repeticiones − deducciones</t>
        </is>
      </c>
      <c r="G99" s="662" t="n"/>
      <c r="H99" s="663" t="n"/>
    </row>
    <row r="100" ht="15" customFormat="1" customHeight="1" s="268">
      <c r="A100" s="500" t="inlineStr">
        <is>
          <t>11.02.02</t>
        </is>
      </c>
      <c r="B100" s="501" t="inlineStr">
        <is>
          <t>Metálica</t>
        </is>
      </c>
      <c r="C100" s="501" t="inlineStr">
        <is>
          <t>Barandas</t>
        </is>
      </c>
      <c r="D100" s="501" t="inlineStr">
        <is>
          <t>Barandas metálicas</t>
        </is>
      </c>
      <c r="E100" s="502" t="inlineStr">
        <is>
          <t>ml</t>
        </is>
      </c>
      <c r="F100" s="501" t="inlineStr">
        <is>
          <t>Longitud × N° elementos × repeticiones − deducciones</t>
        </is>
      </c>
      <c r="G100" s="662" t="n"/>
      <c r="H100" s="663" t="n"/>
    </row>
    <row r="101" ht="15" customFormat="1" customHeight="1" s="268">
      <c r="A101" s="500" t="inlineStr">
        <is>
          <t>11.02.03</t>
        </is>
      </c>
      <c r="B101" s="501" t="inlineStr">
        <is>
          <t>Metálica</t>
        </is>
      </c>
      <c r="C101" s="501" t="inlineStr">
        <is>
          <t>Pasamanos</t>
        </is>
      </c>
      <c r="D101" s="501" t="inlineStr">
        <is>
          <t>Pasamanos</t>
        </is>
      </c>
      <c r="E101" s="502" t="inlineStr">
        <is>
          <t>ml</t>
        </is>
      </c>
      <c r="F101" s="501" t="inlineStr">
        <is>
          <t>Longitud × N° elementos × repeticiones − deducciones</t>
        </is>
      </c>
      <c r="G101" s="662" t="n"/>
      <c r="H101" s="663" t="n"/>
    </row>
    <row r="102" ht="15" customFormat="1" customHeight="1" s="268">
      <c r="A102" s="500" t="inlineStr">
        <is>
          <t>11.03.01</t>
        </is>
      </c>
      <c r="B102" s="501" t="inlineStr">
        <is>
          <t>Aluminio</t>
        </is>
      </c>
      <c r="C102" s="501" t="inlineStr">
        <is>
          <t>Ventanas</t>
        </is>
      </c>
      <c r="D102" s="501" t="inlineStr">
        <is>
          <t>Ventanas de aluminio</t>
        </is>
      </c>
      <c r="E102" s="502" t="inlineStr">
        <is>
          <t>m²</t>
        </is>
      </c>
      <c r="F102" s="501" t="inlineStr">
        <is>
          <t>Largo × Ancho × N° elementos × repeticiones − deducciones</t>
        </is>
      </c>
      <c r="G102" s="662" t="n"/>
      <c r="H102" s="663" t="n"/>
    </row>
    <row r="103" ht="15" customFormat="1" customHeight="1" s="268">
      <c r="A103" s="500" t="inlineStr">
        <is>
          <t>11.03.02</t>
        </is>
      </c>
      <c r="B103" s="501" t="inlineStr">
        <is>
          <t>Aluminio</t>
        </is>
      </c>
      <c r="C103" s="501" t="inlineStr">
        <is>
          <t>Divisiones</t>
        </is>
      </c>
      <c r="D103" s="501" t="inlineStr">
        <is>
          <t>Divisiones de aluminio</t>
        </is>
      </c>
      <c r="E103" s="502" t="inlineStr">
        <is>
          <t>m²</t>
        </is>
      </c>
      <c r="F103" s="501" t="inlineStr">
        <is>
          <t>Largo × Ancho × N° elementos × repeticiones − deducciones</t>
        </is>
      </c>
      <c r="G103" s="662" t="n"/>
      <c r="H103" s="663" t="n"/>
    </row>
    <row r="104" ht="15" customFormat="1" customHeight="1" s="268">
      <c r="A104" s="1309" t="inlineStr">
        <is>
          <t>12  |  VIDRIOS</t>
        </is>
      </c>
      <c r="B104" s="545" t="n"/>
      <c r="C104" s="545" t="n"/>
      <c r="D104" s="545" t="n"/>
      <c r="E104" s="545" t="n"/>
      <c r="F104" s="545" t="n"/>
      <c r="G104" s="545" t="n"/>
      <c r="H104" s="1023" t="n"/>
    </row>
    <row r="105" ht="15" customFormat="1" customHeight="1" s="268">
      <c r="A105" s="500" t="inlineStr">
        <is>
          <t>12.01.01</t>
        </is>
      </c>
      <c r="B105" s="501" t="inlineStr">
        <is>
          <t>Vidriería</t>
        </is>
      </c>
      <c r="C105" s="501" t="inlineStr">
        <is>
          <t>Vidrio templado</t>
        </is>
      </c>
      <c r="D105" s="501" t="inlineStr">
        <is>
          <t>Vidrio templado</t>
        </is>
      </c>
      <c r="E105" s="502" t="inlineStr">
        <is>
          <t>m²</t>
        </is>
      </c>
      <c r="F105" s="501" t="inlineStr">
        <is>
          <t>Largo × Ancho × N° elementos × repeticiones − deducciones</t>
        </is>
      </c>
      <c r="G105" s="662" t="n"/>
      <c r="H105" s="663" t="n"/>
    </row>
    <row r="106" ht="15" customFormat="1" customHeight="1" s="268">
      <c r="A106" s="500" t="inlineStr">
        <is>
          <t>12.01.02</t>
        </is>
      </c>
      <c r="B106" s="501" t="inlineStr">
        <is>
          <t>Vidriería</t>
        </is>
      </c>
      <c r="C106" s="501" t="inlineStr">
        <is>
          <t>Vidrio laminado</t>
        </is>
      </c>
      <c r="D106" s="501" t="inlineStr">
        <is>
          <t>Vidrio laminado</t>
        </is>
      </c>
      <c r="E106" s="502" t="inlineStr">
        <is>
          <t>m²</t>
        </is>
      </c>
      <c r="F106" s="501" t="inlineStr">
        <is>
          <t>Largo × Ancho × N° elementos × repeticiones − deducciones</t>
        </is>
      </c>
      <c r="G106" s="662" t="n"/>
      <c r="H106" s="663" t="n"/>
    </row>
    <row r="107" ht="15" customFormat="1" customHeight="1" s="268">
      <c r="A107" s="500" t="inlineStr">
        <is>
          <t>12.01.03</t>
        </is>
      </c>
      <c r="B107" s="501" t="inlineStr">
        <is>
          <t>Vidriería</t>
        </is>
      </c>
      <c r="C107" s="501" t="inlineStr">
        <is>
          <t>Espejos</t>
        </is>
      </c>
      <c r="D107" s="501" t="inlineStr">
        <is>
          <t>Espejos</t>
        </is>
      </c>
      <c r="E107" s="502" t="inlineStr">
        <is>
          <t>m²</t>
        </is>
      </c>
      <c r="F107" s="501" t="inlineStr">
        <is>
          <t>Largo × Ancho × N° elementos × repeticiones − deducciones</t>
        </is>
      </c>
      <c r="G107" s="662" t="n"/>
      <c r="H107" s="663" t="n"/>
    </row>
    <row r="108" ht="15" customFormat="1" customHeight="1" s="268">
      <c r="A108" s="500" t="inlineStr">
        <is>
          <t>12.01.04</t>
        </is>
      </c>
      <c r="B108" s="501" t="inlineStr">
        <is>
          <t>Vidriería</t>
        </is>
      </c>
      <c r="C108" s="501" t="inlineStr">
        <is>
          <t>Sellos</t>
        </is>
      </c>
      <c r="D108" s="501" t="inlineStr">
        <is>
          <t>Sellos y silicona</t>
        </is>
      </c>
      <c r="E108" s="502" t="inlineStr">
        <is>
          <t>ml</t>
        </is>
      </c>
      <c r="F108" s="501" t="inlineStr">
        <is>
          <t>Longitud × N° elementos × repeticiones − deducciones</t>
        </is>
      </c>
      <c r="G108" s="662" t="n"/>
      <c r="H108" s="663" t="n"/>
    </row>
    <row r="109" ht="15" customFormat="1" customHeight="1" s="268">
      <c r="A109" s="1309" t="inlineStr">
        <is>
          <t>13  |  INSTALACIONES HIDROSANITARIAS</t>
        </is>
      </c>
      <c r="B109" s="545" t="n"/>
      <c r="C109" s="545" t="n"/>
      <c r="D109" s="545" t="n"/>
      <c r="E109" s="545" t="n"/>
      <c r="F109" s="545" t="n"/>
      <c r="G109" s="545" t="n"/>
      <c r="H109" s="1023" t="n"/>
    </row>
    <row r="110" ht="15" customFormat="1" customHeight="1" s="268">
      <c r="A110" s="500" t="inlineStr">
        <is>
          <t>13.01.01</t>
        </is>
      </c>
      <c r="B110" s="501" t="inlineStr">
        <is>
          <t>Agua potable</t>
        </is>
      </c>
      <c r="C110" s="501" t="inlineStr">
        <is>
          <t>Red agua fría</t>
        </is>
      </c>
      <c r="D110" s="501" t="inlineStr">
        <is>
          <t>Tubería de agua fría</t>
        </is>
      </c>
      <c r="E110" s="502" t="inlineStr">
        <is>
          <t>ml</t>
        </is>
      </c>
      <c r="F110" s="501" t="inlineStr">
        <is>
          <t>Longitud × N° elementos × repeticiones − deducciones</t>
        </is>
      </c>
      <c r="G110" s="662" t="n"/>
      <c r="H110" s="663" t="n"/>
    </row>
    <row r="111" ht="15" customFormat="1" customHeight="1" s="268">
      <c r="A111" s="500" t="inlineStr">
        <is>
          <t>13.01.02</t>
        </is>
      </c>
      <c r="B111" s="501" t="inlineStr">
        <is>
          <t>Agua potable</t>
        </is>
      </c>
      <c r="C111" s="501" t="inlineStr">
        <is>
          <t>Red agua caliente</t>
        </is>
      </c>
      <c r="D111" s="501" t="inlineStr">
        <is>
          <t>Tubería de agua caliente</t>
        </is>
      </c>
      <c r="E111" s="502" t="inlineStr">
        <is>
          <t>ml</t>
        </is>
      </c>
      <c r="F111" s="501" t="inlineStr">
        <is>
          <t>Longitud × N° elementos × repeticiones − deducciones</t>
        </is>
      </c>
      <c r="G111" s="662" t="n"/>
      <c r="H111" s="663" t="n"/>
    </row>
    <row r="112" ht="15" customFormat="1" customHeight="1" s="268">
      <c r="A112" s="500" t="inlineStr">
        <is>
          <t>13.01.03</t>
        </is>
      </c>
      <c r="B112" s="501" t="inlineStr">
        <is>
          <t>Agua potable</t>
        </is>
      </c>
      <c r="C112" s="501" t="inlineStr">
        <is>
          <t>Válvulas</t>
        </is>
      </c>
      <c r="D112" s="501" t="inlineStr">
        <is>
          <t>Válvulas y accesorios</t>
        </is>
      </c>
      <c r="E112" s="502" t="inlineStr">
        <is>
          <t>und</t>
        </is>
      </c>
      <c r="F112" s="501" t="inlineStr">
        <is>
          <t>N° elementos × repeticiones − deducciones</t>
        </is>
      </c>
      <c r="G112" s="662" t="n"/>
      <c r="H112" s="663" t="n"/>
    </row>
    <row r="113" ht="15" customFormat="1" customHeight="1" s="268">
      <c r="A113" s="500" t="inlineStr">
        <is>
          <t>13.02.01</t>
        </is>
      </c>
      <c r="B113" s="501" t="inlineStr">
        <is>
          <t>Desagües</t>
        </is>
      </c>
      <c r="C113" s="501" t="inlineStr">
        <is>
          <t>Red sanitaria</t>
        </is>
      </c>
      <c r="D113" s="501" t="inlineStr">
        <is>
          <t>Tubería sanitaria</t>
        </is>
      </c>
      <c r="E113" s="502" t="inlineStr">
        <is>
          <t>ml</t>
        </is>
      </c>
      <c r="F113" s="501" t="inlineStr">
        <is>
          <t>Longitud × N° elementos × repeticiones − deducciones</t>
        </is>
      </c>
      <c r="G113" s="662" t="n"/>
      <c r="H113" s="663" t="n"/>
    </row>
    <row r="114" ht="15" customFormat="1" customHeight="1" s="268">
      <c r="A114" s="500" t="inlineStr">
        <is>
          <t>13.02.02</t>
        </is>
      </c>
      <c r="B114" s="501" t="inlineStr">
        <is>
          <t>Desagües</t>
        </is>
      </c>
      <c r="C114" s="501" t="inlineStr">
        <is>
          <t>Red lluvias</t>
        </is>
      </c>
      <c r="D114" s="501" t="inlineStr">
        <is>
          <t>Tubería de aguas lluvias</t>
        </is>
      </c>
      <c r="E114" s="502" t="inlineStr">
        <is>
          <t>ml</t>
        </is>
      </c>
      <c r="F114" s="501" t="inlineStr">
        <is>
          <t>Longitud × N° elementos × repeticiones − deducciones</t>
        </is>
      </c>
      <c r="G114" s="662" t="n"/>
      <c r="H114" s="663" t="n"/>
    </row>
    <row r="115" ht="15" customFormat="1" customHeight="1" s="268">
      <c r="A115" s="500" t="inlineStr">
        <is>
          <t>13.02.03</t>
        </is>
      </c>
      <c r="B115" s="501" t="inlineStr">
        <is>
          <t>Desagües</t>
        </is>
      </c>
      <c r="C115" s="501" t="inlineStr">
        <is>
          <t>Cajas inspección</t>
        </is>
      </c>
      <c r="D115" s="501" t="inlineStr">
        <is>
          <t>Cajas de inspección</t>
        </is>
      </c>
      <c r="E115" s="502" t="inlineStr">
        <is>
          <t>und</t>
        </is>
      </c>
      <c r="F115" s="501" t="inlineStr">
        <is>
          <t>N° elementos × repeticiones − deducciones</t>
        </is>
      </c>
      <c r="G115" s="662" t="n"/>
      <c r="H115" s="663" t="n"/>
    </row>
    <row r="116" ht="15" customFormat="1" customHeight="1" s="268">
      <c r="A116" s="500" t="inlineStr">
        <is>
          <t>13.03.01</t>
        </is>
      </c>
      <c r="B116" s="501" t="inlineStr">
        <is>
          <t>Aparatos</t>
        </is>
      </c>
      <c r="C116" s="501" t="inlineStr">
        <is>
          <t>Sanitarios</t>
        </is>
      </c>
      <c r="D116" s="501" t="inlineStr">
        <is>
          <t>Aparatos sanitarios</t>
        </is>
      </c>
      <c r="E116" s="502" t="inlineStr">
        <is>
          <t>und</t>
        </is>
      </c>
      <c r="F116" s="501" t="inlineStr">
        <is>
          <t>N° elementos × repeticiones − deducciones</t>
        </is>
      </c>
      <c r="G116" s="662" t="n"/>
      <c r="H116" s="663" t="n"/>
    </row>
    <row r="117" ht="15" customFormat="1" customHeight="1" s="268">
      <c r="A117" s="500" t="inlineStr">
        <is>
          <t>13.03.02</t>
        </is>
      </c>
      <c r="B117" s="501" t="inlineStr">
        <is>
          <t>Aparatos</t>
        </is>
      </c>
      <c r="C117" s="501" t="inlineStr">
        <is>
          <t>Lavamanos</t>
        </is>
      </c>
      <c r="D117" s="501" t="inlineStr">
        <is>
          <t>Lavamanos</t>
        </is>
      </c>
      <c r="E117" s="502" t="inlineStr">
        <is>
          <t>und</t>
        </is>
      </c>
      <c r="F117" s="501" t="inlineStr">
        <is>
          <t>N° elementos × repeticiones − deducciones</t>
        </is>
      </c>
      <c r="G117" s="662" t="n"/>
      <c r="H117" s="663" t="n"/>
    </row>
    <row r="118" ht="15" customFormat="1" customHeight="1" s="268">
      <c r="A118" s="500" t="inlineStr">
        <is>
          <t>13.03.03</t>
        </is>
      </c>
      <c r="B118" s="501" t="inlineStr">
        <is>
          <t>Aparatos</t>
        </is>
      </c>
      <c r="C118" s="501" t="inlineStr">
        <is>
          <t>Griferías</t>
        </is>
      </c>
      <c r="D118" s="501" t="inlineStr">
        <is>
          <t>Griferías</t>
        </is>
      </c>
      <c r="E118" s="502" t="inlineStr">
        <is>
          <t>und</t>
        </is>
      </c>
      <c r="F118" s="501" t="inlineStr">
        <is>
          <t>N° elementos × repeticiones − deducciones</t>
        </is>
      </c>
      <c r="G118" s="662" t="n"/>
      <c r="H118" s="663" t="n"/>
    </row>
    <row r="119" ht="15" customFormat="1" customHeight="1" s="268">
      <c r="A119" s="500" t="inlineStr">
        <is>
          <t>13.03.04</t>
        </is>
      </c>
      <c r="B119" s="501" t="inlineStr">
        <is>
          <t>Aparatos</t>
        </is>
      </c>
      <c r="C119" s="501" t="inlineStr">
        <is>
          <t>Duchas</t>
        </is>
      </c>
      <c r="D119" s="501" t="inlineStr">
        <is>
          <t>Duchas</t>
        </is>
      </c>
      <c r="E119" s="502" t="inlineStr">
        <is>
          <t>und</t>
        </is>
      </c>
      <c r="F119" s="501" t="inlineStr">
        <is>
          <t>N° elementos × repeticiones − deducciones</t>
        </is>
      </c>
      <c r="G119" s="662" t="n"/>
      <c r="H119" s="663" t="n"/>
    </row>
    <row r="120" ht="15" customFormat="1" customHeight="1" s="268">
      <c r="A120" s="500" t="inlineStr">
        <is>
          <t>13.04.01</t>
        </is>
      </c>
      <c r="B120" s="501" t="inlineStr">
        <is>
          <t>Pruebas</t>
        </is>
      </c>
      <c r="C120" s="501" t="inlineStr">
        <is>
          <t>Prueba hidráulica</t>
        </is>
      </c>
      <c r="D120" s="501" t="inlineStr">
        <is>
          <t>Pruebas hidráulicas y de estanqueidad</t>
        </is>
      </c>
      <c r="E120" s="502" t="inlineStr">
        <is>
          <t>gl</t>
        </is>
      </c>
      <c r="F120" s="501" t="inlineStr">
        <is>
          <t>Según alcance contractual / presupuesto</t>
        </is>
      </c>
      <c r="G120" s="662" t="n"/>
      <c r="H120" s="663" t="n"/>
    </row>
    <row r="121" ht="15" customFormat="1" customHeight="1" s="268">
      <c r="A121" s="1309" t="inlineStr">
        <is>
          <t>14  |  INSTALACIONES ELÉCTRICAS</t>
        </is>
      </c>
      <c r="B121" s="545" t="n"/>
      <c r="C121" s="545" t="n"/>
      <c r="D121" s="545" t="n"/>
      <c r="E121" s="545" t="n"/>
      <c r="F121" s="545" t="n"/>
      <c r="G121" s="545" t="n"/>
      <c r="H121" s="1023" t="n"/>
    </row>
    <row r="122" ht="15" customFormat="1" customHeight="1" s="268">
      <c r="A122" s="500" t="inlineStr">
        <is>
          <t>14.01.01</t>
        </is>
      </c>
      <c r="B122" s="501" t="inlineStr">
        <is>
          <t>Canalizaciones</t>
        </is>
      </c>
      <c r="C122" s="501" t="inlineStr">
        <is>
          <t>Tubería eléctrica</t>
        </is>
      </c>
      <c r="D122" s="501" t="inlineStr">
        <is>
          <t>Tubería/conduit eléctrica</t>
        </is>
      </c>
      <c r="E122" s="502" t="inlineStr">
        <is>
          <t>ml</t>
        </is>
      </c>
      <c r="F122" s="501" t="inlineStr">
        <is>
          <t>Longitud × N° elementos × repeticiones − deducciones</t>
        </is>
      </c>
      <c r="G122" s="662" t="n"/>
      <c r="H122" s="663" t="n"/>
    </row>
    <row r="123" ht="15" customFormat="1" customHeight="1" s="268">
      <c r="A123" s="500" t="inlineStr">
        <is>
          <t>14.01.02</t>
        </is>
      </c>
      <c r="B123" s="501" t="inlineStr">
        <is>
          <t>Canalizaciones</t>
        </is>
      </c>
      <c r="C123" s="501" t="inlineStr">
        <is>
          <t>Bandejas</t>
        </is>
      </c>
      <c r="D123" s="501" t="inlineStr">
        <is>
          <t>Bandejas portacables</t>
        </is>
      </c>
      <c r="E123" s="502" t="inlineStr">
        <is>
          <t>ml</t>
        </is>
      </c>
      <c r="F123" s="501" t="inlineStr">
        <is>
          <t>Longitud × N° elementos × repeticiones − deducciones</t>
        </is>
      </c>
      <c r="G123" s="662" t="n"/>
      <c r="H123" s="663" t="n"/>
    </row>
    <row r="124" ht="15" customFormat="1" customHeight="1" s="268">
      <c r="A124" s="500" t="inlineStr">
        <is>
          <t>14.01.03</t>
        </is>
      </c>
      <c r="B124" s="501" t="inlineStr">
        <is>
          <t>Canalizaciones</t>
        </is>
      </c>
      <c r="C124" s="501" t="inlineStr">
        <is>
          <t>Cajas</t>
        </is>
      </c>
      <c r="D124" s="501" t="inlineStr">
        <is>
          <t>Cajas eléctricas</t>
        </is>
      </c>
      <c r="E124" s="502" t="inlineStr">
        <is>
          <t>und</t>
        </is>
      </c>
      <c r="F124" s="501" t="inlineStr">
        <is>
          <t>N° elementos × repeticiones − deducciones</t>
        </is>
      </c>
      <c r="G124" s="662" t="n"/>
      <c r="H124" s="663" t="n"/>
    </row>
    <row r="125" ht="15" customFormat="1" customHeight="1" s="268">
      <c r="A125" s="500" t="inlineStr">
        <is>
          <t>14.02.01</t>
        </is>
      </c>
      <c r="B125" s="501" t="inlineStr">
        <is>
          <t>Cableado</t>
        </is>
      </c>
      <c r="C125" s="501" t="inlineStr">
        <is>
          <t>Cableado fuerza</t>
        </is>
      </c>
      <c r="D125" s="501" t="inlineStr">
        <is>
          <t>Cableado de fuerza</t>
        </is>
      </c>
      <c r="E125" s="502" t="inlineStr">
        <is>
          <t>ml</t>
        </is>
      </c>
      <c r="F125" s="501" t="inlineStr">
        <is>
          <t>Longitud × N° elementos × repeticiones − deducciones</t>
        </is>
      </c>
      <c r="G125" s="662" t="n"/>
      <c r="H125" s="663" t="n"/>
    </row>
    <row r="126" ht="15" customFormat="1" customHeight="1" s="268">
      <c r="A126" s="500" t="inlineStr">
        <is>
          <t>14.02.02</t>
        </is>
      </c>
      <c r="B126" s="501" t="inlineStr">
        <is>
          <t>Cableado</t>
        </is>
      </c>
      <c r="C126" s="501" t="inlineStr">
        <is>
          <t>Cableado iluminación</t>
        </is>
      </c>
      <c r="D126" s="501" t="inlineStr">
        <is>
          <t>Cableado de iluminación</t>
        </is>
      </c>
      <c r="E126" s="502" t="inlineStr">
        <is>
          <t>ml</t>
        </is>
      </c>
      <c r="F126" s="501" t="inlineStr">
        <is>
          <t>Longitud × N° elementos × repeticiones − deducciones</t>
        </is>
      </c>
      <c r="G126" s="662" t="n"/>
      <c r="H126" s="663" t="n"/>
    </row>
    <row r="127" ht="15" customFormat="1" customHeight="1" s="268">
      <c r="A127" s="500" t="inlineStr">
        <is>
          <t>14.02.03</t>
        </is>
      </c>
      <c r="B127" s="501" t="inlineStr">
        <is>
          <t>Cableado</t>
        </is>
      </c>
      <c r="C127" s="501" t="inlineStr">
        <is>
          <t>Tableros</t>
        </is>
      </c>
      <c r="D127" s="501" t="inlineStr">
        <is>
          <t>Tableros eléctricos</t>
        </is>
      </c>
      <c r="E127" s="502" t="inlineStr">
        <is>
          <t>und</t>
        </is>
      </c>
      <c r="F127" s="501" t="inlineStr">
        <is>
          <t>N° elementos × repeticiones − deducciones</t>
        </is>
      </c>
      <c r="G127" s="662" t="n"/>
      <c r="H127" s="663" t="n"/>
    </row>
    <row r="128" ht="15" customFormat="1" customHeight="1" s="268">
      <c r="A128" s="500" t="inlineStr">
        <is>
          <t>14.03.01</t>
        </is>
      </c>
      <c r="B128" s="501" t="inlineStr">
        <is>
          <t>Aparatos</t>
        </is>
      </c>
      <c r="C128" s="501" t="inlineStr">
        <is>
          <t>Tomacorrientes</t>
        </is>
      </c>
      <c r="D128" s="501" t="inlineStr">
        <is>
          <t>Tomacorrientes</t>
        </is>
      </c>
      <c r="E128" s="502" t="inlineStr">
        <is>
          <t>und</t>
        </is>
      </c>
      <c r="F128" s="501" t="inlineStr">
        <is>
          <t>N° elementos × repeticiones − deducciones</t>
        </is>
      </c>
      <c r="G128" s="662" t="n"/>
      <c r="H128" s="663" t="n"/>
    </row>
    <row r="129" ht="15" customFormat="1" customHeight="1" s="268">
      <c r="A129" s="500" t="inlineStr">
        <is>
          <t>14.03.02</t>
        </is>
      </c>
      <c r="B129" s="501" t="inlineStr">
        <is>
          <t>Aparatos</t>
        </is>
      </c>
      <c r="C129" s="501" t="inlineStr">
        <is>
          <t>Interruptores</t>
        </is>
      </c>
      <c r="D129" s="501" t="inlineStr">
        <is>
          <t>Interruptores</t>
        </is>
      </c>
      <c r="E129" s="502" t="inlineStr">
        <is>
          <t>und</t>
        </is>
      </c>
      <c r="F129" s="501" t="inlineStr">
        <is>
          <t>N° elementos × repeticiones − deducciones</t>
        </is>
      </c>
      <c r="G129" s="662" t="n"/>
      <c r="H129" s="663" t="n"/>
    </row>
    <row r="130" ht="15" customFormat="1" customHeight="1" s="268">
      <c r="A130" s="500" t="inlineStr">
        <is>
          <t>14.03.03</t>
        </is>
      </c>
      <c r="B130" s="501" t="inlineStr">
        <is>
          <t>Aparatos</t>
        </is>
      </c>
      <c r="C130" s="501" t="inlineStr">
        <is>
          <t>Luminarias</t>
        </is>
      </c>
      <c r="D130" s="501" t="inlineStr">
        <is>
          <t>Luminarias</t>
        </is>
      </c>
      <c r="E130" s="502" t="inlineStr">
        <is>
          <t>und</t>
        </is>
      </c>
      <c r="F130" s="501" t="inlineStr">
        <is>
          <t>N° elementos × repeticiones − deducciones</t>
        </is>
      </c>
      <c r="G130" s="662" t="n"/>
      <c r="H130" s="663" t="n"/>
    </row>
    <row r="131" ht="15" customFormat="1" customHeight="1" s="268">
      <c r="A131" s="500" t="inlineStr">
        <is>
          <t>14.04.01</t>
        </is>
      </c>
      <c r="B131" s="501" t="inlineStr">
        <is>
          <t>Puesta a tierra</t>
        </is>
      </c>
      <c r="C131" s="501" t="inlineStr">
        <is>
          <t>Sistema puesta a tierra</t>
        </is>
      </c>
      <c r="D131" s="501" t="inlineStr">
        <is>
          <t>Sistema de puesta a tierra</t>
        </is>
      </c>
      <c r="E131" s="502" t="inlineStr">
        <is>
          <t>gl</t>
        </is>
      </c>
      <c r="F131" s="501" t="inlineStr">
        <is>
          <t>Según alcance contractual / presupuesto</t>
        </is>
      </c>
      <c r="G131" s="662" t="n"/>
      <c r="H131" s="663" t="n"/>
    </row>
    <row r="132" ht="15" customFormat="1" customHeight="1" s="268">
      <c r="A132" s="500" t="inlineStr">
        <is>
          <t>14.05.01</t>
        </is>
      </c>
      <c r="B132" s="501" t="inlineStr">
        <is>
          <t>Pruebas</t>
        </is>
      </c>
      <c r="C132" s="501" t="inlineStr">
        <is>
          <t>Pruebas eléctricas</t>
        </is>
      </c>
      <c r="D132" s="501" t="inlineStr">
        <is>
          <t>Pruebas y certificaciones</t>
        </is>
      </c>
      <c r="E132" s="502" t="inlineStr">
        <is>
          <t>gl</t>
        </is>
      </c>
      <c r="F132" s="501" t="inlineStr">
        <is>
          <t>Según alcance contractual / presupuesto</t>
        </is>
      </c>
      <c r="G132" s="662" t="n"/>
      <c r="H132" s="663" t="n"/>
    </row>
    <row r="133" ht="15" customFormat="1" customHeight="1" s="268">
      <c r="A133" s="1309" t="inlineStr">
        <is>
          <t>15  |  COMUNICACIONES Y SEGURIDAD</t>
        </is>
      </c>
      <c r="B133" s="545" t="n"/>
      <c r="C133" s="545" t="n"/>
      <c r="D133" s="545" t="n"/>
      <c r="E133" s="545" t="n"/>
      <c r="F133" s="545" t="n"/>
      <c r="G133" s="545" t="n"/>
      <c r="H133" s="1023" t="n"/>
    </row>
    <row r="134" ht="15" customFormat="1" customHeight="1" s="268">
      <c r="A134" s="500" t="inlineStr">
        <is>
          <t>15.01.01</t>
        </is>
      </c>
      <c r="B134" s="501" t="inlineStr">
        <is>
          <t>Datos</t>
        </is>
      </c>
      <c r="C134" s="501" t="inlineStr">
        <is>
          <t>Red de datos</t>
        </is>
      </c>
      <c r="D134" s="501" t="inlineStr">
        <is>
          <t>Cableado estructurado de datos</t>
        </is>
      </c>
      <c r="E134" s="502" t="inlineStr">
        <is>
          <t>ml</t>
        </is>
      </c>
      <c r="F134" s="501" t="inlineStr">
        <is>
          <t>Longitud × N° elementos × repeticiones − deducciones</t>
        </is>
      </c>
      <c r="G134" s="662" t="n"/>
      <c r="H134" s="663" t="n"/>
    </row>
    <row r="135" ht="15" customFormat="1" customHeight="1" s="268">
      <c r="A135" s="500" t="inlineStr">
        <is>
          <t>15.01.02</t>
        </is>
      </c>
      <c r="B135" s="501" t="inlineStr">
        <is>
          <t>Datos</t>
        </is>
      </c>
      <c r="C135" s="501" t="inlineStr">
        <is>
          <t>Rack</t>
        </is>
      </c>
      <c r="D135" s="501" t="inlineStr">
        <is>
          <t>Rack de comunicaciones</t>
        </is>
      </c>
      <c r="E135" s="502" t="inlineStr">
        <is>
          <t>und</t>
        </is>
      </c>
      <c r="F135" s="501" t="inlineStr">
        <is>
          <t>N° elementos × repeticiones − deducciones</t>
        </is>
      </c>
      <c r="G135" s="662" t="n"/>
      <c r="H135" s="663" t="n"/>
    </row>
    <row r="136" ht="15" customFormat="1" customHeight="1" s="268">
      <c r="A136" s="500" t="inlineStr">
        <is>
          <t>15.02.01</t>
        </is>
      </c>
      <c r="B136" s="501" t="inlineStr">
        <is>
          <t>Seguridad</t>
        </is>
      </c>
      <c r="C136" s="501" t="inlineStr">
        <is>
          <t>CCTV</t>
        </is>
      </c>
      <c r="D136" s="501" t="inlineStr">
        <is>
          <t>Cámaras y sistema CCTV</t>
        </is>
      </c>
      <c r="E136" s="502" t="inlineStr">
        <is>
          <t>und</t>
        </is>
      </c>
      <c r="F136" s="501" t="inlineStr">
        <is>
          <t>N° elementos × repeticiones − deducciones</t>
        </is>
      </c>
      <c r="G136" s="662" t="n"/>
      <c r="H136" s="663" t="n"/>
    </row>
    <row r="137" ht="15" customFormat="1" customHeight="1" s="268">
      <c r="A137" s="500" t="inlineStr">
        <is>
          <t>15.02.02</t>
        </is>
      </c>
      <c r="B137" s="501" t="inlineStr">
        <is>
          <t>Seguridad</t>
        </is>
      </c>
      <c r="C137" s="501" t="inlineStr">
        <is>
          <t>Control acceso</t>
        </is>
      </c>
      <c r="D137" s="501" t="inlineStr">
        <is>
          <t>Control de acceso</t>
        </is>
      </c>
      <c r="E137" s="502" t="inlineStr">
        <is>
          <t>und</t>
        </is>
      </c>
      <c r="F137" s="501" t="inlineStr">
        <is>
          <t>N° elementos × repeticiones − deducciones</t>
        </is>
      </c>
      <c r="G137" s="662" t="n"/>
      <c r="H137" s="663" t="n"/>
    </row>
    <row r="138" ht="15" customFormat="1" customHeight="1" s="268">
      <c r="A138" s="500" t="inlineStr">
        <is>
          <t>15.02.03</t>
        </is>
      </c>
      <c r="B138" s="501" t="inlineStr">
        <is>
          <t>Seguridad</t>
        </is>
      </c>
      <c r="C138" s="501" t="inlineStr">
        <is>
          <t>Citofonía</t>
        </is>
      </c>
      <c r="D138" s="501" t="inlineStr">
        <is>
          <t>Sistema de citofonía</t>
        </is>
      </c>
      <c r="E138" s="502" t="inlineStr">
        <is>
          <t>und</t>
        </is>
      </c>
      <c r="F138" s="501" t="inlineStr">
        <is>
          <t>N° elementos × repeticiones − deducciones</t>
        </is>
      </c>
      <c r="G138" s="662" t="n"/>
      <c r="H138" s="663" t="n"/>
    </row>
    <row r="139" ht="15" customFormat="1" customHeight="1" s="268">
      <c r="A139" s="500" t="inlineStr">
        <is>
          <t>15.03.01</t>
        </is>
      </c>
      <c r="B139" s="501" t="inlineStr">
        <is>
          <t>Detección</t>
        </is>
      </c>
      <c r="C139" s="501" t="inlineStr">
        <is>
          <t>Detección incendios</t>
        </is>
      </c>
      <c r="D139" s="501" t="inlineStr">
        <is>
          <t>Sistema de detección de incendios</t>
        </is>
      </c>
      <c r="E139" s="502" t="inlineStr">
        <is>
          <t>gl</t>
        </is>
      </c>
      <c r="F139" s="501" t="inlineStr">
        <is>
          <t>Según alcance contractual / presupuesto</t>
        </is>
      </c>
      <c r="G139" s="662" t="n"/>
      <c r="H139" s="663" t="n"/>
    </row>
    <row r="140" ht="15" customFormat="1" customHeight="1" s="268">
      <c r="A140" s="1309" t="inlineStr">
        <is>
          <t>16  |  CLIMATIZACIÓN Y VENTILACIÓN</t>
        </is>
      </c>
      <c r="B140" s="545" t="n"/>
      <c r="C140" s="545" t="n"/>
      <c r="D140" s="545" t="n"/>
      <c r="E140" s="545" t="n"/>
      <c r="F140" s="545" t="n"/>
      <c r="G140" s="545" t="n"/>
      <c r="H140" s="1023" t="n"/>
    </row>
    <row r="141" ht="15" customFormat="1" customHeight="1" s="268">
      <c r="A141" s="500" t="inlineStr">
        <is>
          <t>16.01.01</t>
        </is>
      </c>
      <c r="B141" s="501" t="inlineStr">
        <is>
          <t>HVAC</t>
        </is>
      </c>
      <c r="C141" s="501" t="inlineStr">
        <is>
          <t>Equipos</t>
        </is>
      </c>
      <c r="D141" s="501" t="inlineStr">
        <is>
          <t>Equipos de aire acondicionado</t>
        </is>
      </c>
      <c r="E141" s="502" t="inlineStr">
        <is>
          <t>und</t>
        </is>
      </c>
      <c r="F141" s="501" t="inlineStr">
        <is>
          <t>N° elementos × repeticiones − deducciones</t>
        </is>
      </c>
      <c r="G141" s="662" t="n"/>
      <c r="H141" s="663" t="n"/>
    </row>
    <row r="142" ht="15" customFormat="1" customHeight="1" s="268">
      <c r="A142" s="500" t="inlineStr">
        <is>
          <t>16.01.02</t>
        </is>
      </c>
      <c r="B142" s="501" t="inlineStr">
        <is>
          <t>HVAC</t>
        </is>
      </c>
      <c r="C142" s="501" t="inlineStr">
        <is>
          <t>Ductos</t>
        </is>
      </c>
      <c r="D142" s="501" t="inlineStr">
        <is>
          <t>Ductos de ventilación</t>
        </is>
      </c>
      <c r="E142" s="502" t="inlineStr">
        <is>
          <t>m²</t>
        </is>
      </c>
      <c r="F142" s="501" t="inlineStr">
        <is>
          <t>Largo × Ancho × N° elementos × repeticiones − deducciones</t>
        </is>
      </c>
      <c r="G142" s="662" t="n"/>
      <c r="H142" s="663" t="n"/>
    </row>
    <row r="143" ht="15" customFormat="1" customHeight="1" s="268">
      <c r="A143" s="500" t="inlineStr">
        <is>
          <t>16.01.03</t>
        </is>
      </c>
      <c r="B143" s="501" t="inlineStr">
        <is>
          <t>HVAC</t>
        </is>
      </c>
      <c r="C143" s="501" t="inlineStr">
        <is>
          <t>Tubería refrigerante</t>
        </is>
      </c>
      <c r="D143" s="501" t="inlineStr">
        <is>
          <t>Tubería de refrigerante</t>
        </is>
      </c>
      <c r="E143" s="502" t="inlineStr">
        <is>
          <t>ml</t>
        </is>
      </c>
      <c r="F143" s="501" t="inlineStr">
        <is>
          <t>Longitud × N° elementos × repeticiones − deducciones</t>
        </is>
      </c>
      <c r="G143" s="662" t="n"/>
      <c r="H143" s="663" t="n"/>
    </row>
    <row r="144" ht="15" customFormat="1" customHeight="1" s="268">
      <c r="A144" s="500" t="inlineStr">
        <is>
          <t>16.01.04</t>
        </is>
      </c>
      <c r="B144" s="501" t="inlineStr">
        <is>
          <t>HVAC</t>
        </is>
      </c>
      <c r="C144" s="501" t="inlineStr">
        <is>
          <t>Rejillas</t>
        </is>
      </c>
      <c r="D144" s="501" t="inlineStr">
        <is>
          <t>Rejillas y difusores</t>
        </is>
      </c>
      <c r="E144" s="502" t="inlineStr">
        <is>
          <t>und</t>
        </is>
      </c>
      <c r="F144" s="501" t="inlineStr">
        <is>
          <t>N° elementos × repeticiones − deducciones</t>
        </is>
      </c>
      <c r="G144" s="662" t="n"/>
      <c r="H144" s="663" t="n"/>
    </row>
    <row r="145" ht="15" customFormat="1" customHeight="1" s="268">
      <c r="A145" s="1309" t="inlineStr">
        <is>
          <t>17  |  GAS</t>
        </is>
      </c>
      <c r="B145" s="545" t="n"/>
      <c r="C145" s="545" t="n"/>
      <c r="D145" s="545" t="n"/>
      <c r="E145" s="545" t="n"/>
      <c r="F145" s="545" t="n"/>
      <c r="G145" s="545" t="n"/>
      <c r="H145" s="1023" t="n"/>
    </row>
    <row r="146" ht="15" customFormat="1" customHeight="1" s="268">
      <c r="A146" s="500" t="inlineStr">
        <is>
          <t>17.01.01</t>
        </is>
      </c>
      <c r="B146" s="501" t="inlineStr">
        <is>
          <t>Red de gas</t>
        </is>
      </c>
      <c r="C146" s="501" t="inlineStr">
        <is>
          <t>Tubería gas</t>
        </is>
      </c>
      <c r="D146" s="501" t="inlineStr">
        <is>
          <t>Red interna de gas</t>
        </is>
      </c>
      <c r="E146" s="502" t="inlineStr">
        <is>
          <t>ml</t>
        </is>
      </c>
      <c r="F146" s="501" t="inlineStr">
        <is>
          <t>Longitud × N° elementos × repeticiones − deducciones</t>
        </is>
      </c>
      <c r="G146" s="662" t="n"/>
      <c r="H146" s="663" t="n"/>
    </row>
    <row r="147" ht="15" customFormat="1" customHeight="1" s="268">
      <c r="A147" s="500" t="inlineStr">
        <is>
          <t>17.01.02</t>
        </is>
      </c>
      <c r="B147" s="501" t="inlineStr">
        <is>
          <t>Red de gas</t>
        </is>
      </c>
      <c r="C147" s="501" t="inlineStr">
        <is>
          <t>Válvulas gas</t>
        </is>
      </c>
      <c r="D147" s="501" t="inlineStr">
        <is>
          <t>Válvulas y accesorios</t>
        </is>
      </c>
      <c r="E147" s="502" t="inlineStr">
        <is>
          <t>und</t>
        </is>
      </c>
      <c r="F147" s="501" t="inlineStr">
        <is>
          <t>N° elementos × repeticiones − deducciones</t>
        </is>
      </c>
      <c r="G147" s="662" t="n"/>
      <c r="H147" s="663" t="n"/>
    </row>
    <row r="148" ht="15" customFormat="1" customHeight="1" s="268">
      <c r="A148" s="500" t="inlineStr">
        <is>
          <t>17.01.03</t>
        </is>
      </c>
      <c r="B148" s="501" t="inlineStr">
        <is>
          <t>Red de gas</t>
        </is>
      </c>
      <c r="C148" s="501" t="inlineStr">
        <is>
          <t>Pruebas gas</t>
        </is>
      </c>
      <c r="D148" s="501" t="inlineStr">
        <is>
          <t>Pruebas y certificación</t>
        </is>
      </c>
      <c r="E148" s="502" t="inlineStr">
        <is>
          <t>gl</t>
        </is>
      </c>
      <c r="F148" s="501" t="inlineStr">
        <is>
          <t>Según alcance contractual / presupuesto</t>
        </is>
      </c>
      <c r="G148" s="662" t="n"/>
      <c r="H148" s="663" t="n"/>
    </row>
    <row r="149" ht="15" customFormat="1" customHeight="1" s="268">
      <c r="A149" s="1309" t="inlineStr">
        <is>
          <t>18  |  URBANISMO Y EXTERIORES</t>
        </is>
      </c>
      <c r="B149" s="545" t="n"/>
      <c r="C149" s="545" t="n"/>
      <c r="D149" s="545" t="n"/>
      <c r="E149" s="545" t="n"/>
      <c r="F149" s="545" t="n"/>
      <c r="G149" s="545" t="n"/>
      <c r="H149" s="1023" t="n"/>
    </row>
    <row r="150" ht="15" customFormat="1" customHeight="1" s="268">
      <c r="A150" s="500" t="inlineStr">
        <is>
          <t>18.01.01</t>
        </is>
      </c>
      <c r="B150" s="501" t="inlineStr">
        <is>
          <t>Pavimentos</t>
        </is>
      </c>
      <c r="C150" s="501" t="inlineStr">
        <is>
          <t>Andenes</t>
        </is>
      </c>
      <c r="D150" s="501" t="inlineStr">
        <is>
          <t>Construcción de andenes</t>
        </is>
      </c>
      <c r="E150" s="502" t="inlineStr">
        <is>
          <t>m²</t>
        </is>
      </c>
      <c r="F150" s="501" t="inlineStr">
        <is>
          <t>Largo × Ancho × N° elementos × repeticiones − deducciones</t>
        </is>
      </c>
      <c r="G150" s="662" t="n"/>
      <c r="H150" s="663" t="n"/>
    </row>
    <row r="151" ht="15" customFormat="1" customHeight="1" s="268">
      <c r="A151" s="500" t="inlineStr">
        <is>
          <t>18.01.02</t>
        </is>
      </c>
      <c r="B151" s="501" t="inlineStr">
        <is>
          <t>Pavimentos</t>
        </is>
      </c>
      <c r="C151" s="501" t="inlineStr">
        <is>
          <t>Placa concreto</t>
        </is>
      </c>
      <c r="D151" s="501" t="inlineStr">
        <is>
          <t>Placas de concreto exteriores</t>
        </is>
      </c>
      <c r="E151" s="502" t="inlineStr">
        <is>
          <t>m³</t>
        </is>
      </c>
      <c r="F151" s="501" t="inlineStr">
        <is>
          <t>Largo × Ancho × Alto/Prof. × N° elementos × repeticiones − deducciones</t>
        </is>
      </c>
      <c r="G151" s="662" t="n"/>
      <c r="H151" s="663" t="n"/>
    </row>
    <row r="152" ht="15" customFormat="1" customHeight="1" s="268">
      <c r="A152" s="500" t="inlineStr">
        <is>
          <t>18.01.03</t>
        </is>
      </c>
      <c r="B152" s="501" t="inlineStr">
        <is>
          <t>Pavimentos</t>
        </is>
      </c>
      <c r="C152" s="501" t="inlineStr">
        <is>
          <t>Adoquín</t>
        </is>
      </c>
      <c r="D152" s="501" t="inlineStr">
        <is>
          <t>Pavimento en adoquín</t>
        </is>
      </c>
      <c r="E152" s="502" t="inlineStr">
        <is>
          <t>m²</t>
        </is>
      </c>
      <c r="F152" s="501" t="inlineStr">
        <is>
          <t>Largo × Ancho × N° elementos × repeticiones − deducciones</t>
        </is>
      </c>
      <c r="G152" s="662" t="n"/>
      <c r="H152" s="663" t="n"/>
    </row>
    <row r="153" ht="15" customFormat="1" customHeight="1" s="268">
      <c r="A153" s="500" t="inlineStr">
        <is>
          <t>18.02.01</t>
        </is>
      </c>
      <c r="B153" s="501" t="inlineStr">
        <is>
          <t>Bordillos</t>
        </is>
      </c>
      <c r="C153" s="501" t="inlineStr">
        <is>
          <t>Sardineles</t>
        </is>
      </c>
      <c r="D153" s="501" t="inlineStr">
        <is>
          <t>Sardineles y bordillos</t>
        </is>
      </c>
      <c r="E153" s="502" t="inlineStr">
        <is>
          <t>ml</t>
        </is>
      </c>
      <c r="F153" s="501" t="inlineStr">
        <is>
          <t>Longitud × N° elementos × repeticiones − deducciones</t>
        </is>
      </c>
      <c r="G153" s="662" t="n"/>
      <c r="H153" s="663" t="n"/>
    </row>
    <row r="154" ht="15" customFormat="1" customHeight="1" s="268">
      <c r="A154" s="500" t="inlineStr">
        <is>
          <t>18.03.01</t>
        </is>
      </c>
      <c r="B154" s="501" t="inlineStr">
        <is>
          <t>Drenajes</t>
        </is>
      </c>
      <c r="C154" s="501" t="inlineStr">
        <is>
          <t>Sumideros</t>
        </is>
      </c>
      <c r="D154" s="501" t="inlineStr">
        <is>
          <t>Sumideros exteriores</t>
        </is>
      </c>
      <c r="E154" s="502" t="inlineStr">
        <is>
          <t>und</t>
        </is>
      </c>
      <c r="F154" s="501" t="inlineStr">
        <is>
          <t>N° elementos × repeticiones − deducciones</t>
        </is>
      </c>
      <c r="G154" s="662" t="n"/>
      <c r="H154" s="663" t="n"/>
    </row>
    <row r="155" ht="15" customFormat="1" customHeight="1" s="268">
      <c r="A155" s="500" t="inlineStr">
        <is>
          <t>18.04.01</t>
        </is>
      </c>
      <c r="B155" s="501" t="inlineStr">
        <is>
          <t>Paisajismo</t>
        </is>
      </c>
      <c r="C155" s="501" t="inlineStr">
        <is>
          <t>Tierra vegetal</t>
        </is>
      </c>
      <c r="D155" s="501" t="inlineStr">
        <is>
          <t>Suministro y extendido de tierra vegetal</t>
        </is>
      </c>
      <c r="E155" s="502" t="inlineStr">
        <is>
          <t>m³</t>
        </is>
      </c>
      <c r="F155" s="501" t="inlineStr">
        <is>
          <t>Largo × Ancho × Alto/Prof. × N° elementos × repeticiones − deducciones</t>
        </is>
      </c>
      <c r="G155" s="662" t="n"/>
      <c r="H155" s="663" t="n"/>
    </row>
    <row r="156" ht="15" customFormat="1" customHeight="1" s="268">
      <c r="A156" s="500" t="inlineStr">
        <is>
          <t>18.04.02</t>
        </is>
      </c>
      <c r="B156" s="501" t="inlineStr">
        <is>
          <t>Paisajismo</t>
        </is>
      </c>
      <c r="C156" s="501" t="inlineStr">
        <is>
          <t>Jardinería</t>
        </is>
      </c>
      <c r="D156" s="501" t="inlineStr">
        <is>
          <t>Siembra y jardinería</t>
        </is>
      </c>
      <c r="E156" s="502" t="inlineStr">
        <is>
          <t>m²</t>
        </is>
      </c>
      <c r="F156" s="501" t="inlineStr">
        <is>
          <t>Largo × Ancho × N° elementos × repeticiones − deducciones</t>
        </is>
      </c>
      <c r="G156" s="662" t="n"/>
      <c r="H156" s="663" t="n"/>
    </row>
    <row r="157" ht="15" customFormat="1" customHeight="1" s="268">
      <c r="A157" s="1309" t="inlineStr">
        <is>
          <t>19  |  OBRAS COMPLEMENTARIAS</t>
        </is>
      </c>
      <c r="B157" s="545" t="n"/>
      <c r="C157" s="545" t="n"/>
      <c r="D157" s="545" t="n"/>
      <c r="E157" s="545" t="n"/>
      <c r="F157" s="545" t="n"/>
      <c r="G157" s="545" t="n"/>
      <c r="H157" s="1023" t="n"/>
    </row>
    <row r="158" ht="15" customFormat="1" customHeight="1" s="268">
      <c r="A158" s="500" t="inlineStr">
        <is>
          <t>19.01.01</t>
        </is>
      </c>
      <c r="B158" s="501" t="inlineStr">
        <is>
          <t>Metálicas</t>
        </is>
      </c>
      <c r="C158" s="501" t="inlineStr">
        <is>
          <t>Rejas</t>
        </is>
      </c>
      <c r="D158" s="501" t="inlineStr">
        <is>
          <t>Rejas metálicas</t>
        </is>
      </c>
      <c r="E158" s="502" t="inlineStr">
        <is>
          <t>m²</t>
        </is>
      </c>
      <c r="F158" s="501" t="inlineStr">
        <is>
          <t>Largo × Ancho × N° elementos × repeticiones − deducciones</t>
        </is>
      </c>
      <c r="G158" s="662" t="n"/>
      <c r="H158" s="663" t="n"/>
    </row>
    <row r="159" ht="15" customFormat="1" customHeight="1" s="268">
      <c r="A159" s="500" t="inlineStr">
        <is>
          <t>19.01.02</t>
        </is>
      </c>
      <c r="B159" s="501" t="inlineStr">
        <is>
          <t>Metálicas</t>
        </is>
      </c>
      <c r="C159" s="501" t="inlineStr">
        <is>
          <t>Escaleras metálicas</t>
        </is>
      </c>
      <c r="D159" s="501" t="inlineStr">
        <is>
          <t>Escaleras metálicas</t>
        </is>
      </c>
      <c r="E159" s="502" t="inlineStr">
        <is>
          <t>kg</t>
        </is>
      </c>
      <c r="F159" s="501" t="inlineStr">
        <is>
          <t>Peso/despiece × N° elementos × repeticiones</t>
        </is>
      </c>
      <c r="G159" s="662" t="n"/>
      <c r="H159" s="663" t="n"/>
    </row>
    <row r="160" ht="15" customFormat="1" customHeight="1" s="268">
      <c r="A160" s="500" t="inlineStr">
        <is>
          <t>19.01.03</t>
        </is>
      </c>
      <c r="B160" s="501" t="inlineStr">
        <is>
          <t>Metálicas</t>
        </is>
      </c>
      <c r="C160" s="501" t="inlineStr">
        <is>
          <t>Estructuras especiales</t>
        </is>
      </c>
      <c r="D160" s="501" t="inlineStr">
        <is>
          <t>Elementos metálicos especiales</t>
        </is>
      </c>
      <c r="E160" s="502" t="inlineStr">
        <is>
          <t>kg</t>
        </is>
      </c>
      <c r="F160" s="501" t="inlineStr">
        <is>
          <t>Peso/despiece × N° elementos × repeticiones</t>
        </is>
      </c>
      <c r="G160" s="662" t="n"/>
      <c r="H160" s="663" t="n"/>
    </row>
    <row r="161" ht="15" customFormat="1" customHeight="1" s="268">
      <c r="A161" s="500" t="inlineStr">
        <is>
          <t>19.02.01</t>
        </is>
      </c>
      <c r="B161" s="501" t="inlineStr">
        <is>
          <t>Mobiliario</t>
        </is>
      </c>
      <c r="C161" s="501" t="inlineStr">
        <is>
          <t>Mobiliario fijo</t>
        </is>
      </c>
      <c r="D161" s="501" t="inlineStr">
        <is>
          <t>Mobiliario fijo de obra</t>
        </is>
      </c>
      <c r="E161" s="502" t="inlineStr">
        <is>
          <t>und</t>
        </is>
      </c>
      <c r="F161" s="501" t="inlineStr">
        <is>
          <t>N° elementos × repeticiones − deducciones</t>
        </is>
      </c>
      <c r="G161" s="662" t="n"/>
      <c r="H161" s="663" t="n"/>
    </row>
    <row r="162" ht="15" customFormat="1" customHeight="1" s="268">
      <c r="A162" s="1309" t="inlineStr">
        <is>
          <t>20  |  ASEO, ENTREGA Y CIERRE</t>
        </is>
      </c>
      <c r="B162" s="545" t="n"/>
      <c r="C162" s="545" t="n"/>
      <c r="D162" s="545" t="n"/>
      <c r="E162" s="545" t="n"/>
      <c r="F162" s="545" t="n"/>
      <c r="G162" s="545" t="n"/>
      <c r="H162" s="1023" t="n"/>
    </row>
    <row r="163" ht="15" customFormat="1" customHeight="1" s="268">
      <c r="A163" s="500" t="inlineStr">
        <is>
          <t>20.01.01</t>
        </is>
      </c>
      <c r="B163" s="501" t="inlineStr">
        <is>
          <t>Limpieza</t>
        </is>
      </c>
      <c r="C163" s="501" t="inlineStr">
        <is>
          <t>Limpieza general</t>
        </is>
      </c>
      <c r="D163" s="501" t="inlineStr">
        <is>
          <t>Limpieza gruesa y fina de obra</t>
        </is>
      </c>
      <c r="E163" s="502" t="inlineStr">
        <is>
          <t>m²</t>
        </is>
      </c>
      <c r="F163" s="501" t="inlineStr">
        <is>
          <t>Largo × Ancho × N° elementos × repeticiones − deducciones</t>
        </is>
      </c>
      <c r="G163" s="662" t="n"/>
      <c r="H163" s="663" t="n"/>
    </row>
    <row r="164" ht="15" customFormat="1" customHeight="1" s="268">
      <c r="A164" s="500" t="inlineStr">
        <is>
          <t>20.01.02</t>
        </is>
      </c>
      <c r="B164" s="501" t="inlineStr">
        <is>
          <t>Limpieza</t>
        </is>
      </c>
      <c r="C164" s="501" t="inlineStr">
        <is>
          <t>Limpieza final</t>
        </is>
      </c>
      <c r="D164" s="501" t="inlineStr">
        <is>
          <t>Limpieza final para entrega</t>
        </is>
      </c>
      <c r="E164" s="502" t="inlineStr">
        <is>
          <t>m²</t>
        </is>
      </c>
      <c r="F164" s="501" t="inlineStr">
        <is>
          <t>Largo × Ancho × N° elementos × repeticiones − deducciones</t>
        </is>
      </c>
      <c r="G164" s="662" t="n"/>
      <c r="H164" s="663" t="n"/>
    </row>
    <row r="165" ht="15" customFormat="1" customHeight="1" s="268">
      <c r="A165" s="500" t="inlineStr">
        <is>
          <t>20.02.01</t>
        </is>
      </c>
      <c r="B165" s="501" t="inlineStr">
        <is>
          <t>Pruebas</t>
        </is>
      </c>
      <c r="C165" s="501" t="inlineStr">
        <is>
          <t>Puesta en marcha</t>
        </is>
      </c>
      <c r="D165" s="501" t="inlineStr">
        <is>
          <t>Pruebas, puesta en marcha y ajustes</t>
        </is>
      </c>
      <c r="E165" s="502" t="inlineStr">
        <is>
          <t>gl</t>
        </is>
      </c>
      <c r="F165" s="501" t="inlineStr">
        <is>
          <t>Según alcance contractual / presupuesto</t>
        </is>
      </c>
      <c r="G165" s="662" t="n"/>
      <c r="H165" s="663" t="n"/>
    </row>
    <row r="166" ht="15" customFormat="1" customHeight="1" s="268">
      <c r="A166" s="500" t="inlineStr">
        <is>
          <t>20.02.01</t>
        </is>
      </c>
      <c r="B166" s="501" t="inlineStr">
        <is>
          <t>Documentación</t>
        </is>
      </c>
      <c r="C166" s="501" t="inlineStr">
        <is>
          <t>Planos récord</t>
        </is>
      </c>
      <c r="D166" s="501" t="inlineStr">
        <is>
          <t>Actualización de planos récord / as-built</t>
        </is>
      </c>
      <c r="E166" s="502" t="inlineStr">
        <is>
          <t>gl</t>
        </is>
      </c>
      <c r="F166" s="501" t="inlineStr">
        <is>
          <t>Según alcance contractual / presupuesto</t>
        </is>
      </c>
      <c r="G166" s="662" t="n"/>
      <c r="H166" s="663" t="n"/>
    </row>
    <row r="167" ht="12" customFormat="1" customHeight="1" s="268">
      <c r="A167" s="500" t="inlineStr">
        <is>
          <t>20.02.02</t>
        </is>
      </c>
      <c r="B167" s="501" t="inlineStr">
        <is>
          <t>Entrega</t>
        </is>
      </c>
      <c r="C167" s="501" t="inlineStr">
        <is>
          <t>Entrega final</t>
        </is>
      </c>
      <c r="D167" s="501" t="inlineStr">
        <is>
          <t>Entrega, manuales y acta de recibo</t>
        </is>
      </c>
      <c r="E167" s="502" t="inlineStr">
        <is>
          <t>gl</t>
        </is>
      </c>
      <c r="F167" s="501" t="inlineStr">
        <is>
          <t>Según alcance contractual / presupuesto</t>
        </is>
      </c>
      <c r="G167" s="662" t="n"/>
      <c r="H167" s="663" t="n"/>
    </row>
    <row r="168" ht="15" customFormat="1" customHeight="1" s="268">
      <c r="A168" s="1309" t="inlineStr">
        <is>
          <t>21  |  ASCENSORES</t>
        </is>
      </c>
      <c r="B168" s="545" t="n"/>
      <c r="C168" s="545" t="n"/>
      <c r="D168" s="545" t="n"/>
      <c r="E168" s="545" t="n"/>
      <c r="F168" s="545" t="n"/>
      <c r="G168" s="545" t="n"/>
      <c r="H168" s="1023" t="n"/>
    </row>
    <row r="169" ht="12" customFormat="1" customHeight="1" s="268">
      <c r="A169" s="500" t="inlineStr">
        <is>
          <t>21.01.01</t>
        </is>
      </c>
      <c r="B169" s="501" t="inlineStr">
        <is>
          <t>Equipos de transporte vertical</t>
        </is>
      </c>
      <c r="C169" s="501" t="inlineStr">
        <is>
          <t>Ascensores</t>
        </is>
      </c>
      <c r="D169" s="501" t="inlineStr">
        <is>
          <t>Suministro e instalación de ascensor eléctrico</t>
        </is>
      </c>
      <c r="E169" s="502" t="inlineStr">
        <is>
          <t>und</t>
        </is>
      </c>
      <c r="F169" s="501" t="inlineStr">
        <is>
          <t>Según ficha técnica del fabricante</t>
        </is>
      </c>
      <c r="G169" s="662" t="n"/>
      <c r="H169" s="663" t="n"/>
    </row>
    <row r="170" ht="15" customFormat="1" customHeight="1" s="268">
      <c r="A170" s="1309" t="inlineStr">
        <is>
          <t>22  |  GESTIÓN, DISEÑO Y ADMINISTRACIÓN</t>
        </is>
      </c>
      <c r="B170" s="545" t="n"/>
      <c r="C170" s="545" t="n"/>
      <c r="D170" s="545" t="n"/>
      <c r="E170" s="545" t="n"/>
      <c r="F170" s="545" t="n"/>
      <c r="G170" s="545" t="n"/>
      <c r="H170" s="1023" t="n"/>
    </row>
    <row r="171" ht="12" customFormat="1" customHeight="1" s="268">
      <c r="A171" s="500" t="inlineStr">
        <is>
          <t>22.01.01</t>
        </is>
      </c>
      <c r="B171" s="501" t="inlineStr">
        <is>
          <t>Estudios y diseños</t>
        </is>
      </c>
      <c r="C171" s="501" t="inlineStr">
        <is>
          <t>Estudios técnicos</t>
        </is>
      </c>
      <c r="D171" s="501" t="inlineStr">
        <is>
          <t>Estudio de suelos y geotecnia</t>
        </is>
      </c>
      <c r="E171" s="502" t="inlineStr">
        <is>
          <t>gl</t>
        </is>
      </c>
      <c r="F171" s="501" t="inlineStr">
        <is>
          <t>Según alcance contractual</t>
        </is>
      </c>
      <c r="G171" s="662" t="n"/>
      <c r="H171" s="663" t="n"/>
    </row>
    <row r="172" ht="12" customFormat="1" customHeight="1" s="268">
      <c r="A172" s="500" t="inlineStr">
        <is>
          <t>22.01.02</t>
        </is>
      </c>
      <c r="B172" s="501" t="inlineStr">
        <is>
          <t>Estudios y diseños</t>
        </is>
      </c>
      <c r="C172" s="501" t="inlineStr">
        <is>
          <t>Diseños</t>
        </is>
      </c>
      <c r="D172" s="501" t="inlineStr">
        <is>
          <t>Diseños arquitectónicos, estructurales, hidrosanitarios y eléctricos</t>
        </is>
      </c>
      <c r="E172" s="502" t="inlineStr">
        <is>
          <t>gl</t>
        </is>
      </c>
      <c r="F172" s="501" t="inlineStr">
        <is>
          <t>Según alcance contractual</t>
        </is>
      </c>
      <c r="G172" s="662" t="n"/>
      <c r="H172" s="663" t="n"/>
    </row>
    <row r="173" ht="12" customFormat="1" customHeight="1" s="268">
      <c r="A173" s="500" t="inlineStr">
        <is>
          <t>22.02.01</t>
        </is>
      </c>
      <c r="B173" s="501" t="inlineStr">
        <is>
          <t>Trámites y pólizas</t>
        </is>
      </c>
      <c r="C173" s="501" t="inlineStr">
        <is>
          <t>Trámites</t>
        </is>
      </c>
      <c r="D173" s="501" t="inlineStr">
        <is>
          <t>Licencia de construcción y trámites de curaduría urbana</t>
        </is>
      </c>
      <c r="E173" s="502" t="inlineStr">
        <is>
          <t>gl</t>
        </is>
      </c>
      <c r="F173" s="501" t="inlineStr">
        <is>
          <t>Según alcance contractual</t>
        </is>
      </c>
      <c r="G173" s="662" t="n"/>
      <c r="H173" s="663" t="n"/>
    </row>
    <row r="174" ht="12" customFormat="1" customHeight="1" s="268">
      <c r="A174" s="500" t="inlineStr">
        <is>
          <t>22.02.02</t>
        </is>
      </c>
      <c r="B174" s="501" t="inlineStr">
        <is>
          <t>Trámites y pólizas</t>
        </is>
      </c>
      <c r="C174" s="501" t="inlineStr">
        <is>
          <t>Pólizas</t>
        </is>
      </c>
      <c r="D174" s="501" t="inlineStr">
        <is>
          <t>Póliza de estabilidad de obra y seguros de construcción (todo riesgo)</t>
        </is>
      </c>
      <c r="E174" s="502" t="inlineStr">
        <is>
          <t>gl</t>
        </is>
      </c>
      <c r="F174" s="501" t="inlineStr">
        <is>
          <t>Según alcance contractual</t>
        </is>
      </c>
      <c r="G174" s="662" t="n"/>
      <c r="H174" s="663" t="n"/>
    </row>
    <row r="175">
      <c r="A175" s="226" t="inlineStr">
        <is>
          <t>REV. 10/09/2026</t>
        </is>
      </c>
      <c r="H175" s="497">
        <f>G4</f>
        <v/>
      </c>
    </row>
    <row r="176">
      <c r="A176" s="245" t="n"/>
    </row>
  </sheetData>
  <mergeCells count="37">
    <mergeCell ref="A41:F41"/>
    <mergeCell ref="A157:H157"/>
    <mergeCell ref="A64:H64"/>
    <mergeCell ref="A11:H11"/>
    <mergeCell ref="A168:H168"/>
    <mergeCell ref="A162:H162"/>
    <mergeCell ref="G7:H7"/>
    <mergeCell ref="A90:H90"/>
    <mergeCell ref="G6:H6"/>
    <mergeCell ref="A1:B7"/>
    <mergeCell ref="A133:H133"/>
    <mergeCell ref="C7:E7"/>
    <mergeCell ref="A149:H149"/>
    <mergeCell ref="A145:H145"/>
    <mergeCell ref="A56:H56"/>
    <mergeCell ref="A21:H21"/>
    <mergeCell ref="I8:I9"/>
    <mergeCell ref="A104:H104"/>
    <mergeCell ref="G5:H5"/>
    <mergeCell ref="A76:H76"/>
    <mergeCell ref="C3:E3"/>
    <mergeCell ref="A33:H33"/>
    <mergeCell ref="A8:H8"/>
    <mergeCell ref="C6:E6"/>
    <mergeCell ref="G4:H4"/>
    <mergeCell ref="F10:H10"/>
    <mergeCell ref="A140:H140"/>
    <mergeCell ref="A109:H109"/>
    <mergeCell ref="C5:E5"/>
    <mergeCell ref="A81:H81"/>
    <mergeCell ref="A96:H96"/>
    <mergeCell ref="A72:H72"/>
    <mergeCell ref="A121:H121"/>
    <mergeCell ref="C4:E4"/>
    <mergeCell ref="A170:H170"/>
    <mergeCell ref="F3:H3"/>
    <mergeCell ref="C1:H1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1565C0"/>
    <outlinePr summaryBelow="1" summaryRight="1"/>
    <pageSetUpPr/>
  </sheetPr>
  <dimension ref="A1:I34"/>
  <sheetViews>
    <sheetView zoomScale="81" zoomScaleNormal="81" workbookViewId="0">
      <selection activeCell="I13" sqref="I13"/>
    </sheetView>
  </sheetViews>
  <sheetFormatPr baseColWidth="10" defaultColWidth="8.88671875" defaultRowHeight="14.4"/>
  <cols>
    <col width="15.77734375" customWidth="1" style="1062" min="1" max="2"/>
    <col width="25.77734375" customWidth="1" style="1062" min="3" max="3"/>
    <col width="12" customWidth="1" style="1062" min="4" max="4"/>
    <col width="14" customWidth="1" style="1062" min="5" max="5"/>
    <col width="48" customWidth="1" style="1062" min="7" max="7"/>
    <col width="20" customWidth="1" style="1062" min="8" max="8"/>
    <col width="38" customWidth="1" style="1062" min="9" max="9"/>
  </cols>
  <sheetData>
    <row r="1" ht="40.05" customHeight="1" s="1062">
      <c r="A1" s="677" t="n"/>
      <c r="D1" s="679" t="inlineStr">
        <is>
          <t>REGISTRO DE PLANOS Y REVISIONES</t>
        </is>
      </c>
    </row>
    <row r="2" ht="4.95" customHeight="1" s="1062">
      <c r="D2" s="675" t="n"/>
    </row>
    <row r="3" ht="15" customHeight="1" s="1062">
      <c r="D3" s="676" t="n"/>
      <c r="H3" s="673" t="inlineStr">
        <is>
          <t>CONTROL DOCUMENTAL</t>
        </is>
      </c>
      <c r="I3" s="674" t="n"/>
    </row>
    <row r="4" ht="15" customHeight="1" s="1062">
      <c r="D4" s="594" t="inlineStr">
        <is>
          <t>REFORMAS Y REMODELACIONES</t>
        </is>
      </c>
      <c r="G4" s="554" t="n"/>
      <c r="H4" s="347" t="inlineStr">
        <is>
          <t>Código</t>
        </is>
      </c>
      <c r="I4" s="348" t="inlineStr">
        <is>
          <t>RYR-CO-003</t>
        </is>
      </c>
    </row>
    <row r="5" ht="15" customHeight="1" s="1062">
      <c r="D5" s="670" t="inlineStr">
        <is>
          <t>DISEÑAMOS, RENOVAMOS Y CONSTRUIMOS ESPACIOS QUE INSPIRAN</t>
        </is>
      </c>
      <c r="G5" s="554" t="n"/>
      <c r="H5" s="275" t="inlineStr">
        <is>
          <t>Versión</t>
        </is>
      </c>
      <c r="I5" s="272" t="n">
        <v>1</v>
      </c>
    </row>
    <row r="6" ht="15" customHeight="1" s="1062">
      <c r="D6" s="678" t="n"/>
      <c r="H6" s="275" t="inlineStr">
        <is>
          <t>Fecha de Emisión</t>
        </is>
      </c>
      <c r="I6" s="272" t="inlineStr">
        <is>
          <t>10/09/2026</t>
        </is>
      </c>
    </row>
    <row r="7">
      <c r="A7" s="601" t="n"/>
      <c r="B7" s="601" t="n"/>
      <c r="C7" s="601" t="n"/>
      <c r="D7" s="601" t="n"/>
      <c r="E7" s="601" t="n"/>
      <c r="F7" s="601" t="n"/>
      <c r="G7" s="601" t="n"/>
      <c r="H7" s="273" t="inlineStr">
        <is>
          <t xml:space="preserve">Página </t>
        </is>
      </c>
      <c r="I7" s="274" t="inlineStr">
        <is>
          <t>1 de 1</t>
        </is>
      </c>
    </row>
    <row r="8" ht="15" customFormat="1" customHeight="1" s="600">
      <c r="A8" s="278" t="inlineStr">
        <is>
          <t>Código plano</t>
        </is>
      </c>
      <c r="B8" s="278" t="inlineStr">
        <is>
          <t>Disciplina</t>
        </is>
      </c>
      <c r="C8" s="278" t="inlineStr">
        <is>
          <t>Título</t>
        </is>
      </c>
      <c r="D8" s="278" t="inlineStr">
        <is>
          <t>Revisión</t>
        </is>
      </c>
      <c r="E8" s="278" t="inlineStr">
        <is>
          <t>Fecha</t>
        </is>
      </c>
      <c r="F8" s="278" t="inlineStr">
        <is>
          <t>Estado</t>
        </is>
      </c>
      <c r="G8" s="278" t="inlineStr">
        <is>
          <t>Actividades relacionadas</t>
        </is>
      </c>
      <c r="H8" s="278" t="inlineStr">
        <is>
          <t>Responsable</t>
        </is>
      </c>
      <c r="I8" s="278" t="inlineStr">
        <is>
          <t>Observaciones</t>
        </is>
      </c>
    </row>
    <row r="9" customFormat="1" s="665">
      <c r="A9" s="282" t="inlineStr">
        <is>
          <t>ARQ-001</t>
        </is>
      </c>
      <c r="B9" s="283" t="inlineStr">
        <is>
          <t>Arquitectura</t>
        </is>
      </c>
      <c r="C9" s="279" t="inlineStr">
        <is>
          <t>Planta general</t>
        </is>
      </c>
      <c r="D9" s="280" t="inlineStr">
        <is>
          <t>R01</t>
        </is>
      </c>
      <c r="E9" s="1310" t="n">
        <v>46266</v>
      </c>
      <c r="F9" s="280" t="inlineStr">
        <is>
          <t>Vigente</t>
        </is>
      </c>
      <c r="G9" s="279" t="inlineStr">
        <is>
          <t>Preliminares / mampostería / acabados</t>
        </is>
      </c>
      <c r="H9" s="279" t="inlineStr">
        <is>
          <t>Ing. Residente</t>
        </is>
      </c>
      <c r="I9" s="281" t="n"/>
    </row>
    <row r="10" customFormat="1" s="665">
      <c r="A10" s="282" t="inlineStr">
        <is>
          <t>EST-101</t>
        </is>
      </c>
      <c r="B10" s="283" t="inlineStr">
        <is>
          <t>Estructural</t>
        </is>
      </c>
      <c r="C10" s="279" t="inlineStr">
        <is>
          <t>Cimentación</t>
        </is>
      </c>
      <c r="D10" s="280" t="inlineStr">
        <is>
          <t>R02</t>
        </is>
      </c>
      <c r="E10" s="1310" t="n">
        <v>46254</v>
      </c>
      <c r="F10" s="280" t="inlineStr">
        <is>
          <t>Vigente</t>
        </is>
      </c>
      <c r="G10" s="279" t="inlineStr">
        <is>
          <t>Cimentaciones / estructura</t>
        </is>
      </c>
      <c r="H10" s="279" t="inlineStr">
        <is>
          <t>Ing. Residente</t>
        </is>
      </c>
      <c r="I10" s="281" t="n"/>
    </row>
    <row r="11" customFormat="1" s="665">
      <c r="A11" s="282" t="inlineStr">
        <is>
          <t>HID-201</t>
        </is>
      </c>
      <c r="B11" s="283" t="inlineStr">
        <is>
          <t>Hidrosanitaria</t>
        </is>
      </c>
      <c r="C11" s="279" t="inlineStr">
        <is>
          <t>Redes hidrosanitarias</t>
        </is>
      </c>
      <c r="D11" s="280" t="inlineStr">
        <is>
          <t>R01</t>
        </is>
      </c>
      <c r="E11" s="1310" t="n">
        <v>46262</v>
      </c>
      <c r="F11" s="280" t="inlineStr">
        <is>
          <t>Vigente</t>
        </is>
      </c>
      <c r="G11" s="279" t="inlineStr">
        <is>
          <t>Instalaciones hidrosanitarias</t>
        </is>
      </c>
      <c r="H11" s="279" t="inlineStr">
        <is>
          <t>Ing. Residente</t>
        </is>
      </c>
      <c r="I11" s="281" t="n"/>
    </row>
    <row r="12" customFormat="1" s="665">
      <c r="A12" s="282" t="inlineStr">
        <is>
          <t>ELE-301</t>
        </is>
      </c>
      <c r="B12" s="283" t="inlineStr">
        <is>
          <t>Eléctrica</t>
        </is>
      </c>
      <c r="C12" s="279" t="inlineStr">
        <is>
          <t>Fuerza e iluminación</t>
        </is>
      </c>
      <c r="D12" s="280" t="inlineStr">
        <is>
          <t>R01</t>
        </is>
      </c>
      <c r="E12" s="1310" t="n">
        <v>46267</v>
      </c>
      <c r="F12" s="280" t="inlineStr">
        <is>
          <t>Vigente</t>
        </is>
      </c>
      <c r="G12" s="279" t="inlineStr">
        <is>
          <t>Instalaciones eléctricas</t>
        </is>
      </c>
      <c r="H12" s="279" t="inlineStr">
        <is>
          <t>Ing. Residente</t>
        </is>
      </c>
      <c r="I12" s="281" t="n"/>
    </row>
    <row r="13">
      <c r="A13" s="277" t="inlineStr">
        <is>
          <t>REV. 10/09/2026</t>
        </is>
      </c>
      <c r="B13" s="276" t="n"/>
      <c r="C13" s="276" t="n"/>
      <c r="D13" s="276" t="n"/>
      <c r="E13" s="276" t="n"/>
      <c r="F13" s="276" t="n"/>
      <c r="G13" s="276" t="n"/>
      <c r="H13" s="276" t="n"/>
      <c r="I13" s="507">
        <f>I4</f>
        <v/>
      </c>
    </row>
    <row r="14">
      <c r="A14" s="276" t="n"/>
      <c r="B14" s="276" t="n"/>
      <c r="C14" s="276" t="n"/>
      <c r="D14" s="276" t="n"/>
      <c r="E14" s="276" t="n"/>
      <c r="F14" s="276" t="n"/>
      <c r="G14" s="276" t="n"/>
      <c r="H14" s="276" t="n"/>
      <c r="I14" s="276" t="n"/>
    </row>
    <row r="15">
      <c r="A15" s="276" t="n"/>
      <c r="B15" s="276" t="n"/>
      <c r="C15" s="276" t="n"/>
      <c r="D15" s="276" t="n"/>
      <c r="E15" s="276" t="n"/>
      <c r="F15" s="276" t="n"/>
      <c r="G15" s="276" t="n"/>
      <c r="H15" s="276" t="n"/>
      <c r="I15" s="276" t="n"/>
    </row>
    <row r="16">
      <c r="A16" s="276" t="n"/>
      <c r="B16" s="276" t="n"/>
      <c r="C16" s="276" t="n"/>
      <c r="D16" s="276" t="n"/>
      <c r="E16" s="276" t="n"/>
      <c r="F16" s="276" t="n"/>
      <c r="G16" s="276" t="n"/>
      <c r="H16" s="276" t="n"/>
      <c r="I16" s="276" t="n"/>
    </row>
    <row r="17">
      <c r="A17" s="276" t="n"/>
      <c r="B17" s="276" t="n"/>
      <c r="C17" s="276" t="n"/>
      <c r="D17" s="276" t="n"/>
      <c r="E17" s="276" t="n"/>
      <c r="F17" s="276" t="n"/>
      <c r="G17" s="276" t="n"/>
      <c r="H17" s="276" t="n"/>
      <c r="I17" s="276" t="n"/>
    </row>
    <row r="18">
      <c r="A18" s="276" t="n"/>
      <c r="B18" s="276" t="n"/>
      <c r="C18" s="276" t="n"/>
      <c r="D18" s="276" t="n"/>
      <c r="E18" s="276" t="n"/>
      <c r="F18" s="276" t="n"/>
      <c r="G18" s="276" t="n"/>
      <c r="H18" s="276" t="n"/>
      <c r="I18" s="276" t="n"/>
    </row>
    <row r="19">
      <c r="A19" s="276" t="n"/>
      <c r="B19" s="276" t="n"/>
      <c r="C19" s="276" t="n"/>
      <c r="D19" s="276" t="n"/>
      <c r="E19" s="276" t="n"/>
      <c r="F19" s="276" t="n"/>
      <c r="G19" s="276" t="n"/>
      <c r="H19" s="276" t="n"/>
      <c r="I19" s="276" t="n"/>
    </row>
    <row r="20">
      <c r="A20" s="276" t="n"/>
      <c r="B20" s="276" t="n"/>
      <c r="C20" s="276" t="n"/>
      <c r="D20" s="276" t="n"/>
      <c r="E20" s="276" t="n"/>
      <c r="F20" s="276" t="n"/>
      <c r="G20" s="276" t="n"/>
      <c r="H20" s="276" t="n"/>
      <c r="I20" s="276" t="n"/>
    </row>
    <row r="21">
      <c r="A21" s="276" t="n"/>
      <c r="B21" s="276" t="n"/>
      <c r="C21" s="276" t="n"/>
      <c r="D21" s="276" t="n"/>
      <c r="E21" s="276" t="n"/>
      <c r="F21" s="276" t="n"/>
      <c r="G21" s="276" t="n"/>
      <c r="H21" s="276" t="n"/>
      <c r="I21" s="276" t="n"/>
    </row>
    <row r="22">
      <c r="A22" s="276" t="n"/>
      <c r="B22" s="276" t="n"/>
      <c r="C22" s="276" t="n"/>
      <c r="D22" s="276" t="n"/>
      <c r="E22" s="276" t="n"/>
      <c r="F22" s="276" t="n"/>
      <c r="G22" s="276" t="n"/>
      <c r="H22" s="276" t="n"/>
      <c r="I22" s="276" t="n"/>
    </row>
    <row r="23">
      <c r="A23" s="276" t="n"/>
      <c r="B23" s="276" t="n"/>
      <c r="C23" s="276" t="n"/>
      <c r="D23" s="276" t="n"/>
      <c r="E23" s="276" t="n"/>
      <c r="F23" s="276" t="n"/>
      <c r="G23" s="276" t="n"/>
      <c r="H23" s="276" t="n"/>
      <c r="I23" s="276" t="n"/>
    </row>
    <row r="24">
      <c r="A24" s="276" t="n"/>
      <c r="B24" s="276" t="n"/>
      <c r="C24" s="276" t="n"/>
      <c r="D24" s="276" t="n"/>
      <c r="E24" s="276" t="n"/>
      <c r="F24" s="276" t="n"/>
      <c r="G24" s="276" t="n"/>
      <c r="H24" s="276" t="n"/>
      <c r="I24" s="276" t="n"/>
    </row>
    <row r="25">
      <c r="A25" s="276" t="n"/>
      <c r="B25" s="276" t="n"/>
      <c r="C25" s="276" t="n"/>
      <c r="D25" s="276" t="n"/>
      <c r="E25" s="276" t="n"/>
      <c r="F25" s="276" t="n"/>
      <c r="G25" s="276" t="n"/>
      <c r="H25" s="276" t="n"/>
      <c r="I25" s="276" t="n"/>
    </row>
    <row r="26">
      <c r="A26" s="355" t="n"/>
      <c r="B26" s="355" t="n"/>
      <c r="C26" s="355" t="n"/>
      <c r="D26" s="355" t="n"/>
      <c r="E26" s="355" t="n"/>
      <c r="F26" s="355" t="n"/>
      <c r="G26" s="355" t="n"/>
      <c r="H26" s="355" t="n"/>
      <c r="I26" s="355" t="n"/>
    </row>
    <row r="27">
      <c r="A27" s="355" t="n"/>
      <c r="B27" s="355" t="n"/>
      <c r="C27" s="355" t="n"/>
      <c r="D27" s="355" t="n"/>
      <c r="E27" s="355" t="n"/>
      <c r="F27" s="355" t="n"/>
      <c r="G27" s="355" t="n"/>
      <c r="H27" s="355" t="n"/>
      <c r="I27" s="355" t="n"/>
    </row>
    <row r="28">
      <c r="A28" s="355" t="n"/>
      <c r="B28" s="355" t="n"/>
      <c r="C28" s="355" t="n"/>
      <c r="D28" s="355" t="n"/>
      <c r="E28" s="355" t="n"/>
      <c r="F28" s="355" t="n"/>
      <c r="G28" s="355" t="n"/>
      <c r="H28" s="355" t="n"/>
      <c r="I28" s="355" t="n"/>
    </row>
    <row r="29">
      <c r="A29" s="355" t="n"/>
      <c r="B29" s="355" t="n"/>
      <c r="C29" s="355" t="n"/>
      <c r="D29" s="355" t="n"/>
      <c r="E29" s="355" t="n"/>
      <c r="F29" s="355" t="n"/>
      <c r="G29" s="355" t="n"/>
      <c r="H29" s="355" t="n"/>
      <c r="I29" s="355" t="n"/>
    </row>
    <row r="30">
      <c r="A30" s="355" t="n"/>
      <c r="B30" s="355" t="n"/>
      <c r="C30" s="355" t="n"/>
      <c r="D30" s="355" t="n"/>
      <c r="E30" s="355" t="n"/>
      <c r="F30" s="355" t="n"/>
      <c r="G30" s="355" t="n"/>
      <c r="H30" s="355" t="n"/>
      <c r="I30" s="355" t="n"/>
    </row>
    <row r="31">
      <c r="A31" s="355" t="n"/>
      <c r="B31" s="355" t="n"/>
      <c r="C31" s="355" t="n"/>
      <c r="D31" s="355" t="n"/>
      <c r="E31" s="355" t="n"/>
      <c r="F31" s="355" t="n"/>
      <c r="G31" s="355" t="n"/>
      <c r="H31" s="355" t="n"/>
      <c r="I31" s="355" t="n"/>
    </row>
    <row r="32">
      <c r="A32" s="355" t="n"/>
      <c r="B32" s="355" t="n"/>
      <c r="C32" s="355" t="n"/>
      <c r="D32" s="355" t="n"/>
      <c r="E32" s="355" t="n"/>
      <c r="F32" s="355" t="n"/>
      <c r="G32" s="355" t="n"/>
      <c r="H32" s="355" t="n"/>
      <c r="I32" s="355" t="n"/>
    </row>
    <row r="33">
      <c r="A33" s="355" t="n"/>
      <c r="B33" s="355" t="n"/>
      <c r="C33" s="355" t="n"/>
      <c r="D33" s="355" t="n"/>
      <c r="E33" s="355" t="n"/>
      <c r="F33" s="355" t="n"/>
      <c r="G33" s="355" t="n"/>
      <c r="H33" s="355" t="n"/>
      <c r="I33" s="355" t="n"/>
    </row>
    <row r="34">
      <c r="A34" s="355" t="n"/>
      <c r="B34" s="355" t="n"/>
      <c r="C34" s="355" t="n"/>
      <c r="D34" s="355" t="n"/>
      <c r="E34" s="355" t="n"/>
      <c r="F34" s="355" t="n"/>
      <c r="G34" s="355" t="n"/>
      <c r="H34" s="355" t="n"/>
      <c r="I34" s="355" t="n"/>
    </row>
  </sheetData>
  <mergeCells count="8">
    <mergeCell ref="H3:I3"/>
    <mergeCell ref="D2:I2"/>
    <mergeCell ref="D3:G3"/>
    <mergeCell ref="A1:C7"/>
    <mergeCell ref="D4:G4"/>
    <mergeCell ref="D5:G5"/>
    <mergeCell ref="D6:G7"/>
    <mergeCell ref="D1:I1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1565C0"/>
    <outlinePr summaryBelow="1" summaryRight="1"/>
    <pageSetUpPr/>
  </sheetPr>
  <dimension ref="A1:M33"/>
  <sheetViews>
    <sheetView zoomScale="81" zoomScaleNormal="81" workbookViewId="0">
      <selection activeCell="N14" sqref="N14"/>
    </sheetView>
  </sheetViews>
  <sheetFormatPr baseColWidth="10" defaultColWidth="8.88671875" defaultRowHeight="14.4"/>
  <cols>
    <col width="18" customWidth="1" style="1062" min="1" max="1"/>
    <col width="15.77734375" customWidth="1" style="1062" min="11" max="13"/>
  </cols>
  <sheetData>
    <row r="1" ht="40.05" customHeight="1" s="1062">
      <c r="A1" s="285" t="n"/>
      <c r="B1" s="285" t="n"/>
      <c r="C1" s="285" t="n"/>
      <c r="D1" s="683" t="n"/>
      <c r="E1" s="585" t="inlineStr">
        <is>
          <t>INSTRUCTIVO DE USO</t>
        </is>
      </c>
    </row>
    <row r="2" ht="4.95" customHeight="1" s="1062">
      <c r="A2" s="285" t="n"/>
      <c r="B2" s="285" t="n"/>
      <c r="C2" s="285" t="n"/>
      <c r="E2" s="685" t="n"/>
    </row>
    <row r="3" ht="15" customHeight="1" s="1062">
      <c r="A3" s="285" t="n"/>
      <c r="B3" s="285" t="n"/>
      <c r="C3" s="285" t="n"/>
      <c r="E3" s="600" t="n"/>
      <c r="K3" s="684" t="inlineStr">
        <is>
          <t>CONTROL DOCUMENTAL</t>
        </is>
      </c>
    </row>
    <row r="4" ht="15" customHeight="1" s="1062">
      <c r="A4" s="285" t="n"/>
      <c r="B4" s="285" t="n"/>
      <c r="C4" s="285" t="n"/>
      <c r="E4" s="288" t="inlineStr">
        <is>
          <t>REFORMAS Y REMODELACIONES</t>
        </is>
      </c>
      <c r="F4" s="288" t="n"/>
      <c r="G4" s="288" t="n"/>
      <c r="H4" s="288" t="n"/>
      <c r="I4" s="288" t="n"/>
      <c r="J4" s="286" t="n"/>
      <c r="K4" s="284" t="inlineStr">
        <is>
          <t>Código</t>
        </is>
      </c>
      <c r="L4" s="682" t="inlineStr">
        <is>
          <t>RYR-CO-004</t>
        </is>
      </c>
    </row>
    <row r="5" ht="15" customHeight="1" s="1062">
      <c r="A5" s="285" t="n"/>
      <c r="B5" s="285" t="n"/>
      <c r="C5" s="285" t="n"/>
      <c r="E5" s="289" t="inlineStr">
        <is>
          <t>DISEÑAMOS, RENOVAMOS Y CONSTRUIMOS ESPACIOS QUE INSPIRAN</t>
        </is>
      </c>
      <c r="F5" s="289" t="n"/>
      <c r="G5" s="289" t="n"/>
      <c r="H5" s="289" t="n"/>
      <c r="I5" s="289" t="n"/>
      <c r="J5" s="287" t="n"/>
      <c r="K5" s="284" t="inlineStr">
        <is>
          <t>Versión</t>
        </is>
      </c>
      <c r="L5" s="682" t="n">
        <v>1</v>
      </c>
    </row>
    <row r="6" ht="14.4" customHeight="1" s="1062">
      <c r="A6" s="285" t="n"/>
      <c r="B6" s="285" t="n"/>
      <c r="C6" s="285" t="n"/>
      <c r="E6" s="600" t="n"/>
      <c r="K6" s="284" t="inlineStr">
        <is>
          <t>Fecha de Emisión</t>
        </is>
      </c>
      <c r="L6" s="682" t="inlineStr">
        <is>
          <t>10/09/2026</t>
        </is>
      </c>
    </row>
    <row r="7" ht="15" customHeight="1" s="1062">
      <c r="A7" s="285" t="n"/>
      <c r="B7" s="285" t="n"/>
      <c r="C7" s="285" t="n"/>
      <c r="K7" s="284" t="inlineStr">
        <is>
          <t>Página</t>
        </is>
      </c>
      <c r="L7" s="682" t="inlineStr">
        <is>
          <t>1 de 1</t>
        </is>
      </c>
    </row>
    <row r="8" ht="19.95" customHeight="1" s="1062">
      <c r="A8" s="686" t="inlineStr">
        <is>
          <t>REFORMAS Y REMODELACIONES — INSTRUCTIVO DE CANTIDADES</t>
        </is>
      </c>
    </row>
    <row r="9" ht="15" customHeight="1" s="1062">
      <c r="A9" s="680" t="inlineStr">
        <is>
          <t>1. IDENTIFICAR</t>
        </is>
      </c>
    </row>
    <row r="10" ht="15" customHeight="1" s="1062">
      <c r="A10" s="681" t="inlineStr">
        <is>
          <t>Use el código y actividad específica del catálogo; defina ubicación/frente y plano/revisión.</t>
        </is>
      </c>
    </row>
    <row r="11" ht="15" customHeight="1" s="1062"/>
    <row r="12" ht="15" customHeight="1" s="1062">
      <c r="A12" s="680" t="inlineStr">
        <is>
          <t>2. MEDIR</t>
        </is>
      </c>
    </row>
    <row r="13" ht="15" customHeight="1" s="1062">
      <c r="A13" s="681" t="inlineStr">
        <is>
          <t>Ingrese solo las dimensiones aplicables a la actividad: largo, ancho, alto/profundidad, espesor y número de elementos.</t>
        </is>
      </c>
    </row>
    <row r="14" ht="15" customHeight="1" s="1062"/>
    <row r="15" ht="15" customHeight="1" s="1062">
      <c r="A15" s="680" t="inlineStr">
        <is>
          <t>3. REPETIR</t>
        </is>
      </c>
    </row>
    <row r="16" ht="15" customHeight="1" s="1062">
      <c r="A16" s="681" t="inlineStr">
        <is>
          <t>Use N° de elementos para componentes repetitivos y Repeticiones para módulos o conjuntos.</t>
        </is>
      </c>
    </row>
    <row r="17" ht="15" customHeight="1" s="1062"/>
    <row r="18" ht="15" customHeight="1" s="1062">
      <c r="A18" s="680" t="inlineStr">
        <is>
          <t>4. DEDUCIR</t>
        </is>
      </c>
    </row>
    <row r="19" ht="15" customHeight="1" s="1062">
      <c r="A19" s="681" t="inlineStr">
        <is>
          <t>Registre vanos, vacíos u otros descuentos en Deducción y explique el criterio.</t>
        </is>
      </c>
    </row>
    <row r="20" ht="15" customHeight="1" s="1062"/>
    <row r="21" ht="15" customHeight="1" s="1062">
      <c r="A21" s="680" t="inlineStr">
        <is>
          <t>5. DESPERDICIO</t>
        </is>
      </c>
    </row>
    <row r="22" ht="15" customHeight="1" s="1062">
      <c r="A22" s="681" t="inlineStr">
        <is>
          <t>Ingrese el porcentaje como decimal (5% = 0,05) solo si está técnicamente o contractualmente sustentado.</t>
        </is>
      </c>
    </row>
    <row r="23" ht="15" customHeight="1" s="1062"/>
    <row r="24" ht="15" customHeight="1" s="1062">
      <c r="A24" s="680" t="inlineStr">
        <is>
          <t>6. TRAZABILIDAD</t>
        </is>
      </c>
    </row>
    <row r="25" ht="15" customHeight="1" s="1062">
      <c r="A25" s="681" t="inlineStr">
        <is>
          <t>Toda cantidad debe poder rastrearse a plano, detalle, especificación, medición de campo o documento contractual.</t>
        </is>
      </c>
    </row>
    <row r="26" ht="15" customHeight="1" s="1062"/>
    <row r="27">
      <c r="A27" s="680" t="inlineStr">
        <is>
          <t>7. VALIDAR</t>
        </is>
      </c>
    </row>
    <row r="28" ht="14.4" customHeight="1" s="1062">
      <c r="A28" s="681" t="inlineStr">
        <is>
          <t>Compare contra presupuesto, APU, planos y medición de campo; documente diferencias.</t>
        </is>
      </c>
    </row>
    <row r="29"/>
    <row r="30">
      <c r="A30" s="680" t="inlineStr">
        <is>
          <t>8. APROBAR</t>
        </is>
      </c>
    </row>
    <row r="31" ht="14.4" customHeight="1" s="1062">
      <c r="A31" s="681" t="inlineStr">
        <is>
          <t>Cambie el Estado a Aprobada solo después de la revisión técnica.</t>
        </is>
      </c>
    </row>
    <row r="32"/>
    <row r="33">
      <c r="A33" s="225" t="inlineStr">
        <is>
          <t>REV. 10/09/2026</t>
        </is>
      </c>
      <c r="B33" s="225" t="n"/>
      <c r="C33" s="225" t="n"/>
      <c r="D33" s="225" t="n"/>
      <c r="E33" s="225" t="n"/>
      <c r="F33" s="225" t="n"/>
      <c r="G33" s="225" t="n"/>
      <c r="H33" s="225" t="n"/>
      <c r="I33" s="225" t="n"/>
      <c r="J33" s="225" t="n"/>
      <c r="K33" s="225" t="n"/>
      <c r="L33" s="225" t="n"/>
      <c r="M33" s="224">
        <f>L4</f>
        <v/>
      </c>
    </row>
  </sheetData>
  <mergeCells count="35">
    <mergeCell ref="A14:M14"/>
    <mergeCell ref="L7:M7"/>
    <mergeCell ref="A23:M23"/>
    <mergeCell ref="A32:M32"/>
    <mergeCell ref="E1:M1"/>
    <mergeCell ref="A8:M8"/>
    <mergeCell ref="A22:M22"/>
    <mergeCell ref="A17:M17"/>
    <mergeCell ref="A29:M29"/>
    <mergeCell ref="A20:M20"/>
    <mergeCell ref="A10:M10"/>
    <mergeCell ref="A28:M28"/>
    <mergeCell ref="A19:M19"/>
    <mergeCell ref="A13:M13"/>
    <mergeCell ref="E2:M2"/>
    <mergeCell ref="A31:M31"/>
    <mergeCell ref="A9:M9"/>
    <mergeCell ref="A30:M30"/>
    <mergeCell ref="L5:M5"/>
    <mergeCell ref="A15:M15"/>
    <mergeCell ref="A24:M24"/>
    <mergeCell ref="A11:M11"/>
    <mergeCell ref="D1:D7"/>
    <mergeCell ref="L4:M4"/>
    <mergeCell ref="K3:M3"/>
    <mergeCell ref="A25:M25"/>
    <mergeCell ref="E3:J3"/>
    <mergeCell ref="A16:M16"/>
    <mergeCell ref="E6:J7"/>
    <mergeCell ref="L6:M6"/>
    <mergeCell ref="A27:M27"/>
    <mergeCell ref="A12:M12"/>
    <mergeCell ref="A18:M18"/>
    <mergeCell ref="A26:M26"/>
    <mergeCell ref="A21:M21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2026-08-07T19:45:20Z</dcterms:created>
  <dcterms:modified xmlns:dcterms="http://purl.org/dc/terms/" xmlns:xsi="http://www.w3.org/2001/XMLSchema-instance" xsi:type="dcterms:W3CDTF">2026-09-17T20:16:21Z</dcterms:modified>
  <cp:lastModifiedBy>Hugo Fernando Hurtado Ruiz</cp:lastModifiedBy>
  <cp:revision>1</cp:revision>
  <cp:lastPrinted>2026-09-14T01:27:33Z</cp:lastPrinted>
</cp:coreProperties>
</file>