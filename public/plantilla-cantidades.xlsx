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pageSetUpPr/>
  </sheetPr>
  <dimension ref="A1:Y169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5.77734375" customWidth="1" style="550" min="10" max="10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52" customWidth="1" style="615" min="21" max="21"/>
    <col width="42" customWidth="1" style="550" min="22" max="22"/>
    <col width="18" customWidth="1" style="550" min="23" max="23"/>
    <col width="12" customWidth="1" style="550" min="24" max="24"/>
    <col width="15" customWidth="1" style="550" min="25" max="25"/>
  </cols>
  <sheetData>
    <row r="1" ht="40.05" customHeight="1" s="550">
      <c r="A1" s="618" t="n"/>
      <c r="B1" s="618" t="n"/>
      <c r="C1" s="626" t="inlineStr">
        <is>
          <t>CANTIDADES DE OBRA</t>
        </is>
      </c>
      <c r="K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628" t="n"/>
      <c r="K7" s="633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Largo</t>
        </is>
      </c>
      <c r="K8" s="279" t="inlineStr">
        <is>
          <t>Ancho</t>
        </is>
      </c>
      <c r="L8" s="279" t="inlineStr">
        <is>
          <t>Alto / Prof.</t>
        </is>
      </c>
      <c r="M8" s="279" t="inlineStr">
        <is>
          <t>Espesor</t>
        </is>
      </c>
      <c r="N8" s="279" t="inlineStr">
        <is>
          <t>N° elementos</t>
        </is>
      </c>
      <c r="O8" s="279" t="inlineStr">
        <is>
          <t>Repeticiones</t>
        </is>
      </c>
      <c r="P8" s="279" t="inlineStr">
        <is>
          <t>Factor</t>
        </is>
      </c>
      <c r="Q8" s="279" t="inlineStr">
        <is>
          <t>Deducción</t>
        </is>
      </c>
      <c r="R8" s="279" t="inlineStr">
        <is>
          <t>Desperdicio %</t>
        </is>
      </c>
      <c r="S8" s="279" t="inlineStr">
        <is>
          <t>Cantidad neta</t>
        </is>
      </c>
      <c r="T8" s="279" t="inlineStr">
        <is>
          <t>Cantidad final</t>
        </is>
      </c>
      <c r="U8" s="279" t="inlineStr">
        <is>
          <t>Fórmula / criterio</t>
        </is>
      </c>
      <c r="V8" s="279" t="inlineStr">
        <is>
          <t>Observación técnica</t>
        </is>
      </c>
      <c r="W8" s="279" t="inlineStr">
        <is>
          <t>Responsable</t>
        </is>
      </c>
      <c r="X8" s="279" t="inlineStr">
        <is>
          <t>Fecha</t>
        </is>
      </c>
      <c r="Y8" s="279" t="inlineStr">
        <is>
          <t>Estado</t>
        </is>
      </c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38" t="n">
        <v>0</v>
      </c>
      <c r="K9" s="1438" t="n">
        <v>0</v>
      </c>
      <c r="L9" s="1438" t="n">
        <v>0</v>
      </c>
      <c r="M9" s="1438" t="n">
        <v>0</v>
      </c>
      <c r="N9" s="1438" t="n">
        <v>1</v>
      </c>
      <c r="O9" s="1438" t="n">
        <v>1</v>
      </c>
      <c r="P9" s="1438" t="n">
        <v>1</v>
      </c>
      <c r="Q9" s="1438" t="n">
        <v>0</v>
      </c>
      <c r="R9" s="1303" t="n">
        <v>0</v>
      </c>
      <c r="S9" s="1438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438">
        <f>IF(S9="","",ROUND(S9*(1+R9),3))</f>
        <v/>
      </c>
      <c r="U9" s="283" t="inlineStr">
        <is>
          <t>ml</t>
        </is>
      </c>
      <c r="V9" s="285" t="n"/>
      <c r="W9" s="285" t="n"/>
      <c r="X9" s="1304" t="n"/>
      <c r="Y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38" t="n">
        <v>0</v>
      </c>
      <c r="K10" s="1438" t="n">
        <v>0</v>
      </c>
      <c r="L10" s="1438" t="n">
        <v>0</v>
      </c>
      <c r="M10" s="1438" t="n">
        <v>0</v>
      </c>
      <c r="N10" s="1438" t="n">
        <v>1</v>
      </c>
      <c r="O10" s="1438" t="n">
        <v>1</v>
      </c>
      <c r="P10" s="1438" t="n">
        <v>1</v>
      </c>
      <c r="Q10" s="1438" t="n">
        <v>0</v>
      </c>
      <c r="R10" s="1303" t="n">
        <v>0</v>
      </c>
      <c r="S10" s="1438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438">
        <f>IF(S10="","",ROUND(S10*(1+R10),3))</f>
        <v/>
      </c>
      <c r="U10" s="283" t="inlineStr">
        <is>
          <t>ml</t>
        </is>
      </c>
      <c r="V10" s="285" t="n"/>
      <c r="W10" s="285" t="n"/>
      <c r="X10" s="1304" t="n"/>
      <c r="Y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38" t="n">
        <v>0</v>
      </c>
      <c r="K11" s="1438" t="n">
        <v>0</v>
      </c>
      <c r="L11" s="1438" t="n">
        <v>0</v>
      </c>
      <c r="M11" s="1438" t="n">
        <v>0</v>
      </c>
      <c r="N11" s="1438" t="n">
        <v>1</v>
      </c>
      <c r="O11" s="1438" t="n">
        <v>1</v>
      </c>
      <c r="P11" s="1438" t="n">
        <v>1</v>
      </c>
      <c r="Q11" s="1438" t="n">
        <v>0</v>
      </c>
      <c r="R11" s="1303" t="n">
        <v>0</v>
      </c>
      <c r="S11" s="1438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438">
        <f>IF(S11="","",ROUND(S11*(1+R11),3))</f>
        <v/>
      </c>
      <c r="U11" s="283" t="inlineStr">
        <is>
          <t>m²</t>
        </is>
      </c>
      <c r="V11" s="285" t="n"/>
      <c r="W11" s="285" t="n"/>
      <c r="X11" s="1304" t="n"/>
      <c r="Y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38" t="n">
        <v>0</v>
      </c>
      <c r="K12" s="1438" t="n">
        <v>0</v>
      </c>
      <c r="L12" s="1438" t="n">
        <v>0</v>
      </c>
      <c r="M12" s="1438" t="n">
        <v>0</v>
      </c>
      <c r="N12" s="1438" t="n">
        <v>1</v>
      </c>
      <c r="O12" s="1438" t="n">
        <v>1</v>
      </c>
      <c r="P12" s="1438" t="n">
        <v>1</v>
      </c>
      <c r="Q12" s="1438" t="n">
        <v>0</v>
      </c>
      <c r="R12" s="1303" t="n">
        <v>0</v>
      </c>
      <c r="S12" s="1438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438">
        <f>IF(S12="","",ROUND(S12*(1+R12),3))</f>
        <v/>
      </c>
      <c r="U12" s="283" t="inlineStr">
        <is>
          <t>m²</t>
        </is>
      </c>
      <c r="V12" s="285" t="n"/>
      <c r="W12" s="285" t="n"/>
      <c r="X12" s="1304" t="n"/>
      <c r="Y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38" t="n">
        <v>0</v>
      </c>
      <c r="K13" s="1438" t="n">
        <v>0</v>
      </c>
      <c r="L13" s="1438" t="n">
        <v>0</v>
      </c>
      <c r="M13" s="1438" t="n">
        <v>0</v>
      </c>
      <c r="N13" s="1438" t="n">
        <v>1</v>
      </c>
      <c r="O13" s="1438" t="n">
        <v>1</v>
      </c>
      <c r="P13" s="1438" t="n">
        <v>1</v>
      </c>
      <c r="Q13" s="1438" t="n">
        <v>0</v>
      </c>
      <c r="R13" s="1303" t="n">
        <v>0</v>
      </c>
      <c r="S13" s="1438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438">
        <f>IF(S13="","",ROUND(S13*(1+R13),3))</f>
        <v/>
      </c>
      <c r="U13" s="283" t="inlineStr">
        <is>
          <t>und</t>
        </is>
      </c>
      <c r="V13" s="285" t="n"/>
      <c r="W13" s="285" t="n"/>
      <c r="X13" s="1304" t="n"/>
      <c r="Y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38" t="n">
        <v>0</v>
      </c>
      <c r="K14" s="1438" t="n">
        <v>0</v>
      </c>
      <c r="L14" s="1438" t="n">
        <v>0</v>
      </c>
      <c r="M14" s="1438" t="n">
        <v>0</v>
      </c>
      <c r="N14" s="1438" t="n">
        <v>1</v>
      </c>
      <c r="O14" s="1438" t="n">
        <v>1</v>
      </c>
      <c r="P14" s="1438" t="n">
        <v>1</v>
      </c>
      <c r="Q14" s="1438" t="n">
        <v>0</v>
      </c>
      <c r="R14" s="1303" t="n">
        <v>0</v>
      </c>
      <c r="S14" s="1438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438">
        <f>IF(S14="","",ROUND(S14*(1+R14),3))</f>
        <v/>
      </c>
      <c r="U14" s="283" t="inlineStr">
        <is>
          <t>gl</t>
        </is>
      </c>
      <c r="V14" s="285" t="n"/>
      <c r="W14" s="285" t="n"/>
      <c r="X14" s="1304" t="n"/>
      <c r="Y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38" t="n">
        <v>0</v>
      </c>
      <c r="K15" s="1438" t="n">
        <v>0</v>
      </c>
      <c r="L15" s="1438" t="n">
        <v>0</v>
      </c>
      <c r="M15" s="1438" t="n">
        <v>0</v>
      </c>
      <c r="N15" s="1438" t="n">
        <v>1</v>
      </c>
      <c r="O15" s="1438" t="n">
        <v>1</v>
      </c>
      <c r="P15" s="1438" t="n">
        <v>1</v>
      </c>
      <c r="Q15" s="1438" t="n">
        <v>0</v>
      </c>
      <c r="R15" s="1303" t="n">
        <v>0</v>
      </c>
      <c r="S15" s="1438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438">
        <f>IF(S15="","",ROUND(S15*(1+R15),3))</f>
        <v/>
      </c>
      <c r="U15" s="283" t="inlineStr">
        <is>
          <t>m²</t>
        </is>
      </c>
      <c r="V15" s="285" t="n"/>
      <c r="W15" s="285" t="n"/>
      <c r="X15" s="1304" t="n"/>
      <c r="Y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38" t="n">
        <v>0</v>
      </c>
      <c r="K16" s="1438" t="n">
        <v>0</v>
      </c>
      <c r="L16" s="1438" t="n">
        <v>0</v>
      </c>
      <c r="M16" s="1438" t="n">
        <v>0</v>
      </c>
      <c r="N16" s="1438" t="n">
        <v>1</v>
      </c>
      <c r="O16" s="1438" t="n">
        <v>1</v>
      </c>
      <c r="P16" s="1438" t="n">
        <v>1</v>
      </c>
      <c r="Q16" s="1438" t="n">
        <v>0</v>
      </c>
      <c r="R16" s="1303" t="n">
        <v>0</v>
      </c>
      <c r="S16" s="1438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438">
        <f>IF(S16="","",ROUND(S16*(1+R16),3))</f>
        <v/>
      </c>
      <c r="U16" s="283" t="inlineStr">
        <is>
          <t>m²</t>
        </is>
      </c>
      <c r="V16" s="285" t="n"/>
      <c r="W16" s="285" t="n"/>
      <c r="X16" s="1304" t="n"/>
      <c r="Y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38" t="n">
        <v>0</v>
      </c>
      <c r="K17" s="1438" t="n">
        <v>0</v>
      </c>
      <c r="L17" s="1438" t="n">
        <v>0</v>
      </c>
      <c r="M17" s="1438" t="n">
        <v>0</v>
      </c>
      <c r="N17" s="1438" t="n">
        <v>1</v>
      </c>
      <c r="O17" s="1438" t="n">
        <v>1</v>
      </c>
      <c r="P17" s="1438" t="n">
        <v>1</v>
      </c>
      <c r="Q17" s="1438" t="n">
        <v>0</v>
      </c>
      <c r="R17" s="1303" t="n">
        <v>0</v>
      </c>
      <c r="S17" s="1438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438">
        <f>IF(S17="","",ROUND(S17*(1+R17),3))</f>
        <v/>
      </c>
      <c r="U17" s="283" t="inlineStr">
        <is>
          <t>m³</t>
        </is>
      </c>
      <c r="V17" s="285" t="n"/>
      <c r="W17" s="285" t="n"/>
      <c r="X17" s="1304" t="n"/>
      <c r="Y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38" t="n">
        <v>0</v>
      </c>
      <c r="K18" s="1438" t="n">
        <v>0</v>
      </c>
      <c r="L18" s="1438" t="n">
        <v>0</v>
      </c>
      <c r="M18" s="1438" t="n">
        <v>0</v>
      </c>
      <c r="N18" s="1438" t="n">
        <v>1</v>
      </c>
      <c r="O18" s="1438" t="n">
        <v>1</v>
      </c>
      <c r="P18" s="1438" t="n">
        <v>1</v>
      </c>
      <c r="Q18" s="1438" t="n">
        <v>0</v>
      </c>
      <c r="R18" s="1303" t="n">
        <v>0</v>
      </c>
      <c r="S18" s="1438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438">
        <f>IF(S18="","",ROUND(S18*(1+R18),3))</f>
        <v/>
      </c>
      <c r="U18" s="283" t="inlineStr">
        <is>
          <t>m³</t>
        </is>
      </c>
      <c r="V18" s="285" t="n"/>
      <c r="W18" s="285" t="n"/>
      <c r="X18" s="1304" t="n"/>
      <c r="Y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38" t="n">
        <v>0</v>
      </c>
      <c r="K19" s="1438" t="n">
        <v>0</v>
      </c>
      <c r="L19" s="1438" t="n">
        <v>0</v>
      </c>
      <c r="M19" s="1438" t="n">
        <v>0</v>
      </c>
      <c r="N19" s="1438" t="n">
        <v>1</v>
      </c>
      <c r="O19" s="1438" t="n">
        <v>1</v>
      </c>
      <c r="P19" s="1438" t="n">
        <v>1</v>
      </c>
      <c r="Q19" s="1438" t="n">
        <v>0</v>
      </c>
      <c r="R19" s="1303" t="n">
        <v>0</v>
      </c>
      <c r="S19" s="1438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438">
        <f>IF(S19="","",ROUND(S19*(1+R19),3))</f>
        <v/>
      </c>
      <c r="U19" s="283" t="inlineStr">
        <is>
          <t>m³</t>
        </is>
      </c>
      <c r="V19" s="285" t="n"/>
      <c r="W19" s="285" t="n"/>
      <c r="X19" s="1304" t="n"/>
      <c r="Y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38" t="n">
        <v>0</v>
      </c>
      <c r="K20" s="1438" t="n">
        <v>0</v>
      </c>
      <c r="L20" s="1438" t="n">
        <v>0</v>
      </c>
      <c r="M20" s="1438" t="n">
        <v>0</v>
      </c>
      <c r="N20" s="1438" t="n">
        <v>1</v>
      </c>
      <c r="O20" s="1438" t="n">
        <v>1</v>
      </c>
      <c r="P20" s="1438" t="n">
        <v>1</v>
      </c>
      <c r="Q20" s="1438" t="n">
        <v>0</v>
      </c>
      <c r="R20" s="1303" t="n">
        <v>0</v>
      </c>
      <c r="S20" s="1438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438">
        <f>IF(S20="","",ROUND(S20*(1+R20),3))</f>
        <v/>
      </c>
      <c r="U20" s="283" t="inlineStr">
        <is>
          <t>m³</t>
        </is>
      </c>
      <c r="V20" s="285" t="n"/>
      <c r="W20" s="285" t="n"/>
      <c r="X20" s="1304" t="n"/>
      <c r="Y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38" t="n">
        <v>0</v>
      </c>
      <c r="K21" s="1438" t="n">
        <v>0</v>
      </c>
      <c r="L21" s="1438" t="n">
        <v>0</v>
      </c>
      <c r="M21" s="1438" t="n">
        <v>0</v>
      </c>
      <c r="N21" s="1438" t="n">
        <v>1</v>
      </c>
      <c r="O21" s="1438" t="n">
        <v>1</v>
      </c>
      <c r="P21" s="1438" t="n">
        <v>1</v>
      </c>
      <c r="Q21" s="1438" t="n">
        <v>0</v>
      </c>
      <c r="R21" s="1303" t="n">
        <v>0</v>
      </c>
      <c r="S21" s="1438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438">
        <f>IF(S21="","",ROUND(S21*(1+R21),3))</f>
        <v/>
      </c>
      <c r="U21" s="283" t="inlineStr">
        <is>
          <t>m²</t>
        </is>
      </c>
      <c r="V21" s="285" t="n"/>
      <c r="W21" s="285" t="n"/>
      <c r="X21" s="1304" t="n"/>
      <c r="Y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38" t="n">
        <v>0</v>
      </c>
      <c r="K22" s="1438" t="n">
        <v>0</v>
      </c>
      <c r="L22" s="1438" t="n">
        <v>0</v>
      </c>
      <c r="M22" s="1438" t="n">
        <v>0</v>
      </c>
      <c r="N22" s="1438" t="n">
        <v>1</v>
      </c>
      <c r="O22" s="1438" t="n">
        <v>1</v>
      </c>
      <c r="P22" s="1438" t="n">
        <v>1</v>
      </c>
      <c r="Q22" s="1438" t="n">
        <v>0</v>
      </c>
      <c r="R22" s="1303" t="n">
        <v>0</v>
      </c>
      <c r="S22" s="1438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438">
        <f>IF(S22="","",ROUND(S22*(1+R22),3))</f>
        <v/>
      </c>
      <c r="U22" s="283" t="inlineStr">
        <is>
          <t>m³</t>
        </is>
      </c>
      <c r="V22" s="285" t="n"/>
      <c r="W22" s="285" t="n"/>
      <c r="X22" s="1304" t="n"/>
      <c r="Y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38" t="n">
        <v>0</v>
      </c>
      <c r="K23" s="1438" t="n">
        <v>0</v>
      </c>
      <c r="L23" s="1438" t="n">
        <v>0</v>
      </c>
      <c r="M23" s="1438" t="n">
        <v>0</v>
      </c>
      <c r="N23" s="1438" t="n">
        <v>1</v>
      </c>
      <c r="O23" s="1438" t="n">
        <v>1</v>
      </c>
      <c r="P23" s="1438" t="n">
        <v>1</v>
      </c>
      <c r="Q23" s="1438" t="n">
        <v>0</v>
      </c>
      <c r="R23" s="1303" t="n">
        <v>0</v>
      </c>
      <c r="S23" s="1438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438">
        <f>IF(S23="","",ROUND(S23*(1+R23),3))</f>
        <v/>
      </c>
      <c r="U23" s="283" t="inlineStr">
        <is>
          <t>m³</t>
        </is>
      </c>
      <c r="V23" s="285" t="n"/>
      <c r="W23" s="285" t="n"/>
      <c r="X23" s="1304" t="n"/>
      <c r="Y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38" t="n">
        <v>0</v>
      </c>
      <c r="K24" s="1438" t="n">
        <v>0</v>
      </c>
      <c r="L24" s="1438" t="n">
        <v>0</v>
      </c>
      <c r="M24" s="1438" t="n">
        <v>0</v>
      </c>
      <c r="N24" s="1438" t="n">
        <v>1</v>
      </c>
      <c r="O24" s="1438" t="n">
        <v>1</v>
      </c>
      <c r="P24" s="1438" t="n">
        <v>1</v>
      </c>
      <c r="Q24" s="1438" t="n">
        <v>0</v>
      </c>
      <c r="R24" s="1303" t="n">
        <v>0</v>
      </c>
      <c r="S24" s="1438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438">
        <f>IF(S24="","",ROUND(S24*(1+R24),3))</f>
        <v/>
      </c>
      <c r="U24" s="283" t="inlineStr">
        <is>
          <t>m³</t>
        </is>
      </c>
      <c r="V24" s="285" t="n"/>
      <c r="W24" s="285" t="n"/>
      <c r="X24" s="1304" t="n"/>
      <c r="Y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38" t="n">
        <v>0</v>
      </c>
      <c r="K25" s="1438" t="n">
        <v>0</v>
      </c>
      <c r="L25" s="1438" t="n">
        <v>0</v>
      </c>
      <c r="M25" s="1438" t="n">
        <v>0</v>
      </c>
      <c r="N25" s="1438" t="n">
        <v>1</v>
      </c>
      <c r="O25" s="1438" t="n">
        <v>1</v>
      </c>
      <c r="P25" s="1438" t="n">
        <v>1</v>
      </c>
      <c r="Q25" s="1438" t="n">
        <v>0</v>
      </c>
      <c r="R25" s="1303" t="n">
        <v>0</v>
      </c>
      <c r="S25" s="1438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438">
        <f>IF(S25="","",ROUND(S25*(1+R25),3))</f>
        <v/>
      </c>
      <c r="U25" s="283" t="inlineStr">
        <is>
          <t>m³</t>
        </is>
      </c>
      <c r="V25" s="285" t="n"/>
      <c r="W25" s="285" t="n"/>
      <c r="X25" s="1304" t="n"/>
      <c r="Y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38" t="n">
        <v>0</v>
      </c>
      <c r="K26" s="1438" t="n">
        <v>0</v>
      </c>
      <c r="L26" s="1438" t="n">
        <v>0</v>
      </c>
      <c r="M26" s="1438" t="n">
        <v>0</v>
      </c>
      <c r="N26" s="1438" t="n">
        <v>1</v>
      </c>
      <c r="O26" s="1438" t="n">
        <v>1</v>
      </c>
      <c r="P26" s="1438" t="n">
        <v>1</v>
      </c>
      <c r="Q26" s="1438" t="n">
        <v>0</v>
      </c>
      <c r="R26" s="1303" t="n">
        <v>0</v>
      </c>
      <c r="S26" s="1438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438">
        <f>IF(S26="","",ROUND(S26*(1+R26),3))</f>
        <v/>
      </c>
      <c r="U26" s="283" t="inlineStr">
        <is>
          <t>m³</t>
        </is>
      </c>
      <c r="V26" s="285" t="n"/>
      <c r="W26" s="285" t="n"/>
      <c r="X26" s="1304" t="n"/>
      <c r="Y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38" t="n">
        <v>0</v>
      </c>
      <c r="K27" s="1438" t="n">
        <v>0</v>
      </c>
      <c r="L27" s="1438" t="n">
        <v>0</v>
      </c>
      <c r="M27" s="1438" t="n">
        <v>0</v>
      </c>
      <c r="N27" s="1438" t="n">
        <v>1</v>
      </c>
      <c r="O27" s="1438" t="n">
        <v>1</v>
      </c>
      <c r="P27" s="1438" t="n">
        <v>1</v>
      </c>
      <c r="Q27" s="1438" t="n">
        <v>0</v>
      </c>
      <c r="R27" s="1303" t="n">
        <v>0</v>
      </c>
      <c r="S27" s="1438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438">
        <f>IF(S27="","",ROUND(S27*(1+R27),3))</f>
        <v/>
      </c>
      <c r="U27" s="283" t="inlineStr">
        <is>
          <t>m³</t>
        </is>
      </c>
      <c r="V27" s="285" t="n"/>
      <c r="W27" s="285" t="n"/>
      <c r="X27" s="1304" t="n"/>
      <c r="Y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38" t="n">
        <v>0</v>
      </c>
      <c r="K28" s="1438" t="n">
        <v>0</v>
      </c>
      <c r="L28" s="1438" t="n">
        <v>0</v>
      </c>
      <c r="M28" s="1438" t="n">
        <v>0</v>
      </c>
      <c r="N28" s="1438" t="n">
        <v>1</v>
      </c>
      <c r="O28" s="1438" t="n">
        <v>1</v>
      </c>
      <c r="P28" s="1438" t="n">
        <v>1</v>
      </c>
      <c r="Q28" s="1438" t="n">
        <v>0</v>
      </c>
      <c r="R28" s="1303" t="n">
        <v>0</v>
      </c>
      <c r="S28" s="1438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438">
        <f>IF(S28="","",ROUND(S28*(1+R28),3))</f>
        <v/>
      </c>
      <c r="U28" s="283" t="inlineStr">
        <is>
          <t>m³</t>
        </is>
      </c>
      <c r="V28" s="285" t="n"/>
      <c r="W28" s="285" t="n"/>
      <c r="X28" s="1304" t="n"/>
      <c r="Y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38" t="n">
        <v>0</v>
      </c>
      <c r="K29" s="1438" t="n">
        <v>0</v>
      </c>
      <c r="L29" s="1438" t="n">
        <v>0</v>
      </c>
      <c r="M29" s="1438" t="n">
        <v>0</v>
      </c>
      <c r="N29" s="1438" t="n">
        <v>1</v>
      </c>
      <c r="O29" s="1438" t="n">
        <v>1</v>
      </c>
      <c r="P29" s="1438" t="n">
        <v>1</v>
      </c>
      <c r="Q29" s="1438" t="n">
        <v>0</v>
      </c>
      <c r="R29" s="1303" t="n">
        <v>0</v>
      </c>
      <c r="S29" s="1438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438">
        <f>IF(S29="","",ROUND(S29*(1+R29),3))</f>
        <v/>
      </c>
      <c r="U29" s="283" t="inlineStr">
        <is>
          <t>m³</t>
        </is>
      </c>
      <c r="V29" s="285" t="n"/>
      <c r="W29" s="285" t="n"/>
      <c r="X29" s="1304" t="n"/>
      <c r="Y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38" t="n">
        <v>0</v>
      </c>
      <c r="K30" s="1438" t="n">
        <v>0</v>
      </c>
      <c r="L30" s="1438" t="n">
        <v>0</v>
      </c>
      <c r="M30" s="1438" t="n">
        <v>0</v>
      </c>
      <c r="N30" s="1438" t="n">
        <v>1</v>
      </c>
      <c r="O30" s="1438" t="n">
        <v>1</v>
      </c>
      <c r="P30" s="1438" t="n">
        <v>1</v>
      </c>
      <c r="Q30" s="1438" t="n">
        <v>0</v>
      </c>
      <c r="R30" s="1303" t="n">
        <v>0</v>
      </c>
      <c r="S30" s="1438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438">
        <f>IF(S30="","",ROUND(S30*(1+R30),3))</f>
        <v/>
      </c>
      <c r="U30" s="283" t="inlineStr">
        <is>
          <t>m³</t>
        </is>
      </c>
      <c r="V30" s="285" t="n"/>
      <c r="W30" s="285" t="n"/>
      <c r="X30" s="1304" t="n"/>
      <c r="Y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38" t="n">
        <v>0</v>
      </c>
      <c r="K31" s="1438" t="n">
        <v>0</v>
      </c>
      <c r="L31" s="1438" t="n">
        <v>0</v>
      </c>
      <c r="M31" s="1438" t="n">
        <v>0</v>
      </c>
      <c r="N31" s="1438" t="n">
        <v>1</v>
      </c>
      <c r="O31" s="1438" t="n">
        <v>1</v>
      </c>
      <c r="P31" s="1438" t="n">
        <v>1</v>
      </c>
      <c r="Q31" s="1438" t="n">
        <v>0</v>
      </c>
      <c r="R31" s="1303" t="n">
        <v>0</v>
      </c>
      <c r="S31" s="1438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438">
        <f>IF(S31="","",ROUND(S31*(1+R31),3))</f>
        <v/>
      </c>
      <c r="U31" s="283" t="inlineStr">
        <is>
          <t>m³</t>
        </is>
      </c>
      <c r="V31" s="285" t="n"/>
      <c r="W31" s="285" t="n"/>
      <c r="X31" s="1304" t="n"/>
      <c r="Y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38" t="n">
        <v>0</v>
      </c>
      <c r="K32" s="1438" t="n">
        <v>0</v>
      </c>
      <c r="L32" s="1438" t="n">
        <v>0</v>
      </c>
      <c r="M32" s="1438" t="n">
        <v>0</v>
      </c>
      <c r="N32" s="1438" t="n">
        <v>1</v>
      </c>
      <c r="O32" s="1438" t="n">
        <v>1</v>
      </c>
      <c r="P32" s="1438" t="n">
        <v>1</v>
      </c>
      <c r="Q32" s="1438" t="n">
        <v>0</v>
      </c>
      <c r="R32" s="1303" t="n">
        <v>0</v>
      </c>
      <c r="S32" s="1438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438">
        <f>IF(S32="","",ROUND(S32*(1+R32),3))</f>
        <v/>
      </c>
      <c r="U32" s="283" t="inlineStr">
        <is>
          <t>m³</t>
        </is>
      </c>
      <c r="V32" s="285" t="n"/>
      <c r="W32" s="285" t="n"/>
      <c r="X32" s="1304" t="n"/>
      <c r="Y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38" t="n">
        <v>0</v>
      </c>
      <c r="K33" s="1438" t="n">
        <v>0</v>
      </c>
      <c r="L33" s="1438" t="n">
        <v>0</v>
      </c>
      <c r="M33" s="1438" t="n">
        <v>0</v>
      </c>
      <c r="N33" s="1438" t="n">
        <v>1</v>
      </c>
      <c r="O33" s="1438" t="n">
        <v>1</v>
      </c>
      <c r="P33" s="1438" t="n">
        <v>1</v>
      </c>
      <c r="Q33" s="1438" t="n">
        <v>0</v>
      </c>
      <c r="R33" s="1303" t="n">
        <v>0</v>
      </c>
      <c r="S33" s="1438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438">
        <f>IF(S33="","",ROUND(S33*(1+R33),3))</f>
        <v/>
      </c>
      <c r="U33" s="283" t="inlineStr">
        <is>
          <t>m³</t>
        </is>
      </c>
      <c r="V33" s="285" t="n"/>
      <c r="W33" s="285" t="n"/>
      <c r="X33" s="1304" t="n"/>
      <c r="Y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38" t="n">
        <v>0</v>
      </c>
      <c r="K34" s="1438" t="n">
        <v>0</v>
      </c>
      <c r="L34" s="1438" t="n">
        <v>0</v>
      </c>
      <c r="M34" s="1438" t="n">
        <v>0</v>
      </c>
      <c r="N34" s="1438" t="n">
        <v>1</v>
      </c>
      <c r="O34" s="1438" t="n">
        <v>1</v>
      </c>
      <c r="P34" s="1438" t="n">
        <v>1</v>
      </c>
      <c r="Q34" s="1438" t="n">
        <v>0</v>
      </c>
      <c r="R34" s="1303" t="n">
        <v>0</v>
      </c>
      <c r="S34" s="1438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438">
        <f>IF(S34="","",ROUND(S34*(1+R34),3))</f>
        <v/>
      </c>
      <c r="U34" s="283" t="inlineStr">
        <is>
          <t>kg</t>
        </is>
      </c>
      <c r="V34" s="285" t="n"/>
      <c r="W34" s="285" t="n"/>
      <c r="X34" s="1304" t="n"/>
      <c r="Y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38" t="n">
        <v>0</v>
      </c>
      <c r="K35" s="1438" t="n">
        <v>0</v>
      </c>
      <c r="L35" s="1438" t="n">
        <v>0</v>
      </c>
      <c r="M35" s="1438" t="n">
        <v>0</v>
      </c>
      <c r="N35" s="1438" t="n">
        <v>1</v>
      </c>
      <c r="O35" s="1438" t="n">
        <v>1</v>
      </c>
      <c r="P35" s="1438" t="n">
        <v>1</v>
      </c>
      <c r="Q35" s="1438" t="n">
        <v>0</v>
      </c>
      <c r="R35" s="1303" t="n">
        <v>0</v>
      </c>
      <c r="S35" s="1438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438">
        <f>IF(S35="","",ROUND(S35*(1+R35),3))</f>
        <v/>
      </c>
      <c r="U35" s="283" t="inlineStr">
        <is>
          <t>m²</t>
        </is>
      </c>
      <c r="V35" s="285" t="n"/>
      <c r="W35" s="285" t="n"/>
      <c r="X35" s="1304" t="n"/>
      <c r="Y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38" t="n">
        <v>0</v>
      </c>
      <c r="K36" s="1438" t="n">
        <v>0</v>
      </c>
      <c r="L36" s="1438" t="n">
        <v>0</v>
      </c>
      <c r="M36" s="1438" t="n">
        <v>0</v>
      </c>
      <c r="N36" s="1438" t="n">
        <v>1</v>
      </c>
      <c r="O36" s="1438" t="n">
        <v>1</v>
      </c>
      <c r="P36" s="1438" t="n">
        <v>1</v>
      </c>
      <c r="Q36" s="1438" t="n">
        <v>0</v>
      </c>
      <c r="R36" s="1303" t="n">
        <v>0</v>
      </c>
      <c r="S36" s="1438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438">
        <f>IF(S36="","",ROUND(S36*(1+R36),3))</f>
        <v/>
      </c>
      <c r="U36" s="283" t="inlineStr">
        <is>
          <t>m³</t>
        </is>
      </c>
      <c r="V36" s="285" t="n"/>
      <c r="W36" s="285" t="n"/>
      <c r="X36" s="1304" t="n"/>
      <c r="Y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38" t="n">
        <v>0</v>
      </c>
      <c r="K37" s="1438" t="n">
        <v>0</v>
      </c>
      <c r="L37" s="1438" t="n">
        <v>0</v>
      </c>
      <c r="M37" s="1438" t="n">
        <v>0</v>
      </c>
      <c r="N37" s="1438" t="n">
        <v>1</v>
      </c>
      <c r="O37" s="1438" t="n">
        <v>1</v>
      </c>
      <c r="P37" s="1438" t="n">
        <v>1</v>
      </c>
      <c r="Q37" s="1438" t="n">
        <v>0</v>
      </c>
      <c r="R37" s="1303" t="n">
        <v>0</v>
      </c>
      <c r="S37" s="1438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438">
        <f>IF(S37="","",ROUND(S37*(1+R37),3))</f>
        <v/>
      </c>
      <c r="U37" s="283" t="inlineStr">
        <is>
          <t>m³</t>
        </is>
      </c>
      <c r="V37" s="285" t="n"/>
      <c r="W37" s="285" t="n"/>
      <c r="X37" s="1304" t="n"/>
      <c r="Y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38" t="n">
        <v>0</v>
      </c>
      <c r="K38" s="1438" t="n">
        <v>0</v>
      </c>
      <c r="L38" s="1438" t="n">
        <v>0</v>
      </c>
      <c r="M38" s="1438" t="n">
        <v>0</v>
      </c>
      <c r="N38" s="1438" t="n">
        <v>1</v>
      </c>
      <c r="O38" s="1438" t="n">
        <v>1</v>
      </c>
      <c r="P38" s="1438" t="n">
        <v>1</v>
      </c>
      <c r="Q38" s="1438" t="n">
        <v>0</v>
      </c>
      <c r="R38" s="1303" t="n">
        <v>0</v>
      </c>
      <c r="S38" s="1438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438">
        <f>IF(S38="","",ROUND(S38*(1+R38),3))</f>
        <v/>
      </c>
      <c r="U38" s="283" t="inlineStr">
        <is>
          <t>m³</t>
        </is>
      </c>
      <c r="V38" s="285" t="n"/>
      <c r="W38" s="285" t="n"/>
      <c r="X38" s="1304" t="n"/>
      <c r="Y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38" t="n">
        <v>0</v>
      </c>
      <c r="K39" s="1438" t="n">
        <v>0</v>
      </c>
      <c r="L39" s="1438" t="n">
        <v>0</v>
      </c>
      <c r="M39" s="1438" t="n">
        <v>0</v>
      </c>
      <c r="N39" s="1438" t="n">
        <v>1</v>
      </c>
      <c r="O39" s="1438" t="n">
        <v>1</v>
      </c>
      <c r="P39" s="1438" t="n">
        <v>1</v>
      </c>
      <c r="Q39" s="1438" t="n">
        <v>0</v>
      </c>
      <c r="R39" s="1303" t="n">
        <v>0</v>
      </c>
      <c r="S39" s="1438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438">
        <f>IF(S39="","",ROUND(S39*(1+R39),3))</f>
        <v/>
      </c>
      <c r="U39" s="283" t="inlineStr">
        <is>
          <t>m³</t>
        </is>
      </c>
      <c r="V39" s="285" t="n"/>
      <c r="W39" s="285" t="n"/>
      <c r="X39" s="1304" t="n"/>
      <c r="Y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38" t="n">
        <v>0</v>
      </c>
      <c r="K40" s="1438" t="n">
        <v>0</v>
      </c>
      <c r="L40" s="1438" t="n">
        <v>0</v>
      </c>
      <c r="M40" s="1438" t="n">
        <v>0</v>
      </c>
      <c r="N40" s="1438" t="n">
        <v>1</v>
      </c>
      <c r="O40" s="1438" t="n">
        <v>1</v>
      </c>
      <c r="P40" s="1438" t="n">
        <v>1</v>
      </c>
      <c r="Q40" s="1438" t="n">
        <v>0</v>
      </c>
      <c r="R40" s="1303" t="n">
        <v>0</v>
      </c>
      <c r="S40" s="1438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438">
        <f>IF(S40="","",ROUND(S40*(1+R40),3))</f>
        <v/>
      </c>
      <c r="U40" s="283" t="inlineStr">
        <is>
          <t>m³</t>
        </is>
      </c>
      <c r="V40" s="285" t="n"/>
      <c r="W40" s="285" t="n"/>
      <c r="X40" s="1304" t="n"/>
      <c r="Y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38" t="n">
        <v>0</v>
      </c>
      <c r="K41" s="1438" t="n">
        <v>0</v>
      </c>
      <c r="L41" s="1438" t="n">
        <v>0</v>
      </c>
      <c r="M41" s="1438" t="n">
        <v>0</v>
      </c>
      <c r="N41" s="1438" t="n">
        <v>1</v>
      </c>
      <c r="O41" s="1438" t="n">
        <v>1</v>
      </c>
      <c r="P41" s="1438" t="n">
        <v>1</v>
      </c>
      <c r="Q41" s="1438" t="n">
        <v>0</v>
      </c>
      <c r="R41" s="1303" t="n">
        <v>0</v>
      </c>
      <c r="S41" s="1438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438">
        <f>IF(S41="","",ROUND(S41*(1+R41),3))</f>
        <v/>
      </c>
      <c r="U41" s="283" t="inlineStr">
        <is>
          <t>kg</t>
        </is>
      </c>
      <c r="V41" s="285" t="n"/>
      <c r="W41" s="285" t="n"/>
      <c r="X41" s="1304" t="n"/>
      <c r="Y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38" t="n">
        <v>0</v>
      </c>
      <c r="K42" s="1438" t="n">
        <v>0</v>
      </c>
      <c r="L42" s="1438" t="n">
        <v>0</v>
      </c>
      <c r="M42" s="1438" t="n">
        <v>0</v>
      </c>
      <c r="N42" s="1438" t="n">
        <v>1</v>
      </c>
      <c r="O42" s="1438" t="n">
        <v>1</v>
      </c>
      <c r="P42" s="1438" t="n">
        <v>1</v>
      </c>
      <c r="Q42" s="1438" t="n">
        <v>0</v>
      </c>
      <c r="R42" s="1303" t="n">
        <v>0</v>
      </c>
      <c r="S42" s="1438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438">
        <f>IF(S42="","",ROUND(S42*(1+R42),3))</f>
        <v/>
      </c>
      <c r="U42" s="283" t="inlineStr">
        <is>
          <t>kg</t>
        </is>
      </c>
      <c r="V42" s="285" t="n"/>
      <c r="W42" s="285" t="n"/>
      <c r="X42" s="1304" t="n"/>
      <c r="Y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38" t="n">
        <v>0</v>
      </c>
      <c r="K43" s="1438" t="n">
        <v>0</v>
      </c>
      <c r="L43" s="1438" t="n">
        <v>0</v>
      </c>
      <c r="M43" s="1438" t="n">
        <v>0</v>
      </c>
      <c r="N43" s="1438" t="n">
        <v>1</v>
      </c>
      <c r="O43" s="1438" t="n">
        <v>1</v>
      </c>
      <c r="P43" s="1438" t="n">
        <v>1</v>
      </c>
      <c r="Q43" s="1438" t="n">
        <v>0</v>
      </c>
      <c r="R43" s="1303" t="n">
        <v>0</v>
      </c>
      <c r="S43" s="1438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438">
        <f>IF(S43="","",ROUND(S43*(1+R43),3))</f>
        <v/>
      </c>
      <c r="U43" s="283" t="inlineStr">
        <is>
          <t>kg</t>
        </is>
      </c>
      <c r="V43" s="285" t="n"/>
      <c r="W43" s="285" t="n"/>
      <c r="X43" s="1304" t="n"/>
      <c r="Y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38" t="n">
        <v>0</v>
      </c>
      <c r="K44" s="1438" t="n">
        <v>0</v>
      </c>
      <c r="L44" s="1438" t="n">
        <v>0</v>
      </c>
      <c r="M44" s="1438" t="n">
        <v>0</v>
      </c>
      <c r="N44" s="1438" t="n">
        <v>1</v>
      </c>
      <c r="O44" s="1438" t="n">
        <v>1</v>
      </c>
      <c r="P44" s="1438" t="n">
        <v>1</v>
      </c>
      <c r="Q44" s="1438" t="n">
        <v>0</v>
      </c>
      <c r="R44" s="1303" t="n">
        <v>0</v>
      </c>
      <c r="S44" s="1438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438">
        <f>IF(S44="","",ROUND(S44*(1+R44),3))</f>
        <v/>
      </c>
      <c r="U44" s="283" t="inlineStr">
        <is>
          <t>m²</t>
        </is>
      </c>
      <c r="V44" s="285" t="n"/>
      <c r="W44" s="285" t="n"/>
      <c r="X44" s="1304" t="n"/>
      <c r="Y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38" t="n">
        <v>0</v>
      </c>
      <c r="K45" s="1438" t="n">
        <v>0</v>
      </c>
      <c r="L45" s="1438" t="n">
        <v>0</v>
      </c>
      <c r="M45" s="1438" t="n">
        <v>0</v>
      </c>
      <c r="N45" s="1438" t="n">
        <v>1</v>
      </c>
      <c r="O45" s="1438" t="n">
        <v>1</v>
      </c>
      <c r="P45" s="1438" t="n">
        <v>1</v>
      </c>
      <c r="Q45" s="1438" t="n">
        <v>0</v>
      </c>
      <c r="R45" s="1303" t="n">
        <v>0</v>
      </c>
      <c r="S45" s="1438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438">
        <f>IF(S45="","",ROUND(S45*(1+R45),3))</f>
        <v/>
      </c>
      <c r="U45" s="283" t="inlineStr">
        <is>
          <t>m²</t>
        </is>
      </c>
      <c r="V45" s="285" t="n"/>
      <c r="W45" s="285" t="n"/>
      <c r="X45" s="1304" t="n"/>
      <c r="Y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38" t="n">
        <v>0</v>
      </c>
      <c r="K46" s="1438" t="n">
        <v>0</v>
      </c>
      <c r="L46" s="1438" t="n">
        <v>0</v>
      </c>
      <c r="M46" s="1438" t="n">
        <v>0</v>
      </c>
      <c r="N46" s="1438" t="n">
        <v>1</v>
      </c>
      <c r="O46" s="1438" t="n">
        <v>1</v>
      </c>
      <c r="P46" s="1438" t="n">
        <v>1</v>
      </c>
      <c r="Q46" s="1438" t="n">
        <v>0</v>
      </c>
      <c r="R46" s="1303" t="n">
        <v>0</v>
      </c>
      <c r="S46" s="1438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438">
        <f>IF(S46="","",ROUND(S46*(1+R46),3))</f>
        <v/>
      </c>
      <c r="U46" s="283" t="inlineStr">
        <is>
          <t>m²</t>
        </is>
      </c>
      <c r="V46" s="285" t="n"/>
      <c r="W46" s="285" t="n"/>
      <c r="X46" s="1304" t="n"/>
      <c r="Y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38" t="n">
        <v>0</v>
      </c>
      <c r="K47" s="1438" t="n">
        <v>0</v>
      </c>
      <c r="L47" s="1438" t="n">
        <v>0</v>
      </c>
      <c r="M47" s="1438" t="n">
        <v>0</v>
      </c>
      <c r="N47" s="1438" t="n">
        <v>1</v>
      </c>
      <c r="O47" s="1438" t="n">
        <v>1</v>
      </c>
      <c r="P47" s="1438" t="n">
        <v>1</v>
      </c>
      <c r="Q47" s="1438" t="n">
        <v>0</v>
      </c>
      <c r="R47" s="1303" t="n">
        <v>0</v>
      </c>
      <c r="S47" s="1438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438">
        <f>IF(S47="","",ROUND(S47*(1+R47),3))</f>
        <v/>
      </c>
      <c r="U47" s="283" t="inlineStr">
        <is>
          <t>m²</t>
        </is>
      </c>
      <c r="V47" s="285" t="n"/>
      <c r="W47" s="285" t="n"/>
      <c r="X47" s="1304" t="n"/>
      <c r="Y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38" t="n">
        <v>0</v>
      </c>
      <c r="K48" s="1438" t="n">
        <v>0</v>
      </c>
      <c r="L48" s="1438" t="n">
        <v>0</v>
      </c>
      <c r="M48" s="1438" t="n">
        <v>0</v>
      </c>
      <c r="N48" s="1438" t="n">
        <v>1</v>
      </c>
      <c r="O48" s="1438" t="n">
        <v>1</v>
      </c>
      <c r="P48" s="1438" t="n">
        <v>1</v>
      </c>
      <c r="Q48" s="1438" t="n">
        <v>0</v>
      </c>
      <c r="R48" s="1303" t="n">
        <v>0</v>
      </c>
      <c r="S48" s="1438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438">
        <f>IF(S48="","",ROUND(S48*(1+R48),3))</f>
        <v/>
      </c>
      <c r="U48" s="283" t="inlineStr">
        <is>
          <t>kg</t>
        </is>
      </c>
      <c r="V48" s="285" t="n"/>
      <c r="W48" s="285" t="n"/>
      <c r="X48" s="1304" t="n"/>
      <c r="Y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38" t="n">
        <v>0</v>
      </c>
      <c r="K49" s="1438" t="n">
        <v>0</v>
      </c>
      <c r="L49" s="1438" t="n">
        <v>0</v>
      </c>
      <c r="M49" s="1438" t="n">
        <v>0</v>
      </c>
      <c r="N49" s="1438" t="n">
        <v>1</v>
      </c>
      <c r="O49" s="1438" t="n">
        <v>1</v>
      </c>
      <c r="P49" s="1438" t="n">
        <v>1</v>
      </c>
      <c r="Q49" s="1438" t="n">
        <v>0</v>
      </c>
      <c r="R49" s="1303" t="n">
        <v>0</v>
      </c>
      <c r="S49" s="1438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438">
        <f>IF(S49="","",ROUND(S49*(1+R49),3))</f>
        <v/>
      </c>
      <c r="U49" s="283" t="inlineStr">
        <is>
          <t>kg</t>
        </is>
      </c>
      <c r="V49" s="285" t="n"/>
      <c r="W49" s="285" t="n"/>
      <c r="X49" s="1304" t="n"/>
      <c r="Y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38" t="n">
        <v>0</v>
      </c>
      <c r="K50" s="1438" t="n">
        <v>0</v>
      </c>
      <c r="L50" s="1438" t="n">
        <v>0</v>
      </c>
      <c r="M50" s="1438" t="n">
        <v>0</v>
      </c>
      <c r="N50" s="1438" t="n">
        <v>1</v>
      </c>
      <c r="O50" s="1438" t="n">
        <v>1</v>
      </c>
      <c r="P50" s="1438" t="n">
        <v>1</v>
      </c>
      <c r="Q50" s="1438" t="n">
        <v>0</v>
      </c>
      <c r="R50" s="1303" t="n">
        <v>0</v>
      </c>
      <c r="S50" s="1438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438">
        <f>IF(S50="","",ROUND(S50*(1+R50),3))</f>
        <v/>
      </c>
      <c r="U50" s="283" t="inlineStr">
        <is>
          <t>m²</t>
        </is>
      </c>
      <c r="V50" s="285" t="n"/>
      <c r="W50" s="285" t="n"/>
      <c r="X50" s="1304" t="n"/>
      <c r="Y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38" t="n">
        <v>0</v>
      </c>
      <c r="K51" s="1438" t="n">
        <v>0</v>
      </c>
      <c r="L51" s="1438" t="n">
        <v>0</v>
      </c>
      <c r="M51" s="1438" t="n">
        <v>0</v>
      </c>
      <c r="N51" s="1438" t="n">
        <v>1</v>
      </c>
      <c r="O51" s="1438" t="n">
        <v>1</v>
      </c>
      <c r="P51" s="1438" t="n">
        <v>1</v>
      </c>
      <c r="Q51" s="1438" t="n">
        <v>0</v>
      </c>
      <c r="R51" s="1303" t="n">
        <v>0</v>
      </c>
      <c r="S51" s="1438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438">
        <f>IF(S51="","",ROUND(S51*(1+R51),3))</f>
        <v/>
      </c>
      <c r="U51" s="283" t="inlineStr">
        <is>
          <t>m²</t>
        </is>
      </c>
      <c r="V51" s="285" t="n"/>
      <c r="W51" s="285" t="n"/>
      <c r="X51" s="1304" t="n"/>
      <c r="Y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38" t="n">
        <v>0</v>
      </c>
      <c r="K52" s="1438" t="n">
        <v>0</v>
      </c>
      <c r="L52" s="1438" t="n">
        <v>0</v>
      </c>
      <c r="M52" s="1438" t="n">
        <v>0</v>
      </c>
      <c r="N52" s="1438" t="n">
        <v>1</v>
      </c>
      <c r="O52" s="1438" t="n">
        <v>1</v>
      </c>
      <c r="P52" s="1438" t="n">
        <v>1</v>
      </c>
      <c r="Q52" s="1438" t="n">
        <v>0</v>
      </c>
      <c r="R52" s="1303" t="n">
        <v>0</v>
      </c>
      <c r="S52" s="1438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438">
        <f>IF(S52="","",ROUND(S52*(1+R52),3))</f>
        <v/>
      </c>
      <c r="U52" s="283" t="inlineStr">
        <is>
          <t>m²</t>
        </is>
      </c>
      <c r="V52" s="285" t="n"/>
      <c r="W52" s="285" t="n"/>
      <c r="X52" s="1304" t="n"/>
      <c r="Y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38" t="n">
        <v>0</v>
      </c>
      <c r="K53" s="1438" t="n">
        <v>0</v>
      </c>
      <c r="L53" s="1438" t="n">
        <v>0</v>
      </c>
      <c r="M53" s="1438" t="n">
        <v>0</v>
      </c>
      <c r="N53" s="1438" t="n">
        <v>1</v>
      </c>
      <c r="O53" s="1438" t="n">
        <v>1</v>
      </c>
      <c r="P53" s="1438" t="n">
        <v>1</v>
      </c>
      <c r="Q53" s="1438" t="n">
        <v>0</v>
      </c>
      <c r="R53" s="1303" t="n">
        <v>0</v>
      </c>
      <c r="S53" s="1438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438">
        <f>IF(S53="","",ROUND(S53*(1+R53),3))</f>
        <v/>
      </c>
      <c r="U53" s="283" t="inlineStr">
        <is>
          <t>m²</t>
        </is>
      </c>
      <c r="V53" s="285" t="n"/>
      <c r="W53" s="285" t="n"/>
      <c r="X53" s="1304" t="n"/>
      <c r="Y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38" t="n">
        <v>0</v>
      </c>
      <c r="K54" s="1438" t="n">
        <v>0</v>
      </c>
      <c r="L54" s="1438" t="n">
        <v>0</v>
      </c>
      <c r="M54" s="1438" t="n">
        <v>0</v>
      </c>
      <c r="N54" s="1438" t="n">
        <v>1</v>
      </c>
      <c r="O54" s="1438" t="n">
        <v>1</v>
      </c>
      <c r="P54" s="1438" t="n">
        <v>1</v>
      </c>
      <c r="Q54" s="1438" t="n">
        <v>0</v>
      </c>
      <c r="R54" s="1303" t="n">
        <v>0</v>
      </c>
      <c r="S54" s="1438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438">
        <f>IF(S54="","",ROUND(S54*(1+R54),3))</f>
        <v/>
      </c>
      <c r="U54" s="283" t="inlineStr">
        <is>
          <t>ml</t>
        </is>
      </c>
      <c r="V54" s="285" t="n"/>
      <c r="W54" s="285" t="n"/>
      <c r="X54" s="1304" t="n"/>
      <c r="Y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38" t="n">
        <v>0</v>
      </c>
      <c r="K55" s="1438" t="n">
        <v>0</v>
      </c>
      <c r="L55" s="1438" t="n">
        <v>0</v>
      </c>
      <c r="M55" s="1438" t="n">
        <v>0</v>
      </c>
      <c r="N55" s="1438" t="n">
        <v>1</v>
      </c>
      <c r="O55" s="1438" t="n">
        <v>1</v>
      </c>
      <c r="P55" s="1438" t="n">
        <v>1</v>
      </c>
      <c r="Q55" s="1438" t="n">
        <v>0</v>
      </c>
      <c r="R55" s="1303" t="n">
        <v>0</v>
      </c>
      <c r="S55" s="1438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438">
        <f>IF(S55="","",ROUND(S55*(1+R55),3))</f>
        <v/>
      </c>
      <c r="U55" s="283" t="inlineStr">
        <is>
          <t>ml</t>
        </is>
      </c>
      <c r="V55" s="285" t="n"/>
      <c r="W55" s="285" t="n"/>
      <c r="X55" s="1304" t="n"/>
      <c r="Y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38" t="n">
        <v>0</v>
      </c>
      <c r="K56" s="1438" t="n">
        <v>0</v>
      </c>
      <c r="L56" s="1438" t="n">
        <v>0</v>
      </c>
      <c r="M56" s="1438" t="n">
        <v>0</v>
      </c>
      <c r="N56" s="1438" t="n">
        <v>1</v>
      </c>
      <c r="O56" s="1438" t="n">
        <v>1</v>
      </c>
      <c r="P56" s="1438" t="n">
        <v>1</v>
      </c>
      <c r="Q56" s="1438" t="n">
        <v>0</v>
      </c>
      <c r="R56" s="1303" t="n">
        <v>0</v>
      </c>
      <c r="S56" s="1438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438">
        <f>IF(S56="","",ROUND(S56*(1+R56),3))</f>
        <v/>
      </c>
      <c r="U56" s="283" t="inlineStr">
        <is>
          <t>und</t>
        </is>
      </c>
      <c r="V56" s="285" t="n"/>
      <c r="W56" s="285" t="n"/>
      <c r="X56" s="1304" t="n"/>
      <c r="Y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38" t="n">
        <v>0</v>
      </c>
      <c r="K57" s="1438" t="n">
        <v>0</v>
      </c>
      <c r="L57" s="1438" t="n">
        <v>0</v>
      </c>
      <c r="M57" s="1438" t="n">
        <v>0</v>
      </c>
      <c r="N57" s="1438" t="n">
        <v>1</v>
      </c>
      <c r="O57" s="1438" t="n">
        <v>1</v>
      </c>
      <c r="P57" s="1438" t="n">
        <v>1</v>
      </c>
      <c r="Q57" s="1438" t="n">
        <v>0</v>
      </c>
      <c r="R57" s="1303" t="n">
        <v>0</v>
      </c>
      <c r="S57" s="1438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438">
        <f>IF(S57="","",ROUND(S57*(1+R57),3))</f>
        <v/>
      </c>
      <c r="U57" s="283" t="inlineStr">
        <is>
          <t>kg</t>
        </is>
      </c>
      <c r="V57" s="285" t="n"/>
      <c r="W57" s="285" t="n"/>
      <c r="X57" s="1304" t="n"/>
      <c r="Y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38" t="n">
        <v>0</v>
      </c>
      <c r="K58" s="1438" t="n">
        <v>0</v>
      </c>
      <c r="L58" s="1438" t="n">
        <v>0</v>
      </c>
      <c r="M58" s="1438" t="n">
        <v>0</v>
      </c>
      <c r="N58" s="1438" t="n">
        <v>1</v>
      </c>
      <c r="O58" s="1438" t="n">
        <v>1</v>
      </c>
      <c r="P58" s="1438" t="n">
        <v>1</v>
      </c>
      <c r="Q58" s="1438" t="n">
        <v>0</v>
      </c>
      <c r="R58" s="1303" t="n">
        <v>0</v>
      </c>
      <c r="S58" s="1438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438">
        <f>IF(S58="","",ROUND(S58*(1+R58),3))</f>
        <v/>
      </c>
      <c r="U58" s="283" t="inlineStr">
        <is>
          <t>kg</t>
        </is>
      </c>
      <c r="V58" s="285" t="n"/>
      <c r="W58" s="285" t="n"/>
      <c r="X58" s="1304" t="n"/>
      <c r="Y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38" t="n">
        <v>0</v>
      </c>
      <c r="K59" s="1438" t="n">
        <v>0</v>
      </c>
      <c r="L59" s="1438" t="n">
        <v>0</v>
      </c>
      <c r="M59" s="1438" t="n">
        <v>0</v>
      </c>
      <c r="N59" s="1438" t="n">
        <v>1</v>
      </c>
      <c r="O59" s="1438" t="n">
        <v>1</v>
      </c>
      <c r="P59" s="1438" t="n">
        <v>1</v>
      </c>
      <c r="Q59" s="1438" t="n">
        <v>0</v>
      </c>
      <c r="R59" s="1303" t="n">
        <v>0</v>
      </c>
      <c r="S59" s="1438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438">
        <f>IF(S59="","",ROUND(S59*(1+R59),3))</f>
        <v/>
      </c>
      <c r="U59" s="283" t="inlineStr">
        <is>
          <t>m²</t>
        </is>
      </c>
      <c r="V59" s="285" t="n"/>
      <c r="W59" s="285" t="n"/>
      <c r="X59" s="1304" t="n"/>
      <c r="Y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38" t="n">
        <v>0</v>
      </c>
      <c r="K60" s="1438" t="n">
        <v>0</v>
      </c>
      <c r="L60" s="1438" t="n">
        <v>0</v>
      </c>
      <c r="M60" s="1438" t="n">
        <v>0</v>
      </c>
      <c r="N60" s="1438" t="n">
        <v>1</v>
      </c>
      <c r="O60" s="1438" t="n">
        <v>1</v>
      </c>
      <c r="P60" s="1438" t="n">
        <v>1</v>
      </c>
      <c r="Q60" s="1438" t="n">
        <v>0</v>
      </c>
      <c r="R60" s="1303" t="n">
        <v>0</v>
      </c>
      <c r="S60" s="1438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438">
        <f>IF(S60="","",ROUND(S60*(1+R60),3))</f>
        <v/>
      </c>
      <c r="U60" s="283" t="inlineStr">
        <is>
          <t>m²</t>
        </is>
      </c>
      <c r="V60" s="285" t="n"/>
      <c r="W60" s="285" t="n"/>
      <c r="X60" s="1304" t="n"/>
      <c r="Y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38" t="n">
        <v>0</v>
      </c>
      <c r="K61" s="1438" t="n">
        <v>0</v>
      </c>
      <c r="L61" s="1438" t="n">
        <v>0</v>
      </c>
      <c r="M61" s="1438" t="n">
        <v>0</v>
      </c>
      <c r="N61" s="1438" t="n">
        <v>1</v>
      </c>
      <c r="O61" s="1438" t="n">
        <v>1</v>
      </c>
      <c r="P61" s="1438" t="n">
        <v>1</v>
      </c>
      <c r="Q61" s="1438" t="n">
        <v>0</v>
      </c>
      <c r="R61" s="1303" t="n">
        <v>0</v>
      </c>
      <c r="S61" s="1438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438">
        <f>IF(S61="","",ROUND(S61*(1+R61),3))</f>
        <v/>
      </c>
      <c r="U61" s="283" t="inlineStr">
        <is>
          <t>m²</t>
        </is>
      </c>
      <c r="V61" s="285" t="n"/>
      <c r="W61" s="285" t="n"/>
      <c r="X61" s="1304" t="n"/>
      <c r="Y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38" t="n">
        <v>0</v>
      </c>
      <c r="K62" s="1438" t="n">
        <v>0</v>
      </c>
      <c r="L62" s="1438" t="n">
        <v>0</v>
      </c>
      <c r="M62" s="1438" t="n">
        <v>0</v>
      </c>
      <c r="N62" s="1438" t="n">
        <v>1</v>
      </c>
      <c r="O62" s="1438" t="n">
        <v>1</v>
      </c>
      <c r="P62" s="1438" t="n">
        <v>1</v>
      </c>
      <c r="Q62" s="1438" t="n">
        <v>0</v>
      </c>
      <c r="R62" s="1303" t="n">
        <v>0</v>
      </c>
      <c r="S62" s="1438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438">
        <f>IF(S62="","",ROUND(S62*(1+R62),3))</f>
        <v/>
      </c>
      <c r="U62" s="283" t="inlineStr">
        <is>
          <t>ml</t>
        </is>
      </c>
      <c r="V62" s="285" t="n"/>
      <c r="W62" s="285" t="n"/>
      <c r="X62" s="1304" t="n"/>
      <c r="Y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38" t="n">
        <v>0</v>
      </c>
      <c r="K63" s="1438" t="n">
        <v>0</v>
      </c>
      <c r="L63" s="1438" t="n">
        <v>0</v>
      </c>
      <c r="M63" s="1438" t="n">
        <v>0</v>
      </c>
      <c r="N63" s="1438" t="n">
        <v>1</v>
      </c>
      <c r="O63" s="1438" t="n">
        <v>1</v>
      </c>
      <c r="P63" s="1438" t="n">
        <v>1</v>
      </c>
      <c r="Q63" s="1438" t="n">
        <v>0</v>
      </c>
      <c r="R63" s="1303" t="n">
        <v>0</v>
      </c>
      <c r="S63" s="1438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438">
        <f>IF(S63="","",ROUND(S63*(1+R63),3))</f>
        <v/>
      </c>
      <c r="U63" s="283" t="inlineStr">
        <is>
          <t>ml</t>
        </is>
      </c>
      <c r="V63" s="285" t="n"/>
      <c r="W63" s="285" t="n"/>
      <c r="X63" s="1304" t="n"/>
      <c r="Y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38" t="n">
        <v>0</v>
      </c>
      <c r="K64" s="1438" t="n">
        <v>0</v>
      </c>
      <c r="L64" s="1438" t="n">
        <v>0</v>
      </c>
      <c r="M64" s="1438" t="n">
        <v>0</v>
      </c>
      <c r="N64" s="1438" t="n">
        <v>1</v>
      </c>
      <c r="O64" s="1438" t="n">
        <v>1</v>
      </c>
      <c r="P64" s="1438" t="n">
        <v>1</v>
      </c>
      <c r="Q64" s="1438" t="n">
        <v>0</v>
      </c>
      <c r="R64" s="1303" t="n">
        <v>0</v>
      </c>
      <c r="S64" s="1438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438">
        <f>IF(S64="","",ROUND(S64*(1+R64),3))</f>
        <v/>
      </c>
      <c r="U64" s="283" t="inlineStr">
        <is>
          <t>m²</t>
        </is>
      </c>
      <c r="V64" s="285" t="n"/>
      <c r="W64" s="285" t="n"/>
      <c r="X64" s="1304" t="n"/>
      <c r="Y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38" t="n">
        <v>0</v>
      </c>
      <c r="K65" s="1438" t="n">
        <v>0</v>
      </c>
      <c r="L65" s="1438" t="n">
        <v>0</v>
      </c>
      <c r="M65" s="1438" t="n">
        <v>0</v>
      </c>
      <c r="N65" s="1438" t="n">
        <v>1</v>
      </c>
      <c r="O65" s="1438" t="n">
        <v>1</v>
      </c>
      <c r="P65" s="1438" t="n">
        <v>1</v>
      </c>
      <c r="Q65" s="1438" t="n">
        <v>0</v>
      </c>
      <c r="R65" s="1303" t="n">
        <v>0</v>
      </c>
      <c r="S65" s="1438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438">
        <f>IF(S65="","",ROUND(S65*(1+R65),3))</f>
        <v/>
      </c>
      <c r="U65" s="283" t="inlineStr">
        <is>
          <t>m²</t>
        </is>
      </c>
      <c r="V65" s="285" t="n"/>
      <c r="W65" s="285" t="n"/>
      <c r="X65" s="1304" t="n"/>
      <c r="Y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38" t="n">
        <v>0</v>
      </c>
      <c r="K66" s="1438" t="n">
        <v>0</v>
      </c>
      <c r="L66" s="1438" t="n">
        <v>0</v>
      </c>
      <c r="M66" s="1438" t="n">
        <v>0</v>
      </c>
      <c r="N66" s="1438" t="n">
        <v>1</v>
      </c>
      <c r="O66" s="1438" t="n">
        <v>1</v>
      </c>
      <c r="P66" s="1438" t="n">
        <v>1</v>
      </c>
      <c r="Q66" s="1438" t="n">
        <v>0</v>
      </c>
      <c r="R66" s="1303" t="n">
        <v>0</v>
      </c>
      <c r="S66" s="1438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438">
        <f>IF(S66="","",ROUND(S66*(1+R66),3))</f>
        <v/>
      </c>
      <c r="U66" s="283" t="inlineStr">
        <is>
          <t>m²</t>
        </is>
      </c>
      <c r="V66" s="285" t="n"/>
      <c r="W66" s="285" t="n"/>
      <c r="X66" s="1304" t="n"/>
      <c r="Y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38" t="n">
        <v>0</v>
      </c>
      <c r="K67" s="1438" t="n">
        <v>0</v>
      </c>
      <c r="L67" s="1438" t="n">
        <v>0</v>
      </c>
      <c r="M67" s="1438" t="n">
        <v>0</v>
      </c>
      <c r="N67" s="1438" t="n">
        <v>1</v>
      </c>
      <c r="O67" s="1438" t="n">
        <v>1</v>
      </c>
      <c r="P67" s="1438" t="n">
        <v>1</v>
      </c>
      <c r="Q67" s="1438" t="n">
        <v>0</v>
      </c>
      <c r="R67" s="1303" t="n">
        <v>0</v>
      </c>
      <c r="S67" s="1438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438">
        <f>IF(S67="","",ROUND(S67*(1+R67),3))</f>
        <v/>
      </c>
      <c r="U67" s="283" t="inlineStr">
        <is>
          <t>m²</t>
        </is>
      </c>
      <c r="V67" s="285" t="n"/>
      <c r="W67" s="285" t="n"/>
      <c r="X67" s="1304" t="n"/>
      <c r="Y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38" t="n">
        <v>0</v>
      </c>
      <c r="K68" s="1438" t="n">
        <v>0</v>
      </c>
      <c r="L68" s="1438" t="n">
        <v>0</v>
      </c>
      <c r="M68" s="1438" t="n">
        <v>0</v>
      </c>
      <c r="N68" s="1438" t="n">
        <v>1</v>
      </c>
      <c r="O68" s="1438" t="n">
        <v>1</v>
      </c>
      <c r="P68" s="1438" t="n">
        <v>1</v>
      </c>
      <c r="Q68" s="1438" t="n">
        <v>0</v>
      </c>
      <c r="R68" s="1303" t="n">
        <v>0</v>
      </c>
      <c r="S68" s="1438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438">
        <f>IF(S68="","",ROUND(S68*(1+R68),3))</f>
        <v/>
      </c>
      <c r="U68" s="283" t="inlineStr">
        <is>
          <t>m²</t>
        </is>
      </c>
      <c r="V68" s="285" t="n"/>
      <c r="W68" s="285" t="n"/>
      <c r="X68" s="1304" t="n"/>
      <c r="Y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38" t="n">
        <v>0</v>
      </c>
      <c r="K69" s="1438" t="n">
        <v>0</v>
      </c>
      <c r="L69" s="1438" t="n">
        <v>0</v>
      </c>
      <c r="M69" s="1438" t="n">
        <v>0</v>
      </c>
      <c r="N69" s="1438" t="n">
        <v>1</v>
      </c>
      <c r="O69" s="1438" t="n">
        <v>1</v>
      </c>
      <c r="P69" s="1438" t="n">
        <v>1</v>
      </c>
      <c r="Q69" s="1438" t="n">
        <v>0</v>
      </c>
      <c r="R69" s="1303" t="n">
        <v>0</v>
      </c>
      <c r="S69" s="1438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438">
        <f>IF(S69="","",ROUND(S69*(1+R69),3))</f>
        <v/>
      </c>
      <c r="U69" s="283" t="inlineStr">
        <is>
          <t>m²</t>
        </is>
      </c>
      <c r="V69" s="285" t="n"/>
      <c r="W69" s="285" t="n"/>
      <c r="X69" s="1304" t="n"/>
      <c r="Y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PAÑETES Y REVOQUES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 o tradicional</t>
        </is>
      </c>
      <c r="F70" s="285" t="n"/>
      <c r="G70" s="285" t="n"/>
      <c r="H70" s="285" t="n"/>
      <c r="I70" s="283" t="inlineStr">
        <is>
          <t>m²</t>
        </is>
      </c>
      <c r="J70" s="1438" t="n">
        <v>0</v>
      </c>
      <c r="K70" s="1438" t="n">
        <v>0</v>
      </c>
      <c r="L70" s="1438" t="n">
        <v>0</v>
      </c>
      <c r="M70" s="1438" t="n">
        <v>0</v>
      </c>
      <c r="N70" s="1438" t="n">
        <v>1</v>
      </c>
      <c r="O70" s="1438" t="n">
        <v>1</v>
      </c>
      <c r="P70" s="1438" t="n">
        <v>1</v>
      </c>
      <c r="Q70" s="1438" t="n">
        <v>0</v>
      </c>
      <c r="R70" s="1303" t="n">
        <v>0</v>
      </c>
      <c r="S70" s="1438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438">
        <f>IF(S70="","",ROUND(S70*(1+R70),3))</f>
        <v/>
      </c>
      <c r="U70" s="283" t="inlineStr">
        <is>
          <t>m²</t>
        </is>
      </c>
      <c r="V70" s="285" t="n"/>
      <c r="W70" s="285" t="n"/>
      <c r="X70" s="1304" t="n"/>
      <c r="Y70" s="285" t="inlineStr">
        <is>
          <t>Pendiente</t>
        </is>
      </c>
    </row>
    <row r="71" ht="15" customFormat="1" customHeight="1" s="685">
      <c r="A71" s="280" t="inlineStr">
        <is>
          <t>MQ-063</t>
        </is>
      </c>
      <c r="B71" s="281" t="inlineStr">
        <is>
          <t>PISOS Y ENCHAPES</t>
        </is>
      </c>
      <c r="C71" s="282" t="inlineStr">
        <is>
          <t>Pisos</t>
        </is>
      </c>
      <c r="D71" s="283" t="inlineStr">
        <is>
          <t>09.01.01</t>
        </is>
      </c>
      <c r="E71" s="284" t="inlineStr">
        <is>
          <t>Mortero de nivelación</t>
        </is>
      </c>
      <c r="F71" s="285" t="n"/>
      <c r="G71" s="285" t="n"/>
      <c r="H71" s="285" t="n"/>
      <c r="I71" s="283" t="inlineStr">
        <is>
          <t>m²</t>
        </is>
      </c>
      <c r="J71" s="1438" t="n">
        <v>0</v>
      </c>
      <c r="K71" s="1438" t="n">
        <v>0</v>
      </c>
      <c r="L71" s="1438" t="n">
        <v>0</v>
      </c>
      <c r="M71" s="1438" t="n">
        <v>0</v>
      </c>
      <c r="N71" s="1438" t="n">
        <v>1</v>
      </c>
      <c r="O71" s="1438" t="n">
        <v>1</v>
      </c>
      <c r="P71" s="1438" t="n">
        <v>1</v>
      </c>
      <c r="Q71" s="1438" t="n">
        <v>0</v>
      </c>
      <c r="R71" s="1303" t="n">
        <v>0</v>
      </c>
      <c r="S71" s="1438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438">
        <f>IF(S71="","",ROUND(S71*(1+R71),3))</f>
        <v/>
      </c>
      <c r="U71" s="283" t="inlineStr">
        <is>
          <t>m²</t>
        </is>
      </c>
      <c r="V71" s="285" t="n"/>
      <c r="W71" s="285" t="n"/>
      <c r="X71" s="1304" t="n"/>
      <c r="Y71" s="285" t="inlineStr">
        <is>
          <t>Pendiente</t>
        </is>
      </c>
    </row>
    <row r="72" ht="15" customFormat="1" customHeight="1" s="685">
      <c r="A72" s="280" t="inlineStr">
        <is>
          <t>MQ-064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09.01.02</t>
        </is>
      </c>
      <c r="E72" s="284" t="inlineStr">
        <is>
          <t>Piso cerámico</t>
        </is>
      </c>
      <c r="F72" s="285" t="n"/>
      <c r="G72" s="285" t="n"/>
      <c r="H72" s="285" t="n"/>
      <c r="I72" s="283" t="inlineStr">
        <is>
          <t>m²</t>
        </is>
      </c>
      <c r="J72" s="1438" t="n">
        <v>0</v>
      </c>
      <c r="K72" s="1438" t="n">
        <v>0</v>
      </c>
      <c r="L72" s="1438" t="n">
        <v>0</v>
      </c>
      <c r="M72" s="1438" t="n">
        <v>0</v>
      </c>
      <c r="N72" s="1438" t="n">
        <v>1</v>
      </c>
      <c r="O72" s="1438" t="n">
        <v>1</v>
      </c>
      <c r="P72" s="1438" t="n">
        <v>1</v>
      </c>
      <c r="Q72" s="1438" t="n">
        <v>0</v>
      </c>
      <c r="R72" s="1303" t="n">
        <v>0</v>
      </c>
      <c r="S72" s="1438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438">
        <f>IF(S72="","",ROUND(S72*(1+R72),3))</f>
        <v/>
      </c>
      <c r="U72" s="283" t="inlineStr">
        <is>
          <t>m²</t>
        </is>
      </c>
      <c r="V72" s="285" t="n"/>
      <c r="W72" s="285" t="n"/>
      <c r="X72" s="1304" t="n"/>
      <c r="Y72" s="285" t="inlineStr">
        <is>
          <t>Pendiente</t>
        </is>
      </c>
    </row>
    <row r="73" ht="15" customFormat="1" customHeight="1" s="685">
      <c r="A73" s="280" t="inlineStr">
        <is>
          <t>MQ-065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09.01.03</t>
        </is>
      </c>
      <c r="E73" s="284" t="inlineStr">
        <is>
          <t>Piso en porcelanato</t>
        </is>
      </c>
      <c r="F73" s="285" t="n"/>
      <c r="G73" s="285" t="n"/>
      <c r="H73" s="285" t="n"/>
      <c r="I73" s="283" t="inlineStr">
        <is>
          <t>m²</t>
        </is>
      </c>
      <c r="J73" s="1438" t="n">
        <v>0</v>
      </c>
      <c r="K73" s="1438" t="n">
        <v>0</v>
      </c>
      <c r="L73" s="1438" t="n">
        <v>0</v>
      </c>
      <c r="M73" s="1438" t="n">
        <v>0</v>
      </c>
      <c r="N73" s="1438" t="n">
        <v>1</v>
      </c>
      <c r="O73" s="1438" t="n">
        <v>1</v>
      </c>
      <c r="P73" s="1438" t="n">
        <v>1</v>
      </c>
      <c r="Q73" s="1438" t="n">
        <v>0</v>
      </c>
      <c r="R73" s="1303" t="n">
        <v>0</v>
      </c>
      <c r="S73" s="1438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438">
        <f>IF(S73="","",ROUND(S73*(1+R73),3))</f>
        <v/>
      </c>
      <c r="U73" s="283" t="inlineStr">
        <is>
          <t>m²</t>
        </is>
      </c>
      <c r="V73" s="285" t="n"/>
      <c r="W73" s="285" t="n"/>
      <c r="X73" s="1304" t="n"/>
      <c r="Y73" s="285" t="inlineStr">
        <is>
          <t>Pendiente</t>
        </is>
      </c>
    </row>
    <row r="74" ht="15" customFormat="1" customHeight="1" s="685">
      <c r="A74" s="280" t="inlineStr">
        <is>
          <t>MQ-066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09.01.04</t>
        </is>
      </c>
      <c r="E74" s="284" t="inlineStr">
        <is>
          <t>Piso vinílico</t>
        </is>
      </c>
      <c r="F74" s="285" t="n"/>
      <c r="G74" s="285" t="n"/>
      <c r="H74" s="285" t="n"/>
      <c r="I74" s="283" t="inlineStr">
        <is>
          <t>m²</t>
        </is>
      </c>
      <c r="J74" s="1438" t="n">
        <v>0</v>
      </c>
      <c r="K74" s="1438" t="n">
        <v>0</v>
      </c>
      <c r="L74" s="1438" t="n">
        <v>0</v>
      </c>
      <c r="M74" s="1438" t="n">
        <v>0</v>
      </c>
      <c r="N74" s="1438" t="n">
        <v>1</v>
      </c>
      <c r="O74" s="1438" t="n">
        <v>1</v>
      </c>
      <c r="P74" s="1438" t="n">
        <v>1</v>
      </c>
      <c r="Q74" s="1438" t="n">
        <v>0</v>
      </c>
      <c r="R74" s="1303" t="n">
        <v>0</v>
      </c>
      <c r="S74" s="1438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438">
        <f>IF(S74="","",ROUND(S74*(1+R74),3))</f>
        <v/>
      </c>
      <c r="U74" s="283" t="inlineStr">
        <is>
          <t>m²</t>
        </is>
      </c>
      <c r="V74" s="285" t="n"/>
      <c r="W74" s="285" t="n"/>
      <c r="X74" s="1304" t="n"/>
      <c r="Y74" s="285" t="inlineStr">
        <is>
          <t>Pendiente</t>
        </is>
      </c>
    </row>
    <row r="75" ht="15" customFormat="1" customHeight="1" s="685">
      <c r="A75" s="280" t="inlineStr">
        <is>
          <t>MQ-067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09.01.05</t>
        </is>
      </c>
      <c r="E75" s="284" t="inlineStr">
        <is>
          <t>Piso laminado</t>
        </is>
      </c>
      <c r="F75" s="285" t="n"/>
      <c r="G75" s="285" t="n"/>
      <c r="H75" s="285" t="n"/>
      <c r="I75" s="283" t="inlineStr">
        <is>
          <t>m²</t>
        </is>
      </c>
      <c r="J75" s="1438" t="n">
        <v>0</v>
      </c>
      <c r="K75" s="1438" t="n">
        <v>0</v>
      </c>
      <c r="L75" s="1438" t="n">
        <v>0</v>
      </c>
      <c r="M75" s="1438" t="n">
        <v>0</v>
      </c>
      <c r="N75" s="1438" t="n">
        <v>1</v>
      </c>
      <c r="O75" s="1438" t="n">
        <v>1</v>
      </c>
      <c r="P75" s="1438" t="n">
        <v>1</v>
      </c>
      <c r="Q75" s="1438" t="n">
        <v>0</v>
      </c>
      <c r="R75" s="1303" t="n">
        <v>0</v>
      </c>
      <c r="S75" s="1438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438">
        <f>IF(S75="","",ROUND(S75*(1+R75),3))</f>
        <v/>
      </c>
      <c r="U75" s="283" t="inlineStr">
        <is>
          <t>m²</t>
        </is>
      </c>
      <c r="V75" s="285" t="n"/>
      <c r="W75" s="285" t="n"/>
      <c r="X75" s="1304" t="n"/>
      <c r="Y75" s="285" t="inlineStr">
        <is>
          <t>Pendiente</t>
        </is>
      </c>
    </row>
    <row r="76" ht="15" customFormat="1" customHeight="1" s="685">
      <c r="A76" s="280" t="inlineStr">
        <is>
          <t>MQ-068</t>
        </is>
      </c>
      <c r="B76" s="281" t="inlineStr">
        <is>
          <t>PISOS Y ENCHAPES</t>
        </is>
      </c>
      <c r="C76" s="282" t="inlineStr">
        <is>
          <t>Enchapes</t>
        </is>
      </c>
      <c r="D76" s="283" t="inlineStr">
        <is>
          <t>09.02.01</t>
        </is>
      </c>
      <c r="E76" s="284" t="inlineStr">
        <is>
          <t>Enchape cerámico en muros</t>
        </is>
      </c>
      <c r="F76" s="285" t="n"/>
      <c r="G76" s="285" t="n"/>
      <c r="H76" s="285" t="n"/>
      <c r="I76" s="283" t="inlineStr">
        <is>
          <t>m²</t>
        </is>
      </c>
      <c r="J76" s="1438" t="n">
        <v>0</v>
      </c>
      <c r="K76" s="1438" t="n">
        <v>0</v>
      </c>
      <c r="L76" s="1438" t="n">
        <v>0</v>
      </c>
      <c r="M76" s="1438" t="n">
        <v>0</v>
      </c>
      <c r="N76" s="1438" t="n">
        <v>1</v>
      </c>
      <c r="O76" s="1438" t="n">
        <v>1</v>
      </c>
      <c r="P76" s="1438" t="n">
        <v>1</v>
      </c>
      <c r="Q76" s="1438" t="n">
        <v>0</v>
      </c>
      <c r="R76" s="1303" t="n">
        <v>0</v>
      </c>
      <c r="S76" s="1438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438">
        <f>IF(S76="","",ROUND(S76*(1+R76),3))</f>
        <v/>
      </c>
      <c r="U76" s="283" t="inlineStr">
        <is>
          <t>m²</t>
        </is>
      </c>
      <c r="V76" s="285" t="n"/>
      <c r="W76" s="285" t="n"/>
      <c r="X76" s="1304" t="n"/>
      <c r="Y76" s="285" t="inlineStr">
        <is>
          <t>Pendiente</t>
        </is>
      </c>
    </row>
    <row r="77" ht="15" customFormat="1" customHeight="1" s="685">
      <c r="A77" s="280" t="inlineStr">
        <is>
          <t>MQ-069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09.02.02</t>
        </is>
      </c>
      <c r="E77" s="284" t="inlineStr">
        <is>
          <t>Guardaescoba</t>
        </is>
      </c>
      <c r="F77" s="285" t="n"/>
      <c r="G77" s="285" t="n"/>
      <c r="H77" s="285" t="n"/>
      <c r="I77" s="283" t="inlineStr">
        <is>
          <t>ml</t>
        </is>
      </c>
      <c r="J77" s="1438" t="n">
        <v>0</v>
      </c>
      <c r="K77" s="1438" t="n">
        <v>0</v>
      </c>
      <c r="L77" s="1438" t="n">
        <v>0</v>
      </c>
      <c r="M77" s="1438" t="n">
        <v>0</v>
      </c>
      <c r="N77" s="1438" t="n">
        <v>1</v>
      </c>
      <c r="O77" s="1438" t="n">
        <v>1</v>
      </c>
      <c r="P77" s="1438" t="n">
        <v>1</v>
      </c>
      <c r="Q77" s="1438" t="n">
        <v>0</v>
      </c>
      <c r="R77" s="1303" t="n">
        <v>0</v>
      </c>
      <c r="S77" s="1438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438">
        <f>IF(S77="","",ROUND(S77*(1+R77),3))</f>
        <v/>
      </c>
      <c r="U77" s="283" t="inlineStr">
        <is>
          <t>ml</t>
        </is>
      </c>
      <c r="V77" s="285" t="n"/>
      <c r="W77" s="285" t="n"/>
      <c r="X77" s="1304" t="n"/>
      <c r="Y77" s="285" t="inlineStr">
        <is>
          <t>Pendiente</t>
        </is>
      </c>
    </row>
    <row r="78" ht="15" customFormat="1" customHeight="1" s="685">
      <c r="A78" s="280" t="inlineStr">
        <is>
          <t>MQ-070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09.02.03</t>
        </is>
      </c>
      <c r="E78" s="284" t="inlineStr">
        <is>
          <t>Juntas de dilatación / construcción</t>
        </is>
      </c>
      <c r="F78" s="285" t="n"/>
      <c r="G78" s="285" t="n"/>
      <c r="H78" s="285" t="n"/>
      <c r="I78" s="283" t="inlineStr">
        <is>
          <t>ml</t>
        </is>
      </c>
      <c r="J78" s="1438" t="n">
        <v>0</v>
      </c>
      <c r="K78" s="1438" t="n">
        <v>0</v>
      </c>
      <c r="L78" s="1438" t="n">
        <v>0</v>
      </c>
      <c r="M78" s="1438" t="n">
        <v>0</v>
      </c>
      <c r="N78" s="1438" t="n">
        <v>1</v>
      </c>
      <c r="O78" s="1438" t="n">
        <v>1</v>
      </c>
      <c r="P78" s="1438" t="n">
        <v>1</v>
      </c>
      <c r="Q78" s="1438" t="n">
        <v>0</v>
      </c>
      <c r="R78" s="1303" t="n">
        <v>0</v>
      </c>
      <c r="S78" s="1438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438">
        <f>IF(S78="","",ROUND(S78*(1+R78),3))</f>
        <v/>
      </c>
      <c r="U78" s="283" t="inlineStr">
        <is>
          <t>ml</t>
        </is>
      </c>
      <c r="V78" s="285" t="n"/>
      <c r="W78" s="285" t="n"/>
      <c r="X78" s="1304" t="n"/>
      <c r="Y78" s="285" t="inlineStr">
        <is>
          <t>Pendiente</t>
        </is>
      </c>
    </row>
    <row r="79" ht="15" customFormat="1" customHeight="1" s="685">
      <c r="A79" s="280" t="inlineStr">
        <is>
          <t>MQ-071</t>
        </is>
      </c>
      <c r="B79" s="281" t="inlineStr">
        <is>
          <t>PINTURA</t>
        </is>
      </c>
      <c r="C79" s="282" t="inlineStr">
        <is>
          <t>Pintura</t>
        </is>
      </c>
      <c r="D79" s="283" t="inlineStr">
        <is>
          <t>10.01.01</t>
        </is>
      </c>
      <c r="E79" s="284" t="inlineStr">
        <is>
          <t>Pintura vinílica interior</t>
        </is>
      </c>
      <c r="F79" s="285" t="n"/>
      <c r="G79" s="285" t="n"/>
      <c r="H79" s="285" t="n"/>
      <c r="I79" s="283" t="inlineStr">
        <is>
          <t>m²</t>
        </is>
      </c>
      <c r="J79" s="1438" t="n">
        <v>0</v>
      </c>
      <c r="K79" s="1438" t="n">
        <v>0</v>
      </c>
      <c r="L79" s="1438" t="n">
        <v>0</v>
      </c>
      <c r="M79" s="1438" t="n">
        <v>0</v>
      </c>
      <c r="N79" s="1438" t="n">
        <v>1</v>
      </c>
      <c r="O79" s="1438" t="n">
        <v>1</v>
      </c>
      <c r="P79" s="1438" t="n">
        <v>1</v>
      </c>
      <c r="Q79" s="1438" t="n">
        <v>0</v>
      </c>
      <c r="R79" s="1303" t="n">
        <v>0</v>
      </c>
      <c r="S79" s="1438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438">
        <f>IF(S79="","",ROUND(S79*(1+R79),3))</f>
        <v/>
      </c>
      <c r="U79" s="283" t="inlineStr">
        <is>
          <t>m²</t>
        </is>
      </c>
      <c r="V79" s="285" t="n"/>
      <c r="W79" s="285" t="n"/>
      <c r="X79" s="1304" t="n"/>
      <c r="Y79" s="285" t="inlineStr">
        <is>
          <t>Pendiente</t>
        </is>
      </c>
    </row>
    <row r="80" ht="15" customFormat="1" customHeight="1" s="685">
      <c r="A80" s="280" t="inlineStr">
        <is>
          <t>MQ-072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10.01.02</t>
        </is>
      </c>
      <c r="E80" s="284" t="inlineStr">
        <is>
          <t>Pintura exterior</t>
        </is>
      </c>
      <c r="F80" s="285" t="n"/>
      <c r="G80" s="285" t="n"/>
      <c r="H80" s="285" t="n"/>
      <c r="I80" s="283" t="inlineStr">
        <is>
          <t>m²</t>
        </is>
      </c>
      <c r="J80" s="1438" t="n">
        <v>0</v>
      </c>
      <c r="K80" s="1438" t="n">
        <v>0</v>
      </c>
      <c r="L80" s="1438" t="n">
        <v>0</v>
      </c>
      <c r="M80" s="1438" t="n">
        <v>0</v>
      </c>
      <c r="N80" s="1438" t="n">
        <v>1</v>
      </c>
      <c r="O80" s="1438" t="n">
        <v>1</v>
      </c>
      <c r="P80" s="1438" t="n">
        <v>1</v>
      </c>
      <c r="Q80" s="1438" t="n">
        <v>0</v>
      </c>
      <c r="R80" s="1303" t="n">
        <v>0</v>
      </c>
      <c r="S80" s="1438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438">
        <f>IF(S80="","",ROUND(S80*(1+R80),3))</f>
        <v/>
      </c>
      <c r="U80" s="283" t="inlineStr">
        <is>
          <t>m²</t>
        </is>
      </c>
      <c r="V80" s="285" t="n"/>
      <c r="W80" s="285" t="n"/>
      <c r="X80" s="1304" t="n"/>
      <c r="Y80" s="285" t="inlineStr">
        <is>
          <t>Pendiente</t>
        </is>
      </c>
    </row>
    <row r="81" ht="15" customFormat="1" customHeight="1" s="685">
      <c r="A81" s="280" t="inlineStr">
        <is>
          <t>MQ-073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10.01.03</t>
        </is>
      </c>
      <c r="E81" s="284" t="inlineStr">
        <is>
          <t>Pintura esmalte en superficies metálicas/madera</t>
        </is>
      </c>
      <c r="F81" s="285" t="n"/>
      <c r="G81" s="285" t="n"/>
      <c r="H81" s="285" t="n"/>
      <c r="I81" s="283" t="inlineStr">
        <is>
          <t>m²</t>
        </is>
      </c>
      <c r="J81" s="1438" t="n">
        <v>0</v>
      </c>
      <c r="K81" s="1438" t="n">
        <v>0</v>
      </c>
      <c r="L81" s="1438" t="n">
        <v>0</v>
      </c>
      <c r="M81" s="1438" t="n">
        <v>0</v>
      </c>
      <c r="N81" s="1438" t="n">
        <v>1</v>
      </c>
      <c r="O81" s="1438" t="n">
        <v>1</v>
      </c>
      <c r="P81" s="1438" t="n">
        <v>1</v>
      </c>
      <c r="Q81" s="1438" t="n">
        <v>0</v>
      </c>
      <c r="R81" s="1303" t="n">
        <v>0</v>
      </c>
      <c r="S81" s="1438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438">
        <f>IF(S81="","",ROUND(S81*(1+R81),3))</f>
        <v/>
      </c>
      <c r="U81" s="283" t="inlineStr">
        <is>
          <t>m²</t>
        </is>
      </c>
      <c r="V81" s="285" t="n"/>
      <c r="W81" s="285" t="n"/>
      <c r="X81" s="1304" t="n"/>
      <c r="Y81" s="285" t="inlineStr">
        <is>
          <t>Pendiente</t>
        </is>
      </c>
    </row>
    <row r="82" ht="15" customFormat="1" customHeight="1" s="685">
      <c r="A82" s="280" t="inlineStr">
        <is>
          <t>MQ-074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10.01.04</t>
        </is>
      </c>
      <c r="E82" s="284" t="inlineStr">
        <is>
          <t>Pintura anticorrosiva</t>
        </is>
      </c>
      <c r="F82" s="285" t="n"/>
      <c r="G82" s="285" t="n"/>
      <c r="H82" s="285" t="n"/>
      <c r="I82" s="283" t="inlineStr">
        <is>
          <t>m²</t>
        </is>
      </c>
      <c r="J82" s="1438" t="n">
        <v>0</v>
      </c>
      <c r="K82" s="1438" t="n">
        <v>0</v>
      </c>
      <c r="L82" s="1438" t="n">
        <v>0</v>
      </c>
      <c r="M82" s="1438" t="n">
        <v>0</v>
      </c>
      <c r="N82" s="1438" t="n">
        <v>1</v>
      </c>
      <c r="O82" s="1438" t="n">
        <v>1</v>
      </c>
      <c r="P82" s="1438" t="n">
        <v>1</v>
      </c>
      <c r="Q82" s="1438" t="n">
        <v>0</v>
      </c>
      <c r="R82" s="1303" t="n">
        <v>0</v>
      </c>
      <c r="S82" s="1438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438">
        <f>IF(S82="","",ROUND(S82*(1+R82),3))</f>
        <v/>
      </c>
      <c r="U82" s="283" t="inlineStr">
        <is>
          <t>m²</t>
        </is>
      </c>
      <c r="V82" s="285" t="n"/>
      <c r="W82" s="285" t="n"/>
      <c r="X82" s="1304" t="n"/>
      <c r="Y82" s="285" t="inlineStr">
        <is>
          <t>Pendiente</t>
        </is>
      </c>
    </row>
    <row r="83" ht="15" customFormat="1" customHeight="1" s="685">
      <c r="A83" s="280" t="inlineStr">
        <is>
          <t>MQ-075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10.01.05</t>
        </is>
      </c>
      <c r="E83" s="284" t="inlineStr">
        <is>
          <t>Sellador / imprimante</t>
        </is>
      </c>
      <c r="F83" s="285" t="n"/>
      <c r="G83" s="285" t="n"/>
      <c r="H83" s="285" t="n"/>
      <c r="I83" s="283" t="inlineStr">
        <is>
          <t>m²</t>
        </is>
      </c>
      <c r="J83" s="1438" t="n">
        <v>0</v>
      </c>
      <c r="K83" s="1438" t="n">
        <v>0</v>
      </c>
      <c r="L83" s="1438" t="n">
        <v>0</v>
      </c>
      <c r="M83" s="1438" t="n">
        <v>0</v>
      </c>
      <c r="N83" s="1438" t="n">
        <v>1</v>
      </c>
      <c r="O83" s="1438" t="n">
        <v>1</v>
      </c>
      <c r="P83" s="1438" t="n">
        <v>1</v>
      </c>
      <c r="Q83" s="1438" t="n">
        <v>0</v>
      </c>
      <c r="R83" s="1303" t="n">
        <v>0</v>
      </c>
      <c r="S83" s="1438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438">
        <f>IF(S83="","",ROUND(S83*(1+R83),3))</f>
        <v/>
      </c>
      <c r="U83" s="283" t="inlineStr">
        <is>
          <t>m²</t>
        </is>
      </c>
      <c r="V83" s="285" t="n"/>
      <c r="W83" s="285" t="n"/>
      <c r="X83" s="1304" t="n"/>
      <c r="Y83" s="285" t="inlineStr">
        <is>
          <t>Pendiente</t>
        </is>
      </c>
    </row>
    <row r="84" ht="15" customFormat="1" customHeight="1" s="685">
      <c r="A84" s="280" t="inlineStr">
        <is>
          <t>MQ-076</t>
        </is>
      </c>
      <c r="B84" s="281" t="inlineStr">
        <is>
          <t>CARPINTERÍA</t>
        </is>
      </c>
      <c r="C84" s="282" t="inlineStr">
        <is>
          <t>Madera</t>
        </is>
      </c>
      <c r="D84" s="283" t="inlineStr">
        <is>
          <t>11.01.01</t>
        </is>
      </c>
      <c r="E84" s="284" t="inlineStr">
        <is>
          <t>Puertas de madera</t>
        </is>
      </c>
      <c r="F84" s="285" t="n"/>
      <c r="G84" s="285" t="n"/>
      <c r="H84" s="285" t="n"/>
      <c r="I84" s="283" t="inlineStr">
        <is>
          <t>und</t>
        </is>
      </c>
      <c r="J84" s="1438" t="n">
        <v>0</v>
      </c>
      <c r="K84" s="1438" t="n">
        <v>0</v>
      </c>
      <c r="L84" s="1438" t="n">
        <v>0</v>
      </c>
      <c r="M84" s="1438" t="n">
        <v>0</v>
      </c>
      <c r="N84" s="1438" t="n">
        <v>1</v>
      </c>
      <c r="O84" s="1438" t="n">
        <v>1</v>
      </c>
      <c r="P84" s="1438" t="n">
        <v>1</v>
      </c>
      <c r="Q84" s="1438" t="n">
        <v>0</v>
      </c>
      <c r="R84" s="1303" t="n">
        <v>0</v>
      </c>
      <c r="S84" s="1438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438">
        <f>IF(S84="","",ROUND(S84*(1+R84),3))</f>
        <v/>
      </c>
      <c r="U84" s="283" t="inlineStr">
        <is>
          <t>und</t>
        </is>
      </c>
      <c r="V84" s="285" t="n"/>
      <c r="W84" s="285" t="n"/>
      <c r="X84" s="1304" t="n"/>
      <c r="Y84" s="285" t="inlineStr">
        <is>
          <t>Pendiente</t>
        </is>
      </c>
    </row>
    <row r="85" ht="15" customFormat="1" customHeight="1" s="685">
      <c r="A85" s="280" t="inlineStr">
        <is>
          <t>MQ-077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11.01.02</t>
        </is>
      </c>
      <c r="E85" s="284" t="inlineStr">
        <is>
          <t>Muebles fijos de madera</t>
        </is>
      </c>
      <c r="F85" s="285" t="n"/>
      <c r="G85" s="285" t="n"/>
      <c r="H85" s="285" t="n"/>
      <c r="I85" s="283" t="inlineStr">
        <is>
          <t>ml</t>
        </is>
      </c>
      <c r="J85" s="1438" t="n">
        <v>0</v>
      </c>
      <c r="K85" s="1438" t="n">
        <v>0</v>
      </c>
      <c r="L85" s="1438" t="n">
        <v>0</v>
      </c>
      <c r="M85" s="1438" t="n">
        <v>0</v>
      </c>
      <c r="N85" s="1438" t="n">
        <v>1</v>
      </c>
      <c r="O85" s="1438" t="n">
        <v>1</v>
      </c>
      <c r="P85" s="1438" t="n">
        <v>1</v>
      </c>
      <c r="Q85" s="1438" t="n">
        <v>0</v>
      </c>
      <c r="R85" s="1303" t="n">
        <v>0</v>
      </c>
      <c r="S85" s="1438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438">
        <f>IF(S85="","",ROUND(S85*(1+R85),3))</f>
        <v/>
      </c>
      <c r="U85" s="283" t="inlineStr">
        <is>
          <t>ml</t>
        </is>
      </c>
      <c r="V85" s="285" t="n"/>
      <c r="W85" s="285" t="n"/>
      <c r="X85" s="1304" t="n"/>
      <c r="Y85" s="285" t="inlineStr">
        <is>
          <t>Pendiente</t>
        </is>
      </c>
    </row>
    <row r="86" ht="15" customFormat="1" customHeight="1" s="685">
      <c r="A86" s="280" t="inlineStr">
        <is>
          <t>MQ-078</t>
        </is>
      </c>
      <c r="B86" s="281" t="inlineStr">
        <is>
          <t>CARPINTERÍA</t>
        </is>
      </c>
      <c r="C86" s="282" t="inlineStr">
        <is>
          <t>Metálica</t>
        </is>
      </c>
      <c r="D86" s="283" t="inlineStr">
        <is>
          <t>11.02.01</t>
        </is>
      </c>
      <c r="E86" s="284" t="inlineStr">
        <is>
          <t>Puertas metálicas</t>
        </is>
      </c>
      <c r="F86" s="285" t="n"/>
      <c r="G86" s="285" t="n"/>
      <c r="H86" s="285" t="n"/>
      <c r="I86" s="283" t="inlineStr">
        <is>
          <t>und</t>
        </is>
      </c>
      <c r="J86" s="1438" t="n">
        <v>0</v>
      </c>
      <c r="K86" s="1438" t="n">
        <v>0</v>
      </c>
      <c r="L86" s="1438" t="n">
        <v>0</v>
      </c>
      <c r="M86" s="1438" t="n">
        <v>0</v>
      </c>
      <c r="N86" s="1438" t="n">
        <v>1</v>
      </c>
      <c r="O86" s="1438" t="n">
        <v>1</v>
      </c>
      <c r="P86" s="1438" t="n">
        <v>1</v>
      </c>
      <c r="Q86" s="1438" t="n">
        <v>0</v>
      </c>
      <c r="R86" s="1303" t="n">
        <v>0</v>
      </c>
      <c r="S86" s="1438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438">
        <f>IF(S86="","",ROUND(S86*(1+R86),3))</f>
        <v/>
      </c>
      <c r="U86" s="283" t="inlineStr">
        <is>
          <t>und</t>
        </is>
      </c>
      <c r="V86" s="285" t="n"/>
      <c r="W86" s="285" t="n"/>
      <c r="X86" s="1304" t="n"/>
      <c r="Y86" s="285" t="inlineStr">
        <is>
          <t>Pendiente</t>
        </is>
      </c>
    </row>
    <row r="87" ht="15" customFormat="1" customHeight="1" s="685">
      <c r="A87" s="280" t="inlineStr">
        <is>
          <t>MQ-079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11.02.02</t>
        </is>
      </c>
      <c r="E87" s="284" t="inlineStr">
        <is>
          <t>Barandas metálicas</t>
        </is>
      </c>
      <c r="F87" s="285" t="n"/>
      <c r="G87" s="285" t="n"/>
      <c r="H87" s="285" t="n"/>
      <c r="I87" s="283" t="inlineStr">
        <is>
          <t>ml</t>
        </is>
      </c>
      <c r="J87" s="1438" t="n">
        <v>0</v>
      </c>
      <c r="K87" s="1438" t="n">
        <v>0</v>
      </c>
      <c r="L87" s="1438" t="n">
        <v>0</v>
      </c>
      <c r="M87" s="1438" t="n">
        <v>0</v>
      </c>
      <c r="N87" s="1438" t="n">
        <v>1</v>
      </c>
      <c r="O87" s="1438" t="n">
        <v>1</v>
      </c>
      <c r="P87" s="1438" t="n">
        <v>1</v>
      </c>
      <c r="Q87" s="1438" t="n">
        <v>0</v>
      </c>
      <c r="R87" s="1303" t="n">
        <v>0</v>
      </c>
      <c r="S87" s="1438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438">
        <f>IF(S87="","",ROUND(S87*(1+R87),3))</f>
        <v/>
      </c>
      <c r="U87" s="283" t="inlineStr">
        <is>
          <t>ml</t>
        </is>
      </c>
      <c r="V87" s="285" t="n"/>
      <c r="W87" s="285" t="n"/>
      <c r="X87" s="1304" t="n"/>
      <c r="Y87" s="285" t="inlineStr">
        <is>
          <t>Pendiente</t>
        </is>
      </c>
    </row>
    <row r="88" ht="15" customFormat="1" customHeight="1" s="685">
      <c r="A88" s="280" t="inlineStr">
        <is>
          <t>MQ-080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11.02.03</t>
        </is>
      </c>
      <c r="E88" s="284" t="inlineStr">
        <is>
          <t>Pasamanos</t>
        </is>
      </c>
      <c r="F88" s="285" t="n"/>
      <c r="G88" s="285" t="n"/>
      <c r="H88" s="285" t="n"/>
      <c r="I88" s="283" t="inlineStr">
        <is>
          <t>ml</t>
        </is>
      </c>
      <c r="J88" s="1438" t="n">
        <v>0</v>
      </c>
      <c r="K88" s="1438" t="n">
        <v>0</v>
      </c>
      <c r="L88" s="1438" t="n">
        <v>0</v>
      </c>
      <c r="M88" s="1438" t="n">
        <v>0</v>
      </c>
      <c r="N88" s="1438" t="n">
        <v>1</v>
      </c>
      <c r="O88" s="1438" t="n">
        <v>1</v>
      </c>
      <c r="P88" s="1438" t="n">
        <v>1</v>
      </c>
      <c r="Q88" s="1438" t="n">
        <v>0</v>
      </c>
      <c r="R88" s="1303" t="n">
        <v>0</v>
      </c>
      <c r="S88" s="1438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438">
        <f>IF(S88="","",ROUND(S88*(1+R88),3))</f>
        <v/>
      </c>
      <c r="U88" s="283" t="inlineStr">
        <is>
          <t>ml</t>
        </is>
      </c>
      <c r="V88" s="285" t="n"/>
      <c r="W88" s="285" t="n"/>
      <c r="X88" s="1304" t="n"/>
      <c r="Y88" s="285" t="inlineStr">
        <is>
          <t>Pendiente</t>
        </is>
      </c>
    </row>
    <row r="89" ht="15" customFormat="1" customHeight="1" s="685">
      <c r="A89" s="280" t="inlineStr">
        <is>
          <t>MQ-081</t>
        </is>
      </c>
      <c r="B89" s="281" t="inlineStr">
        <is>
          <t>CARPINTERÍA</t>
        </is>
      </c>
      <c r="C89" s="282" t="inlineStr">
        <is>
          <t>Aluminio</t>
        </is>
      </c>
      <c r="D89" s="283" t="inlineStr">
        <is>
          <t>11.03.01</t>
        </is>
      </c>
      <c r="E89" s="284" t="inlineStr">
        <is>
          <t>Ventanas de aluminio</t>
        </is>
      </c>
      <c r="F89" s="285" t="n"/>
      <c r="G89" s="285" t="n"/>
      <c r="H89" s="285" t="n"/>
      <c r="I89" s="283" t="inlineStr">
        <is>
          <t>m²</t>
        </is>
      </c>
      <c r="J89" s="1438" t="n">
        <v>0</v>
      </c>
      <c r="K89" s="1438" t="n">
        <v>0</v>
      </c>
      <c r="L89" s="1438" t="n">
        <v>0</v>
      </c>
      <c r="M89" s="1438" t="n">
        <v>0</v>
      </c>
      <c r="N89" s="1438" t="n">
        <v>1</v>
      </c>
      <c r="O89" s="1438" t="n">
        <v>1</v>
      </c>
      <c r="P89" s="1438" t="n">
        <v>1</v>
      </c>
      <c r="Q89" s="1438" t="n">
        <v>0</v>
      </c>
      <c r="R89" s="1303" t="n">
        <v>0</v>
      </c>
      <c r="S89" s="1438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438">
        <f>IF(S89="","",ROUND(S89*(1+R89),3))</f>
        <v/>
      </c>
      <c r="U89" s="283" t="inlineStr">
        <is>
          <t>m²</t>
        </is>
      </c>
      <c r="V89" s="285" t="n"/>
      <c r="W89" s="285" t="n"/>
      <c r="X89" s="1304" t="n"/>
      <c r="Y89" s="285" t="inlineStr">
        <is>
          <t>Pendiente</t>
        </is>
      </c>
    </row>
    <row r="90" ht="15" customFormat="1" customHeight="1" s="685">
      <c r="A90" s="280" t="inlineStr">
        <is>
          <t>MQ-082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11.03.02</t>
        </is>
      </c>
      <c r="E90" s="284" t="inlineStr">
        <is>
          <t>Divisiones de aluminio</t>
        </is>
      </c>
      <c r="F90" s="285" t="n"/>
      <c r="G90" s="285" t="n"/>
      <c r="H90" s="285" t="n"/>
      <c r="I90" s="283" t="inlineStr">
        <is>
          <t>m²</t>
        </is>
      </c>
      <c r="J90" s="1438" t="n">
        <v>0</v>
      </c>
      <c r="K90" s="1438" t="n">
        <v>0</v>
      </c>
      <c r="L90" s="1438" t="n">
        <v>0</v>
      </c>
      <c r="M90" s="1438" t="n">
        <v>0</v>
      </c>
      <c r="N90" s="1438" t="n">
        <v>1</v>
      </c>
      <c r="O90" s="1438" t="n">
        <v>1</v>
      </c>
      <c r="P90" s="1438" t="n">
        <v>1</v>
      </c>
      <c r="Q90" s="1438" t="n">
        <v>0</v>
      </c>
      <c r="R90" s="1303" t="n">
        <v>0</v>
      </c>
      <c r="S90" s="1438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438">
        <f>IF(S90="","",ROUND(S90*(1+R90),3))</f>
        <v/>
      </c>
      <c r="U90" s="283" t="inlineStr">
        <is>
          <t>m²</t>
        </is>
      </c>
      <c r="V90" s="285" t="n"/>
      <c r="W90" s="285" t="n"/>
      <c r="X90" s="1304" t="n"/>
      <c r="Y90" s="285" t="inlineStr">
        <is>
          <t>Pendiente</t>
        </is>
      </c>
    </row>
    <row r="91" ht="15" customFormat="1" customHeight="1" s="685">
      <c r="A91" s="280" t="inlineStr">
        <is>
          <t>MQ-083</t>
        </is>
      </c>
      <c r="B91" s="281" t="inlineStr">
        <is>
          <t>VIDRIOS</t>
        </is>
      </c>
      <c r="C91" s="282" t="inlineStr">
        <is>
          <t>Vidriería</t>
        </is>
      </c>
      <c r="D91" s="283" t="inlineStr">
        <is>
          <t>12.01.01</t>
        </is>
      </c>
      <c r="E91" s="284" t="inlineStr">
        <is>
          <t>Vidrio templado</t>
        </is>
      </c>
      <c r="F91" s="285" t="n"/>
      <c r="G91" s="285" t="n"/>
      <c r="H91" s="285" t="n"/>
      <c r="I91" s="283" t="inlineStr">
        <is>
          <t>m²</t>
        </is>
      </c>
      <c r="J91" s="1438" t="n">
        <v>0</v>
      </c>
      <c r="K91" s="1438" t="n">
        <v>0</v>
      </c>
      <c r="L91" s="1438" t="n">
        <v>0</v>
      </c>
      <c r="M91" s="1438" t="n">
        <v>0</v>
      </c>
      <c r="N91" s="1438" t="n">
        <v>1</v>
      </c>
      <c r="O91" s="1438" t="n">
        <v>1</v>
      </c>
      <c r="P91" s="1438" t="n">
        <v>1</v>
      </c>
      <c r="Q91" s="1438" t="n">
        <v>0</v>
      </c>
      <c r="R91" s="1303" t="n">
        <v>0</v>
      </c>
      <c r="S91" s="1438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438">
        <f>IF(S91="","",ROUND(S91*(1+R91),3))</f>
        <v/>
      </c>
      <c r="U91" s="283" t="inlineStr">
        <is>
          <t>m²</t>
        </is>
      </c>
      <c r="V91" s="285" t="n"/>
      <c r="W91" s="285" t="n"/>
      <c r="X91" s="1304" t="n"/>
      <c r="Y91" s="285" t="inlineStr">
        <is>
          <t>Pendiente</t>
        </is>
      </c>
    </row>
    <row r="92" ht="15" customFormat="1" customHeight="1" s="685">
      <c r="A92" s="280" t="inlineStr">
        <is>
          <t>MQ-084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12.01.02</t>
        </is>
      </c>
      <c r="E92" s="284" t="inlineStr">
        <is>
          <t>Vidrio laminado</t>
        </is>
      </c>
      <c r="F92" s="285" t="n"/>
      <c r="G92" s="285" t="n"/>
      <c r="H92" s="285" t="n"/>
      <c r="I92" s="283" t="inlineStr">
        <is>
          <t>m²</t>
        </is>
      </c>
      <c r="J92" s="1438" t="n">
        <v>0</v>
      </c>
      <c r="K92" s="1438" t="n">
        <v>0</v>
      </c>
      <c r="L92" s="1438" t="n">
        <v>0</v>
      </c>
      <c r="M92" s="1438" t="n">
        <v>0</v>
      </c>
      <c r="N92" s="1438" t="n">
        <v>1</v>
      </c>
      <c r="O92" s="1438" t="n">
        <v>1</v>
      </c>
      <c r="P92" s="1438" t="n">
        <v>1</v>
      </c>
      <c r="Q92" s="1438" t="n">
        <v>0</v>
      </c>
      <c r="R92" s="1303" t="n">
        <v>0</v>
      </c>
      <c r="S92" s="1438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438">
        <f>IF(S92="","",ROUND(S92*(1+R92),3))</f>
        <v/>
      </c>
      <c r="U92" s="283" t="inlineStr">
        <is>
          <t>m²</t>
        </is>
      </c>
      <c r="V92" s="285" t="n"/>
      <c r="W92" s="285" t="n"/>
      <c r="X92" s="1304" t="n"/>
      <c r="Y92" s="285" t="inlineStr">
        <is>
          <t>Pendiente</t>
        </is>
      </c>
    </row>
    <row r="93" ht="15" customFormat="1" customHeight="1" s="685">
      <c r="A93" s="280" t="inlineStr">
        <is>
          <t>MQ-085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12.01.03</t>
        </is>
      </c>
      <c r="E93" s="284" t="inlineStr">
        <is>
          <t>Espejos</t>
        </is>
      </c>
      <c r="F93" s="285" t="n"/>
      <c r="G93" s="285" t="n"/>
      <c r="H93" s="285" t="n"/>
      <c r="I93" s="283" t="inlineStr">
        <is>
          <t>m²</t>
        </is>
      </c>
      <c r="J93" s="1438" t="n">
        <v>0</v>
      </c>
      <c r="K93" s="1438" t="n">
        <v>0</v>
      </c>
      <c r="L93" s="1438" t="n">
        <v>0</v>
      </c>
      <c r="M93" s="1438" t="n">
        <v>0</v>
      </c>
      <c r="N93" s="1438" t="n">
        <v>1</v>
      </c>
      <c r="O93" s="1438" t="n">
        <v>1</v>
      </c>
      <c r="P93" s="1438" t="n">
        <v>1</v>
      </c>
      <c r="Q93" s="1438" t="n">
        <v>0</v>
      </c>
      <c r="R93" s="1303" t="n">
        <v>0</v>
      </c>
      <c r="S93" s="1438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438">
        <f>IF(S93="","",ROUND(S93*(1+R93),3))</f>
        <v/>
      </c>
      <c r="U93" s="283" t="inlineStr">
        <is>
          <t>m²</t>
        </is>
      </c>
      <c r="V93" s="285" t="n"/>
      <c r="W93" s="285" t="n"/>
      <c r="X93" s="1304" t="n"/>
      <c r="Y93" s="285" t="inlineStr">
        <is>
          <t>Pendiente</t>
        </is>
      </c>
    </row>
    <row r="94" ht="15" customFormat="1" customHeight="1" s="685">
      <c r="A94" s="280" t="inlineStr">
        <is>
          <t>MQ-086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12.01.04</t>
        </is>
      </c>
      <c r="E94" s="284" t="inlineStr">
        <is>
          <t>Sellos y silicona</t>
        </is>
      </c>
      <c r="F94" s="285" t="n"/>
      <c r="G94" s="285" t="n"/>
      <c r="H94" s="285" t="n"/>
      <c r="I94" s="283" t="inlineStr">
        <is>
          <t>ml</t>
        </is>
      </c>
      <c r="J94" s="1438" t="n">
        <v>0</v>
      </c>
      <c r="K94" s="1438" t="n">
        <v>0</v>
      </c>
      <c r="L94" s="1438" t="n">
        <v>0</v>
      </c>
      <c r="M94" s="1438" t="n">
        <v>0</v>
      </c>
      <c r="N94" s="1438" t="n">
        <v>1</v>
      </c>
      <c r="O94" s="1438" t="n">
        <v>1</v>
      </c>
      <c r="P94" s="1438" t="n">
        <v>1</v>
      </c>
      <c r="Q94" s="1438" t="n">
        <v>0</v>
      </c>
      <c r="R94" s="1303" t="n">
        <v>0</v>
      </c>
      <c r="S94" s="1438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438">
        <f>IF(S94="","",ROUND(S94*(1+R94),3))</f>
        <v/>
      </c>
      <c r="U94" s="283" t="inlineStr">
        <is>
          <t>ml</t>
        </is>
      </c>
      <c r="V94" s="285" t="n"/>
      <c r="W94" s="285" t="n"/>
      <c r="X94" s="1304" t="n"/>
      <c r="Y94" s="285" t="inlineStr">
        <is>
          <t>Pendiente</t>
        </is>
      </c>
    </row>
    <row r="95" ht="15" customFormat="1" customHeight="1" s="685">
      <c r="A95" s="280" t="inlineStr">
        <is>
          <t>MQ-087</t>
        </is>
      </c>
      <c r="B95" s="281" t="inlineStr">
        <is>
          <t>INSTALACIONES HIDROSANITARIAS</t>
        </is>
      </c>
      <c r="C95" s="282" t="inlineStr">
        <is>
          <t>Agua potable</t>
        </is>
      </c>
      <c r="D95" s="283" t="inlineStr">
        <is>
          <t>13.01.01</t>
        </is>
      </c>
      <c r="E95" s="284" t="inlineStr">
        <is>
          <t>Tubería de agua fría</t>
        </is>
      </c>
      <c r="F95" s="285" t="n"/>
      <c r="G95" s="285" t="n"/>
      <c r="H95" s="285" t="n"/>
      <c r="I95" s="283" t="inlineStr">
        <is>
          <t>ml</t>
        </is>
      </c>
      <c r="J95" s="1438" t="n">
        <v>0</v>
      </c>
      <c r="K95" s="1438" t="n">
        <v>0</v>
      </c>
      <c r="L95" s="1438" t="n">
        <v>0</v>
      </c>
      <c r="M95" s="1438" t="n">
        <v>0</v>
      </c>
      <c r="N95" s="1438" t="n">
        <v>1</v>
      </c>
      <c r="O95" s="1438" t="n">
        <v>1</v>
      </c>
      <c r="P95" s="1438" t="n">
        <v>1</v>
      </c>
      <c r="Q95" s="1438" t="n">
        <v>0</v>
      </c>
      <c r="R95" s="1303" t="n">
        <v>0</v>
      </c>
      <c r="S95" s="1438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438">
        <f>IF(S95="","",ROUND(S95*(1+R95),3))</f>
        <v/>
      </c>
      <c r="U95" s="283" t="inlineStr">
        <is>
          <t>ml</t>
        </is>
      </c>
      <c r="V95" s="285" t="n"/>
      <c r="W95" s="285" t="n"/>
      <c r="X95" s="1304" t="n"/>
      <c r="Y95" s="285" t="inlineStr">
        <is>
          <t>Pendiente</t>
        </is>
      </c>
    </row>
    <row r="96" ht="15" customFormat="1" customHeight="1" s="685">
      <c r="A96" s="280" t="inlineStr">
        <is>
          <t>MQ-088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13.01.02</t>
        </is>
      </c>
      <c r="E96" s="284" t="inlineStr">
        <is>
          <t>Tubería de agua caliente</t>
        </is>
      </c>
      <c r="F96" s="285" t="n"/>
      <c r="G96" s="285" t="n"/>
      <c r="H96" s="285" t="n"/>
      <c r="I96" s="283" t="inlineStr">
        <is>
          <t>ml</t>
        </is>
      </c>
      <c r="J96" s="1438" t="n">
        <v>0</v>
      </c>
      <c r="K96" s="1438" t="n">
        <v>0</v>
      </c>
      <c r="L96" s="1438" t="n">
        <v>0</v>
      </c>
      <c r="M96" s="1438" t="n">
        <v>0</v>
      </c>
      <c r="N96" s="1438" t="n">
        <v>1</v>
      </c>
      <c r="O96" s="1438" t="n">
        <v>1</v>
      </c>
      <c r="P96" s="1438" t="n">
        <v>1</v>
      </c>
      <c r="Q96" s="1438" t="n">
        <v>0</v>
      </c>
      <c r="R96" s="1303" t="n">
        <v>0</v>
      </c>
      <c r="S96" s="1438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438">
        <f>IF(S96="","",ROUND(S96*(1+R96),3))</f>
        <v/>
      </c>
      <c r="U96" s="283" t="inlineStr">
        <is>
          <t>ml</t>
        </is>
      </c>
      <c r="V96" s="285" t="n"/>
      <c r="W96" s="285" t="n"/>
      <c r="X96" s="1304" t="n"/>
      <c r="Y96" s="285" t="inlineStr">
        <is>
          <t>Pendiente</t>
        </is>
      </c>
    </row>
    <row r="97" ht="15" customFormat="1" customHeight="1" s="685">
      <c r="A97" s="280" t="inlineStr">
        <is>
          <t>MQ-089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13.01.03</t>
        </is>
      </c>
      <c r="E97" s="284" t="inlineStr">
        <is>
          <t>Válvulas y accesorios hidrosanitarios</t>
        </is>
      </c>
      <c r="F97" s="285" t="n"/>
      <c r="G97" s="285" t="n"/>
      <c r="H97" s="285" t="n"/>
      <c r="I97" s="283" t="inlineStr">
        <is>
          <t>und</t>
        </is>
      </c>
      <c r="J97" s="1438" t="n">
        <v>0</v>
      </c>
      <c r="K97" s="1438" t="n">
        <v>0</v>
      </c>
      <c r="L97" s="1438" t="n">
        <v>0</v>
      </c>
      <c r="M97" s="1438" t="n">
        <v>0</v>
      </c>
      <c r="N97" s="1438" t="n">
        <v>1</v>
      </c>
      <c r="O97" s="1438" t="n">
        <v>1</v>
      </c>
      <c r="P97" s="1438" t="n">
        <v>1</v>
      </c>
      <c r="Q97" s="1438" t="n">
        <v>0</v>
      </c>
      <c r="R97" s="1303" t="n">
        <v>0</v>
      </c>
      <c r="S97" s="1438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438">
        <f>IF(S97="","",ROUND(S97*(1+R97),3))</f>
        <v/>
      </c>
      <c r="U97" s="283" t="inlineStr">
        <is>
          <t>und</t>
        </is>
      </c>
      <c r="V97" s="285" t="n"/>
      <c r="W97" s="285" t="n"/>
      <c r="X97" s="1304" t="n"/>
      <c r="Y97" s="285" t="inlineStr">
        <is>
          <t>Pendiente</t>
        </is>
      </c>
    </row>
    <row r="98" ht="15" customFormat="1" customHeight="1" s="685">
      <c r="A98" s="280" t="inlineStr">
        <is>
          <t>MQ-090</t>
        </is>
      </c>
      <c r="B98" s="281" t="inlineStr">
        <is>
          <t>INSTALACIONES HIDROSANITARIAS</t>
        </is>
      </c>
      <c r="C98" s="282" t="inlineStr">
        <is>
          <t>Desagües</t>
        </is>
      </c>
      <c r="D98" s="283" t="inlineStr">
        <is>
          <t>13.02.01</t>
        </is>
      </c>
      <c r="E98" s="284" t="inlineStr">
        <is>
          <t>Tubería sanitaria</t>
        </is>
      </c>
      <c r="F98" s="285" t="n"/>
      <c r="G98" s="285" t="n"/>
      <c r="H98" s="285" t="n"/>
      <c r="I98" s="283" t="inlineStr">
        <is>
          <t>ml</t>
        </is>
      </c>
      <c r="J98" s="1438" t="n">
        <v>0</v>
      </c>
      <c r="K98" s="1438" t="n">
        <v>0</v>
      </c>
      <c r="L98" s="1438" t="n">
        <v>0</v>
      </c>
      <c r="M98" s="1438" t="n">
        <v>0</v>
      </c>
      <c r="N98" s="1438" t="n">
        <v>1</v>
      </c>
      <c r="O98" s="1438" t="n">
        <v>1</v>
      </c>
      <c r="P98" s="1438" t="n">
        <v>1</v>
      </c>
      <c r="Q98" s="1438" t="n">
        <v>0</v>
      </c>
      <c r="R98" s="1303" t="n">
        <v>0</v>
      </c>
      <c r="S98" s="1438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438">
        <f>IF(S98="","",ROUND(S98*(1+R98),3))</f>
        <v/>
      </c>
      <c r="U98" s="283" t="inlineStr">
        <is>
          <t>ml</t>
        </is>
      </c>
      <c r="V98" s="285" t="n"/>
      <c r="W98" s="285" t="n"/>
      <c r="X98" s="1304" t="n"/>
      <c r="Y98" s="285" t="inlineStr">
        <is>
          <t>Pendiente</t>
        </is>
      </c>
    </row>
    <row r="99" ht="15" customFormat="1" customHeight="1" s="685">
      <c r="A99" s="280" t="inlineStr">
        <is>
          <t>MQ-091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13.02.02</t>
        </is>
      </c>
      <c r="E99" s="284" t="inlineStr">
        <is>
          <t>Tubería de aguas lluvias</t>
        </is>
      </c>
      <c r="F99" s="285" t="n"/>
      <c r="G99" s="285" t="n"/>
      <c r="H99" s="285" t="n"/>
      <c r="I99" s="283" t="inlineStr">
        <is>
          <t>ml</t>
        </is>
      </c>
      <c r="J99" s="1438" t="n">
        <v>0</v>
      </c>
      <c r="K99" s="1438" t="n">
        <v>0</v>
      </c>
      <c r="L99" s="1438" t="n">
        <v>0</v>
      </c>
      <c r="M99" s="1438" t="n">
        <v>0</v>
      </c>
      <c r="N99" s="1438" t="n">
        <v>1</v>
      </c>
      <c r="O99" s="1438" t="n">
        <v>1</v>
      </c>
      <c r="P99" s="1438" t="n">
        <v>1</v>
      </c>
      <c r="Q99" s="1438" t="n">
        <v>0</v>
      </c>
      <c r="R99" s="1303" t="n">
        <v>0</v>
      </c>
      <c r="S99" s="1438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438">
        <f>IF(S99="","",ROUND(S99*(1+R99),3))</f>
        <v/>
      </c>
      <c r="U99" s="283" t="inlineStr">
        <is>
          <t>ml</t>
        </is>
      </c>
      <c r="V99" s="285" t="n"/>
      <c r="W99" s="285" t="n"/>
      <c r="X99" s="1304" t="n"/>
      <c r="Y99" s="285" t="inlineStr">
        <is>
          <t>Pendiente</t>
        </is>
      </c>
    </row>
    <row r="100" ht="15" customFormat="1" customHeight="1" s="685">
      <c r="A100" s="280" t="inlineStr">
        <is>
          <t>MQ-092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13.02.03</t>
        </is>
      </c>
      <c r="E100" s="284" t="inlineStr">
        <is>
          <t>Cajas de inspección</t>
        </is>
      </c>
      <c r="F100" s="285" t="n"/>
      <c r="G100" s="285" t="n"/>
      <c r="H100" s="285" t="n"/>
      <c r="I100" s="283" t="inlineStr">
        <is>
          <t>und</t>
        </is>
      </c>
      <c r="J100" s="1438" t="n">
        <v>0</v>
      </c>
      <c r="K100" s="1438" t="n">
        <v>0</v>
      </c>
      <c r="L100" s="1438" t="n">
        <v>0</v>
      </c>
      <c r="M100" s="1438" t="n">
        <v>0</v>
      </c>
      <c r="N100" s="1438" t="n">
        <v>1</v>
      </c>
      <c r="O100" s="1438" t="n">
        <v>1</v>
      </c>
      <c r="P100" s="1438" t="n">
        <v>1</v>
      </c>
      <c r="Q100" s="1438" t="n">
        <v>0</v>
      </c>
      <c r="R100" s="1303" t="n">
        <v>0</v>
      </c>
      <c r="S100" s="1438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438">
        <f>IF(S100="","",ROUND(S100*(1+R100),3))</f>
        <v/>
      </c>
      <c r="U100" s="283" t="inlineStr">
        <is>
          <t>und</t>
        </is>
      </c>
      <c r="V100" s="285" t="n"/>
      <c r="W100" s="285" t="n"/>
      <c r="X100" s="1304" t="n"/>
      <c r="Y100" s="285" t="inlineStr">
        <is>
          <t>Pendiente</t>
        </is>
      </c>
    </row>
    <row r="101" ht="15" customFormat="1" customHeight="1" s="685">
      <c r="A101" s="280" t="inlineStr">
        <is>
          <t>MQ-093</t>
        </is>
      </c>
      <c r="B101" s="281" t="inlineStr">
        <is>
          <t>INSTALACIONES HIDROSANITARIAS</t>
        </is>
      </c>
      <c r="C101" s="282" t="inlineStr">
        <is>
          <t>Aparatos</t>
        </is>
      </c>
      <c r="D101" s="283" t="inlineStr">
        <is>
          <t>13.03.01</t>
        </is>
      </c>
      <c r="E101" s="284" t="inlineStr">
        <is>
          <t>Aparatos sanitarios</t>
        </is>
      </c>
      <c r="F101" s="285" t="n"/>
      <c r="G101" s="285" t="n"/>
      <c r="H101" s="285" t="n"/>
      <c r="I101" s="283" t="inlineStr">
        <is>
          <t>und</t>
        </is>
      </c>
      <c r="J101" s="1438" t="n">
        <v>0</v>
      </c>
      <c r="K101" s="1438" t="n">
        <v>0</v>
      </c>
      <c r="L101" s="1438" t="n">
        <v>0</v>
      </c>
      <c r="M101" s="1438" t="n">
        <v>0</v>
      </c>
      <c r="N101" s="1438" t="n">
        <v>1</v>
      </c>
      <c r="O101" s="1438" t="n">
        <v>1</v>
      </c>
      <c r="P101" s="1438" t="n">
        <v>1</v>
      </c>
      <c r="Q101" s="1438" t="n">
        <v>0</v>
      </c>
      <c r="R101" s="1303" t="n">
        <v>0</v>
      </c>
      <c r="S101" s="1438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438">
        <f>IF(S101="","",ROUND(S101*(1+R101),3))</f>
        <v/>
      </c>
      <c r="U101" s="283" t="inlineStr">
        <is>
          <t>und</t>
        </is>
      </c>
      <c r="V101" s="285" t="n"/>
      <c r="W101" s="285" t="n"/>
      <c r="X101" s="1304" t="n"/>
      <c r="Y101" s="285" t="inlineStr">
        <is>
          <t>Pendiente</t>
        </is>
      </c>
    </row>
    <row r="102" ht="15" customFormat="1" customHeight="1" s="685">
      <c r="A102" s="280" t="inlineStr">
        <is>
          <t>MQ-094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13.03.02</t>
        </is>
      </c>
      <c r="E102" s="284" t="inlineStr">
        <is>
          <t>Lavamanos</t>
        </is>
      </c>
      <c r="F102" s="285" t="n"/>
      <c r="G102" s="285" t="n"/>
      <c r="H102" s="285" t="n"/>
      <c r="I102" s="283" t="inlineStr">
        <is>
          <t>und</t>
        </is>
      </c>
      <c r="J102" s="1438" t="n">
        <v>0</v>
      </c>
      <c r="K102" s="1438" t="n">
        <v>0</v>
      </c>
      <c r="L102" s="1438" t="n">
        <v>0</v>
      </c>
      <c r="M102" s="1438" t="n">
        <v>0</v>
      </c>
      <c r="N102" s="1438" t="n">
        <v>1</v>
      </c>
      <c r="O102" s="1438" t="n">
        <v>1</v>
      </c>
      <c r="P102" s="1438" t="n">
        <v>1</v>
      </c>
      <c r="Q102" s="1438" t="n">
        <v>0</v>
      </c>
      <c r="R102" s="1303" t="n">
        <v>0</v>
      </c>
      <c r="S102" s="1438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438">
        <f>IF(S102="","",ROUND(S102*(1+R102),3))</f>
        <v/>
      </c>
      <c r="U102" s="283" t="inlineStr">
        <is>
          <t>und</t>
        </is>
      </c>
      <c r="V102" s="285" t="n"/>
      <c r="W102" s="285" t="n"/>
      <c r="X102" s="1304" t="n"/>
      <c r="Y102" s="285" t="inlineStr">
        <is>
          <t>Pendiente</t>
        </is>
      </c>
    </row>
    <row r="103" ht="15" customFormat="1" customHeight="1" s="685">
      <c r="A103" s="280" t="inlineStr">
        <is>
          <t>MQ-095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13.03.03</t>
        </is>
      </c>
      <c r="E103" s="284" t="inlineStr">
        <is>
          <t>Griferías</t>
        </is>
      </c>
      <c r="F103" s="285" t="n"/>
      <c r="G103" s="285" t="n"/>
      <c r="H103" s="285" t="n"/>
      <c r="I103" s="283" t="inlineStr">
        <is>
          <t>und</t>
        </is>
      </c>
      <c r="J103" s="1438" t="n">
        <v>0</v>
      </c>
      <c r="K103" s="1438" t="n">
        <v>0</v>
      </c>
      <c r="L103" s="1438" t="n">
        <v>0</v>
      </c>
      <c r="M103" s="1438" t="n">
        <v>0</v>
      </c>
      <c r="N103" s="1438" t="n">
        <v>1</v>
      </c>
      <c r="O103" s="1438" t="n">
        <v>1</v>
      </c>
      <c r="P103" s="1438" t="n">
        <v>1</v>
      </c>
      <c r="Q103" s="1438" t="n">
        <v>0</v>
      </c>
      <c r="R103" s="1303" t="n">
        <v>0</v>
      </c>
      <c r="S103" s="1438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438">
        <f>IF(S103="","",ROUND(S103*(1+R103),3))</f>
        <v/>
      </c>
      <c r="U103" s="283" t="inlineStr">
        <is>
          <t>und</t>
        </is>
      </c>
      <c r="V103" s="285" t="n"/>
      <c r="W103" s="285" t="n"/>
      <c r="X103" s="1304" t="n"/>
      <c r="Y103" s="285" t="inlineStr">
        <is>
          <t>Pendiente</t>
        </is>
      </c>
    </row>
    <row r="104" ht="15" customFormat="1" customHeight="1" s="685">
      <c r="A104" s="280" t="inlineStr">
        <is>
          <t>MQ-096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13.03.04</t>
        </is>
      </c>
      <c r="E104" s="284" t="inlineStr">
        <is>
          <t>Duchas</t>
        </is>
      </c>
      <c r="F104" s="285" t="n"/>
      <c r="G104" s="285" t="n"/>
      <c r="H104" s="285" t="n"/>
      <c r="I104" s="283" t="inlineStr">
        <is>
          <t>und</t>
        </is>
      </c>
      <c r="J104" s="1438" t="n">
        <v>0</v>
      </c>
      <c r="K104" s="1438" t="n">
        <v>0</v>
      </c>
      <c r="L104" s="1438" t="n">
        <v>0</v>
      </c>
      <c r="M104" s="1438" t="n">
        <v>0</v>
      </c>
      <c r="N104" s="1438" t="n">
        <v>1</v>
      </c>
      <c r="O104" s="1438" t="n">
        <v>1</v>
      </c>
      <c r="P104" s="1438" t="n">
        <v>1</v>
      </c>
      <c r="Q104" s="1438" t="n">
        <v>0</v>
      </c>
      <c r="R104" s="1303" t="n">
        <v>0</v>
      </c>
      <c r="S104" s="1438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438">
        <f>IF(S104="","",ROUND(S104*(1+R104),3))</f>
        <v/>
      </c>
      <c r="U104" s="283" t="inlineStr">
        <is>
          <t>und</t>
        </is>
      </c>
      <c r="V104" s="285" t="n"/>
      <c r="W104" s="285" t="n"/>
      <c r="X104" s="1304" t="n"/>
      <c r="Y104" s="285" t="inlineStr">
        <is>
          <t>Pendiente</t>
        </is>
      </c>
    </row>
    <row r="105" ht="15" customFormat="1" customHeight="1" s="685">
      <c r="A105" s="280" t="inlineStr">
        <is>
          <t>MQ-097</t>
        </is>
      </c>
      <c r="B105" s="281" t="inlineStr">
        <is>
          <t>INSTALACIONES HIDROSANITARIAS</t>
        </is>
      </c>
      <c r="C105" s="282" t="inlineStr">
        <is>
          <t>Pruebas</t>
        </is>
      </c>
      <c r="D105" s="283" t="inlineStr">
        <is>
          <t>13.04.01</t>
        </is>
      </c>
      <c r="E105" s="284" t="inlineStr">
        <is>
          <t>Pruebas hidráulicas y de estanqueidad</t>
        </is>
      </c>
      <c r="F105" s="285" t="n"/>
      <c r="G105" s="285" t="n"/>
      <c r="H105" s="285" t="n"/>
      <c r="I105" s="283" t="inlineStr">
        <is>
          <t>gl</t>
        </is>
      </c>
      <c r="J105" s="1438" t="n">
        <v>0</v>
      </c>
      <c r="K105" s="1438" t="n">
        <v>0</v>
      </c>
      <c r="L105" s="1438" t="n">
        <v>0</v>
      </c>
      <c r="M105" s="1438" t="n">
        <v>0</v>
      </c>
      <c r="N105" s="1438" t="n">
        <v>1</v>
      </c>
      <c r="O105" s="1438" t="n">
        <v>1</v>
      </c>
      <c r="P105" s="1438" t="n">
        <v>1</v>
      </c>
      <c r="Q105" s="1438" t="n">
        <v>0</v>
      </c>
      <c r="R105" s="1303" t="n">
        <v>0</v>
      </c>
      <c r="S105" s="1438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438">
        <f>IF(S105="","",ROUND(S105*(1+R105),3))</f>
        <v/>
      </c>
      <c r="U105" s="283" t="inlineStr">
        <is>
          <t>gl</t>
        </is>
      </c>
      <c r="V105" s="285" t="n"/>
      <c r="W105" s="285" t="n"/>
      <c r="X105" s="1304" t="n"/>
      <c r="Y105" s="285" t="inlineStr">
        <is>
          <t>Pendiente</t>
        </is>
      </c>
    </row>
    <row r="106" ht="15" customFormat="1" customHeight="1" s="685">
      <c r="A106" s="280" t="inlineStr">
        <is>
          <t>MQ-098</t>
        </is>
      </c>
      <c r="B106" s="281" t="inlineStr">
        <is>
          <t>INSTALACIONES ELÉCTRICAS</t>
        </is>
      </c>
      <c r="C106" s="282" t="inlineStr">
        <is>
          <t>Canalizaciones</t>
        </is>
      </c>
      <c r="D106" s="283" t="inlineStr">
        <is>
          <t>14.01.01</t>
        </is>
      </c>
      <c r="E106" s="284" t="inlineStr">
        <is>
          <t>Tubería/conduit eléctrica</t>
        </is>
      </c>
      <c r="F106" s="285" t="n"/>
      <c r="G106" s="285" t="n"/>
      <c r="H106" s="285" t="n"/>
      <c r="I106" s="283" t="inlineStr">
        <is>
          <t>ml</t>
        </is>
      </c>
      <c r="J106" s="1438" t="n">
        <v>0</v>
      </c>
      <c r="K106" s="1438" t="n">
        <v>0</v>
      </c>
      <c r="L106" s="1438" t="n">
        <v>0</v>
      </c>
      <c r="M106" s="1438" t="n">
        <v>0</v>
      </c>
      <c r="N106" s="1438" t="n">
        <v>1</v>
      </c>
      <c r="O106" s="1438" t="n">
        <v>1</v>
      </c>
      <c r="P106" s="1438" t="n">
        <v>1</v>
      </c>
      <c r="Q106" s="1438" t="n">
        <v>0</v>
      </c>
      <c r="R106" s="1303" t="n">
        <v>0</v>
      </c>
      <c r="S106" s="1438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438">
        <f>IF(S106="","",ROUND(S106*(1+R106),3))</f>
        <v/>
      </c>
      <c r="U106" s="283" t="inlineStr">
        <is>
          <t>ml</t>
        </is>
      </c>
      <c r="V106" s="285" t="n"/>
      <c r="W106" s="285" t="n"/>
      <c r="X106" s="1304" t="n"/>
      <c r="Y106" s="285" t="inlineStr">
        <is>
          <t>Pendiente</t>
        </is>
      </c>
    </row>
    <row r="107" ht="15" customFormat="1" customHeight="1" s="685">
      <c r="A107" s="280" t="inlineStr">
        <is>
          <t>MQ-099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14.01.02</t>
        </is>
      </c>
      <c r="E107" s="284" t="inlineStr">
        <is>
          <t>Bandejas portacables</t>
        </is>
      </c>
      <c r="F107" s="285" t="n"/>
      <c r="G107" s="285" t="n"/>
      <c r="H107" s="285" t="n"/>
      <c r="I107" s="283" t="inlineStr">
        <is>
          <t>ml</t>
        </is>
      </c>
      <c r="J107" s="1438" t="n">
        <v>0</v>
      </c>
      <c r="K107" s="1438" t="n">
        <v>0</v>
      </c>
      <c r="L107" s="1438" t="n">
        <v>0</v>
      </c>
      <c r="M107" s="1438" t="n">
        <v>0</v>
      </c>
      <c r="N107" s="1438" t="n">
        <v>1</v>
      </c>
      <c r="O107" s="1438" t="n">
        <v>1</v>
      </c>
      <c r="P107" s="1438" t="n">
        <v>1</v>
      </c>
      <c r="Q107" s="1438" t="n">
        <v>0</v>
      </c>
      <c r="R107" s="1303" t="n">
        <v>0</v>
      </c>
      <c r="S107" s="1438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438">
        <f>IF(S107="","",ROUND(S107*(1+R107),3))</f>
        <v/>
      </c>
      <c r="U107" s="283" t="inlineStr">
        <is>
          <t>ml</t>
        </is>
      </c>
      <c r="V107" s="285" t="n"/>
      <c r="W107" s="285" t="n"/>
      <c r="X107" s="1304" t="n"/>
      <c r="Y107" s="285" t="inlineStr">
        <is>
          <t>Pendiente</t>
        </is>
      </c>
    </row>
    <row r="108" ht="15" customFormat="1" customHeight="1" s="685">
      <c r="A108" s="280" t="inlineStr">
        <is>
          <t>MQ-100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14.01.03</t>
        </is>
      </c>
      <c r="E108" s="284" t="inlineStr">
        <is>
          <t>Cajas eléctricas</t>
        </is>
      </c>
      <c r="F108" s="285" t="n"/>
      <c r="G108" s="285" t="n"/>
      <c r="H108" s="285" t="n"/>
      <c r="I108" s="283" t="inlineStr">
        <is>
          <t>und</t>
        </is>
      </c>
      <c r="J108" s="1438" t="n">
        <v>0</v>
      </c>
      <c r="K108" s="1438" t="n">
        <v>0</v>
      </c>
      <c r="L108" s="1438" t="n">
        <v>0</v>
      </c>
      <c r="M108" s="1438" t="n">
        <v>0</v>
      </c>
      <c r="N108" s="1438" t="n">
        <v>1</v>
      </c>
      <c r="O108" s="1438" t="n">
        <v>1</v>
      </c>
      <c r="P108" s="1438" t="n">
        <v>1</v>
      </c>
      <c r="Q108" s="1438" t="n">
        <v>0</v>
      </c>
      <c r="R108" s="1303" t="n">
        <v>0</v>
      </c>
      <c r="S108" s="1438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438">
        <f>IF(S108="","",ROUND(S108*(1+R108),3))</f>
        <v/>
      </c>
      <c r="U108" s="283" t="inlineStr">
        <is>
          <t>und</t>
        </is>
      </c>
      <c r="V108" s="285" t="n"/>
      <c r="W108" s="285" t="n"/>
      <c r="X108" s="1304" t="n"/>
      <c r="Y108" s="285" t="inlineStr">
        <is>
          <t>Pendiente</t>
        </is>
      </c>
    </row>
    <row r="109" ht="15" customFormat="1" customHeight="1" s="685">
      <c r="A109" s="280" t="inlineStr">
        <is>
          <t>MQ-101</t>
        </is>
      </c>
      <c r="B109" s="281" t="inlineStr">
        <is>
          <t>INSTALACIONES ELÉCTRICAS</t>
        </is>
      </c>
      <c r="C109" s="282" t="inlineStr">
        <is>
          <t>Cableado</t>
        </is>
      </c>
      <c r="D109" s="283" t="inlineStr">
        <is>
          <t>14.02.01</t>
        </is>
      </c>
      <c r="E109" s="284" t="inlineStr">
        <is>
          <t>Cableado de fuerza</t>
        </is>
      </c>
      <c r="F109" s="285" t="n"/>
      <c r="G109" s="285" t="n"/>
      <c r="H109" s="285" t="n"/>
      <c r="I109" s="283" t="inlineStr">
        <is>
          <t>ml</t>
        </is>
      </c>
      <c r="J109" s="1438" t="n">
        <v>0</v>
      </c>
      <c r="K109" s="1438" t="n">
        <v>0</v>
      </c>
      <c r="L109" s="1438" t="n">
        <v>0</v>
      </c>
      <c r="M109" s="1438" t="n">
        <v>0</v>
      </c>
      <c r="N109" s="1438" t="n">
        <v>1</v>
      </c>
      <c r="O109" s="1438" t="n">
        <v>1</v>
      </c>
      <c r="P109" s="1438" t="n">
        <v>1</v>
      </c>
      <c r="Q109" s="1438" t="n">
        <v>0</v>
      </c>
      <c r="R109" s="1303" t="n">
        <v>0</v>
      </c>
      <c r="S109" s="1438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438">
        <f>IF(S109="","",ROUND(S109*(1+R109),3))</f>
        <v/>
      </c>
      <c r="U109" s="283" t="inlineStr">
        <is>
          <t>ml</t>
        </is>
      </c>
      <c r="V109" s="285" t="n"/>
      <c r="W109" s="285" t="n"/>
      <c r="X109" s="1304" t="n"/>
      <c r="Y109" s="285" t="inlineStr">
        <is>
          <t>Pendiente</t>
        </is>
      </c>
    </row>
    <row r="110" ht="15" customFormat="1" customHeight="1" s="685">
      <c r="A110" s="280" t="inlineStr">
        <is>
          <t>MQ-102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14.02.02</t>
        </is>
      </c>
      <c r="E110" s="284" t="inlineStr">
        <is>
          <t>Cableado de iluminación</t>
        </is>
      </c>
      <c r="F110" s="285" t="n"/>
      <c r="G110" s="285" t="n"/>
      <c r="H110" s="285" t="n"/>
      <c r="I110" s="283" t="inlineStr">
        <is>
          <t>ml</t>
        </is>
      </c>
      <c r="J110" s="1438" t="n">
        <v>0</v>
      </c>
      <c r="K110" s="1438" t="n">
        <v>0</v>
      </c>
      <c r="L110" s="1438" t="n">
        <v>0</v>
      </c>
      <c r="M110" s="1438" t="n">
        <v>0</v>
      </c>
      <c r="N110" s="1438" t="n">
        <v>1</v>
      </c>
      <c r="O110" s="1438" t="n">
        <v>1</v>
      </c>
      <c r="P110" s="1438" t="n">
        <v>1</v>
      </c>
      <c r="Q110" s="1438" t="n">
        <v>0</v>
      </c>
      <c r="R110" s="1303" t="n">
        <v>0</v>
      </c>
      <c r="S110" s="1438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438">
        <f>IF(S110="","",ROUND(S110*(1+R110),3))</f>
        <v/>
      </c>
      <c r="U110" s="283" t="inlineStr">
        <is>
          <t>ml</t>
        </is>
      </c>
      <c r="V110" s="285" t="n"/>
      <c r="W110" s="285" t="n"/>
      <c r="X110" s="1304" t="n"/>
      <c r="Y110" s="285" t="inlineStr">
        <is>
          <t>Pendiente</t>
        </is>
      </c>
    </row>
    <row r="111" ht="15" customFormat="1" customHeight="1" s="685">
      <c r="A111" s="280" t="inlineStr">
        <is>
          <t>MQ-103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14.02.03</t>
        </is>
      </c>
      <c r="E111" s="284" t="inlineStr">
        <is>
          <t>Tableros eléctricos</t>
        </is>
      </c>
      <c r="F111" s="285" t="n"/>
      <c r="G111" s="285" t="n"/>
      <c r="H111" s="285" t="n"/>
      <c r="I111" s="283" t="inlineStr">
        <is>
          <t>und</t>
        </is>
      </c>
      <c r="J111" s="1438" t="n">
        <v>0</v>
      </c>
      <c r="K111" s="1438" t="n">
        <v>0</v>
      </c>
      <c r="L111" s="1438" t="n">
        <v>0</v>
      </c>
      <c r="M111" s="1438" t="n">
        <v>0</v>
      </c>
      <c r="N111" s="1438" t="n">
        <v>1</v>
      </c>
      <c r="O111" s="1438" t="n">
        <v>1</v>
      </c>
      <c r="P111" s="1438" t="n">
        <v>1</v>
      </c>
      <c r="Q111" s="1438" t="n">
        <v>0</v>
      </c>
      <c r="R111" s="1303" t="n">
        <v>0</v>
      </c>
      <c r="S111" s="1438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438">
        <f>IF(S111="","",ROUND(S111*(1+R111),3))</f>
        <v/>
      </c>
      <c r="U111" s="283" t="inlineStr">
        <is>
          <t>und</t>
        </is>
      </c>
      <c r="V111" s="285" t="n"/>
      <c r="W111" s="285" t="n"/>
      <c r="X111" s="1304" t="n"/>
      <c r="Y111" s="285" t="inlineStr">
        <is>
          <t>Pendiente</t>
        </is>
      </c>
    </row>
    <row r="112" ht="15" customFormat="1" customHeight="1" s="685">
      <c r="A112" s="280" t="inlineStr">
        <is>
          <t>MQ-104</t>
        </is>
      </c>
      <c r="B112" s="281" t="inlineStr">
        <is>
          <t>INSTALACIONES ELÉCTRICAS</t>
        </is>
      </c>
      <c r="C112" s="282" t="inlineStr">
        <is>
          <t>Aparatos</t>
        </is>
      </c>
      <c r="D112" s="283" t="inlineStr">
        <is>
          <t>14.03.01</t>
        </is>
      </c>
      <c r="E112" s="284" t="inlineStr">
        <is>
          <t>Tomacorrientes</t>
        </is>
      </c>
      <c r="F112" s="285" t="n"/>
      <c r="G112" s="285" t="n"/>
      <c r="H112" s="285" t="n"/>
      <c r="I112" s="283" t="inlineStr">
        <is>
          <t>und</t>
        </is>
      </c>
      <c r="J112" s="1438" t="n">
        <v>0</v>
      </c>
      <c r="K112" s="1438" t="n">
        <v>0</v>
      </c>
      <c r="L112" s="1438" t="n">
        <v>0</v>
      </c>
      <c r="M112" s="1438" t="n">
        <v>0</v>
      </c>
      <c r="N112" s="1438" t="n">
        <v>1</v>
      </c>
      <c r="O112" s="1438" t="n">
        <v>1</v>
      </c>
      <c r="P112" s="1438" t="n">
        <v>1</v>
      </c>
      <c r="Q112" s="1438" t="n">
        <v>0</v>
      </c>
      <c r="R112" s="1303" t="n">
        <v>0</v>
      </c>
      <c r="S112" s="1438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438">
        <f>IF(S112="","",ROUND(S112*(1+R112),3))</f>
        <v/>
      </c>
      <c r="U112" s="283" t="inlineStr">
        <is>
          <t>und</t>
        </is>
      </c>
      <c r="V112" s="285" t="n"/>
      <c r="W112" s="285" t="n"/>
      <c r="X112" s="1304" t="n"/>
      <c r="Y112" s="285" t="inlineStr">
        <is>
          <t>Pendiente</t>
        </is>
      </c>
    </row>
    <row r="113" ht="15" customFormat="1" customHeight="1" s="685">
      <c r="A113" s="280" t="inlineStr">
        <is>
          <t>MQ-105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14.03.02</t>
        </is>
      </c>
      <c r="E113" s="284" t="inlineStr">
        <is>
          <t>Interruptores</t>
        </is>
      </c>
      <c r="F113" s="285" t="n"/>
      <c r="G113" s="285" t="n"/>
      <c r="H113" s="285" t="n"/>
      <c r="I113" s="283" t="inlineStr">
        <is>
          <t>und</t>
        </is>
      </c>
      <c r="J113" s="1438" t="n">
        <v>0</v>
      </c>
      <c r="K113" s="1438" t="n">
        <v>0</v>
      </c>
      <c r="L113" s="1438" t="n">
        <v>0</v>
      </c>
      <c r="M113" s="1438" t="n">
        <v>0</v>
      </c>
      <c r="N113" s="1438" t="n">
        <v>1</v>
      </c>
      <c r="O113" s="1438" t="n">
        <v>1</v>
      </c>
      <c r="P113" s="1438" t="n">
        <v>1</v>
      </c>
      <c r="Q113" s="1438" t="n">
        <v>0</v>
      </c>
      <c r="R113" s="1303" t="n">
        <v>0</v>
      </c>
      <c r="S113" s="1438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438">
        <f>IF(S113="","",ROUND(S113*(1+R113),3))</f>
        <v/>
      </c>
      <c r="U113" s="283" t="inlineStr">
        <is>
          <t>und</t>
        </is>
      </c>
      <c r="V113" s="285" t="n"/>
      <c r="W113" s="285" t="n"/>
      <c r="X113" s="1304" t="n"/>
      <c r="Y113" s="285" t="inlineStr">
        <is>
          <t>Pendiente</t>
        </is>
      </c>
    </row>
    <row r="114" ht="15" customFormat="1" customHeight="1" s="685">
      <c r="A114" s="280" t="inlineStr">
        <is>
          <t>MQ-106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14.03.03</t>
        </is>
      </c>
      <c r="E114" s="284" t="inlineStr">
        <is>
          <t>Luminarias</t>
        </is>
      </c>
      <c r="F114" s="285" t="n"/>
      <c r="G114" s="285" t="n"/>
      <c r="H114" s="285" t="n"/>
      <c r="I114" s="283" t="inlineStr">
        <is>
          <t>und</t>
        </is>
      </c>
      <c r="J114" s="1438" t="n">
        <v>0</v>
      </c>
      <c r="K114" s="1438" t="n">
        <v>0</v>
      </c>
      <c r="L114" s="1438" t="n">
        <v>0</v>
      </c>
      <c r="M114" s="1438" t="n">
        <v>0</v>
      </c>
      <c r="N114" s="1438" t="n">
        <v>1</v>
      </c>
      <c r="O114" s="1438" t="n">
        <v>1</v>
      </c>
      <c r="P114" s="1438" t="n">
        <v>1</v>
      </c>
      <c r="Q114" s="1438" t="n">
        <v>0</v>
      </c>
      <c r="R114" s="1303" t="n">
        <v>0</v>
      </c>
      <c r="S114" s="1438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438">
        <f>IF(S114="","",ROUND(S114*(1+R114),3))</f>
        <v/>
      </c>
      <c r="U114" s="283" t="inlineStr">
        <is>
          <t>und</t>
        </is>
      </c>
      <c r="V114" s="285" t="n"/>
      <c r="W114" s="285" t="n"/>
      <c r="X114" s="1304" t="n"/>
      <c r="Y114" s="285" t="inlineStr">
        <is>
          <t>Pendiente</t>
        </is>
      </c>
    </row>
    <row r="115" ht="15" customFormat="1" customHeight="1" s="685">
      <c r="A115" s="280" t="inlineStr">
        <is>
          <t>MQ-107</t>
        </is>
      </c>
      <c r="B115" s="281" t="inlineStr">
        <is>
          <t>INSTALACIONES ELÉCTRICAS</t>
        </is>
      </c>
      <c r="C115" s="282" t="inlineStr">
        <is>
          <t>Puesta a tierra</t>
        </is>
      </c>
      <c r="D115" s="283" t="inlineStr">
        <is>
          <t>14.04.01</t>
        </is>
      </c>
      <c r="E115" s="284" t="inlineStr">
        <is>
          <t>Sistema de puesta a tierra</t>
        </is>
      </c>
      <c r="F115" s="285" t="n"/>
      <c r="G115" s="285" t="n"/>
      <c r="H115" s="285" t="n"/>
      <c r="I115" s="283" t="inlineStr">
        <is>
          <t>gl</t>
        </is>
      </c>
      <c r="J115" s="1438" t="n">
        <v>0</v>
      </c>
      <c r="K115" s="1438" t="n">
        <v>0</v>
      </c>
      <c r="L115" s="1438" t="n">
        <v>0</v>
      </c>
      <c r="M115" s="1438" t="n">
        <v>0</v>
      </c>
      <c r="N115" s="1438" t="n">
        <v>1</v>
      </c>
      <c r="O115" s="1438" t="n">
        <v>1</v>
      </c>
      <c r="P115" s="1438" t="n">
        <v>1</v>
      </c>
      <c r="Q115" s="1438" t="n">
        <v>0</v>
      </c>
      <c r="R115" s="1303" t="n">
        <v>0</v>
      </c>
      <c r="S115" s="1438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438">
        <f>IF(S115="","",ROUND(S115*(1+R115),3))</f>
        <v/>
      </c>
      <c r="U115" s="283" t="inlineStr">
        <is>
          <t>gl</t>
        </is>
      </c>
      <c r="V115" s="285" t="n"/>
      <c r="W115" s="285" t="n"/>
      <c r="X115" s="1304" t="n"/>
      <c r="Y115" s="285" t="inlineStr">
        <is>
          <t>Pendiente</t>
        </is>
      </c>
    </row>
    <row r="116" ht="15" customFormat="1" customHeight="1" s="685">
      <c r="A116" s="280" t="inlineStr">
        <is>
          <t>MQ-108</t>
        </is>
      </c>
      <c r="B116" s="281" t="inlineStr">
        <is>
          <t>INSTALACIONES ELÉCTRICAS</t>
        </is>
      </c>
      <c r="C116" s="282" t="inlineStr">
        <is>
          <t>Pruebas</t>
        </is>
      </c>
      <c r="D116" s="283" t="inlineStr">
        <is>
          <t>14.05.01</t>
        </is>
      </c>
      <c r="E116" s="284" t="inlineStr">
        <is>
          <t>Pruebas y certificaciones</t>
        </is>
      </c>
      <c r="F116" s="285" t="n"/>
      <c r="G116" s="285" t="n"/>
      <c r="H116" s="285" t="n"/>
      <c r="I116" s="283" t="inlineStr">
        <is>
          <t>gl</t>
        </is>
      </c>
      <c r="J116" s="1438" t="n">
        <v>0</v>
      </c>
      <c r="K116" s="1438" t="n">
        <v>0</v>
      </c>
      <c r="L116" s="1438" t="n">
        <v>0</v>
      </c>
      <c r="M116" s="1438" t="n">
        <v>0</v>
      </c>
      <c r="N116" s="1438" t="n">
        <v>1</v>
      </c>
      <c r="O116" s="1438" t="n">
        <v>1</v>
      </c>
      <c r="P116" s="1438" t="n">
        <v>1</v>
      </c>
      <c r="Q116" s="1438" t="n">
        <v>0</v>
      </c>
      <c r="R116" s="1303" t="n">
        <v>0</v>
      </c>
      <c r="S116" s="1438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438">
        <f>IF(S116="","",ROUND(S116*(1+R116),3))</f>
        <v/>
      </c>
      <c r="U116" s="283" t="inlineStr">
        <is>
          <t>gl</t>
        </is>
      </c>
      <c r="V116" s="285" t="n"/>
      <c r="W116" s="285" t="n"/>
      <c r="X116" s="1304" t="n"/>
      <c r="Y116" s="285" t="inlineStr">
        <is>
          <t>Pendiente</t>
        </is>
      </c>
    </row>
    <row r="117" ht="15" customFormat="1" customHeight="1" s="685">
      <c r="A117" s="280" t="inlineStr">
        <is>
          <t>MQ-109</t>
        </is>
      </c>
      <c r="B117" s="281" t="inlineStr">
        <is>
          <t>COMUNICACIONES Y SEGURIDAD</t>
        </is>
      </c>
      <c r="C117" s="282" t="inlineStr">
        <is>
          <t>Datos</t>
        </is>
      </c>
      <c r="D117" s="283" t="inlineStr">
        <is>
          <t>15.01.01</t>
        </is>
      </c>
      <c r="E117" s="284" t="inlineStr">
        <is>
          <t>Cableado estructurado de datos</t>
        </is>
      </c>
      <c r="F117" s="285" t="n"/>
      <c r="G117" s="285" t="n"/>
      <c r="H117" s="285" t="n"/>
      <c r="I117" s="283" t="inlineStr">
        <is>
          <t>ml</t>
        </is>
      </c>
      <c r="J117" s="1438" t="n">
        <v>0</v>
      </c>
      <c r="K117" s="1438" t="n">
        <v>0</v>
      </c>
      <c r="L117" s="1438" t="n">
        <v>0</v>
      </c>
      <c r="M117" s="1438" t="n">
        <v>0</v>
      </c>
      <c r="N117" s="1438" t="n">
        <v>1</v>
      </c>
      <c r="O117" s="1438" t="n">
        <v>1</v>
      </c>
      <c r="P117" s="1438" t="n">
        <v>1</v>
      </c>
      <c r="Q117" s="1438" t="n">
        <v>0</v>
      </c>
      <c r="R117" s="1303" t="n">
        <v>0</v>
      </c>
      <c r="S117" s="1438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438">
        <f>IF(S117="","",ROUND(S117*(1+R117),3))</f>
        <v/>
      </c>
      <c r="U117" s="283" t="inlineStr">
        <is>
          <t>ml</t>
        </is>
      </c>
      <c r="V117" s="285" t="n"/>
      <c r="W117" s="285" t="n"/>
      <c r="X117" s="1304" t="n"/>
      <c r="Y117" s="285" t="inlineStr">
        <is>
          <t>Pendiente</t>
        </is>
      </c>
    </row>
    <row r="118" ht="15" customFormat="1" customHeight="1" s="685">
      <c r="A118" s="280" t="inlineStr">
        <is>
          <t>MQ-110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15.01.02</t>
        </is>
      </c>
      <c r="E118" s="284" t="inlineStr">
        <is>
          <t>Rack de comunicaciones</t>
        </is>
      </c>
      <c r="F118" s="285" t="n"/>
      <c r="G118" s="285" t="n"/>
      <c r="H118" s="285" t="n"/>
      <c r="I118" s="283" t="inlineStr">
        <is>
          <t>und</t>
        </is>
      </c>
      <c r="J118" s="1438" t="n">
        <v>0</v>
      </c>
      <c r="K118" s="1438" t="n">
        <v>0</v>
      </c>
      <c r="L118" s="1438" t="n">
        <v>0</v>
      </c>
      <c r="M118" s="1438" t="n">
        <v>0</v>
      </c>
      <c r="N118" s="1438" t="n">
        <v>1</v>
      </c>
      <c r="O118" s="1438" t="n">
        <v>1</v>
      </c>
      <c r="P118" s="1438" t="n">
        <v>1</v>
      </c>
      <c r="Q118" s="1438" t="n">
        <v>0</v>
      </c>
      <c r="R118" s="1303" t="n">
        <v>0</v>
      </c>
      <c r="S118" s="1438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438">
        <f>IF(S118="","",ROUND(S118*(1+R118),3))</f>
        <v/>
      </c>
      <c r="U118" s="283" t="inlineStr">
        <is>
          <t>und</t>
        </is>
      </c>
      <c r="V118" s="285" t="n"/>
      <c r="W118" s="285" t="n"/>
      <c r="X118" s="1304" t="n"/>
      <c r="Y118" s="285" t="inlineStr">
        <is>
          <t>Pendiente</t>
        </is>
      </c>
    </row>
    <row r="119" ht="15" customFormat="1" customHeight="1" s="685">
      <c r="A119" s="280" t="inlineStr">
        <is>
          <t>MQ-111</t>
        </is>
      </c>
      <c r="B119" s="281" t="inlineStr">
        <is>
          <t>COMUNICACIONES Y SEGURIDAD</t>
        </is>
      </c>
      <c r="C119" s="282" t="inlineStr">
        <is>
          <t>Seguridad</t>
        </is>
      </c>
      <c r="D119" s="283" t="inlineStr">
        <is>
          <t>15.02.01</t>
        </is>
      </c>
      <c r="E119" s="284" t="inlineStr">
        <is>
          <t>Cámaras y sistema CCTV</t>
        </is>
      </c>
      <c r="F119" s="285" t="n"/>
      <c r="G119" s="285" t="n"/>
      <c r="H119" s="285" t="n"/>
      <c r="I119" s="283" t="inlineStr">
        <is>
          <t>und</t>
        </is>
      </c>
      <c r="J119" s="1438" t="n">
        <v>0</v>
      </c>
      <c r="K119" s="1438" t="n">
        <v>0</v>
      </c>
      <c r="L119" s="1438" t="n">
        <v>0</v>
      </c>
      <c r="M119" s="1438" t="n">
        <v>0</v>
      </c>
      <c r="N119" s="1438" t="n">
        <v>1</v>
      </c>
      <c r="O119" s="1438" t="n">
        <v>1</v>
      </c>
      <c r="P119" s="1438" t="n">
        <v>1</v>
      </c>
      <c r="Q119" s="1438" t="n">
        <v>0</v>
      </c>
      <c r="R119" s="1303" t="n">
        <v>0</v>
      </c>
      <c r="S119" s="1438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438">
        <f>IF(S119="","",ROUND(S119*(1+R119),3))</f>
        <v/>
      </c>
      <c r="U119" s="283" t="inlineStr">
        <is>
          <t>und</t>
        </is>
      </c>
      <c r="V119" s="285" t="n"/>
      <c r="W119" s="285" t="n"/>
      <c r="X119" s="1304" t="n"/>
      <c r="Y119" s="285" t="inlineStr">
        <is>
          <t>Pendiente</t>
        </is>
      </c>
    </row>
    <row r="120" ht="15" customFormat="1" customHeight="1" s="685">
      <c r="A120" s="280" t="inlineStr">
        <is>
          <t>MQ-112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15.02.02</t>
        </is>
      </c>
      <c r="E120" s="284" t="inlineStr">
        <is>
          <t>Control de acceso</t>
        </is>
      </c>
      <c r="F120" s="285" t="n"/>
      <c r="G120" s="285" t="n"/>
      <c r="H120" s="285" t="n"/>
      <c r="I120" s="283" t="inlineStr">
        <is>
          <t>und</t>
        </is>
      </c>
      <c r="J120" s="1438" t="n">
        <v>0</v>
      </c>
      <c r="K120" s="1438" t="n">
        <v>0</v>
      </c>
      <c r="L120" s="1438" t="n">
        <v>0</v>
      </c>
      <c r="M120" s="1438" t="n">
        <v>0</v>
      </c>
      <c r="N120" s="1438" t="n">
        <v>1</v>
      </c>
      <c r="O120" s="1438" t="n">
        <v>1</v>
      </c>
      <c r="P120" s="1438" t="n">
        <v>1</v>
      </c>
      <c r="Q120" s="1438" t="n">
        <v>0</v>
      </c>
      <c r="R120" s="1303" t="n">
        <v>0</v>
      </c>
      <c r="S120" s="1438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438">
        <f>IF(S120="","",ROUND(S120*(1+R120),3))</f>
        <v/>
      </c>
      <c r="U120" s="283" t="inlineStr">
        <is>
          <t>und</t>
        </is>
      </c>
      <c r="V120" s="285" t="n"/>
      <c r="W120" s="285" t="n"/>
      <c r="X120" s="1304" t="n"/>
      <c r="Y120" s="285" t="inlineStr">
        <is>
          <t>Pendiente</t>
        </is>
      </c>
    </row>
    <row r="121" ht="15" customFormat="1" customHeight="1" s="685">
      <c r="A121" s="280" t="inlineStr">
        <is>
          <t>MQ-113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15.02.03</t>
        </is>
      </c>
      <c r="E121" s="284" t="inlineStr">
        <is>
          <t>Sistema de citofonía</t>
        </is>
      </c>
      <c r="F121" s="285" t="n"/>
      <c r="G121" s="285" t="n"/>
      <c r="H121" s="285" t="n"/>
      <c r="I121" s="283" t="inlineStr">
        <is>
          <t>und</t>
        </is>
      </c>
      <c r="J121" s="1438" t="n">
        <v>0</v>
      </c>
      <c r="K121" s="1438" t="n">
        <v>0</v>
      </c>
      <c r="L121" s="1438" t="n">
        <v>0</v>
      </c>
      <c r="M121" s="1438" t="n">
        <v>0</v>
      </c>
      <c r="N121" s="1438" t="n">
        <v>1</v>
      </c>
      <c r="O121" s="1438" t="n">
        <v>1</v>
      </c>
      <c r="P121" s="1438" t="n">
        <v>1</v>
      </c>
      <c r="Q121" s="1438" t="n">
        <v>0</v>
      </c>
      <c r="R121" s="1303" t="n">
        <v>0</v>
      </c>
      <c r="S121" s="1438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438">
        <f>IF(S121="","",ROUND(S121*(1+R121),3))</f>
        <v/>
      </c>
      <c r="U121" s="283" t="inlineStr">
        <is>
          <t>und</t>
        </is>
      </c>
      <c r="V121" s="285" t="n"/>
      <c r="W121" s="285" t="n"/>
      <c r="X121" s="1304" t="n"/>
      <c r="Y121" s="285" t="inlineStr">
        <is>
          <t>Pendiente</t>
        </is>
      </c>
    </row>
    <row r="122" ht="15" customFormat="1" customHeight="1" s="685">
      <c r="A122" s="280" t="inlineStr">
        <is>
          <t>MQ-114</t>
        </is>
      </c>
      <c r="B122" s="281" t="inlineStr">
        <is>
          <t>COMUNICACIONES Y SEGURIDAD</t>
        </is>
      </c>
      <c r="C122" s="282" t="inlineStr">
        <is>
          <t>Detección</t>
        </is>
      </c>
      <c r="D122" s="283" t="inlineStr">
        <is>
          <t>15.03.01</t>
        </is>
      </c>
      <c r="E122" s="284" t="inlineStr">
        <is>
          <t>Sistema de detección de incendios</t>
        </is>
      </c>
      <c r="F122" s="285" t="n"/>
      <c r="G122" s="285" t="n"/>
      <c r="H122" s="285" t="n"/>
      <c r="I122" s="283" t="inlineStr">
        <is>
          <t>gl</t>
        </is>
      </c>
      <c r="J122" s="1438" t="n">
        <v>0</v>
      </c>
      <c r="K122" s="1438" t="n">
        <v>0</v>
      </c>
      <c r="L122" s="1438" t="n">
        <v>0</v>
      </c>
      <c r="M122" s="1438" t="n">
        <v>0</v>
      </c>
      <c r="N122" s="1438" t="n">
        <v>1</v>
      </c>
      <c r="O122" s="1438" t="n">
        <v>1</v>
      </c>
      <c r="P122" s="1438" t="n">
        <v>1</v>
      </c>
      <c r="Q122" s="1438" t="n">
        <v>0</v>
      </c>
      <c r="R122" s="1303" t="n">
        <v>0</v>
      </c>
      <c r="S122" s="1438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438">
        <f>IF(S122="","",ROUND(S122*(1+R122),3))</f>
        <v/>
      </c>
      <c r="U122" s="283" t="inlineStr">
        <is>
          <t>gl</t>
        </is>
      </c>
      <c r="V122" s="285" t="n"/>
      <c r="W122" s="285" t="n"/>
      <c r="X122" s="1304" t="n"/>
      <c r="Y122" s="285" t="inlineStr">
        <is>
          <t>Pendiente</t>
        </is>
      </c>
    </row>
    <row r="123" ht="15" customFormat="1" customHeight="1" s="685">
      <c r="A123" s="280" t="inlineStr">
        <is>
          <t>MQ-115</t>
        </is>
      </c>
      <c r="B123" s="281" t="inlineStr">
        <is>
          <t>CLIMATIZACIÓN Y VENTILACIÓN</t>
        </is>
      </c>
      <c r="C123" s="282" t="inlineStr">
        <is>
          <t>HVAC</t>
        </is>
      </c>
      <c r="D123" s="283" t="inlineStr">
        <is>
          <t>16.01.01</t>
        </is>
      </c>
      <c r="E123" s="284" t="inlineStr">
        <is>
          <t>Equipos de aire acondicionado</t>
        </is>
      </c>
      <c r="F123" s="285" t="n"/>
      <c r="G123" s="285" t="n"/>
      <c r="H123" s="285" t="n"/>
      <c r="I123" s="283" t="inlineStr">
        <is>
          <t>und</t>
        </is>
      </c>
      <c r="J123" s="1438" t="n">
        <v>0</v>
      </c>
      <c r="K123" s="1438" t="n">
        <v>0</v>
      </c>
      <c r="L123" s="1438" t="n">
        <v>0</v>
      </c>
      <c r="M123" s="1438" t="n">
        <v>0</v>
      </c>
      <c r="N123" s="1438" t="n">
        <v>1</v>
      </c>
      <c r="O123" s="1438" t="n">
        <v>1</v>
      </c>
      <c r="P123" s="1438" t="n">
        <v>1</v>
      </c>
      <c r="Q123" s="1438" t="n">
        <v>0</v>
      </c>
      <c r="R123" s="1303" t="n">
        <v>0</v>
      </c>
      <c r="S123" s="1438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438">
        <f>IF(S123="","",ROUND(S123*(1+R123),3))</f>
        <v/>
      </c>
      <c r="U123" s="283" t="inlineStr">
        <is>
          <t>und</t>
        </is>
      </c>
      <c r="V123" s="285" t="n"/>
      <c r="W123" s="285" t="n"/>
      <c r="X123" s="1304" t="n"/>
      <c r="Y123" s="285" t="inlineStr">
        <is>
          <t>Pendiente</t>
        </is>
      </c>
    </row>
    <row r="124" ht="15" customFormat="1" customHeight="1" s="685">
      <c r="A124" s="280" t="inlineStr">
        <is>
          <t>MQ-116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16.01.02</t>
        </is>
      </c>
      <c r="E124" s="284" t="inlineStr">
        <is>
          <t>Ductos de ventilación</t>
        </is>
      </c>
      <c r="F124" s="285" t="n"/>
      <c r="G124" s="285" t="n"/>
      <c r="H124" s="285" t="n"/>
      <c r="I124" s="283" t="inlineStr">
        <is>
          <t>m²</t>
        </is>
      </c>
      <c r="J124" s="1438" t="n">
        <v>0</v>
      </c>
      <c r="K124" s="1438" t="n">
        <v>0</v>
      </c>
      <c r="L124" s="1438" t="n">
        <v>0</v>
      </c>
      <c r="M124" s="1438" t="n">
        <v>0</v>
      </c>
      <c r="N124" s="1438" t="n">
        <v>1</v>
      </c>
      <c r="O124" s="1438" t="n">
        <v>1</v>
      </c>
      <c r="P124" s="1438" t="n">
        <v>1</v>
      </c>
      <c r="Q124" s="1438" t="n">
        <v>0</v>
      </c>
      <c r="R124" s="1303" t="n">
        <v>0</v>
      </c>
      <c r="S124" s="1438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438">
        <f>IF(S124="","",ROUND(S124*(1+R124),3))</f>
        <v/>
      </c>
      <c r="U124" s="283" t="inlineStr">
        <is>
          <t>m²</t>
        </is>
      </c>
      <c r="V124" s="285" t="n"/>
      <c r="W124" s="285" t="n"/>
      <c r="X124" s="1304" t="n"/>
      <c r="Y124" s="285" t="inlineStr">
        <is>
          <t>Pendiente</t>
        </is>
      </c>
    </row>
    <row r="125" ht="15" customFormat="1" customHeight="1" s="685">
      <c r="A125" s="280" t="inlineStr">
        <is>
          <t>MQ-117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16.01.03</t>
        </is>
      </c>
      <c r="E125" s="284" t="inlineStr">
        <is>
          <t>Tubería de refrigerante</t>
        </is>
      </c>
      <c r="F125" s="285" t="n"/>
      <c r="G125" s="285" t="n"/>
      <c r="H125" s="285" t="n"/>
      <c r="I125" s="283" t="inlineStr">
        <is>
          <t>ml</t>
        </is>
      </c>
      <c r="J125" s="1438" t="n">
        <v>0</v>
      </c>
      <c r="K125" s="1438" t="n">
        <v>0</v>
      </c>
      <c r="L125" s="1438" t="n">
        <v>0</v>
      </c>
      <c r="M125" s="1438" t="n">
        <v>0</v>
      </c>
      <c r="N125" s="1438" t="n">
        <v>1</v>
      </c>
      <c r="O125" s="1438" t="n">
        <v>1</v>
      </c>
      <c r="P125" s="1438" t="n">
        <v>1</v>
      </c>
      <c r="Q125" s="1438" t="n">
        <v>0</v>
      </c>
      <c r="R125" s="1303" t="n">
        <v>0</v>
      </c>
      <c r="S125" s="1438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438">
        <f>IF(S125="","",ROUND(S125*(1+R125),3))</f>
        <v/>
      </c>
      <c r="U125" s="283" t="inlineStr">
        <is>
          <t>ml</t>
        </is>
      </c>
      <c r="V125" s="285" t="n"/>
      <c r="W125" s="285" t="n"/>
      <c r="X125" s="1304" t="n"/>
      <c r="Y125" s="285" t="inlineStr">
        <is>
          <t>Pendiente</t>
        </is>
      </c>
    </row>
    <row r="126" ht="15" customFormat="1" customHeight="1" s="685">
      <c r="A126" s="280" t="inlineStr">
        <is>
          <t>MQ-118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16.01.04</t>
        </is>
      </c>
      <c r="E126" s="284" t="inlineStr">
        <is>
          <t>Rejillas y difusores</t>
        </is>
      </c>
      <c r="F126" s="285" t="n"/>
      <c r="G126" s="285" t="n"/>
      <c r="H126" s="285" t="n"/>
      <c r="I126" s="283" t="inlineStr">
        <is>
          <t>und</t>
        </is>
      </c>
      <c r="J126" s="1438" t="n">
        <v>0</v>
      </c>
      <c r="K126" s="1438" t="n">
        <v>0</v>
      </c>
      <c r="L126" s="1438" t="n">
        <v>0</v>
      </c>
      <c r="M126" s="1438" t="n">
        <v>0</v>
      </c>
      <c r="N126" s="1438" t="n">
        <v>1</v>
      </c>
      <c r="O126" s="1438" t="n">
        <v>1</v>
      </c>
      <c r="P126" s="1438" t="n">
        <v>1</v>
      </c>
      <c r="Q126" s="1438" t="n">
        <v>0</v>
      </c>
      <c r="R126" s="1303" t="n">
        <v>0</v>
      </c>
      <c r="S126" s="1438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438">
        <f>IF(S126="","",ROUND(S126*(1+R126),3))</f>
        <v/>
      </c>
      <c r="U126" s="283" t="inlineStr">
        <is>
          <t>und</t>
        </is>
      </c>
      <c r="V126" s="285" t="n"/>
      <c r="W126" s="285" t="n"/>
      <c r="X126" s="1304" t="n"/>
      <c r="Y126" s="285" t="inlineStr">
        <is>
          <t>Pendiente</t>
        </is>
      </c>
    </row>
    <row r="127" ht="15" customFormat="1" customHeight="1" s="685">
      <c r="A127" s="280" t="inlineStr">
        <is>
          <t>MQ-119</t>
        </is>
      </c>
      <c r="B127" s="281" t="inlineStr">
        <is>
          <t>GAS</t>
        </is>
      </c>
      <c r="C127" s="282" t="inlineStr">
        <is>
          <t>Red de gas</t>
        </is>
      </c>
      <c r="D127" s="283" t="inlineStr">
        <is>
          <t>17.01.01</t>
        </is>
      </c>
      <c r="E127" s="284" t="inlineStr">
        <is>
          <t>Red interna de gas</t>
        </is>
      </c>
      <c r="F127" s="285" t="n"/>
      <c r="G127" s="285" t="n"/>
      <c r="H127" s="285" t="n"/>
      <c r="I127" s="283" t="inlineStr">
        <is>
          <t>ml</t>
        </is>
      </c>
      <c r="J127" s="1438" t="n">
        <v>0</v>
      </c>
      <c r="K127" s="1438" t="n">
        <v>0</v>
      </c>
      <c r="L127" s="1438" t="n">
        <v>0</v>
      </c>
      <c r="M127" s="1438" t="n">
        <v>0</v>
      </c>
      <c r="N127" s="1438" t="n">
        <v>1</v>
      </c>
      <c r="O127" s="1438" t="n">
        <v>1</v>
      </c>
      <c r="P127" s="1438" t="n">
        <v>1</v>
      </c>
      <c r="Q127" s="1438" t="n">
        <v>0</v>
      </c>
      <c r="R127" s="1303" t="n">
        <v>0</v>
      </c>
      <c r="S127" s="1438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438">
        <f>IF(S127="","",ROUND(S127*(1+R127),3))</f>
        <v/>
      </c>
      <c r="U127" s="283" t="inlineStr">
        <is>
          <t>ml</t>
        </is>
      </c>
      <c r="V127" s="285" t="n"/>
      <c r="W127" s="285" t="n"/>
      <c r="X127" s="1304" t="n"/>
      <c r="Y127" s="285" t="inlineStr">
        <is>
          <t>Pendiente</t>
        </is>
      </c>
    </row>
    <row r="128" ht="15" customFormat="1" customHeight="1" s="685">
      <c r="A128" s="280" t="inlineStr">
        <is>
          <t>MQ-120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17.01.02</t>
        </is>
      </c>
      <c r="E128" s="284" t="inlineStr">
        <is>
          <t>Válvulas y accesorios de gas</t>
        </is>
      </c>
      <c r="F128" s="285" t="n"/>
      <c r="G128" s="285" t="n"/>
      <c r="H128" s="285" t="n"/>
      <c r="I128" s="283" t="inlineStr">
        <is>
          <t>und</t>
        </is>
      </c>
      <c r="J128" s="1438" t="n">
        <v>0</v>
      </c>
      <c r="K128" s="1438" t="n">
        <v>0</v>
      </c>
      <c r="L128" s="1438" t="n">
        <v>0</v>
      </c>
      <c r="M128" s="1438" t="n">
        <v>0</v>
      </c>
      <c r="N128" s="1438" t="n">
        <v>1</v>
      </c>
      <c r="O128" s="1438" t="n">
        <v>1</v>
      </c>
      <c r="P128" s="1438" t="n">
        <v>1</v>
      </c>
      <c r="Q128" s="1438" t="n">
        <v>0</v>
      </c>
      <c r="R128" s="1303" t="n">
        <v>0</v>
      </c>
      <c r="S128" s="1438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438">
        <f>IF(S128="","",ROUND(S128*(1+R128),3))</f>
        <v/>
      </c>
      <c r="U128" s="283" t="inlineStr">
        <is>
          <t>und</t>
        </is>
      </c>
      <c r="V128" s="285" t="n"/>
      <c r="W128" s="285" t="n"/>
      <c r="X128" s="1304" t="n"/>
      <c r="Y128" s="285" t="inlineStr">
        <is>
          <t>Pendiente</t>
        </is>
      </c>
    </row>
    <row r="129" ht="15" customFormat="1" customHeight="1" s="685">
      <c r="A129" s="280" t="inlineStr">
        <is>
          <t>MQ-121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17.01.03</t>
        </is>
      </c>
      <c r="E129" s="284" t="inlineStr">
        <is>
          <t>Pruebas y certificación</t>
        </is>
      </c>
      <c r="F129" s="285" t="n"/>
      <c r="G129" s="285" t="n"/>
      <c r="H129" s="285" t="n"/>
      <c r="I129" s="283" t="inlineStr">
        <is>
          <t>gl</t>
        </is>
      </c>
      <c r="J129" s="1438" t="n">
        <v>0</v>
      </c>
      <c r="K129" s="1438" t="n">
        <v>0</v>
      </c>
      <c r="L129" s="1438" t="n">
        <v>0</v>
      </c>
      <c r="M129" s="1438" t="n">
        <v>0</v>
      </c>
      <c r="N129" s="1438" t="n">
        <v>1</v>
      </c>
      <c r="O129" s="1438" t="n">
        <v>1</v>
      </c>
      <c r="P129" s="1438" t="n">
        <v>1</v>
      </c>
      <c r="Q129" s="1438" t="n">
        <v>0</v>
      </c>
      <c r="R129" s="1303" t="n">
        <v>0</v>
      </c>
      <c r="S129" s="1438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438">
        <f>IF(S129="","",ROUND(S129*(1+R129),3))</f>
        <v/>
      </c>
      <c r="U129" s="283" t="inlineStr">
        <is>
          <t>gl</t>
        </is>
      </c>
      <c r="V129" s="285" t="n"/>
      <c r="W129" s="285" t="n"/>
      <c r="X129" s="1304" t="n"/>
      <c r="Y129" s="285" t="inlineStr">
        <is>
          <t>Pendiente</t>
        </is>
      </c>
    </row>
    <row r="130" ht="15" customFormat="1" customHeight="1" s="685">
      <c r="A130" s="280" t="inlineStr">
        <is>
          <t>MQ-122</t>
        </is>
      </c>
      <c r="B130" s="281" t="inlineStr">
        <is>
          <t>URBANISMO Y EXTERIORES</t>
        </is>
      </c>
      <c r="C130" s="282" t="inlineStr">
        <is>
          <t>Pavimentos</t>
        </is>
      </c>
      <c r="D130" s="283" t="inlineStr">
        <is>
          <t>18.01.01</t>
        </is>
      </c>
      <c r="E130" s="284" t="inlineStr">
        <is>
          <t>Construcción de andenes</t>
        </is>
      </c>
      <c r="F130" s="285" t="n"/>
      <c r="G130" s="285" t="n"/>
      <c r="H130" s="285" t="n"/>
      <c r="I130" s="283" t="inlineStr">
        <is>
          <t>m²</t>
        </is>
      </c>
      <c r="J130" s="1438" t="n">
        <v>0</v>
      </c>
      <c r="K130" s="1438" t="n">
        <v>0</v>
      </c>
      <c r="L130" s="1438" t="n">
        <v>0</v>
      </c>
      <c r="M130" s="1438" t="n">
        <v>0</v>
      </c>
      <c r="N130" s="1438" t="n">
        <v>1</v>
      </c>
      <c r="O130" s="1438" t="n">
        <v>1</v>
      </c>
      <c r="P130" s="1438" t="n">
        <v>1</v>
      </c>
      <c r="Q130" s="1438" t="n">
        <v>0</v>
      </c>
      <c r="R130" s="1303" t="n">
        <v>0</v>
      </c>
      <c r="S130" s="1438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438">
        <f>IF(S130="","",ROUND(S130*(1+R130),3))</f>
        <v/>
      </c>
      <c r="U130" s="283" t="inlineStr">
        <is>
          <t>m²</t>
        </is>
      </c>
      <c r="V130" s="285" t="n"/>
      <c r="W130" s="285" t="n"/>
      <c r="X130" s="1304" t="n"/>
      <c r="Y130" s="285" t="inlineStr">
        <is>
          <t>Pendiente</t>
        </is>
      </c>
    </row>
    <row r="131" ht="15" customFormat="1" customHeight="1" s="685">
      <c r="A131" s="280" t="inlineStr">
        <is>
          <t>MQ-123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18.01.02</t>
        </is>
      </c>
      <c r="E131" s="284" t="inlineStr">
        <is>
          <t>Placas de concreto exteriores</t>
        </is>
      </c>
      <c r="F131" s="285" t="n"/>
      <c r="G131" s="285" t="n"/>
      <c r="H131" s="285" t="n"/>
      <c r="I131" s="283" t="inlineStr">
        <is>
          <t>m³</t>
        </is>
      </c>
      <c r="J131" s="1438" t="n">
        <v>0</v>
      </c>
      <c r="K131" s="1438" t="n">
        <v>0</v>
      </c>
      <c r="L131" s="1438" t="n">
        <v>0</v>
      </c>
      <c r="M131" s="1438" t="n">
        <v>0</v>
      </c>
      <c r="N131" s="1438" t="n">
        <v>1</v>
      </c>
      <c r="O131" s="1438" t="n">
        <v>1</v>
      </c>
      <c r="P131" s="1438" t="n">
        <v>1</v>
      </c>
      <c r="Q131" s="1438" t="n">
        <v>0</v>
      </c>
      <c r="R131" s="1303" t="n">
        <v>0</v>
      </c>
      <c r="S131" s="1438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438">
        <f>IF(S131="","",ROUND(S131*(1+R131),3))</f>
        <v/>
      </c>
      <c r="U131" s="283" t="inlineStr">
        <is>
          <t>m³</t>
        </is>
      </c>
      <c r="V131" s="285" t="n"/>
      <c r="W131" s="285" t="n"/>
      <c r="X131" s="1304" t="n"/>
      <c r="Y131" s="285" t="inlineStr">
        <is>
          <t>Pendiente</t>
        </is>
      </c>
    </row>
    <row r="132" ht="15" customFormat="1" customHeight="1" s="685">
      <c r="A132" s="280" t="inlineStr">
        <is>
          <t>MQ-124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18.01.03</t>
        </is>
      </c>
      <c r="E132" s="284" t="inlineStr">
        <is>
          <t>Pavimento en adoquín</t>
        </is>
      </c>
      <c r="F132" s="285" t="n"/>
      <c r="G132" s="285" t="n"/>
      <c r="H132" s="285" t="n"/>
      <c r="I132" s="283" t="inlineStr">
        <is>
          <t>m²</t>
        </is>
      </c>
      <c r="J132" s="1438" t="n">
        <v>0</v>
      </c>
      <c r="K132" s="1438" t="n">
        <v>0</v>
      </c>
      <c r="L132" s="1438" t="n">
        <v>0</v>
      </c>
      <c r="M132" s="1438" t="n">
        <v>0</v>
      </c>
      <c r="N132" s="1438" t="n">
        <v>1</v>
      </c>
      <c r="O132" s="1438" t="n">
        <v>1</v>
      </c>
      <c r="P132" s="1438" t="n">
        <v>1</v>
      </c>
      <c r="Q132" s="1438" t="n">
        <v>0</v>
      </c>
      <c r="R132" s="1303" t="n">
        <v>0</v>
      </c>
      <c r="S132" s="1438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438">
        <f>IF(S132="","",ROUND(S132*(1+R132),3))</f>
        <v/>
      </c>
      <c r="U132" s="283" t="inlineStr">
        <is>
          <t>m²</t>
        </is>
      </c>
      <c r="V132" s="285" t="n"/>
      <c r="W132" s="285" t="n"/>
      <c r="X132" s="1304" t="n"/>
      <c r="Y132" s="285" t="inlineStr">
        <is>
          <t>Pendiente</t>
        </is>
      </c>
    </row>
    <row r="133" ht="15" customFormat="1" customHeight="1" s="685">
      <c r="A133" s="280" t="inlineStr">
        <is>
          <t>MQ-125</t>
        </is>
      </c>
      <c r="B133" s="281" t="inlineStr">
        <is>
          <t>URBANISMO Y EXTERIORES</t>
        </is>
      </c>
      <c r="C133" s="282" t="inlineStr">
        <is>
          <t>Bordillos</t>
        </is>
      </c>
      <c r="D133" s="283" t="inlineStr">
        <is>
          <t>18.02.01</t>
        </is>
      </c>
      <c r="E133" s="284" t="inlineStr">
        <is>
          <t>Sardineles y bordillos</t>
        </is>
      </c>
      <c r="F133" s="285" t="n"/>
      <c r="G133" s="285" t="n"/>
      <c r="H133" s="285" t="n"/>
      <c r="I133" s="283" t="inlineStr">
        <is>
          <t>ml</t>
        </is>
      </c>
      <c r="J133" s="1438" t="n">
        <v>0</v>
      </c>
      <c r="K133" s="1438" t="n">
        <v>0</v>
      </c>
      <c r="L133" s="1438" t="n">
        <v>0</v>
      </c>
      <c r="M133" s="1438" t="n">
        <v>0</v>
      </c>
      <c r="N133" s="1438" t="n">
        <v>1</v>
      </c>
      <c r="O133" s="1438" t="n">
        <v>1</v>
      </c>
      <c r="P133" s="1438" t="n">
        <v>1</v>
      </c>
      <c r="Q133" s="1438" t="n">
        <v>0</v>
      </c>
      <c r="R133" s="1303" t="n">
        <v>0</v>
      </c>
      <c r="S133" s="1438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438">
        <f>IF(S133="","",ROUND(S133*(1+R133),3))</f>
        <v/>
      </c>
      <c r="U133" s="283" t="inlineStr">
        <is>
          <t>ml</t>
        </is>
      </c>
      <c r="V133" s="285" t="n"/>
      <c r="W133" s="285" t="n"/>
      <c r="X133" s="1304" t="n"/>
      <c r="Y133" s="285" t="inlineStr">
        <is>
          <t>Pendiente</t>
        </is>
      </c>
    </row>
    <row r="134" ht="15" customFormat="1" customHeight="1" s="685">
      <c r="A134" s="280" t="inlineStr">
        <is>
          <t>MQ-126</t>
        </is>
      </c>
      <c r="B134" s="281" t="inlineStr">
        <is>
          <t>URBANISMO Y EXTERIORES</t>
        </is>
      </c>
      <c r="C134" s="282" t="inlineStr">
        <is>
          <t>Drenajes</t>
        </is>
      </c>
      <c r="D134" s="283" t="inlineStr">
        <is>
          <t>18.03.01</t>
        </is>
      </c>
      <c r="E134" s="284" t="inlineStr">
        <is>
          <t>Sumideros exteriores</t>
        </is>
      </c>
      <c r="F134" s="285" t="n"/>
      <c r="G134" s="285" t="n"/>
      <c r="H134" s="285" t="n"/>
      <c r="I134" s="283" t="inlineStr">
        <is>
          <t>und</t>
        </is>
      </c>
      <c r="J134" s="1438" t="n">
        <v>0</v>
      </c>
      <c r="K134" s="1438" t="n">
        <v>0</v>
      </c>
      <c r="L134" s="1438" t="n">
        <v>0</v>
      </c>
      <c r="M134" s="1438" t="n">
        <v>0</v>
      </c>
      <c r="N134" s="1438" t="n">
        <v>1</v>
      </c>
      <c r="O134" s="1438" t="n">
        <v>1</v>
      </c>
      <c r="P134" s="1438" t="n">
        <v>1</v>
      </c>
      <c r="Q134" s="1438" t="n">
        <v>0</v>
      </c>
      <c r="R134" s="1303" t="n">
        <v>0</v>
      </c>
      <c r="S134" s="1438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438">
        <f>IF(S134="","",ROUND(S134*(1+R134),3))</f>
        <v/>
      </c>
      <c r="U134" s="283" t="inlineStr">
        <is>
          <t>und</t>
        </is>
      </c>
      <c r="V134" s="285" t="n"/>
      <c r="W134" s="285" t="n"/>
      <c r="X134" s="1304" t="n"/>
      <c r="Y134" s="285" t="inlineStr">
        <is>
          <t>Pendiente</t>
        </is>
      </c>
    </row>
    <row r="135" ht="15" customFormat="1" customHeight="1" s="685">
      <c r="A135" s="280" t="inlineStr">
        <is>
          <t>MQ-127</t>
        </is>
      </c>
      <c r="B135" s="281" t="inlineStr">
        <is>
          <t>URBANISMO Y EXTERIORES</t>
        </is>
      </c>
      <c r="C135" s="282" t="inlineStr">
        <is>
          <t>Paisajismo</t>
        </is>
      </c>
      <c r="D135" s="283" t="inlineStr">
        <is>
          <t>18.04.01</t>
        </is>
      </c>
      <c r="E135" s="284" t="inlineStr">
        <is>
          <t>Suministro y extendido de tierra vegetal</t>
        </is>
      </c>
      <c r="F135" s="285" t="n"/>
      <c r="G135" s="285" t="n"/>
      <c r="H135" s="285" t="n"/>
      <c r="I135" s="283" t="inlineStr">
        <is>
          <t>m³</t>
        </is>
      </c>
      <c r="J135" s="1438" t="n">
        <v>0</v>
      </c>
      <c r="K135" s="1438" t="n">
        <v>0</v>
      </c>
      <c r="L135" s="1438" t="n">
        <v>0</v>
      </c>
      <c r="M135" s="1438" t="n">
        <v>0</v>
      </c>
      <c r="N135" s="1438" t="n">
        <v>1</v>
      </c>
      <c r="O135" s="1438" t="n">
        <v>1</v>
      </c>
      <c r="P135" s="1438" t="n">
        <v>1</v>
      </c>
      <c r="Q135" s="1438" t="n">
        <v>0</v>
      </c>
      <c r="R135" s="1303" t="n">
        <v>0</v>
      </c>
      <c r="S135" s="1438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438">
        <f>IF(S135="","",ROUND(S135*(1+R135),3))</f>
        <v/>
      </c>
      <c r="U135" s="283" t="inlineStr">
        <is>
          <t>m³</t>
        </is>
      </c>
      <c r="V135" s="285" t="n"/>
      <c r="W135" s="285" t="n"/>
      <c r="X135" s="1304" t="n"/>
      <c r="Y135" s="285" t="inlineStr">
        <is>
          <t>Pendiente</t>
        </is>
      </c>
    </row>
    <row r="136" ht="15" customFormat="1" customHeight="1" s="685">
      <c r="A136" s="280" t="inlineStr">
        <is>
          <t>MQ-128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18.04.02</t>
        </is>
      </c>
      <c r="E136" s="284" t="inlineStr">
        <is>
          <t>Siembra y jardinería</t>
        </is>
      </c>
      <c r="F136" s="285" t="n"/>
      <c r="G136" s="285" t="n"/>
      <c r="H136" s="285" t="n"/>
      <c r="I136" s="283" t="inlineStr">
        <is>
          <t>m²</t>
        </is>
      </c>
      <c r="J136" s="1438" t="n">
        <v>0</v>
      </c>
      <c r="K136" s="1438" t="n">
        <v>0</v>
      </c>
      <c r="L136" s="1438" t="n">
        <v>0</v>
      </c>
      <c r="M136" s="1438" t="n">
        <v>0</v>
      </c>
      <c r="N136" s="1438" t="n">
        <v>1</v>
      </c>
      <c r="O136" s="1438" t="n">
        <v>1</v>
      </c>
      <c r="P136" s="1438" t="n">
        <v>1</v>
      </c>
      <c r="Q136" s="1438" t="n">
        <v>0</v>
      </c>
      <c r="R136" s="1303" t="n">
        <v>0</v>
      </c>
      <c r="S136" s="1438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438">
        <f>IF(S136="","",ROUND(S136*(1+R136),3))</f>
        <v/>
      </c>
      <c r="U136" s="283" t="inlineStr">
        <is>
          <t>m²</t>
        </is>
      </c>
      <c r="V136" s="285" t="n"/>
      <c r="W136" s="285" t="n"/>
      <c r="X136" s="1304" t="n"/>
      <c r="Y136" s="285" t="inlineStr">
        <is>
          <t>Pendiente</t>
        </is>
      </c>
    </row>
    <row r="137" ht="15" customFormat="1" customHeight="1" s="685">
      <c r="A137" s="280" t="inlineStr">
        <is>
          <t>MQ-129</t>
        </is>
      </c>
      <c r="B137" s="281" t="inlineStr">
        <is>
          <t>OBRAS COMPLEMENTARIAS</t>
        </is>
      </c>
      <c r="C137" s="282" t="inlineStr">
        <is>
          <t>Metálicas</t>
        </is>
      </c>
      <c r="D137" s="283" t="inlineStr">
        <is>
          <t>19.01.01</t>
        </is>
      </c>
      <c r="E137" s="284" t="inlineStr">
        <is>
          <t>Rejas metálicas</t>
        </is>
      </c>
      <c r="F137" s="285" t="n"/>
      <c r="G137" s="285" t="n"/>
      <c r="H137" s="285" t="n"/>
      <c r="I137" s="283" t="inlineStr">
        <is>
          <t>m²</t>
        </is>
      </c>
      <c r="J137" s="1438" t="n">
        <v>0</v>
      </c>
      <c r="K137" s="1438" t="n">
        <v>0</v>
      </c>
      <c r="L137" s="1438" t="n">
        <v>0</v>
      </c>
      <c r="M137" s="1438" t="n">
        <v>0</v>
      </c>
      <c r="N137" s="1438" t="n">
        <v>1</v>
      </c>
      <c r="O137" s="1438" t="n">
        <v>1</v>
      </c>
      <c r="P137" s="1438" t="n">
        <v>1</v>
      </c>
      <c r="Q137" s="1438" t="n">
        <v>0</v>
      </c>
      <c r="R137" s="1303" t="n">
        <v>0</v>
      </c>
      <c r="S137" s="1438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438">
        <f>IF(S137="","",ROUND(S137*(1+R137),3))</f>
        <v/>
      </c>
      <c r="U137" s="283" t="inlineStr">
        <is>
          <t>m²</t>
        </is>
      </c>
      <c r="V137" s="285" t="n"/>
      <c r="W137" s="285" t="n"/>
      <c r="X137" s="1304" t="n"/>
      <c r="Y137" s="285" t="inlineStr">
        <is>
          <t>Pendiente</t>
        </is>
      </c>
    </row>
    <row r="138" ht="15" customFormat="1" customHeight="1" s="685">
      <c r="A138" s="280" t="inlineStr">
        <is>
          <t>MQ-130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19.01.02</t>
        </is>
      </c>
      <c r="E138" s="284" t="inlineStr">
        <is>
          <t>Escaleras metálicas</t>
        </is>
      </c>
      <c r="F138" s="285" t="n"/>
      <c r="G138" s="285" t="n"/>
      <c r="H138" s="285" t="n"/>
      <c r="I138" s="283" t="inlineStr">
        <is>
          <t>kg</t>
        </is>
      </c>
      <c r="J138" s="1438" t="n">
        <v>0</v>
      </c>
      <c r="K138" s="1438" t="n">
        <v>0</v>
      </c>
      <c r="L138" s="1438" t="n">
        <v>0</v>
      </c>
      <c r="M138" s="1438" t="n">
        <v>0</v>
      </c>
      <c r="N138" s="1438" t="n">
        <v>1</v>
      </c>
      <c r="O138" s="1438" t="n">
        <v>1</v>
      </c>
      <c r="P138" s="1438" t="n">
        <v>1</v>
      </c>
      <c r="Q138" s="1438" t="n">
        <v>0</v>
      </c>
      <c r="R138" s="1303" t="n">
        <v>0</v>
      </c>
      <c r="S138" s="1438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438">
        <f>IF(S138="","",ROUND(S138*(1+R138),3))</f>
        <v/>
      </c>
      <c r="U138" s="283" t="inlineStr">
        <is>
          <t>kg</t>
        </is>
      </c>
      <c r="V138" s="285" t="n"/>
      <c r="W138" s="285" t="n"/>
      <c r="X138" s="1304" t="n"/>
      <c r="Y138" s="285" t="inlineStr">
        <is>
          <t>Pendiente</t>
        </is>
      </c>
    </row>
    <row r="139" ht="15" customFormat="1" customHeight="1" s="685">
      <c r="A139" s="280" t="inlineStr">
        <is>
          <t>MQ-131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19.01.03</t>
        </is>
      </c>
      <c r="E139" s="284" t="inlineStr">
        <is>
          <t>Elementos metálicos especiales</t>
        </is>
      </c>
      <c r="F139" s="285" t="n"/>
      <c r="G139" s="285" t="n"/>
      <c r="H139" s="285" t="n"/>
      <c r="I139" s="283" t="inlineStr">
        <is>
          <t>kg</t>
        </is>
      </c>
      <c r="J139" s="1438" t="n">
        <v>0</v>
      </c>
      <c r="K139" s="1438" t="n">
        <v>0</v>
      </c>
      <c r="L139" s="1438" t="n">
        <v>0</v>
      </c>
      <c r="M139" s="1438" t="n">
        <v>0</v>
      </c>
      <c r="N139" s="1438" t="n">
        <v>1</v>
      </c>
      <c r="O139" s="1438" t="n">
        <v>1</v>
      </c>
      <c r="P139" s="1438" t="n">
        <v>1</v>
      </c>
      <c r="Q139" s="1438" t="n">
        <v>0</v>
      </c>
      <c r="R139" s="1303" t="n">
        <v>0</v>
      </c>
      <c r="S139" s="1438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438">
        <f>IF(S139="","",ROUND(S139*(1+R139),3))</f>
        <v/>
      </c>
      <c r="U139" s="283" t="inlineStr">
        <is>
          <t>kg</t>
        </is>
      </c>
      <c r="V139" s="285" t="n"/>
      <c r="W139" s="285" t="n"/>
      <c r="X139" s="1304" t="n"/>
      <c r="Y139" s="285" t="inlineStr">
        <is>
          <t>Pendiente</t>
        </is>
      </c>
    </row>
    <row r="140" ht="15" customFormat="1" customHeight="1" s="685">
      <c r="A140" s="280" t="inlineStr">
        <is>
          <t>MQ-132</t>
        </is>
      </c>
      <c r="B140" s="281" t="inlineStr">
        <is>
          <t>OBRAS COMPLEMENTARIAS</t>
        </is>
      </c>
      <c r="C140" s="282" t="inlineStr">
        <is>
          <t>Mobiliario</t>
        </is>
      </c>
      <c r="D140" s="283" t="inlineStr">
        <is>
          <t>19.02.01</t>
        </is>
      </c>
      <c r="E140" s="284" t="inlineStr">
        <is>
          <t>Mobiliario fijo de obra</t>
        </is>
      </c>
      <c r="F140" s="285" t="n"/>
      <c r="G140" s="285" t="n"/>
      <c r="H140" s="285" t="n"/>
      <c r="I140" s="283" t="inlineStr">
        <is>
          <t>und</t>
        </is>
      </c>
      <c r="J140" s="1438" t="n">
        <v>0</v>
      </c>
      <c r="K140" s="1438" t="n">
        <v>0</v>
      </c>
      <c r="L140" s="1438" t="n">
        <v>0</v>
      </c>
      <c r="M140" s="1438" t="n">
        <v>0</v>
      </c>
      <c r="N140" s="1438" t="n">
        <v>1</v>
      </c>
      <c r="O140" s="1438" t="n">
        <v>1</v>
      </c>
      <c r="P140" s="1438" t="n">
        <v>1</v>
      </c>
      <c r="Q140" s="1438" t="n">
        <v>0</v>
      </c>
      <c r="R140" s="1303" t="n">
        <v>0</v>
      </c>
      <c r="S140" s="1438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438">
        <f>IF(S140="","",ROUND(S140*(1+R140),3))</f>
        <v/>
      </c>
      <c r="U140" s="283" t="inlineStr">
        <is>
          <t>und</t>
        </is>
      </c>
      <c r="V140" s="285" t="n"/>
      <c r="W140" s="285" t="n"/>
      <c r="X140" s="1304" t="n"/>
      <c r="Y140" s="285" t="inlineStr">
        <is>
          <t>Pendiente</t>
        </is>
      </c>
    </row>
    <row r="141" ht="15" customFormat="1" customHeight="1" s="685">
      <c r="A141" s="280" t="inlineStr">
        <is>
          <t>MQ-133</t>
        </is>
      </c>
      <c r="B141" s="281" t="inlineStr">
        <is>
          <t>ASEO, ENTREGA Y CIERRE</t>
        </is>
      </c>
      <c r="C141" s="282" t="inlineStr">
        <is>
          <t>Limpieza</t>
        </is>
      </c>
      <c r="D141" s="283" t="inlineStr">
        <is>
          <t>20.01.01</t>
        </is>
      </c>
      <c r="E141" s="284" t="inlineStr">
        <is>
          <t>Limpieza gruesa y fina de obra</t>
        </is>
      </c>
      <c r="F141" s="285" t="n"/>
      <c r="G141" s="285" t="n"/>
      <c r="H141" s="285" t="n"/>
      <c r="I141" s="283" t="inlineStr">
        <is>
          <t>m²</t>
        </is>
      </c>
      <c r="J141" s="1438" t="n">
        <v>0</v>
      </c>
      <c r="K141" s="1438" t="n">
        <v>0</v>
      </c>
      <c r="L141" s="1438" t="n">
        <v>0</v>
      </c>
      <c r="M141" s="1438" t="n">
        <v>0</v>
      </c>
      <c r="N141" s="1438" t="n">
        <v>1</v>
      </c>
      <c r="O141" s="1438" t="n">
        <v>1</v>
      </c>
      <c r="P141" s="1438" t="n">
        <v>1</v>
      </c>
      <c r="Q141" s="1438" t="n">
        <v>0</v>
      </c>
      <c r="R141" s="1303" t="n">
        <v>0</v>
      </c>
      <c r="S141" s="1438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438">
        <f>IF(S141="","",ROUND(S141*(1+R141),3))</f>
        <v/>
      </c>
      <c r="U141" s="283" t="inlineStr">
        <is>
          <t>m²</t>
        </is>
      </c>
      <c r="V141" s="285" t="n"/>
      <c r="W141" s="285" t="n"/>
      <c r="X141" s="1304" t="n"/>
      <c r="Y141" s="285" t="inlineStr">
        <is>
          <t>Pendiente</t>
        </is>
      </c>
    </row>
    <row r="142" ht="15" customFormat="1" customHeight="1" s="685">
      <c r="A142" s="280" t="inlineStr">
        <is>
          <t>MQ-134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20.01.02</t>
        </is>
      </c>
      <c r="E142" s="284" t="inlineStr">
        <is>
          <t>Limpieza final para entrega</t>
        </is>
      </c>
      <c r="F142" s="285" t="n"/>
      <c r="G142" s="285" t="n"/>
      <c r="H142" s="285" t="n"/>
      <c r="I142" s="283" t="inlineStr">
        <is>
          <t>m²</t>
        </is>
      </c>
      <c r="J142" s="1438" t="n">
        <v>0</v>
      </c>
      <c r="K142" s="1438" t="n">
        <v>0</v>
      </c>
      <c r="L142" s="1438" t="n">
        <v>0</v>
      </c>
      <c r="M142" s="1438" t="n">
        <v>0</v>
      </c>
      <c r="N142" s="1438" t="n">
        <v>1</v>
      </c>
      <c r="O142" s="1438" t="n">
        <v>1</v>
      </c>
      <c r="P142" s="1438" t="n">
        <v>1</v>
      </c>
      <c r="Q142" s="1438" t="n">
        <v>0</v>
      </c>
      <c r="R142" s="1303" t="n">
        <v>0</v>
      </c>
      <c r="S142" s="1438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438">
        <f>IF(S142="","",ROUND(S142*(1+R142),3))</f>
        <v/>
      </c>
      <c r="U142" s="283" t="inlineStr">
        <is>
          <t>m²</t>
        </is>
      </c>
      <c r="V142" s="285" t="n"/>
      <c r="W142" s="285" t="n"/>
      <c r="X142" s="1304" t="n"/>
      <c r="Y142" s="285" t="inlineStr">
        <is>
          <t>Pendiente</t>
        </is>
      </c>
    </row>
    <row r="143" ht="15" customFormat="1" customHeight="1" s="685">
      <c r="A143" s="280" t="inlineStr">
        <is>
          <t>MQ-135</t>
        </is>
      </c>
      <c r="B143" s="281" t="inlineStr">
        <is>
          <t>ASEO, ENTREGA Y CIERRE</t>
        </is>
      </c>
      <c r="C143" s="282" t="inlineStr">
        <is>
          <t>Pruebas</t>
        </is>
      </c>
      <c r="D143" s="283" t="inlineStr">
        <is>
          <t>20.02.01</t>
        </is>
      </c>
      <c r="E143" s="284" t="inlineStr">
        <is>
          <t>Pruebas, puesta en marcha y ajustes</t>
        </is>
      </c>
      <c r="F143" s="285" t="n"/>
      <c r="G143" s="285" t="n"/>
      <c r="H143" s="285" t="n"/>
      <c r="I143" s="283" t="inlineStr">
        <is>
          <t>gl</t>
        </is>
      </c>
      <c r="J143" s="1438" t="n">
        <v>0</v>
      </c>
      <c r="K143" s="1438" t="n">
        <v>0</v>
      </c>
      <c r="L143" s="1438" t="n">
        <v>0</v>
      </c>
      <c r="M143" s="1438" t="n">
        <v>0</v>
      </c>
      <c r="N143" s="1438" t="n">
        <v>1</v>
      </c>
      <c r="O143" s="1438" t="n">
        <v>1</v>
      </c>
      <c r="P143" s="1438" t="n">
        <v>1</v>
      </c>
      <c r="Q143" s="1438" t="n">
        <v>0</v>
      </c>
      <c r="R143" s="1303" t="n">
        <v>0</v>
      </c>
      <c r="S143" s="1438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438">
        <f>IF(S143="","",ROUND(S143*(1+R143),3))</f>
        <v/>
      </c>
      <c r="U143" s="283" t="inlineStr">
        <is>
          <t>gl</t>
        </is>
      </c>
      <c r="V143" s="285" t="n"/>
      <c r="W143" s="285" t="n"/>
      <c r="X143" s="1304" t="n"/>
      <c r="Y143" s="285" t="inlineStr">
        <is>
          <t>Pendiente</t>
        </is>
      </c>
    </row>
    <row r="144" ht="15" customFormat="1" customHeight="1" s="685">
      <c r="A144" s="280" t="inlineStr">
        <is>
          <t>MQ-136</t>
        </is>
      </c>
      <c r="B144" s="281" t="inlineStr">
        <is>
          <t>ASEO, ENTREGA Y CIERRE</t>
        </is>
      </c>
      <c r="C144" s="282" t="inlineStr">
        <is>
          <t>Documentación</t>
        </is>
      </c>
      <c r="D144" s="283" t="inlineStr">
        <is>
          <t>20.02.01</t>
        </is>
      </c>
      <c r="E144" s="284" t="inlineStr">
        <is>
          <t>Actualización de planos récord / as-built</t>
        </is>
      </c>
      <c r="F144" s="285" t="n"/>
      <c r="G144" s="285" t="n"/>
      <c r="H144" s="285" t="n"/>
      <c r="I144" s="283" t="inlineStr">
        <is>
          <t>gl</t>
        </is>
      </c>
      <c r="J144" s="1438" t="n">
        <v>0</v>
      </c>
      <c r="K144" s="1438" t="n">
        <v>0</v>
      </c>
      <c r="L144" s="1438" t="n">
        <v>0</v>
      </c>
      <c r="M144" s="1438" t="n">
        <v>0</v>
      </c>
      <c r="N144" s="1438" t="n">
        <v>1</v>
      </c>
      <c r="O144" s="1438" t="n">
        <v>1</v>
      </c>
      <c r="P144" s="1438" t="n">
        <v>1</v>
      </c>
      <c r="Q144" s="1438" t="n">
        <v>0</v>
      </c>
      <c r="R144" s="1303" t="n">
        <v>0</v>
      </c>
      <c r="S144" s="1438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438">
        <f>IF(S144="","",ROUND(S144*(1+R144),3))</f>
        <v/>
      </c>
      <c r="U144" s="283" t="inlineStr">
        <is>
          <t>gl</t>
        </is>
      </c>
      <c r="V144" s="285" t="n"/>
      <c r="W144" s="285" t="n"/>
      <c r="X144" s="1304" t="n"/>
      <c r="Y144" s="285" t="inlineStr">
        <is>
          <t>Pendiente</t>
        </is>
      </c>
    </row>
    <row r="145" ht="15" customFormat="1" customHeight="1" s="685">
      <c r="A145" s="280" t="inlineStr">
        <is>
          <t>MQ-137</t>
        </is>
      </c>
      <c r="B145" s="281" t="inlineStr">
        <is>
          <t>ASEO, ENTREGA Y CIERRE</t>
        </is>
      </c>
      <c r="C145" s="282" t="inlineStr">
        <is>
          <t>Entrega</t>
        </is>
      </c>
      <c r="D145" s="283" t="inlineStr">
        <is>
          <t>20.02.02</t>
        </is>
      </c>
      <c r="E145" s="284" t="inlineStr">
        <is>
          <t>Entrega, manuales y acta de recibo</t>
        </is>
      </c>
      <c r="F145" s="285" t="n"/>
      <c r="G145" s="285" t="n"/>
      <c r="H145" s="285" t="n"/>
      <c r="I145" s="283" t="inlineStr">
        <is>
          <t>gl</t>
        </is>
      </c>
      <c r="J145" s="1438" t="n">
        <v>0</v>
      </c>
      <c r="K145" s="1438" t="n">
        <v>0</v>
      </c>
      <c r="L145" s="1438" t="n">
        <v>0</v>
      </c>
      <c r="M145" s="1438" t="n">
        <v>0</v>
      </c>
      <c r="N145" s="1438" t="n">
        <v>1</v>
      </c>
      <c r="O145" s="1438" t="n">
        <v>1</v>
      </c>
      <c r="P145" s="1438" t="n">
        <v>1</v>
      </c>
      <c r="Q145" s="1438" t="n">
        <v>0</v>
      </c>
      <c r="R145" s="1303" t="n">
        <v>0</v>
      </c>
      <c r="S145" s="1438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438">
        <f>IF(S145="","",ROUND(S145*(1+R145),3))</f>
        <v/>
      </c>
      <c r="U145" s="283" t="inlineStr">
        <is>
          <t>gl</t>
        </is>
      </c>
      <c r="V145" s="285" t="n"/>
      <c r="W145" s="285" t="n"/>
      <c r="X145" s="1304" t="n"/>
      <c r="Y145" s="285" t="inlineStr">
        <is>
          <t>Pendiente</t>
        </is>
      </c>
    </row>
    <row r="146">
      <c r="A146" s="280" t="inlineStr">
        <is>
          <t>MQ-138</t>
        </is>
      </c>
      <c r="B146" s="281" t="inlineStr">
        <is>
          <t>PRELIMINARES</t>
        </is>
      </c>
      <c r="C146" s="282" t="n"/>
      <c r="D146" s="283" t="inlineStr">
        <is>
          <t>1.10</t>
        </is>
      </c>
      <c r="E146" s="284" t="inlineStr">
        <is>
          <t>Desmantelamiento de estructuras metálicas existentes</t>
        </is>
      </c>
      <c r="F146" s="285" t="n"/>
      <c r="G146" s="285" t="n"/>
      <c r="H146" s="285" t="n"/>
      <c r="I146" s="283" t="inlineStr">
        <is>
          <t>kg</t>
        </is>
      </c>
      <c r="Y146" s="336">
        <f>I4</f>
        <v/>
      </c>
    </row>
    <row r="147">
      <c r="A147" s="280" t="inlineStr">
        <is>
          <t>MQ-139</t>
        </is>
      </c>
      <c r="B147" s="281" t="inlineStr">
        <is>
          <t>ESTRUCTURA</t>
        </is>
      </c>
      <c r="C147" s="282" t="n"/>
      <c r="D147" s="283" t="inlineStr">
        <is>
          <t>4.15</t>
        </is>
      </c>
      <c r="E147" s="284" t="inlineStr">
        <is>
          <t>Grouting cementoso para reparación estructural</t>
        </is>
      </c>
      <c r="F147" s="285" t="n"/>
      <c r="G147" s="285" t="n"/>
      <c r="H147" s="285" t="n"/>
      <c r="I147" s="283" t="inlineStr">
        <is>
          <t>m2</t>
        </is>
      </c>
    </row>
    <row r="148">
      <c r="A148" s="280" t="inlineStr">
        <is>
          <t>MQ-140</t>
        </is>
      </c>
      <c r="B148" s="281" t="inlineStr">
        <is>
          <t>ESTRUCTURA</t>
        </is>
      </c>
      <c r="C148" s="282" t="n"/>
      <c r="D148" s="283" t="inlineStr">
        <is>
          <t>4.16</t>
        </is>
      </c>
      <c r="E148" s="284" t="inlineStr">
        <is>
          <t>Grouting epóxico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MQ-141</t>
        </is>
      </c>
      <c r="B149" s="281" t="inlineStr">
        <is>
          <t>MAMPOSTERÍA</t>
        </is>
      </c>
      <c r="C149" s="282" t="n"/>
      <c r="D149" s="283" t="inlineStr">
        <is>
          <t>5.8</t>
        </is>
      </c>
      <c r="E149" s="284" t="inlineStr">
        <is>
          <t>Mampostería en ladrillo tolete a la vista (reforzada)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MQ-142</t>
        </is>
      </c>
      <c r="B150" s="281" t="inlineStr">
        <is>
          <t>MAMPOSTERÍA</t>
        </is>
      </c>
      <c r="C150" s="282" t="n"/>
      <c r="D150" s="283" t="inlineStr">
        <is>
          <t>5.9</t>
        </is>
      </c>
      <c r="E150" s="284" t="inlineStr">
        <is>
          <t>Mampostería en ladrillo a la vista (no 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MQ-143</t>
        </is>
      </c>
      <c r="B151" s="281" t="inlineStr">
        <is>
          <t>CUBIERTAS</t>
        </is>
      </c>
      <c r="C151" s="282" t="n"/>
      <c r="D151" s="283" t="inlineStr">
        <is>
          <t>6.8</t>
        </is>
      </c>
      <c r="E151" s="284" t="inlineStr">
        <is>
          <t>Cielo raso Dry Wall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MQ-144</t>
        </is>
      </c>
      <c r="B152" s="281" t="inlineStr">
        <is>
          <t>CUBIERTAS</t>
        </is>
      </c>
      <c r="C152" s="282" t="n"/>
      <c r="D152" s="283" t="inlineStr">
        <is>
          <t>6.9</t>
        </is>
      </c>
      <c r="E152" s="284" t="inlineStr">
        <is>
          <t>Cielo raso en lámina acústica de fibra mineral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MQ-145</t>
        </is>
      </c>
      <c r="B153" s="281" t="inlineStr">
        <is>
          <t>IMPERMEABILIZACIONES</t>
        </is>
      </c>
      <c r="C153" s="282" t="n"/>
      <c r="D153" s="283" t="inlineStr">
        <is>
          <t>7.4</t>
        </is>
      </c>
      <c r="E153" s="284" t="inlineStr">
        <is>
          <t>Geomembrana HDPE para impermeabilización de terrenos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MQ-146</t>
        </is>
      </c>
      <c r="B154" s="281" t="inlineStr">
        <is>
          <t>PISOS Y ENCHAPES</t>
        </is>
      </c>
      <c r="C154" s="282" t="n"/>
      <c r="D154" s="283" t="inlineStr">
        <is>
          <t>9.9</t>
        </is>
      </c>
      <c r="E154" s="284" t="inlineStr">
        <is>
          <t>Piso en concreto afinado con endurecedor de cuarzo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MQ-147</t>
        </is>
      </c>
      <c r="B155" s="281" t="inlineStr">
        <is>
          <t>PISOS Y ENCHAPES</t>
        </is>
      </c>
      <c r="C155" s="282" t="n"/>
      <c r="D155" s="283" t="inlineStr">
        <is>
          <t>9.10</t>
        </is>
      </c>
      <c r="E155" s="284" t="inlineStr">
        <is>
          <t>Baldosa de granito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MQ-148</t>
        </is>
      </c>
      <c r="B156" s="281" t="inlineStr">
        <is>
          <t>PISOS Y ENCHAPES</t>
        </is>
      </c>
      <c r="C156" s="282" t="n"/>
      <c r="D156" s="283" t="inlineStr">
        <is>
          <t>9.11</t>
        </is>
      </c>
      <c r="E156" s="284" t="inlineStr">
        <is>
          <t>Enchape en granito pulido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MQ-149</t>
        </is>
      </c>
      <c r="B157" s="281" t="inlineStr">
        <is>
          <t>CARPINTERÍA</t>
        </is>
      </c>
      <c r="C157" s="282" t="n"/>
      <c r="D157" s="283" t="inlineStr">
        <is>
          <t>11.8</t>
        </is>
      </c>
      <c r="E157" s="284" t="inlineStr">
        <is>
          <t>Puerta antipánico</t>
        </is>
      </c>
      <c r="F157" s="285" t="n"/>
      <c r="G157" s="285" t="n"/>
      <c r="H157" s="285" t="n"/>
      <c r="I157" s="283" t="inlineStr">
        <is>
          <t>und</t>
        </is>
      </c>
    </row>
    <row r="158">
      <c r="A158" s="280" t="inlineStr">
        <is>
          <t>MQ-150</t>
        </is>
      </c>
      <c r="B158" s="281" t="inlineStr">
        <is>
          <t>INSTALACIONES HIDROSANITARIAS</t>
        </is>
      </c>
      <c r="C158" s="282" t="n"/>
      <c r="D158" s="283" t="inlineStr">
        <is>
          <t>13.12</t>
        </is>
      </c>
      <c r="E158" s="284" t="inlineStr">
        <is>
          <t>Orinal institucional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MQ-151</t>
        </is>
      </c>
      <c r="B159" s="281" t="inlineStr">
        <is>
          <t>URBANISMO Y EXTERIORES</t>
        </is>
      </c>
      <c r="C159" s="282" t="n"/>
      <c r="D159" s="283" t="inlineStr">
        <is>
          <t>18.8</t>
        </is>
      </c>
      <c r="E159" s="284" t="inlineStr">
        <is>
          <t>Geotextil para drenaje y filtración</t>
        </is>
      </c>
      <c r="F159" s="285" t="n"/>
      <c r="G159" s="285" t="n"/>
      <c r="H159" s="285" t="n"/>
      <c r="I159" s="283" t="inlineStr">
        <is>
          <t>m2</t>
        </is>
      </c>
    </row>
    <row r="160">
      <c r="A160" s="280" t="inlineStr">
        <is>
          <t>MQ-152</t>
        </is>
      </c>
      <c r="B160" s="281" t="inlineStr">
        <is>
          <t>URBANISMO Y EXTERIORES</t>
        </is>
      </c>
      <c r="C160" s="282" t="n"/>
      <c r="D160" s="283" t="inlineStr">
        <is>
          <t>18.9</t>
        </is>
      </c>
      <c r="E160" s="284" t="inlineStr">
        <is>
          <t>Gaviones para obras de contención</t>
        </is>
      </c>
      <c r="F160" s="285" t="n"/>
      <c r="G160" s="285" t="n"/>
      <c r="H160" s="285" t="n"/>
      <c r="I160" s="283" t="inlineStr">
        <is>
          <t>m3</t>
        </is>
      </c>
    </row>
    <row r="161">
      <c r="A161" s="280" t="inlineStr">
        <is>
          <t>MQ-153</t>
        </is>
      </c>
      <c r="B161" s="281" t="inlineStr">
        <is>
          <t>URBANISMO Y EXTERIORES</t>
        </is>
      </c>
      <c r="C161" s="282" t="n"/>
      <c r="D161" s="283" t="inlineStr">
        <is>
          <t>18.10</t>
        </is>
      </c>
      <c r="E161" s="284" t="inlineStr">
        <is>
          <t>Filtro francés (drenaje de terrenos)</t>
        </is>
      </c>
      <c r="F161" s="285" t="n"/>
      <c r="G161" s="285" t="n"/>
      <c r="H161" s="285" t="n"/>
      <c r="I161" s="283" t="inlineStr">
        <is>
          <t>ml</t>
        </is>
      </c>
    </row>
    <row r="162">
      <c r="A162" s="280" t="inlineStr">
        <is>
          <t>MQ-154</t>
        </is>
      </c>
      <c r="B162" s="281" t="inlineStr">
        <is>
          <t>URBANISMO Y EXTERIORES</t>
        </is>
      </c>
      <c r="C162" s="282" t="n"/>
      <c r="D162" s="283" t="inlineStr">
        <is>
          <t>18.11</t>
        </is>
      </c>
      <c r="E162" s="284" t="inlineStr">
        <is>
          <t>Revegetalización / empradización</t>
        </is>
      </c>
      <c r="F162" s="285" t="n"/>
      <c r="G162" s="285" t="n"/>
      <c r="H162" s="285" t="n"/>
      <c r="I162" s="283" t="inlineStr">
        <is>
          <t>m2</t>
        </is>
      </c>
    </row>
    <row r="163">
      <c r="A163" s="280" t="inlineStr">
        <is>
          <t>MQ-155</t>
        </is>
      </c>
      <c r="B163" s="281" t="inlineStr">
        <is>
          <t>ESTRUCTURA</t>
        </is>
      </c>
      <c r="C163" s="282" t="n"/>
      <c r="D163" s="283" t="inlineStr">
        <is>
          <t>4.17</t>
        </is>
      </c>
      <c r="E163" s="284" t="inlineStr">
        <is>
          <t>Concreto premezclado o de planta (suministro)</t>
        </is>
      </c>
      <c r="F163" s="285" t="n"/>
      <c r="G163" s="285" t="n"/>
      <c r="H163" s="285" t="n"/>
      <c r="I163" s="283" t="inlineStr">
        <is>
          <t>m3</t>
        </is>
      </c>
    </row>
    <row r="164">
      <c r="A164" s="280" t="inlineStr">
        <is>
          <t>MQ-157</t>
        </is>
      </c>
      <c r="B164" s="281" t="inlineStr">
        <is>
          <t>GESTIÓN, DISEÑO Y ADMINISTRACIÓN</t>
        </is>
      </c>
      <c r="C164" s="282" t="n"/>
      <c r="D164" s="283" t="inlineStr">
        <is>
          <t>22.1</t>
        </is>
      </c>
      <c r="E164" s="284" t="inlineStr">
        <is>
          <t>Diseños arquitectónicos, estructurales, hidrosanitarios y eléctricos</t>
        </is>
      </c>
      <c r="F164" s="285" t="n"/>
      <c r="G164" s="285" t="n"/>
      <c r="H164" s="285" t="n"/>
      <c r="I164" s="283" t="inlineStr">
        <is>
          <t>gl</t>
        </is>
      </c>
    </row>
    <row r="165">
      <c r="A165" s="280" t="inlineStr">
        <is>
          <t>MQ-158</t>
        </is>
      </c>
      <c r="B165" s="281" t="inlineStr">
        <is>
          <t>GESTIÓN, DISEÑO Y ADMINISTRACIÓN</t>
        </is>
      </c>
      <c r="C165" s="282" t="n"/>
      <c r="D165" s="283" t="inlineStr">
        <is>
          <t>22.2</t>
        </is>
      </c>
      <c r="E165" s="284" t="inlineStr">
        <is>
          <t>Estudio de suelos y geotecnia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MQ-159</t>
        </is>
      </c>
      <c r="B166" s="281" t="inlineStr">
        <is>
          <t>GESTIÓN, DISEÑO Y ADMINISTRACIÓN</t>
        </is>
      </c>
      <c r="C166" s="282" t="n"/>
      <c r="D166" s="283" t="inlineStr">
        <is>
          <t>22.3</t>
        </is>
      </c>
      <c r="E166" s="284" t="inlineStr">
        <is>
          <t>Licencia de construcción y trámites de curaduría urbana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MQ-160</t>
        </is>
      </c>
      <c r="B167" s="281" t="inlineStr">
        <is>
          <t>GESTIÓN, DISEÑO Y ADMINISTRACIÓN</t>
        </is>
      </c>
      <c r="C167" s="282" t="n"/>
      <c r="D167" s="283" t="inlineStr">
        <is>
          <t>22.4</t>
        </is>
      </c>
      <c r="E167" s="284" t="inlineStr">
        <is>
          <t>Póliza de estabilidad de obra y seguros de construcción (todo riesgo)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MQ-161</t>
        </is>
      </c>
      <c r="B168" s="281" t="inlineStr">
        <is>
          <t>ASCENSORES</t>
        </is>
      </c>
      <c r="C168" s="282" t="n"/>
      <c r="D168" s="283" t="inlineStr">
        <is>
          <t>21.1</t>
        </is>
      </c>
      <c r="E168" s="284" t="inlineStr">
        <is>
          <t>Suministro e instalación de ascensor eléctrico</t>
        </is>
      </c>
      <c r="F168" s="285" t="n"/>
      <c r="G168" s="285" t="n"/>
      <c r="H168" s="285" t="n"/>
      <c r="I168" s="283" t="inlineStr">
        <is>
          <t>und</t>
        </is>
      </c>
    </row>
    <row r="169">
      <c r="A169" s="1446" t="inlineStr">
        <is>
          <t>REV. 10/09/2026</t>
        </is>
      </c>
    </row>
  </sheetData>
  <mergeCells count="13">
    <mergeCell ref="C4:G4"/>
    <mergeCell ref="C7:G7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5.77734375" customWidth="1" style="550" min="9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K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I2" s="1282" t="n"/>
      <c r="J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I4" s="672" t="inlineStr">
        <is>
          <t>RYR-CO-006</t>
        </is>
      </c>
      <c r="J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>
      <c r="A7" s="502" t="n"/>
      <c r="B7" s="502" t="n"/>
      <c r="C7" s="502" t="n"/>
      <c r="H7" s="231" t="inlineStr">
        <is>
          <t>Página</t>
        </is>
      </c>
      <c r="I7" s="627" t="inlineStr">
        <is>
          <t>1 de 1</t>
        </is>
      </c>
      <c r="J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Largo</t>
        </is>
      </c>
      <c r="J8" s="296" t="inlineStr">
        <is>
          <t>Ancho</t>
        </is>
      </c>
      <c r="K8" s="296" t="inlineStr">
        <is>
          <t>Alto/Prof.</t>
        </is>
      </c>
      <c r="L8" s="296" t="inlineStr">
        <is>
          <t>N° elementos</t>
        </is>
      </c>
      <c r="M8" s="296" t="inlineStr">
        <is>
          <t>Repeticiones</t>
        </is>
      </c>
      <c r="N8" s="296" t="inlineStr">
        <is>
          <t>Factor</t>
        </is>
      </c>
      <c r="O8" s="296" t="inlineStr">
        <is>
          <t>Deducción</t>
        </is>
      </c>
      <c r="P8" s="296" t="inlineStr">
        <is>
          <t>Desperdicio %</t>
        </is>
      </c>
      <c r="Q8" s="296" t="inlineStr">
        <is>
          <t>Cantidad neta</t>
        </is>
      </c>
      <c r="R8" s="296" t="inlineStr">
        <is>
          <t>Cantidad final</t>
        </is>
      </c>
      <c r="S8" s="296" t="inlineStr">
        <is>
          <t>Criterio matemático</t>
        </is>
      </c>
      <c r="T8" s="296" t="inlineStr">
        <is>
          <t>Fuente / soporte</t>
        </is>
      </c>
      <c r="U8" s="297" t="inlineStr">
        <is>
          <t>Observaciones</t>
        </is>
      </c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I9" s="1439" t="n"/>
      <c r="J9" s="1439" t="n"/>
      <c r="K9" s="1439" t="n"/>
      <c r="L9" s="1439" t="n"/>
      <c r="M9" s="1439" t="n"/>
      <c r="N9" s="1439" t="n"/>
      <c r="O9" s="1439" t="n"/>
      <c r="P9" s="1306" t="n"/>
      <c r="Q9" s="1439" t="n"/>
      <c r="R9" s="1439" t="n"/>
      <c r="S9" s="295" t="n"/>
      <c r="T9" s="295" t="n"/>
      <c r="U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I10" s="1440" t="n"/>
      <c r="J10" s="1440" t="n"/>
      <c r="K10" s="1440" t="n"/>
      <c r="L10" s="1440" t="n"/>
      <c r="M10" s="1440" t="n"/>
      <c r="N10" s="1440" t="n"/>
      <c r="O10" s="1440" t="n"/>
      <c r="P10" s="1308" t="n"/>
      <c r="Q10" s="1440" t="n"/>
      <c r="R10" s="1440" t="n"/>
      <c r="S10" s="290" t="n"/>
      <c r="T10" s="290" t="n"/>
      <c r="U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I11" s="1440" t="n"/>
      <c r="J11" s="1440" t="n"/>
      <c r="K11" s="1440" t="n"/>
      <c r="L11" s="1440" t="n"/>
      <c r="M11" s="1440" t="n"/>
      <c r="N11" s="1440" t="n"/>
      <c r="O11" s="1440" t="n"/>
      <c r="P11" s="1308" t="n"/>
      <c r="Q11" s="1440" t="n"/>
      <c r="R11" s="1440" t="n"/>
      <c r="S11" s="290" t="n"/>
      <c r="T11" s="290" t="n"/>
      <c r="U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I12" s="1440" t="n"/>
      <c r="J12" s="1440" t="n"/>
      <c r="K12" s="1440" t="n"/>
      <c r="L12" s="1440" t="n"/>
      <c r="M12" s="1440" t="n"/>
      <c r="N12" s="1440" t="n"/>
      <c r="O12" s="1440" t="n"/>
      <c r="P12" s="1308" t="n"/>
      <c r="Q12" s="1440" t="n"/>
      <c r="R12" s="1440" t="n"/>
      <c r="S12" s="290" t="n"/>
      <c r="T12" s="290" t="n"/>
      <c r="U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I13" s="1440" t="n"/>
      <c r="J13" s="1440" t="n"/>
      <c r="K13" s="1440" t="n"/>
      <c r="L13" s="1440" t="n"/>
      <c r="M13" s="1440" t="n"/>
      <c r="N13" s="1440" t="n"/>
      <c r="O13" s="1440" t="n"/>
      <c r="P13" s="1308" t="n"/>
      <c r="Q13" s="1440" t="n"/>
      <c r="R13" s="1440" t="n"/>
      <c r="S13" s="290" t="n"/>
      <c r="T13" s="290" t="n"/>
      <c r="U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I14" s="1440" t="n"/>
      <c r="J14" s="1440" t="n"/>
      <c r="K14" s="1440" t="n"/>
      <c r="L14" s="1440" t="n"/>
      <c r="M14" s="1440" t="n"/>
      <c r="N14" s="1440" t="n"/>
      <c r="O14" s="1440" t="n"/>
      <c r="P14" s="1308" t="n"/>
      <c r="Q14" s="1440" t="n"/>
      <c r="R14" s="1440" t="n"/>
      <c r="S14" s="290" t="n"/>
      <c r="T14" s="290" t="n"/>
      <c r="U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I15" s="1440" t="n"/>
      <c r="J15" s="1440" t="n"/>
      <c r="K15" s="1440" t="n"/>
      <c r="L15" s="1440" t="n"/>
      <c r="M15" s="1440" t="n"/>
      <c r="N15" s="1440" t="n"/>
      <c r="O15" s="1440" t="n"/>
      <c r="P15" s="1308" t="n"/>
      <c r="Q15" s="1440" t="n"/>
      <c r="R15" s="1440" t="n"/>
      <c r="S15" s="290" t="n"/>
      <c r="T15" s="290" t="n"/>
      <c r="U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I16" s="1440" t="n"/>
      <c r="J16" s="1440" t="n"/>
      <c r="K16" s="1440" t="n"/>
      <c r="L16" s="1440" t="n"/>
      <c r="M16" s="1440" t="n"/>
      <c r="N16" s="1440" t="n"/>
      <c r="O16" s="1440" t="n"/>
      <c r="P16" s="1308" t="n"/>
      <c r="Q16" s="1440" t="n"/>
      <c r="R16" s="1440" t="n"/>
      <c r="S16" s="290" t="n"/>
      <c r="T16" s="290" t="n"/>
      <c r="U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I17" s="1440" t="n"/>
      <c r="J17" s="1440" t="n"/>
      <c r="K17" s="1440" t="n"/>
      <c r="L17" s="1440" t="n"/>
      <c r="M17" s="1440" t="n"/>
      <c r="N17" s="1440" t="n"/>
      <c r="O17" s="1440" t="n"/>
      <c r="P17" s="1308" t="n"/>
      <c r="Q17" s="1440" t="n"/>
      <c r="R17" s="1440" t="n"/>
      <c r="S17" s="290" t="n"/>
      <c r="T17" s="290" t="n"/>
      <c r="U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I18" s="1440" t="n"/>
      <c r="J18" s="1440" t="n"/>
      <c r="K18" s="1440" t="n"/>
      <c r="L18" s="1440" t="n"/>
      <c r="M18" s="1440" t="n"/>
      <c r="N18" s="1440" t="n"/>
      <c r="O18" s="1440" t="n"/>
      <c r="P18" s="1308" t="n"/>
      <c r="Q18" s="1440" t="n"/>
      <c r="R18" s="1440" t="n"/>
      <c r="S18" s="290" t="n"/>
      <c r="T18" s="290" t="n"/>
      <c r="U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I19" s="1440" t="n"/>
      <c r="J19" s="1440" t="n"/>
      <c r="K19" s="1440" t="n"/>
      <c r="L19" s="1440" t="n"/>
      <c r="M19" s="1440" t="n"/>
      <c r="N19" s="1440" t="n"/>
      <c r="O19" s="1440" t="n"/>
      <c r="P19" s="1308" t="n"/>
      <c r="Q19" s="1440" t="n"/>
      <c r="R19" s="1440" t="n"/>
      <c r="S19" s="290" t="n"/>
      <c r="T19" s="290" t="n"/>
      <c r="U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I20" s="1440" t="n"/>
      <c r="J20" s="1440" t="n"/>
      <c r="K20" s="1440" t="n"/>
      <c r="L20" s="1440" t="n"/>
      <c r="M20" s="1440" t="n"/>
      <c r="N20" s="1440" t="n"/>
      <c r="O20" s="1440" t="n"/>
      <c r="P20" s="1308" t="n"/>
      <c r="Q20" s="1440" t="n"/>
      <c r="R20" s="1440" t="n"/>
      <c r="S20" s="290" t="n"/>
      <c r="T20" s="290" t="n"/>
      <c r="U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I21" s="1440" t="n"/>
      <c r="J21" s="1440" t="n"/>
      <c r="K21" s="1440" t="n"/>
      <c r="L21" s="1440" t="n"/>
      <c r="M21" s="1440" t="n"/>
      <c r="N21" s="1440" t="n"/>
      <c r="O21" s="1440" t="n"/>
      <c r="P21" s="1308" t="n"/>
      <c r="Q21" s="1440" t="n"/>
      <c r="R21" s="1440" t="n"/>
      <c r="S21" s="290" t="n"/>
      <c r="T21" s="290" t="n"/>
      <c r="U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I22" s="1440" t="n"/>
      <c r="J22" s="1440" t="n"/>
      <c r="K22" s="1440" t="n"/>
      <c r="L22" s="1440" t="n"/>
      <c r="M22" s="1440" t="n"/>
      <c r="N22" s="1440" t="n"/>
      <c r="O22" s="1440" t="n"/>
      <c r="P22" s="1308" t="n"/>
      <c r="Q22" s="1440" t="n"/>
      <c r="R22" s="1440" t="n"/>
      <c r="S22" s="290" t="n"/>
      <c r="T22" s="290" t="n"/>
      <c r="U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I23" s="1440" t="n"/>
      <c r="J23" s="1440" t="n"/>
      <c r="K23" s="1440" t="n"/>
      <c r="L23" s="1440" t="n"/>
      <c r="M23" s="1440" t="n"/>
      <c r="N23" s="1440" t="n"/>
      <c r="O23" s="1440" t="n"/>
      <c r="P23" s="1308" t="n"/>
      <c r="Q23" s="1440" t="n"/>
      <c r="R23" s="1440" t="n"/>
      <c r="S23" s="290" t="n"/>
      <c r="T23" s="290" t="n"/>
      <c r="U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I24" s="1440" t="n"/>
      <c r="J24" s="1440" t="n"/>
      <c r="K24" s="1440" t="n"/>
      <c r="L24" s="1440" t="n"/>
      <c r="M24" s="1440" t="n"/>
      <c r="N24" s="1440" t="n"/>
      <c r="O24" s="1440" t="n"/>
      <c r="P24" s="1308" t="n"/>
      <c r="Q24" s="1440" t="n"/>
      <c r="R24" s="1440" t="n"/>
      <c r="S24" s="290" t="n"/>
      <c r="T24" s="290" t="n"/>
      <c r="U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I25" s="1440" t="n"/>
      <c r="J25" s="1440" t="n"/>
      <c r="K25" s="1440" t="n"/>
      <c r="L25" s="1440" t="n"/>
      <c r="M25" s="1440" t="n"/>
      <c r="N25" s="1440" t="n"/>
      <c r="O25" s="1440" t="n"/>
      <c r="P25" s="1308" t="n"/>
      <c r="Q25" s="1440" t="n"/>
      <c r="R25" s="1440" t="n"/>
      <c r="S25" s="290" t="n"/>
      <c r="T25" s="290" t="n"/>
      <c r="U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I26" s="1440" t="n"/>
      <c r="J26" s="1440" t="n"/>
      <c r="K26" s="1440" t="n"/>
      <c r="L26" s="1440" t="n"/>
      <c r="M26" s="1440" t="n"/>
      <c r="N26" s="1440" t="n"/>
      <c r="O26" s="1440" t="n"/>
      <c r="P26" s="1308" t="n"/>
      <c r="Q26" s="1440" t="n"/>
      <c r="R26" s="1440" t="n"/>
      <c r="S26" s="290" t="n"/>
      <c r="T26" s="290" t="n"/>
      <c r="U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I27" s="1440" t="n"/>
      <c r="J27" s="1440" t="n"/>
      <c r="K27" s="1440" t="n"/>
      <c r="L27" s="1440" t="n"/>
      <c r="M27" s="1440" t="n"/>
      <c r="N27" s="1440" t="n"/>
      <c r="O27" s="1440" t="n"/>
      <c r="P27" s="1308" t="n"/>
      <c r="Q27" s="1440" t="n"/>
      <c r="R27" s="1440" t="n"/>
      <c r="S27" s="290" t="n"/>
      <c r="T27" s="290" t="n"/>
      <c r="U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I28" s="1440" t="n"/>
      <c r="J28" s="1440" t="n"/>
      <c r="K28" s="1440" t="n"/>
      <c r="L28" s="1440" t="n"/>
      <c r="M28" s="1440" t="n"/>
      <c r="N28" s="1440" t="n"/>
      <c r="O28" s="1440" t="n"/>
      <c r="P28" s="1308" t="n"/>
      <c r="Q28" s="1440" t="n"/>
      <c r="R28" s="1440" t="n"/>
      <c r="S28" s="290" t="n"/>
      <c r="T28" s="290" t="n"/>
      <c r="U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I29" s="1440" t="n"/>
      <c r="J29" s="1440" t="n"/>
      <c r="K29" s="1440" t="n"/>
      <c r="L29" s="1440" t="n"/>
      <c r="M29" s="1440" t="n"/>
      <c r="N29" s="1440" t="n"/>
      <c r="O29" s="1440" t="n"/>
      <c r="P29" s="1308" t="n"/>
      <c r="Q29" s="1440" t="n"/>
      <c r="R29" s="1440" t="n"/>
      <c r="S29" s="290" t="n"/>
      <c r="T29" s="290" t="n"/>
      <c r="U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I30" s="1440" t="n"/>
      <c r="J30" s="1440" t="n"/>
      <c r="K30" s="1440" t="n"/>
      <c r="L30" s="1440" t="n"/>
      <c r="M30" s="1440" t="n"/>
      <c r="N30" s="1440" t="n"/>
      <c r="O30" s="1440" t="n"/>
      <c r="P30" s="1308" t="n"/>
      <c r="Q30" s="1440" t="n"/>
      <c r="R30" s="1440" t="n"/>
      <c r="S30" s="290" t="n"/>
      <c r="T30" s="290" t="n"/>
      <c r="U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I31" s="1440" t="n"/>
      <c r="J31" s="1440" t="n"/>
      <c r="K31" s="1440" t="n"/>
      <c r="L31" s="1440" t="n"/>
      <c r="M31" s="1440" t="n"/>
      <c r="N31" s="1440" t="n"/>
      <c r="O31" s="1440" t="n"/>
      <c r="P31" s="1308" t="n"/>
      <c r="Q31" s="1440" t="n"/>
      <c r="R31" s="1440" t="n"/>
      <c r="S31" s="290" t="n"/>
      <c r="T31" s="290" t="n"/>
      <c r="U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I32" s="1440" t="n"/>
      <c r="J32" s="1440" t="n"/>
      <c r="K32" s="1440" t="n"/>
      <c r="L32" s="1440" t="n"/>
      <c r="M32" s="1440" t="n"/>
      <c r="N32" s="1440" t="n"/>
      <c r="O32" s="1440" t="n"/>
      <c r="P32" s="1308" t="n"/>
      <c r="Q32" s="1440" t="n"/>
      <c r="R32" s="1440" t="n"/>
      <c r="S32" s="290" t="n"/>
      <c r="T32" s="290" t="n"/>
      <c r="U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I33" s="1440" t="n"/>
      <c r="J33" s="1440" t="n"/>
      <c r="K33" s="1440" t="n"/>
      <c r="L33" s="1440" t="n"/>
      <c r="M33" s="1440" t="n"/>
      <c r="N33" s="1440" t="n"/>
      <c r="O33" s="1440" t="n"/>
      <c r="P33" s="1308" t="n"/>
      <c r="Q33" s="1440" t="n"/>
      <c r="R33" s="1440" t="n"/>
      <c r="S33" s="290" t="n"/>
      <c r="T33" s="290" t="n"/>
      <c r="U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I34" s="1440" t="n"/>
      <c r="J34" s="1440" t="n"/>
      <c r="K34" s="1440" t="n"/>
      <c r="L34" s="1440" t="n"/>
      <c r="M34" s="1440" t="n"/>
      <c r="N34" s="1440" t="n"/>
      <c r="O34" s="1440" t="n"/>
      <c r="P34" s="1308" t="n"/>
      <c r="Q34" s="1440" t="n"/>
      <c r="R34" s="1440" t="n"/>
      <c r="S34" s="290" t="n"/>
      <c r="T34" s="290" t="n"/>
      <c r="U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I35" s="1440" t="n"/>
      <c r="J35" s="1440" t="n"/>
      <c r="K35" s="1440" t="n"/>
      <c r="L35" s="1440" t="n"/>
      <c r="M35" s="1440" t="n"/>
      <c r="N35" s="1440" t="n"/>
      <c r="O35" s="1440" t="n"/>
      <c r="P35" s="1308" t="n"/>
      <c r="Q35" s="1440" t="n"/>
      <c r="R35" s="1440" t="n"/>
      <c r="S35" s="290" t="n"/>
      <c r="T35" s="290" t="n"/>
      <c r="U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I36" s="1440" t="n"/>
      <c r="J36" s="1440" t="n"/>
      <c r="K36" s="1440" t="n"/>
      <c r="L36" s="1440" t="n"/>
      <c r="M36" s="1440" t="n"/>
      <c r="N36" s="1440" t="n"/>
      <c r="O36" s="1440" t="n"/>
      <c r="P36" s="1308" t="n"/>
      <c r="Q36" s="1440" t="n"/>
      <c r="R36" s="1440" t="n"/>
      <c r="S36" s="290" t="n"/>
      <c r="T36" s="290" t="n"/>
      <c r="U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I37" s="1440" t="n"/>
      <c r="J37" s="1440" t="n"/>
      <c r="K37" s="1440" t="n"/>
      <c r="L37" s="1440" t="n"/>
      <c r="M37" s="1440" t="n"/>
      <c r="N37" s="1440" t="n"/>
      <c r="O37" s="1440" t="n"/>
      <c r="P37" s="1308" t="n"/>
      <c r="Q37" s="1440" t="n"/>
      <c r="R37" s="1440" t="n"/>
      <c r="S37" s="290" t="n"/>
      <c r="T37" s="290" t="n"/>
      <c r="U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I38" s="1440" t="n"/>
      <c r="J38" s="1440" t="n"/>
      <c r="K38" s="1440" t="n"/>
      <c r="L38" s="1440" t="n"/>
      <c r="M38" s="1440" t="n"/>
      <c r="N38" s="1440" t="n"/>
      <c r="O38" s="1440" t="n"/>
      <c r="P38" s="1308" t="n"/>
      <c r="Q38" s="1440" t="n"/>
      <c r="R38" s="1440" t="n"/>
      <c r="S38" s="290" t="n"/>
      <c r="T38" s="290" t="n"/>
      <c r="U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I39" s="1440" t="n"/>
      <c r="J39" s="1440" t="n"/>
      <c r="K39" s="1440" t="n"/>
      <c r="L39" s="1440" t="n"/>
      <c r="M39" s="1440" t="n"/>
      <c r="N39" s="1440" t="n"/>
      <c r="O39" s="1440" t="n"/>
      <c r="P39" s="1308" t="n"/>
      <c r="Q39" s="1440" t="n"/>
      <c r="R39" s="1440" t="n"/>
      <c r="S39" s="290" t="n"/>
      <c r="T39" s="290" t="n"/>
      <c r="U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I40" s="1440" t="n"/>
      <c r="J40" s="1440" t="n"/>
      <c r="K40" s="1440" t="n"/>
      <c r="L40" s="1440" t="n"/>
      <c r="M40" s="1440" t="n"/>
      <c r="N40" s="1440" t="n"/>
      <c r="O40" s="1440" t="n"/>
      <c r="P40" s="1308" t="n"/>
      <c r="Q40" s="1440" t="n"/>
      <c r="R40" s="1440" t="n"/>
      <c r="S40" s="290" t="n"/>
      <c r="T40" s="290" t="n"/>
      <c r="U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I41" s="1440" t="n"/>
      <c r="J41" s="1440" t="n"/>
      <c r="K41" s="1440" t="n"/>
      <c r="L41" s="1440" t="n"/>
      <c r="M41" s="1440" t="n"/>
      <c r="N41" s="1440" t="n"/>
      <c r="O41" s="1440" t="n"/>
      <c r="P41" s="1308" t="n"/>
      <c r="Q41" s="1440" t="n"/>
      <c r="R41" s="1440" t="n"/>
      <c r="S41" s="290" t="n"/>
      <c r="T41" s="290" t="n"/>
      <c r="U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I42" s="1440" t="n"/>
      <c r="J42" s="1440" t="n"/>
      <c r="K42" s="1440" t="n"/>
      <c r="L42" s="1440" t="n"/>
      <c r="M42" s="1440" t="n"/>
      <c r="N42" s="1440" t="n"/>
      <c r="O42" s="1440" t="n"/>
      <c r="P42" s="1308" t="n"/>
      <c r="Q42" s="1440" t="n"/>
      <c r="R42" s="1440" t="n"/>
      <c r="S42" s="290" t="n"/>
      <c r="T42" s="290" t="n"/>
      <c r="U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I43" s="1440" t="n"/>
      <c r="J43" s="1440" t="n"/>
      <c r="K43" s="1440" t="n"/>
      <c r="L43" s="1440" t="n"/>
      <c r="M43" s="1440" t="n"/>
      <c r="N43" s="1440" t="n"/>
      <c r="O43" s="1440" t="n"/>
      <c r="P43" s="1308" t="n"/>
      <c r="Q43" s="1440" t="n"/>
      <c r="R43" s="1440" t="n"/>
      <c r="S43" s="290" t="n"/>
      <c r="T43" s="290" t="n"/>
      <c r="U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I44" s="1440" t="n"/>
      <c r="J44" s="1440" t="n"/>
      <c r="K44" s="1440" t="n"/>
      <c r="L44" s="1440" t="n"/>
      <c r="M44" s="1440" t="n"/>
      <c r="N44" s="1440" t="n"/>
      <c r="O44" s="1440" t="n"/>
      <c r="P44" s="1308" t="n"/>
      <c r="Q44" s="1440" t="n"/>
      <c r="R44" s="1440" t="n"/>
      <c r="S44" s="290" t="n"/>
      <c r="T44" s="290" t="n"/>
      <c r="U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I45" s="1440" t="n"/>
      <c r="J45" s="1440" t="n"/>
      <c r="K45" s="1440" t="n"/>
      <c r="L45" s="1440" t="n"/>
      <c r="M45" s="1440" t="n"/>
      <c r="N45" s="1440" t="n"/>
      <c r="O45" s="1440" t="n"/>
      <c r="P45" s="1308" t="n"/>
      <c r="Q45" s="1440" t="n"/>
      <c r="R45" s="1440" t="n"/>
      <c r="S45" s="290" t="n"/>
      <c r="T45" s="290" t="n"/>
      <c r="U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I46" s="1440" t="n"/>
      <c r="J46" s="1440" t="n"/>
      <c r="K46" s="1440" t="n"/>
      <c r="L46" s="1440" t="n"/>
      <c r="M46" s="1440" t="n"/>
      <c r="N46" s="1440" t="n"/>
      <c r="O46" s="1440" t="n"/>
      <c r="P46" s="1308" t="n"/>
      <c r="Q46" s="1440" t="n"/>
      <c r="R46" s="1440" t="n"/>
      <c r="S46" s="290" t="n"/>
      <c r="T46" s="290" t="n"/>
      <c r="U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I47" s="1440" t="n"/>
      <c r="J47" s="1440" t="n"/>
      <c r="K47" s="1440" t="n"/>
      <c r="L47" s="1440" t="n"/>
      <c r="M47" s="1440" t="n"/>
      <c r="N47" s="1440" t="n"/>
      <c r="O47" s="1440" t="n"/>
      <c r="P47" s="1308" t="n"/>
      <c r="Q47" s="1440" t="n"/>
      <c r="R47" s="1440" t="n"/>
      <c r="S47" s="290" t="n"/>
      <c r="T47" s="290" t="n"/>
      <c r="U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I48" s="1440" t="n"/>
      <c r="J48" s="1440" t="n"/>
      <c r="K48" s="1440" t="n"/>
      <c r="L48" s="1440" t="n"/>
      <c r="M48" s="1440" t="n"/>
      <c r="N48" s="1440" t="n"/>
      <c r="O48" s="1440" t="n"/>
      <c r="P48" s="1308" t="n"/>
      <c r="Q48" s="1440" t="n"/>
      <c r="R48" s="1440" t="n"/>
      <c r="S48" s="290" t="n"/>
      <c r="T48" s="290" t="n"/>
      <c r="U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I49" s="1440" t="n"/>
      <c r="J49" s="1440" t="n"/>
      <c r="K49" s="1440" t="n"/>
      <c r="L49" s="1440" t="n"/>
      <c r="M49" s="1440" t="n"/>
      <c r="N49" s="1440" t="n"/>
      <c r="O49" s="1440" t="n"/>
      <c r="P49" s="1308" t="n"/>
      <c r="Q49" s="1440" t="n"/>
      <c r="R49" s="1440" t="n"/>
      <c r="S49" s="290" t="n"/>
      <c r="T49" s="290" t="n"/>
      <c r="U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I50" s="1440" t="n"/>
      <c r="J50" s="1440" t="n"/>
      <c r="K50" s="1440" t="n"/>
      <c r="L50" s="1440" t="n"/>
      <c r="M50" s="1440" t="n"/>
      <c r="N50" s="1440" t="n"/>
      <c r="O50" s="1440" t="n"/>
      <c r="P50" s="1308" t="n"/>
      <c r="Q50" s="1440" t="n"/>
      <c r="R50" s="1440" t="n"/>
      <c r="S50" s="290" t="n"/>
      <c r="T50" s="290" t="n"/>
      <c r="U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I51" s="1440" t="n"/>
      <c r="J51" s="1440" t="n"/>
      <c r="K51" s="1440" t="n"/>
      <c r="L51" s="1440" t="n"/>
      <c r="M51" s="1440" t="n"/>
      <c r="N51" s="1440" t="n"/>
      <c r="O51" s="1440" t="n"/>
      <c r="P51" s="1308" t="n"/>
      <c r="Q51" s="1440" t="n"/>
      <c r="R51" s="1440" t="n"/>
      <c r="S51" s="290" t="n"/>
      <c r="T51" s="290" t="n"/>
      <c r="U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I52" s="1440" t="n"/>
      <c r="J52" s="1440" t="n"/>
      <c r="K52" s="1440" t="n"/>
      <c r="L52" s="1440" t="n"/>
      <c r="M52" s="1440" t="n"/>
      <c r="N52" s="1440" t="n"/>
      <c r="O52" s="1440" t="n"/>
      <c r="P52" s="1308" t="n"/>
      <c r="Q52" s="1440" t="n"/>
      <c r="R52" s="1440" t="n"/>
      <c r="S52" s="290" t="n"/>
      <c r="T52" s="290" t="n"/>
      <c r="U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I53" s="1440" t="n"/>
      <c r="J53" s="1440" t="n"/>
      <c r="K53" s="1440" t="n"/>
      <c r="L53" s="1440" t="n"/>
      <c r="M53" s="1440" t="n"/>
      <c r="N53" s="1440" t="n"/>
      <c r="O53" s="1440" t="n"/>
      <c r="P53" s="1308" t="n"/>
      <c r="Q53" s="1440" t="n"/>
      <c r="R53" s="1440" t="n"/>
      <c r="S53" s="290" t="n"/>
      <c r="T53" s="290" t="n"/>
      <c r="U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I54" s="1440" t="n"/>
      <c r="J54" s="1440" t="n"/>
      <c r="K54" s="1440" t="n"/>
      <c r="L54" s="1440" t="n"/>
      <c r="M54" s="1440" t="n"/>
      <c r="N54" s="1440" t="n"/>
      <c r="O54" s="1440" t="n"/>
      <c r="P54" s="1308" t="n"/>
      <c r="Q54" s="1440" t="n"/>
      <c r="R54" s="1440" t="n"/>
      <c r="S54" s="290" t="n"/>
      <c r="T54" s="290" t="n"/>
      <c r="U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I55" s="1440" t="n"/>
      <c r="J55" s="1440" t="n"/>
      <c r="K55" s="1440" t="n"/>
      <c r="L55" s="1440" t="n"/>
      <c r="M55" s="1440" t="n"/>
      <c r="N55" s="1440" t="n"/>
      <c r="O55" s="1440" t="n"/>
      <c r="P55" s="1308" t="n"/>
      <c r="Q55" s="1440" t="n"/>
      <c r="R55" s="1440" t="n"/>
      <c r="S55" s="290" t="n"/>
      <c r="T55" s="290" t="n"/>
      <c r="U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I56" s="1440" t="n"/>
      <c r="J56" s="1440" t="n"/>
      <c r="K56" s="1440" t="n"/>
      <c r="L56" s="1440" t="n"/>
      <c r="M56" s="1440" t="n"/>
      <c r="N56" s="1440" t="n"/>
      <c r="O56" s="1440" t="n"/>
      <c r="P56" s="1308" t="n"/>
      <c r="Q56" s="1440" t="n"/>
      <c r="R56" s="1440" t="n"/>
      <c r="S56" s="290" t="n"/>
      <c r="T56" s="290" t="n"/>
      <c r="U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I57" s="1440" t="n"/>
      <c r="J57" s="1440" t="n"/>
      <c r="K57" s="1440" t="n"/>
      <c r="L57" s="1440" t="n"/>
      <c r="M57" s="1440" t="n"/>
      <c r="N57" s="1440" t="n"/>
      <c r="O57" s="1440" t="n"/>
      <c r="P57" s="1308" t="n"/>
      <c r="Q57" s="1440" t="n"/>
      <c r="R57" s="1440" t="n"/>
      <c r="S57" s="290" t="n"/>
      <c r="T57" s="290" t="n"/>
      <c r="U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I58" s="1440" t="n"/>
      <c r="J58" s="1440" t="n"/>
      <c r="K58" s="1440" t="n"/>
      <c r="L58" s="1440" t="n"/>
      <c r="M58" s="1440" t="n"/>
      <c r="N58" s="1440" t="n"/>
      <c r="O58" s="1440" t="n"/>
      <c r="P58" s="1308" t="n"/>
      <c r="Q58" s="1440" t="n"/>
      <c r="R58" s="1440" t="n"/>
      <c r="S58" s="290" t="n"/>
      <c r="T58" s="290" t="n"/>
      <c r="U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I59" s="1440" t="n"/>
      <c r="J59" s="1440" t="n"/>
      <c r="K59" s="1440" t="n"/>
      <c r="L59" s="1440" t="n"/>
      <c r="M59" s="1440" t="n"/>
      <c r="N59" s="1440" t="n"/>
      <c r="O59" s="1440" t="n"/>
      <c r="P59" s="1308" t="n"/>
      <c r="Q59" s="1440" t="n"/>
      <c r="R59" s="1440" t="n"/>
      <c r="S59" s="290" t="n"/>
      <c r="T59" s="290" t="n"/>
      <c r="U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I60" s="1440" t="n"/>
      <c r="J60" s="1440" t="n"/>
      <c r="K60" s="1440" t="n"/>
      <c r="L60" s="1440" t="n"/>
      <c r="M60" s="1440" t="n"/>
      <c r="N60" s="1440" t="n"/>
      <c r="O60" s="1440" t="n"/>
      <c r="P60" s="1308" t="n"/>
      <c r="Q60" s="1440" t="n"/>
      <c r="R60" s="1440" t="n"/>
      <c r="S60" s="290" t="n"/>
      <c r="T60" s="290" t="n"/>
      <c r="U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I61" s="1440" t="n"/>
      <c r="J61" s="1440" t="n"/>
      <c r="K61" s="1440" t="n"/>
      <c r="L61" s="1440" t="n"/>
      <c r="M61" s="1440" t="n"/>
      <c r="N61" s="1440" t="n"/>
      <c r="O61" s="1440" t="n"/>
      <c r="P61" s="1308" t="n"/>
      <c r="Q61" s="1440" t="n"/>
      <c r="R61" s="1440" t="n"/>
      <c r="S61" s="290" t="n"/>
      <c r="T61" s="290" t="n"/>
      <c r="U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I62" s="1440" t="n"/>
      <c r="J62" s="1440" t="n"/>
      <c r="K62" s="1440" t="n"/>
      <c r="L62" s="1440" t="n"/>
      <c r="M62" s="1440" t="n"/>
      <c r="N62" s="1440" t="n"/>
      <c r="O62" s="1440" t="n"/>
      <c r="P62" s="1308" t="n"/>
      <c r="Q62" s="1440" t="n"/>
      <c r="R62" s="1440" t="n"/>
      <c r="S62" s="290" t="n"/>
      <c r="T62" s="290" t="n"/>
      <c r="U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I63" s="1440" t="n"/>
      <c r="J63" s="1440" t="n"/>
      <c r="K63" s="1440" t="n"/>
      <c r="L63" s="1440" t="n"/>
      <c r="M63" s="1440" t="n"/>
      <c r="N63" s="1440" t="n"/>
      <c r="O63" s="1440" t="n"/>
      <c r="P63" s="1308" t="n"/>
      <c r="Q63" s="1440" t="n"/>
      <c r="R63" s="1440" t="n"/>
      <c r="S63" s="290" t="n"/>
      <c r="T63" s="290" t="n"/>
      <c r="U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I64" s="1440" t="n"/>
      <c r="J64" s="1440" t="n"/>
      <c r="K64" s="1440" t="n"/>
      <c r="L64" s="1440" t="n"/>
      <c r="M64" s="1440" t="n"/>
      <c r="N64" s="1440" t="n"/>
      <c r="O64" s="1440" t="n"/>
      <c r="P64" s="1308" t="n"/>
      <c r="Q64" s="1440" t="n"/>
      <c r="R64" s="1440" t="n"/>
      <c r="S64" s="290" t="n"/>
      <c r="T64" s="290" t="n"/>
      <c r="U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I65" s="1440" t="n"/>
      <c r="J65" s="1440" t="n"/>
      <c r="K65" s="1440" t="n"/>
      <c r="L65" s="1440" t="n"/>
      <c r="M65" s="1440" t="n"/>
      <c r="N65" s="1440" t="n"/>
      <c r="O65" s="1440" t="n"/>
      <c r="P65" s="1308" t="n"/>
      <c r="Q65" s="1440" t="n"/>
      <c r="R65" s="1440" t="n"/>
      <c r="S65" s="290" t="n"/>
      <c r="T65" s="290" t="n"/>
      <c r="U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I66" s="1440" t="n"/>
      <c r="J66" s="1440" t="n"/>
      <c r="K66" s="1440" t="n"/>
      <c r="L66" s="1440" t="n"/>
      <c r="M66" s="1440" t="n"/>
      <c r="N66" s="1440" t="n"/>
      <c r="O66" s="1440" t="n"/>
      <c r="P66" s="1308" t="n"/>
      <c r="Q66" s="1440" t="n"/>
      <c r="R66" s="1440" t="n"/>
      <c r="S66" s="290" t="n"/>
      <c r="T66" s="290" t="n"/>
      <c r="U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I67" s="1440" t="n"/>
      <c r="J67" s="1440" t="n"/>
      <c r="K67" s="1440" t="n"/>
      <c r="L67" s="1440" t="n"/>
      <c r="M67" s="1440" t="n"/>
      <c r="N67" s="1440" t="n"/>
      <c r="O67" s="1440" t="n"/>
      <c r="P67" s="1308" t="n"/>
      <c r="Q67" s="1440" t="n"/>
      <c r="R67" s="1440" t="n"/>
      <c r="S67" s="290" t="n"/>
      <c r="T67" s="290" t="n"/>
      <c r="U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I68" s="1440" t="n"/>
      <c r="J68" s="1440" t="n"/>
      <c r="K68" s="1440" t="n"/>
      <c r="L68" s="1440" t="n"/>
      <c r="M68" s="1440" t="n"/>
      <c r="N68" s="1440" t="n"/>
      <c r="O68" s="1440" t="n"/>
      <c r="P68" s="1308" t="n"/>
      <c r="Q68" s="1440" t="n"/>
      <c r="R68" s="1440" t="n"/>
      <c r="S68" s="290" t="n"/>
      <c r="T68" s="290" t="n"/>
      <c r="U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I69" s="1440" t="n"/>
      <c r="J69" s="1440" t="n"/>
      <c r="K69" s="1440" t="n"/>
      <c r="L69" s="1440" t="n"/>
      <c r="M69" s="1440" t="n"/>
      <c r="N69" s="1440" t="n"/>
      <c r="O69" s="1440" t="n"/>
      <c r="P69" s="1308" t="n"/>
      <c r="Q69" s="1440" t="n"/>
      <c r="R69" s="1440" t="n"/>
      <c r="S69" s="290" t="n"/>
      <c r="T69" s="290" t="n"/>
      <c r="U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I70" s="1440" t="n"/>
      <c r="J70" s="1440" t="n"/>
      <c r="K70" s="1440" t="n"/>
      <c r="L70" s="1440" t="n"/>
      <c r="M70" s="1440" t="n"/>
      <c r="N70" s="1440" t="n"/>
      <c r="O70" s="1440" t="n"/>
      <c r="P70" s="1308" t="n"/>
      <c r="Q70" s="1440" t="n"/>
      <c r="R70" s="1440" t="n"/>
      <c r="S70" s="290" t="n"/>
      <c r="T70" s="290" t="n"/>
      <c r="U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I71" s="1440" t="n"/>
      <c r="J71" s="1440" t="n"/>
      <c r="K71" s="1440" t="n"/>
      <c r="L71" s="1440" t="n"/>
      <c r="M71" s="1440" t="n"/>
      <c r="N71" s="1440" t="n"/>
      <c r="O71" s="1440" t="n"/>
      <c r="P71" s="1308" t="n"/>
      <c r="Q71" s="1440" t="n"/>
      <c r="R71" s="1440" t="n"/>
      <c r="S71" s="290" t="n"/>
      <c r="T71" s="290" t="n"/>
      <c r="U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I72" s="1440" t="n"/>
      <c r="J72" s="1440" t="n"/>
      <c r="K72" s="1440" t="n"/>
      <c r="L72" s="1440" t="n"/>
      <c r="M72" s="1440" t="n"/>
      <c r="N72" s="1440" t="n"/>
      <c r="O72" s="1440" t="n"/>
      <c r="P72" s="1308" t="n"/>
      <c r="Q72" s="1440" t="n"/>
      <c r="R72" s="1440" t="n"/>
      <c r="S72" s="290" t="n"/>
      <c r="T72" s="290" t="n"/>
      <c r="U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I73" s="1440" t="n"/>
      <c r="J73" s="1440" t="n"/>
      <c r="K73" s="1440" t="n"/>
      <c r="L73" s="1440" t="n"/>
      <c r="M73" s="1440" t="n"/>
      <c r="N73" s="1440" t="n"/>
      <c r="O73" s="1440" t="n"/>
      <c r="P73" s="1308" t="n"/>
      <c r="Q73" s="1440" t="n"/>
      <c r="R73" s="1440" t="n"/>
      <c r="S73" s="290" t="n"/>
      <c r="T73" s="290" t="n"/>
      <c r="U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I74" s="1440" t="n"/>
      <c r="J74" s="1440" t="n"/>
      <c r="K74" s="1440" t="n"/>
      <c r="L74" s="1440" t="n"/>
      <c r="M74" s="1440" t="n"/>
      <c r="N74" s="1440" t="n"/>
      <c r="O74" s="1440" t="n"/>
      <c r="P74" s="1308" t="n"/>
      <c r="Q74" s="1440" t="n"/>
      <c r="R74" s="1440" t="n"/>
      <c r="S74" s="290" t="n"/>
      <c r="T74" s="290" t="n"/>
      <c r="U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I75" s="1440" t="n"/>
      <c r="J75" s="1440" t="n"/>
      <c r="K75" s="1440" t="n"/>
      <c r="L75" s="1440" t="n"/>
      <c r="M75" s="1440" t="n"/>
      <c r="N75" s="1440" t="n"/>
      <c r="O75" s="1440" t="n"/>
      <c r="P75" s="1308" t="n"/>
      <c r="Q75" s="1440" t="n"/>
      <c r="R75" s="1440" t="n"/>
      <c r="S75" s="290" t="n"/>
      <c r="T75" s="290" t="n"/>
      <c r="U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I76" s="1440" t="n"/>
      <c r="J76" s="1440" t="n"/>
      <c r="K76" s="1440" t="n"/>
      <c r="L76" s="1440" t="n"/>
      <c r="M76" s="1440" t="n"/>
      <c r="N76" s="1440" t="n"/>
      <c r="O76" s="1440" t="n"/>
      <c r="P76" s="1308" t="n"/>
      <c r="Q76" s="1440" t="n"/>
      <c r="R76" s="1440" t="n"/>
      <c r="S76" s="290" t="n"/>
      <c r="T76" s="290" t="n"/>
      <c r="U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I77" s="1440" t="n"/>
      <c r="J77" s="1440" t="n"/>
      <c r="K77" s="1440" t="n"/>
      <c r="L77" s="1440" t="n"/>
      <c r="M77" s="1440" t="n"/>
      <c r="N77" s="1440" t="n"/>
      <c r="O77" s="1440" t="n"/>
      <c r="P77" s="1308" t="n"/>
      <c r="Q77" s="1440" t="n"/>
      <c r="R77" s="1440" t="n"/>
      <c r="S77" s="290" t="n"/>
      <c r="T77" s="290" t="n"/>
      <c r="U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I78" s="1440" t="n"/>
      <c r="J78" s="1440" t="n"/>
      <c r="K78" s="1440" t="n"/>
      <c r="L78" s="1440" t="n"/>
      <c r="M78" s="1440" t="n"/>
      <c r="N78" s="1440" t="n"/>
      <c r="O78" s="1440" t="n"/>
      <c r="P78" s="1308" t="n"/>
      <c r="Q78" s="1440" t="n"/>
      <c r="R78" s="1440" t="n"/>
      <c r="S78" s="290" t="n"/>
      <c r="T78" s="290" t="n"/>
      <c r="U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I79" s="1440" t="n"/>
      <c r="J79" s="1440" t="n"/>
      <c r="K79" s="1440" t="n"/>
      <c r="L79" s="1440" t="n"/>
      <c r="M79" s="1440" t="n"/>
      <c r="N79" s="1440" t="n"/>
      <c r="O79" s="1440" t="n"/>
      <c r="P79" s="1308" t="n"/>
      <c r="Q79" s="1440" t="n"/>
      <c r="R79" s="1440" t="n"/>
      <c r="S79" s="290" t="n"/>
      <c r="T79" s="290" t="n"/>
      <c r="U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I80" s="1440" t="n"/>
      <c r="J80" s="1440" t="n"/>
      <c r="K80" s="1440" t="n"/>
      <c r="L80" s="1440" t="n"/>
      <c r="M80" s="1440" t="n"/>
      <c r="N80" s="1440" t="n"/>
      <c r="O80" s="1440" t="n"/>
      <c r="P80" s="1308" t="n"/>
      <c r="Q80" s="1440" t="n"/>
      <c r="R80" s="1440" t="n"/>
      <c r="S80" s="290" t="n"/>
      <c r="T80" s="290" t="n"/>
      <c r="U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I81" s="1440" t="n"/>
      <c r="J81" s="1440" t="n"/>
      <c r="K81" s="1440" t="n"/>
      <c r="L81" s="1440" t="n"/>
      <c r="M81" s="1440" t="n"/>
      <c r="N81" s="1440" t="n"/>
      <c r="O81" s="1440" t="n"/>
      <c r="P81" s="1308" t="n"/>
      <c r="Q81" s="1440" t="n"/>
      <c r="R81" s="1440" t="n"/>
      <c r="S81" s="290" t="n"/>
      <c r="T81" s="290" t="n"/>
      <c r="U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I82" s="1440" t="n"/>
      <c r="J82" s="1440" t="n"/>
      <c r="K82" s="1440" t="n"/>
      <c r="L82" s="1440" t="n"/>
      <c r="M82" s="1440" t="n"/>
      <c r="N82" s="1440" t="n"/>
      <c r="O82" s="1440" t="n"/>
      <c r="P82" s="1308" t="n"/>
      <c r="Q82" s="1440" t="n"/>
      <c r="R82" s="1440" t="n"/>
      <c r="S82" s="290" t="n"/>
      <c r="T82" s="290" t="n"/>
      <c r="U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I83" s="1440" t="n"/>
      <c r="J83" s="1440" t="n"/>
      <c r="K83" s="1440" t="n"/>
      <c r="L83" s="1440" t="n"/>
      <c r="M83" s="1440" t="n"/>
      <c r="N83" s="1440" t="n"/>
      <c r="O83" s="1440" t="n"/>
      <c r="P83" s="1308" t="n"/>
      <c r="Q83" s="1440" t="n"/>
      <c r="R83" s="1440" t="n"/>
      <c r="S83" s="290" t="n"/>
      <c r="T83" s="290" t="n"/>
      <c r="U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I84" s="1440" t="n"/>
      <c r="J84" s="1440" t="n"/>
      <c r="K84" s="1440" t="n"/>
      <c r="L84" s="1440" t="n"/>
      <c r="M84" s="1440" t="n"/>
      <c r="N84" s="1440" t="n"/>
      <c r="O84" s="1440" t="n"/>
      <c r="P84" s="1308" t="n"/>
      <c r="Q84" s="1440" t="n"/>
      <c r="R84" s="1440" t="n"/>
      <c r="S84" s="290" t="n"/>
      <c r="T84" s="290" t="n"/>
      <c r="U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I85" s="1440" t="n"/>
      <c r="J85" s="1440" t="n"/>
      <c r="K85" s="1440" t="n"/>
      <c r="L85" s="1440" t="n"/>
      <c r="M85" s="1440" t="n"/>
      <c r="N85" s="1440" t="n"/>
      <c r="O85" s="1440" t="n"/>
      <c r="P85" s="1308" t="n"/>
      <c r="Q85" s="1440" t="n"/>
      <c r="R85" s="1440" t="n"/>
      <c r="S85" s="290" t="n"/>
      <c r="T85" s="290" t="n"/>
      <c r="U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I86" s="1440" t="n"/>
      <c r="J86" s="1440" t="n"/>
      <c r="K86" s="1440" t="n"/>
      <c r="L86" s="1440" t="n"/>
      <c r="M86" s="1440" t="n"/>
      <c r="N86" s="1440" t="n"/>
      <c r="O86" s="1440" t="n"/>
      <c r="P86" s="1308" t="n"/>
      <c r="Q86" s="1440" t="n"/>
      <c r="R86" s="1440" t="n"/>
      <c r="S86" s="290" t="n"/>
      <c r="T86" s="290" t="n"/>
      <c r="U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I87" s="1440" t="n"/>
      <c r="J87" s="1440" t="n"/>
      <c r="K87" s="1440" t="n"/>
      <c r="L87" s="1440" t="n"/>
      <c r="M87" s="1440" t="n"/>
      <c r="N87" s="1440" t="n"/>
      <c r="O87" s="1440" t="n"/>
      <c r="P87" s="1308" t="n"/>
      <c r="Q87" s="1440" t="n"/>
      <c r="R87" s="1440" t="n"/>
      <c r="S87" s="290" t="n"/>
      <c r="T87" s="290" t="n"/>
      <c r="U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I88" s="1440" t="n"/>
      <c r="J88" s="1440" t="n"/>
      <c r="K88" s="1440" t="n"/>
      <c r="L88" s="1440" t="n"/>
      <c r="M88" s="1440" t="n"/>
      <c r="N88" s="1440" t="n"/>
      <c r="O88" s="1440" t="n"/>
      <c r="P88" s="1308" t="n"/>
      <c r="Q88" s="1440" t="n"/>
      <c r="R88" s="1440" t="n"/>
      <c r="S88" s="290" t="n"/>
      <c r="T88" s="290" t="n"/>
      <c r="U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I89" s="1440" t="n"/>
      <c r="J89" s="1440" t="n"/>
      <c r="K89" s="1440" t="n"/>
      <c r="L89" s="1440" t="n"/>
      <c r="M89" s="1440" t="n"/>
      <c r="N89" s="1440" t="n"/>
      <c r="O89" s="1440" t="n"/>
      <c r="P89" s="1308" t="n"/>
      <c r="Q89" s="1440" t="n"/>
      <c r="R89" s="1440" t="n"/>
      <c r="S89" s="290" t="n"/>
      <c r="T89" s="290" t="n"/>
      <c r="U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I90" s="1440" t="n"/>
      <c r="J90" s="1440" t="n"/>
      <c r="K90" s="1440" t="n"/>
      <c r="L90" s="1440" t="n"/>
      <c r="M90" s="1440" t="n"/>
      <c r="N90" s="1440" t="n"/>
      <c r="O90" s="1440" t="n"/>
      <c r="P90" s="1308" t="n"/>
      <c r="Q90" s="1440" t="n"/>
      <c r="R90" s="1440" t="n"/>
      <c r="S90" s="290" t="n"/>
      <c r="T90" s="290" t="n"/>
      <c r="U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I91" s="1440" t="n"/>
      <c r="J91" s="1440" t="n"/>
      <c r="K91" s="1440" t="n"/>
      <c r="L91" s="1440" t="n"/>
      <c r="M91" s="1440" t="n"/>
      <c r="N91" s="1440" t="n"/>
      <c r="O91" s="1440" t="n"/>
      <c r="P91" s="1308" t="n"/>
      <c r="Q91" s="1440" t="n"/>
      <c r="R91" s="1440" t="n"/>
      <c r="S91" s="290" t="n"/>
      <c r="T91" s="290" t="n"/>
      <c r="U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I92" s="1440" t="n"/>
      <c r="J92" s="1440" t="n"/>
      <c r="K92" s="1440" t="n"/>
      <c r="L92" s="1440" t="n"/>
      <c r="M92" s="1440" t="n"/>
      <c r="N92" s="1440" t="n"/>
      <c r="O92" s="1440" t="n"/>
      <c r="P92" s="1308" t="n"/>
      <c r="Q92" s="1440" t="n"/>
      <c r="R92" s="1440" t="n"/>
      <c r="S92" s="290" t="n"/>
      <c r="T92" s="290" t="n"/>
      <c r="U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I93" s="1440" t="n"/>
      <c r="J93" s="1440" t="n"/>
      <c r="K93" s="1440" t="n"/>
      <c r="L93" s="1440" t="n"/>
      <c r="M93" s="1440" t="n"/>
      <c r="N93" s="1440" t="n"/>
      <c r="O93" s="1440" t="n"/>
      <c r="P93" s="1308" t="n"/>
      <c r="Q93" s="1440" t="n"/>
      <c r="R93" s="1440" t="n"/>
      <c r="S93" s="290" t="n"/>
      <c r="T93" s="290" t="n"/>
      <c r="U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I94" s="1440" t="n"/>
      <c r="J94" s="1440" t="n"/>
      <c r="K94" s="1440" t="n"/>
      <c r="L94" s="1440" t="n"/>
      <c r="M94" s="1440" t="n"/>
      <c r="N94" s="1440" t="n"/>
      <c r="O94" s="1440" t="n"/>
      <c r="P94" s="1308" t="n"/>
      <c r="Q94" s="1440" t="n"/>
      <c r="R94" s="1440" t="n"/>
      <c r="S94" s="290" t="n"/>
      <c r="T94" s="290" t="n"/>
      <c r="U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I95" s="1440" t="n"/>
      <c r="J95" s="1440" t="n"/>
      <c r="K95" s="1440" t="n"/>
      <c r="L95" s="1440" t="n"/>
      <c r="M95" s="1440" t="n"/>
      <c r="N95" s="1440" t="n"/>
      <c r="O95" s="1440" t="n"/>
      <c r="P95" s="1308" t="n"/>
      <c r="Q95" s="1440" t="n"/>
      <c r="R95" s="1440" t="n"/>
      <c r="S95" s="290" t="n"/>
      <c r="T95" s="290" t="n"/>
      <c r="U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I96" s="1440" t="n"/>
      <c r="J96" s="1440" t="n"/>
      <c r="K96" s="1440" t="n"/>
      <c r="L96" s="1440" t="n"/>
      <c r="M96" s="1440" t="n"/>
      <c r="N96" s="1440" t="n"/>
      <c r="O96" s="1440" t="n"/>
      <c r="P96" s="1308" t="n"/>
      <c r="Q96" s="1440" t="n"/>
      <c r="R96" s="1440" t="n"/>
      <c r="S96" s="290" t="n"/>
      <c r="T96" s="290" t="n"/>
      <c r="U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I97" s="1440" t="n"/>
      <c r="J97" s="1440" t="n"/>
      <c r="K97" s="1440" t="n"/>
      <c r="L97" s="1440" t="n"/>
      <c r="M97" s="1440" t="n"/>
      <c r="N97" s="1440" t="n"/>
      <c r="O97" s="1440" t="n"/>
      <c r="P97" s="1308" t="n"/>
      <c r="Q97" s="1440" t="n"/>
      <c r="R97" s="1440" t="n"/>
      <c r="S97" s="290" t="n"/>
      <c r="T97" s="290" t="n"/>
      <c r="U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I98" s="1440" t="n"/>
      <c r="J98" s="1440" t="n"/>
      <c r="K98" s="1440" t="n"/>
      <c r="L98" s="1440" t="n"/>
      <c r="M98" s="1440" t="n"/>
      <c r="N98" s="1440" t="n"/>
      <c r="O98" s="1440" t="n"/>
      <c r="P98" s="1308" t="n"/>
      <c r="Q98" s="1440" t="n"/>
      <c r="R98" s="1440" t="n"/>
      <c r="S98" s="290" t="n"/>
      <c r="T98" s="290" t="n"/>
      <c r="U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I99" s="1440" t="n"/>
      <c r="J99" s="1440" t="n"/>
      <c r="K99" s="1440" t="n"/>
      <c r="L99" s="1440" t="n"/>
      <c r="M99" s="1440" t="n"/>
      <c r="N99" s="1440" t="n"/>
      <c r="O99" s="1440" t="n"/>
      <c r="P99" s="1308" t="n"/>
      <c r="Q99" s="1440" t="n"/>
      <c r="R99" s="1440" t="n"/>
      <c r="S99" s="290" t="n"/>
      <c r="T99" s="290" t="n"/>
      <c r="U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I100" s="1440" t="n"/>
      <c r="J100" s="1440" t="n"/>
      <c r="K100" s="1440" t="n"/>
      <c r="L100" s="1440" t="n"/>
      <c r="M100" s="1440" t="n"/>
      <c r="N100" s="1440" t="n"/>
      <c r="O100" s="1440" t="n"/>
      <c r="P100" s="1308" t="n"/>
      <c r="Q100" s="1440" t="n"/>
      <c r="R100" s="1440" t="n"/>
      <c r="S100" s="290" t="n"/>
      <c r="T100" s="290" t="n"/>
      <c r="U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I101" s="1440" t="n"/>
      <c r="J101" s="1440" t="n"/>
      <c r="K101" s="1440" t="n"/>
      <c r="L101" s="1440" t="n"/>
      <c r="M101" s="1440" t="n"/>
      <c r="N101" s="1440" t="n"/>
      <c r="O101" s="1440" t="n"/>
      <c r="P101" s="1308" t="n"/>
      <c r="Q101" s="1440" t="n"/>
      <c r="R101" s="1440" t="n"/>
      <c r="S101" s="290" t="n"/>
      <c r="T101" s="290" t="n"/>
      <c r="U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I102" s="1440" t="n"/>
      <c r="J102" s="1440" t="n"/>
      <c r="K102" s="1440" t="n"/>
      <c r="L102" s="1440" t="n"/>
      <c r="M102" s="1440" t="n"/>
      <c r="N102" s="1440" t="n"/>
      <c r="O102" s="1440" t="n"/>
      <c r="P102" s="1308" t="n"/>
      <c r="Q102" s="1440" t="n"/>
      <c r="R102" s="1440" t="n"/>
      <c r="S102" s="290" t="n"/>
      <c r="T102" s="290" t="n"/>
      <c r="U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I103" s="1440" t="n"/>
      <c r="J103" s="1440" t="n"/>
      <c r="K103" s="1440" t="n"/>
      <c r="L103" s="1440" t="n"/>
      <c r="M103" s="1440" t="n"/>
      <c r="N103" s="1440" t="n"/>
      <c r="O103" s="1440" t="n"/>
      <c r="P103" s="1308" t="n"/>
      <c r="Q103" s="1440" t="n"/>
      <c r="R103" s="1440" t="n"/>
      <c r="S103" s="290" t="n"/>
      <c r="T103" s="290" t="n"/>
      <c r="U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I104" s="1440" t="n"/>
      <c r="J104" s="1440" t="n"/>
      <c r="K104" s="1440" t="n"/>
      <c r="L104" s="1440" t="n"/>
      <c r="M104" s="1440" t="n"/>
      <c r="N104" s="1440" t="n"/>
      <c r="O104" s="1440" t="n"/>
      <c r="P104" s="1308" t="n"/>
      <c r="Q104" s="1440" t="n"/>
      <c r="R104" s="1440" t="n"/>
      <c r="S104" s="290" t="n"/>
      <c r="T104" s="290" t="n"/>
      <c r="U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I105" s="1440" t="n"/>
      <c r="J105" s="1440" t="n"/>
      <c r="K105" s="1440" t="n"/>
      <c r="L105" s="1440" t="n"/>
      <c r="M105" s="1440" t="n"/>
      <c r="N105" s="1440" t="n"/>
      <c r="O105" s="1440" t="n"/>
      <c r="P105" s="1308" t="n"/>
      <c r="Q105" s="1440" t="n"/>
      <c r="R105" s="1440" t="n"/>
      <c r="S105" s="290" t="n"/>
      <c r="T105" s="290" t="n"/>
      <c r="U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I106" s="1440" t="n"/>
      <c r="J106" s="1440" t="n"/>
      <c r="K106" s="1440" t="n"/>
      <c r="L106" s="1440" t="n"/>
      <c r="M106" s="1440" t="n"/>
      <c r="N106" s="1440" t="n"/>
      <c r="O106" s="1440" t="n"/>
      <c r="P106" s="1308" t="n"/>
      <c r="Q106" s="1440" t="n"/>
      <c r="R106" s="1440" t="n"/>
      <c r="S106" s="290" t="n"/>
      <c r="T106" s="290" t="n"/>
      <c r="U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I107" s="1440" t="n"/>
      <c r="J107" s="1440" t="n"/>
      <c r="K107" s="1440" t="n"/>
      <c r="L107" s="1440" t="n"/>
      <c r="M107" s="1440" t="n"/>
      <c r="N107" s="1440" t="n"/>
      <c r="O107" s="1440" t="n"/>
      <c r="P107" s="1308" t="n"/>
      <c r="Q107" s="1440" t="n"/>
      <c r="R107" s="1440" t="n"/>
      <c r="S107" s="290" t="n"/>
      <c r="T107" s="290" t="n"/>
      <c r="U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I108" s="1440" t="n"/>
      <c r="J108" s="1440" t="n"/>
      <c r="K108" s="1440" t="n"/>
      <c r="L108" s="1440" t="n"/>
      <c r="M108" s="1440" t="n"/>
      <c r="N108" s="1440" t="n"/>
      <c r="O108" s="1440" t="n"/>
      <c r="P108" s="1308" t="n"/>
      <c r="Q108" s="1440" t="n"/>
      <c r="R108" s="1440" t="n"/>
      <c r="S108" s="290" t="n"/>
      <c r="T108" s="290" t="n"/>
      <c r="U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I109" s="1440" t="n"/>
      <c r="J109" s="1440" t="n"/>
      <c r="K109" s="1440" t="n"/>
      <c r="L109" s="1440" t="n"/>
      <c r="M109" s="1440" t="n"/>
      <c r="N109" s="1440" t="n"/>
      <c r="O109" s="1440" t="n"/>
      <c r="P109" s="1308" t="n"/>
      <c r="Q109" s="1440" t="n"/>
      <c r="R109" s="1440" t="n"/>
      <c r="S109" s="290" t="n"/>
      <c r="T109" s="290" t="n"/>
      <c r="U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I110" s="1440" t="n"/>
      <c r="J110" s="1440" t="n"/>
      <c r="K110" s="1440" t="n"/>
      <c r="L110" s="1440" t="n"/>
      <c r="M110" s="1440" t="n"/>
      <c r="N110" s="1440" t="n"/>
      <c r="O110" s="1440" t="n"/>
      <c r="P110" s="1308" t="n"/>
      <c r="Q110" s="1440" t="n"/>
      <c r="R110" s="1440" t="n"/>
      <c r="S110" s="290" t="n"/>
      <c r="T110" s="290" t="n"/>
      <c r="U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I111" s="1440" t="n"/>
      <c r="J111" s="1440" t="n"/>
      <c r="K111" s="1440" t="n"/>
      <c r="L111" s="1440" t="n"/>
      <c r="M111" s="1440" t="n"/>
      <c r="N111" s="1440" t="n"/>
      <c r="O111" s="1440" t="n"/>
      <c r="P111" s="1308" t="n"/>
      <c r="Q111" s="1440" t="n"/>
      <c r="R111" s="1440" t="n"/>
      <c r="S111" s="290" t="n"/>
      <c r="T111" s="290" t="n"/>
      <c r="U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I112" s="1440" t="n"/>
      <c r="J112" s="1440" t="n"/>
      <c r="K112" s="1440" t="n"/>
      <c r="L112" s="1440" t="n"/>
      <c r="M112" s="1440" t="n"/>
      <c r="N112" s="1440" t="n"/>
      <c r="O112" s="1440" t="n"/>
      <c r="P112" s="1308" t="n"/>
      <c r="Q112" s="1440" t="n"/>
      <c r="R112" s="1440" t="n"/>
      <c r="S112" s="290" t="n"/>
      <c r="T112" s="290" t="n"/>
      <c r="U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I113" s="1440" t="n"/>
      <c r="J113" s="1440" t="n"/>
      <c r="K113" s="1440" t="n"/>
      <c r="L113" s="1440" t="n"/>
      <c r="M113" s="1440" t="n"/>
      <c r="N113" s="1440" t="n"/>
      <c r="O113" s="1440" t="n"/>
      <c r="P113" s="1308" t="n"/>
      <c r="Q113" s="1440" t="n"/>
      <c r="R113" s="1440" t="n"/>
      <c r="S113" s="290" t="n"/>
      <c r="T113" s="290" t="n"/>
      <c r="U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I114" s="1440" t="n"/>
      <c r="J114" s="1440" t="n"/>
      <c r="K114" s="1440" t="n"/>
      <c r="L114" s="1440" t="n"/>
      <c r="M114" s="1440" t="n"/>
      <c r="N114" s="1440" t="n"/>
      <c r="O114" s="1440" t="n"/>
      <c r="P114" s="1308" t="n"/>
      <c r="Q114" s="1440" t="n"/>
      <c r="R114" s="1440" t="n"/>
      <c r="S114" s="290" t="n"/>
      <c r="T114" s="290" t="n"/>
      <c r="U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I115" s="1440" t="n"/>
      <c r="J115" s="1440" t="n"/>
      <c r="K115" s="1440" t="n"/>
      <c r="L115" s="1440" t="n"/>
      <c r="M115" s="1440" t="n"/>
      <c r="N115" s="1440" t="n"/>
      <c r="O115" s="1440" t="n"/>
      <c r="P115" s="1308" t="n"/>
      <c r="Q115" s="1440" t="n"/>
      <c r="R115" s="1440" t="n"/>
      <c r="S115" s="290" t="n"/>
      <c r="T115" s="290" t="n"/>
      <c r="U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I116" s="1440" t="n"/>
      <c r="J116" s="1440" t="n"/>
      <c r="K116" s="1440" t="n"/>
      <c r="L116" s="1440" t="n"/>
      <c r="M116" s="1440" t="n"/>
      <c r="N116" s="1440" t="n"/>
      <c r="O116" s="1440" t="n"/>
      <c r="P116" s="1308" t="n"/>
      <c r="Q116" s="1440" t="n"/>
      <c r="R116" s="1440" t="n"/>
      <c r="S116" s="290" t="n"/>
      <c r="T116" s="290" t="n"/>
      <c r="U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I117" s="1440" t="n"/>
      <c r="J117" s="1440" t="n"/>
      <c r="K117" s="1440" t="n"/>
      <c r="L117" s="1440" t="n"/>
      <c r="M117" s="1440" t="n"/>
      <c r="N117" s="1440" t="n"/>
      <c r="O117" s="1440" t="n"/>
      <c r="P117" s="1308" t="n"/>
      <c r="Q117" s="1440" t="n"/>
      <c r="R117" s="1440" t="n"/>
      <c r="S117" s="290" t="n"/>
      <c r="T117" s="290" t="n"/>
      <c r="U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I118" s="1440" t="n"/>
      <c r="J118" s="1440" t="n"/>
      <c r="K118" s="1440" t="n"/>
      <c r="L118" s="1440" t="n"/>
      <c r="M118" s="1440" t="n"/>
      <c r="N118" s="1440" t="n"/>
      <c r="O118" s="1440" t="n"/>
      <c r="P118" s="1308" t="n"/>
      <c r="Q118" s="1440" t="n"/>
      <c r="R118" s="1440" t="n"/>
      <c r="S118" s="290" t="n"/>
      <c r="T118" s="290" t="n"/>
      <c r="U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I119" s="1440" t="n"/>
      <c r="J119" s="1440" t="n"/>
      <c r="K119" s="1440" t="n"/>
      <c r="L119" s="1440" t="n"/>
      <c r="M119" s="1440" t="n"/>
      <c r="N119" s="1440" t="n"/>
      <c r="O119" s="1440" t="n"/>
      <c r="P119" s="1308" t="n"/>
      <c r="Q119" s="1440" t="n"/>
      <c r="R119" s="1440" t="n"/>
      <c r="S119" s="290" t="n"/>
      <c r="T119" s="290" t="n"/>
      <c r="U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I120" s="1440" t="n"/>
      <c r="J120" s="1440" t="n"/>
      <c r="K120" s="1440" t="n"/>
      <c r="L120" s="1440" t="n"/>
      <c r="M120" s="1440" t="n"/>
      <c r="N120" s="1440" t="n"/>
      <c r="O120" s="1440" t="n"/>
      <c r="P120" s="1308" t="n"/>
      <c r="Q120" s="1440" t="n"/>
      <c r="R120" s="1440" t="n"/>
      <c r="S120" s="290" t="n"/>
      <c r="T120" s="290" t="n"/>
      <c r="U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I121" s="1440" t="n"/>
      <c r="J121" s="1440" t="n"/>
      <c r="K121" s="1440" t="n"/>
      <c r="L121" s="1440" t="n"/>
      <c r="M121" s="1440" t="n"/>
      <c r="N121" s="1440" t="n"/>
      <c r="O121" s="1440" t="n"/>
      <c r="P121" s="1308" t="n"/>
      <c r="Q121" s="1440" t="n"/>
      <c r="R121" s="1440" t="n"/>
      <c r="S121" s="290" t="n"/>
      <c r="T121" s="290" t="n"/>
      <c r="U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I122" s="1440" t="n"/>
      <c r="J122" s="1440" t="n"/>
      <c r="K122" s="1440" t="n"/>
      <c r="L122" s="1440" t="n"/>
      <c r="M122" s="1440" t="n"/>
      <c r="N122" s="1440" t="n"/>
      <c r="O122" s="1440" t="n"/>
      <c r="P122" s="1308" t="n"/>
      <c r="Q122" s="1440" t="n"/>
      <c r="R122" s="1440" t="n"/>
      <c r="S122" s="290" t="n"/>
      <c r="T122" s="290" t="n"/>
      <c r="U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I123" s="1440" t="n"/>
      <c r="J123" s="1440" t="n"/>
      <c r="K123" s="1440" t="n"/>
      <c r="L123" s="1440" t="n"/>
      <c r="M123" s="1440" t="n"/>
      <c r="N123" s="1440" t="n"/>
      <c r="O123" s="1440" t="n"/>
      <c r="P123" s="1308" t="n"/>
      <c r="Q123" s="1440" t="n"/>
      <c r="R123" s="1440" t="n"/>
      <c r="S123" s="290" t="n"/>
      <c r="T123" s="290" t="n"/>
      <c r="U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I124" s="1440" t="n"/>
      <c r="J124" s="1440" t="n"/>
      <c r="K124" s="1440" t="n"/>
      <c r="L124" s="1440" t="n"/>
      <c r="M124" s="1440" t="n"/>
      <c r="N124" s="1440" t="n"/>
      <c r="O124" s="1440" t="n"/>
      <c r="P124" s="1308" t="n"/>
      <c r="Q124" s="1440" t="n"/>
      <c r="R124" s="1440" t="n"/>
      <c r="S124" s="290" t="n"/>
      <c r="T124" s="290" t="n"/>
      <c r="U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I125" s="1440" t="n"/>
      <c r="J125" s="1440" t="n"/>
      <c r="K125" s="1440" t="n"/>
      <c r="L125" s="1440" t="n"/>
      <c r="M125" s="1440" t="n"/>
      <c r="N125" s="1440" t="n"/>
      <c r="O125" s="1440" t="n"/>
      <c r="P125" s="1308" t="n"/>
      <c r="Q125" s="1440" t="n"/>
      <c r="R125" s="1440" t="n"/>
      <c r="S125" s="290" t="n"/>
      <c r="T125" s="290" t="n"/>
      <c r="U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I126" s="1440" t="n"/>
      <c r="J126" s="1440" t="n"/>
      <c r="K126" s="1440" t="n"/>
      <c r="L126" s="1440" t="n"/>
      <c r="M126" s="1440" t="n"/>
      <c r="N126" s="1440" t="n"/>
      <c r="O126" s="1440" t="n"/>
      <c r="P126" s="1308" t="n"/>
      <c r="Q126" s="1440" t="n"/>
      <c r="R126" s="1440" t="n"/>
      <c r="S126" s="290" t="n"/>
      <c r="T126" s="290" t="n"/>
      <c r="U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I127" s="1440" t="n"/>
      <c r="J127" s="1440" t="n"/>
      <c r="K127" s="1440" t="n"/>
      <c r="L127" s="1440" t="n"/>
      <c r="M127" s="1440" t="n"/>
      <c r="N127" s="1440" t="n"/>
      <c r="O127" s="1440" t="n"/>
      <c r="P127" s="1308" t="n"/>
      <c r="Q127" s="1440" t="n"/>
      <c r="R127" s="1440" t="n"/>
      <c r="S127" s="290" t="n"/>
      <c r="T127" s="290" t="n"/>
      <c r="U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I128" s="1440" t="n"/>
      <c r="J128" s="1440" t="n"/>
      <c r="K128" s="1440" t="n"/>
      <c r="L128" s="1440" t="n"/>
      <c r="M128" s="1440" t="n"/>
      <c r="N128" s="1440" t="n"/>
      <c r="O128" s="1440" t="n"/>
      <c r="P128" s="1308" t="n"/>
      <c r="Q128" s="1440" t="n"/>
      <c r="R128" s="1440" t="n"/>
      <c r="S128" s="290" t="n"/>
      <c r="T128" s="290" t="n"/>
      <c r="U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I129" s="1440" t="n"/>
      <c r="J129" s="1440" t="n"/>
      <c r="K129" s="1440" t="n"/>
      <c r="L129" s="1440" t="n"/>
      <c r="M129" s="1440" t="n"/>
      <c r="N129" s="1440" t="n"/>
      <c r="O129" s="1440" t="n"/>
      <c r="P129" s="1308" t="n"/>
      <c r="Q129" s="1440" t="n"/>
      <c r="R129" s="1440" t="n"/>
      <c r="S129" s="290" t="n"/>
      <c r="T129" s="290" t="n"/>
      <c r="U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I130" s="1440" t="n"/>
      <c r="J130" s="1440" t="n"/>
      <c r="K130" s="1440" t="n"/>
      <c r="L130" s="1440" t="n"/>
      <c r="M130" s="1440" t="n"/>
      <c r="N130" s="1440" t="n"/>
      <c r="O130" s="1440" t="n"/>
      <c r="P130" s="1308" t="n"/>
      <c r="Q130" s="1440" t="n"/>
      <c r="R130" s="1440" t="n"/>
      <c r="S130" s="290" t="n"/>
      <c r="T130" s="290" t="n"/>
      <c r="U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I131" s="1440" t="n"/>
      <c r="J131" s="1440" t="n"/>
      <c r="K131" s="1440" t="n"/>
      <c r="L131" s="1440" t="n"/>
      <c r="M131" s="1440" t="n"/>
      <c r="N131" s="1440" t="n"/>
      <c r="O131" s="1440" t="n"/>
      <c r="P131" s="1308" t="n"/>
      <c r="Q131" s="1440" t="n"/>
      <c r="R131" s="1440" t="n"/>
      <c r="S131" s="290" t="n"/>
      <c r="T131" s="290" t="n"/>
      <c r="U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I132" s="1440" t="n"/>
      <c r="J132" s="1440" t="n"/>
      <c r="K132" s="1440" t="n"/>
      <c r="L132" s="1440" t="n"/>
      <c r="M132" s="1440" t="n"/>
      <c r="N132" s="1440" t="n"/>
      <c r="O132" s="1440" t="n"/>
      <c r="P132" s="1308" t="n"/>
      <c r="Q132" s="1440" t="n"/>
      <c r="R132" s="1440" t="n"/>
      <c r="S132" s="290" t="n"/>
      <c r="T132" s="290" t="n"/>
      <c r="U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I133" s="1440" t="n"/>
      <c r="J133" s="1440" t="n"/>
      <c r="K133" s="1440" t="n"/>
      <c r="L133" s="1440" t="n"/>
      <c r="M133" s="1440" t="n"/>
      <c r="N133" s="1440" t="n"/>
      <c r="O133" s="1440" t="n"/>
      <c r="P133" s="1308" t="n"/>
      <c r="Q133" s="1440" t="n"/>
      <c r="R133" s="1440" t="n"/>
      <c r="S133" s="290" t="n"/>
      <c r="T133" s="290" t="n"/>
      <c r="U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I134" s="1440" t="n"/>
      <c r="J134" s="1440" t="n"/>
      <c r="K134" s="1440" t="n"/>
      <c r="L134" s="1440" t="n"/>
      <c r="M134" s="1440" t="n"/>
      <c r="N134" s="1440" t="n"/>
      <c r="O134" s="1440" t="n"/>
      <c r="P134" s="1308" t="n"/>
      <c r="Q134" s="1440" t="n"/>
      <c r="R134" s="1440" t="n"/>
      <c r="S134" s="290" t="n"/>
      <c r="T134" s="290" t="n"/>
      <c r="U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I135" s="1440" t="n"/>
      <c r="J135" s="1440" t="n"/>
      <c r="K135" s="1440" t="n"/>
      <c r="L135" s="1440" t="n"/>
      <c r="M135" s="1440" t="n"/>
      <c r="N135" s="1440" t="n"/>
      <c r="O135" s="1440" t="n"/>
      <c r="P135" s="1308" t="n"/>
      <c r="Q135" s="1440" t="n"/>
      <c r="R135" s="1440" t="n"/>
      <c r="S135" s="290" t="n"/>
      <c r="T135" s="290" t="n"/>
      <c r="U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I136" s="1440" t="n"/>
      <c r="J136" s="1440" t="n"/>
      <c r="K136" s="1440" t="n"/>
      <c r="L136" s="1440" t="n"/>
      <c r="M136" s="1440" t="n"/>
      <c r="N136" s="1440" t="n"/>
      <c r="O136" s="1440" t="n"/>
      <c r="P136" s="1308" t="n"/>
      <c r="Q136" s="1440" t="n"/>
      <c r="R136" s="1440" t="n"/>
      <c r="S136" s="290" t="n"/>
      <c r="T136" s="290" t="n"/>
      <c r="U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I137" s="1440" t="n"/>
      <c r="J137" s="1440" t="n"/>
      <c r="K137" s="1440" t="n"/>
      <c r="L137" s="1440" t="n"/>
      <c r="M137" s="1440" t="n"/>
      <c r="N137" s="1440" t="n"/>
      <c r="O137" s="1440" t="n"/>
      <c r="P137" s="1308" t="n"/>
      <c r="Q137" s="1440" t="n"/>
      <c r="R137" s="1440" t="n"/>
      <c r="S137" s="290" t="n"/>
      <c r="T137" s="290" t="n"/>
      <c r="U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I138" s="1440" t="n"/>
      <c r="J138" s="1440" t="n"/>
      <c r="K138" s="1440" t="n"/>
      <c r="L138" s="1440" t="n"/>
      <c r="M138" s="1440" t="n"/>
      <c r="N138" s="1440" t="n"/>
      <c r="O138" s="1440" t="n"/>
      <c r="P138" s="1308" t="n"/>
      <c r="Q138" s="1440" t="n"/>
      <c r="R138" s="1440" t="n"/>
      <c r="S138" s="290" t="n"/>
      <c r="T138" s="290" t="n"/>
      <c r="U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I139" s="1440" t="n"/>
      <c r="J139" s="1440" t="n"/>
      <c r="K139" s="1440" t="n"/>
      <c r="L139" s="1440" t="n"/>
      <c r="M139" s="1440" t="n"/>
      <c r="N139" s="1440" t="n"/>
      <c r="O139" s="1440" t="n"/>
      <c r="P139" s="1308" t="n"/>
      <c r="Q139" s="1440" t="n"/>
      <c r="R139" s="1440" t="n"/>
      <c r="S139" s="290" t="n"/>
      <c r="T139" s="290" t="n"/>
      <c r="U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I140" s="1440" t="n"/>
      <c r="J140" s="1440" t="n"/>
      <c r="K140" s="1440" t="n"/>
      <c r="L140" s="1440" t="n"/>
      <c r="M140" s="1440" t="n"/>
      <c r="N140" s="1440" t="n"/>
      <c r="O140" s="1440" t="n"/>
      <c r="P140" s="1308" t="n"/>
      <c r="Q140" s="1440" t="n"/>
      <c r="R140" s="1440" t="n"/>
      <c r="S140" s="290" t="n"/>
      <c r="T140" s="290" t="n"/>
      <c r="U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I141" s="1440" t="n"/>
      <c r="J141" s="1440" t="n"/>
      <c r="K141" s="1440" t="n"/>
      <c r="L141" s="1440" t="n"/>
      <c r="M141" s="1440" t="n"/>
      <c r="N141" s="1440" t="n"/>
      <c r="O141" s="1440" t="n"/>
      <c r="P141" s="1308" t="n"/>
      <c r="Q141" s="1440" t="n"/>
      <c r="R141" s="1440" t="n"/>
      <c r="S141" s="290" t="n"/>
      <c r="T141" s="290" t="n"/>
      <c r="U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I142" s="1440" t="n"/>
      <c r="J142" s="1440" t="n"/>
      <c r="K142" s="1440" t="n"/>
      <c r="L142" s="1440" t="n"/>
      <c r="M142" s="1440" t="n"/>
      <c r="N142" s="1440" t="n"/>
      <c r="O142" s="1440" t="n"/>
      <c r="P142" s="1308" t="n"/>
      <c r="Q142" s="1440" t="n"/>
      <c r="R142" s="1440" t="n"/>
      <c r="S142" s="290" t="n"/>
      <c r="T142" s="290" t="n"/>
      <c r="U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I143" s="1440" t="n"/>
      <c r="J143" s="1440" t="n"/>
      <c r="K143" s="1440" t="n"/>
      <c r="L143" s="1440" t="n"/>
      <c r="M143" s="1440" t="n"/>
      <c r="N143" s="1440" t="n"/>
      <c r="O143" s="1440" t="n"/>
      <c r="P143" s="1308" t="n"/>
      <c r="Q143" s="1440" t="n"/>
      <c r="R143" s="1440" t="n"/>
      <c r="S143" s="290" t="n"/>
      <c r="T143" s="290" t="n"/>
      <c r="U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I144" s="1440" t="n"/>
      <c r="J144" s="1440" t="n"/>
      <c r="K144" s="1440" t="n"/>
      <c r="L144" s="1440" t="n"/>
      <c r="M144" s="1440" t="n"/>
      <c r="N144" s="1440" t="n"/>
      <c r="O144" s="1440" t="n"/>
      <c r="P144" s="1308" t="n"/>
      <c r="Q144" s="1440" t="n"/>
      <c r="R144" s="1440" t="n"/>
      <c r="S144" s="290" t="n"/>
      <c r="T144" s="290" t="n"/>
      <c r="U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I145" s="1440" t="n"/>
      <c r="J145" s="1440" t="n"/>
      <c r="K145" s="1440" t="n"/>
      <c r="L145" s="1440" t="n"/>
      <c r="M145" s="1440" t="n"/>
      <c r="N145" s="1440" t="n"/>
      <c r="O145" s="1440" t="n"/>
      <c r="P145" s="1308" t="n"/>
      <c r="Q145" s="1440" t="n"/>
      <c r="R145" s="1440" t="n"/>
      <c r="S145" s="290" t="n"/>
      <c r="T145" s="290" t="n"/>
      <c r="U145" s="289" t="n"/>
    </row>
    <row r="146">
      <c r="A146" s="204" t="n"/>
      <c r="U146" s="336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2026-09-20T04:54:17Z</dcterms:modified>
  <cp:lastModifiedBy>Hugo Fernando Hurtado Ruiz</cp:lastModifiedBy>
  <cp:revision>1</cp:revision>
  <cp:lastPrinted>2026-09-14T01:27:33Z</cp:lastPrinted>
</cp:coreProperties>
</file>