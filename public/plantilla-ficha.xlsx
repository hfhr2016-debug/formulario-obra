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s>
  <calcPr calcId="191029" fullCalcOnLoad="1" iterateDelta="0.0001"/>
</workbook>
</file>

<file path=xl/styles.xml><?xml version="1.0" encoding="utf-8"?>
<styleSheet xmlns="http://schemas.openxmlformats.org/spreadsheetml/2006/main">
  <numFmts count="8">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s>
  <fonts count="16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1">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s>
  <cellStyleXfs count="5">
    <xf numFmtId="0" fontId="28" fillId="0" borderId="0"/>
    <xf numFmtId="0" fontId="28" fillId="0" borderId="0"/>
    <xf numFmtId="0" fontId="28" fillId="0" borderId="0"/>
    <xf numFmtId="0" fontId="28" fillId="0" borderId="0"/>
    <xf numFmtId="0" fontId="6" fillId="0" borderId="0"/>
  </cellStyleXfs>
  <cellXfs count="1307">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FFFF00"/>
    <outlinePr summaryBelow="1" summaryRight="1"/>
    <pageSetUpPr/>
  </sheetPr>
  <dimension ref="A1:E42"/>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ht="15" customHeight="1" s="1223">
      <c r="A8" s="597" t="inlineStr">
        <is>
          <t>DATOS GENERALES DEL PROYECTO</t>
        </is>
      </c>
    </row>
    <row r="9" ht="15" customHeight="1" s="1223">
      <c r="A9" s="99" t="inlineStr">
        <is>
          <t>Número de pisos (torre)</t>
        </is>
      </c>
      <c r="B9" s="100" t="n"/>
      <c r="C9" s="593" t="inlineStr">
        <is>
          <t>pisos</t>
        </is>
      </c>
    </row>
    <row r="10" ht="15" customHeight="1" s="1223">
      <c r="A10" s="101" t="inlineStr">
        <is>
          <t>Número de sótanos (parqueaderos)</t>
        </is>
      </c>
      <c r="B10" s="102" t="n"/>
      <c r="C10" s="590" t="inlineStr">
        <is>
          <t>niveles</t>
        </is>
      </c>
    </row>
    <row r="11" ht="15" customHeight="1" s="1223">
      <c r="A11" s="99" t="inlineStr">
        <is>
          <t>Área del lote</t>
        </is>
      </c>
      <c r="B11" s="100" t="n"/>
      <c r="C11" s="593" t="inlineStr">
        <is>
          <t>m²</t>
        </is>
      </c>
    </row>
    <row r="12" ht="15" customHeight="1" s="1223">
      <c r="A12" s="101" t="inlineStr">
        <is>
          <t>Área construida típica por piso</t>
        </is>
      </c>
      <c r="B12" s="102" t="n"/>
      <c r="C12" s="590" t="inlineStr">
        <is>
          <t>m²</t>
        </is>
      </c>
    </row>
    <row r="13" ht="15" customHeight="1" s="1223">
      <c r="A13" s="99" t="inlineStr">
        <is>
          <t>Área construida - torre (12 pisos)</t>
        </is>
      </c>
      <c r="B13" s="103">
        <f>B9*B12</f>
        <v/>
      </c>
      <c r="C13" s="593" t="inlineStr">
        <is>
          <t>m²</t>
        </is>
      </c>
    </row>
    <row r="14" ht="15" customHeight="1" s="1223">
      <c r="A14" s="101" t="inlineStr">
        <is>
          <t>Área construida - sótanos (2 niveles)</t>
        </is>
      </c>
      <c r="B14" s="102" t="n"/>
      <c r="C14" s="590" t="inlineStr">
        <is>
          <t>m²</t>
        </is>
      </c>
    </row>
    <row r="15" ht="15" customHeight="1" s="1223">
      <c r="A15" s="99" t="inlineStr">
        <is>
          <t>Área cubierta / cuarto de máquinas / tanques</t>
        </is>
      </c>
      <c r="B15" s="100" t="n"/>
      <c r="C15" s="593" t="inlineStr">
        <is>
          <t>m²</t>
        </is>
      </c>
    </row>
    <row r="16" ht="15" customHeight="1" s="1223">
      <c r="A16" s="101" t="inlineStr">
        <is>
          <t>ÁREA TOTAL CONSTRUIDA</t>
        </is>
      </c>
      <c r="B16" s="104">
        <f>B13+B14+B15</f>
        <v/>
      </c>
      <c r="C16" s="590" t="inlineStr">
        <is>
          <t>m²</t>
        </is>
      </c>
    </row>
    <row r="17" ht="15" customHeight="1" s="1223">
      <c r="A17" s="99" t="inlineStr">
        <is>
          <t>Número de apartamentos</t>
        </is>
      </c>
      <c r="B17" s="100" t="n"/>
      <c r="C17" s="593" t="inlineStr">
        <is>
          <t>und</t>
        </is>
      </c>
    </row>
    <row r="18" ht="15" customHeight="1" s="1223">
      <c r="A18" s="101" t="inlineStr">
        <is>
          <t>Área promedio por apartamento (vendible)</t>
        </is>
      </c>
      <c r="B18" s="102" t="n"/>
      <c r="C18" s="590" t="inlineStr">
        <is>
          <t>m²</t>
        </is>
      </c>
    </row>
    <row r="19" ht="15" customHeight="1" s="1223">
      <c r="A19" s="99" t="inlineStr">
        <is>
          <t>Número de parqueaderos</t>
        </is>
      </c>
      <c r="B19" s="100" t="n"/>
      <c r="C19" s="593" t="inlineStr">
        <is>
          <t>und</t>
        </is>
      </c>
    </row>
    <row r="20" ht="15" customHeight="1" s="1223">
      <c r="A20" s="101" t="inlineStr">
        <is>
          <t>Número de ascensores</t>
        </is>
      </c>
      <c r="B20" s="102" t="n"/>
      <c r="C20" s="590" t="inlineStr">
        <is>
          <t>und</t>
        </is>
      </c>
    </row>
    <row r="21" ht="15" customHeight="1" s="1223">
      <c r="A21" s="99" t="inlineStr">
        <is>
          <t>Altura total aproximada (sótano a cubierta)</t>
        </is>
      </c>
      <c r="B21" s="100" t="n"/>
      <c r="C21" s="593" t="inlineStr">
        <is>
          <t>m</t>
        </is>
      </c>
    </row>
    <row r="22">
      <c r="A22" s="592" t="n"/>
      <c r="B22" s="592" t="n"/>
      <c r="C22" s="592" t="n"/>
    </row>
    <row r="23" ht="15" customHeight="1" s="1223">
      <c r="A23" s="594" t="inlineStr">
        <is>
          <t>PARÁMETROS ECONÓMICOS DEL PRESUPUESTO</t>
        </is>
      </c>
    </row>
    <row r="24" ht="15" customHeight="1" s="1223">
      <c r="A24" s="99" t="inlineStr">
        <is>
          <t>Administración (A)</t>
        </is>
      </c>
      <c r="B24" s="466" t="n">
        <v>0.1</v>
      </c>
      <c r="C24" s="593" t="inlineStr">
        <is>
          <t>% s/costo directo</t>
        </is>
      </c>
    </row>
    <row r="25" ht="15" customHeight="1" s="1223">
      <c r="A25" s="101" t="inlineStr">
        <is>
          <t>Imprevistos (I)</t>
        </is>
      </c>
      <c r="B25" s="467" t="n">
        <v>0.04</v>
      </c>
      <c r="C25" s="590" t="inlineStr">
        <is>
          <t>% s/costo directo</t>
        </is>
      </c>
    </row>
    <row r="26" ht="15" customHeight="1" s="1223">
      <c r="A26" s="99" t="inlineStr">
        <is>
          <t>Utilidad (U)</t>
        </is>
      </c>
      <c r="B26" s="466" t="n">
        <v>0.12</v>
      </c>
      <c r="C26" s="593" t="inlineStr">
        <is>
          <t>% s/costo directo</t>
        </is>
      </c>
    </row>
    <row r="27" ht="15" customHeight="1" s="1223">
      <c r="A27" s="101" t="inlineStr">
        <is>
          <t>IVA sobre Utilidad</t>
        </is>
      </c>
      <c r="B27" s="467" t="n">
        <v>0.19</v>
      </c>
      <c r="C27" s="590" t="inlineStr">
        <is>
          <t>% s/utilidad (Ley 1943 / práctica AIU en Colombia)</t>
        </is>
      </c>
    </row>
    <row r="28">
      <c r="A28" s="592" t="n"/>
      <c r="B28" s="592" t="n"/>
      <c r="C28" s="592" t="n"/>
    </row>
    <row r="29" ht="15" customHeight="1" s="1223">
      <c r="A29" s="105" t="inlineStr">
        <is>
          <t>AIU TOTAL (A+I+U)</t>
        </is>
      </c>
      <c r="B29" s="468">
        <f>B24+B25+B26</f>
        <v/>
      </c>
      <c r="C29" s="592" t="n"/>
    </row>
    <row r="30">
      <c r="A30" s="592" t="n"/>
      <c r="B30" s="592" t="n"/>
      <c r="C30" s="592" t="n"/>
    </row>
    <row r="31" ht="15" customHeight="1" s="1223">
      <c r="A31" s="594" t="inlineStr">
        <is>
          <t>FUENTES Y NOTAS METODOLÓGICAS</t>
        </is>
      </c>
    </row>
    <row r="32" ht="15" customFormat="1" customHeight="1" s="202">
      <c r="A32" s="203" t="inlineStr">
        <is>
          <t>REV. 10/09/2026</t>
        </is>
      </c>
      <c r="B32" s="201" t="n"/>
      <c r="C32" s="201" t="n"/>
      <c r="D32" s="201" t="n"/>
      <c r="E32" s="342">
        <f>E4</f>
        <v/>
      </c>
    </row>
    <row r="33" ht="25.5" customHeight="1" s="1223">
      <c r="A33" s="591" t="inlineStr">
        <is>
          <t>1. Precios de referencia investigados para Bogotá D.C., 2026 (2° semestre). Son precios promedio de mercado; cada obra requiere cotización formal con proveedores.</t>
        </is>
      </c>
    </row>
    <row r="34" ht="25.5" customHeight="1" s="1223">
      <c r="A34" s="591" t="inlineStr">
        <is>
          <t>2. Rango de costo directo de construcción en Bogotá 2026 según fuentes de mercado: $2.200.000 - $3.800.000 COP/m² (Aliados de Obras, 2026); promedio de estabilización Ene-Abr 2026: ~$3.050.000 COP/m².</t>
        </is>
      </c>
    </row>
    <row r="35" ht="25.5" customHeight="1" s="1223">
      <c r="A35" s="591" t="inlineStr">
        <is>
          <t>3. Concreto 3000 PSI para estructura con formaletería: referencia ~$868.306 COP/m³ (Listado de Precios Unitarios, Secretaría de Infraestructura / Fidubogotá, ajustado a 2026).</t>
        </is>
      </c>
    </row>
    <row r="36" ht="25.5" customHeight="1" s="1223">
      <c r="A36" s="591" t="inlineStr">
        <is>
          <t>4. Acero de refuerzo figurado e instalado: referencia ~$6.500-7.000 COP/kg (Comando Construcciones, 2026; incremento por alza del 23,7% en el SMMLV 2026 según DANE-ICOCED).</t>
        </is>
      </c>
    </row>
    <row r="37" ht="25.5" customHeight="1" s="1223">
      <c r="A37" s="591" t="inlineStr">
        <is>
          <t>5. Ascensor eléctrico para edificio de 10+ pisos, alta velocidad, instalado: $450M-$750M COP por unidad (OTA Vertical, 2026). Se tomó valor medio.</t>
        </is>
      </c>
    </row>
    <row r="38" ht="25.5" customHeight="1" s="1223">
      <c r="A38" s="591" t="inlineStr">
        <is>
          <t>6. Índice de Costos de la Construcción de Edificaciones (ICOCED-DANE): variación interanual ene.2025-ene.2026 de +8,7% en Bogotá, impulsada por incremento salarial.</t>
        </is>
      </c>
    </row>
    <row r="39" ht="25.5" customHeight="1" s="1223">
      <c r="A39" s="591" t="inlineStr">
        <is>
          <t>7. AIU recomendado para edificaciones en Colombia: 25%-30% sobre costos directos (Administración 10-12%, Imprevistos 3-5%, Utilidad 10-15%). Se usó 26% (10%+4%+12%).</t>
        </is>
      </c>
    </row>
    <row r="40" ht="25.5" customHeight="1" s="1223">
      <c r="A40"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1" ht="25.5" customHeight="1" s="1223">
      <c r="A41"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2" ht="25.5" customHeight="1" s="1223">
      <c r="A42" s="591" t="inlineStr">
        <is>
          <t>10. Celdas en color AZUL = dato de entrada editable. Celdas en NEGRO = fórmula (se recalculan automáticamente). Cambie cantidades y precios unitarios en la hoja 'Presupuesto' según su proyecto real.</t>
        </is>
      </c>
    </row>
  </sheetData>
  <mergeCells count="39">
    <mergeCell ref="C16:E16"/>
    <mergeCell ref="A39:E39"/>
    <mergeCell ref="A34:E34"/>
    <mergeCell ref="C22:E22"/>
    <mergeCell ref="C9:E9"/>
    <mergeCell ref="A36:E36"/>
    <mergeCell ref="C21:E21"/>
    <mergeCell ref="C12:E12"/>
    <mergeCell ref="C11:E11"/>
    <mergeCell ref="C27:E27"/>
    <mergeCell ref="A41:E41"/>
    <mergeCell ref="C17:E17"/>
    <mergeCell ref="A37:E37"/>
    <mergeCell ref="C28:E28"/>
    <mergeCell ref="C13:E13"/>
    <mergeCell ref="C19:E19"/>
    <mergeCell ref="A42:E42"/>
    <mergeCell ref="A33:E33"/>
    <mergeCell ref="C18:E18"/>
    <mergeCell ref="A23:E23"/>
    <mergeCell ref="B2:E2"/>
    <mergeCell ref="A8:E8"/>
    <mergeCell ref="C30:E30"/>
    <mergeCell ref="D3:E3"/>
    <mergeCell ref="C15:E15"/>
    <mergeCell ref="C24:E24"/>
    <mergeCell ref="A35:E35"/>
    <mergeCell ref="C14:E14"/>
    <mergeCell ref="B1:E1"/>
    <mergeCell ref="A38:E38"/>
    <mergeCell ref="B5:C5"/>
    <mergeCell ref="A40:E40"/>
    <mergeCell ref="C26:E26"/>
    <mergeCell ref="C29:E29"/>
    <mergeCell ref="C20:E20"/>
    <mergeCell ref="A31:E31"/>
    <mergeCell ref="B4:C4"/>
    <mergeCell ref="C25:E25"/>
    <mergeCell ref="C10:E10"/>
  </mergeCells>
  <pageMargins left="0.75" right="0.75" top="1" bottom="1" header="0.511811023622047" footer="0.511811023622047"/>
  <pageSetup orientation="portrait" paperSize="9" horizontalDpi="300" verticalDpi="3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2026-09-19T00:14:05Z</dcterms:modified>
  <cp:lastModifiedBy>Hugo Fernando Hurtado Ruiz</cp:lastModifiedBy>
  <cp:revision>1</cp:revision>
  <cp:lastPrinted>2026-09-14T01:27:33Z</cp:lastPrinted>
</cp:coreProperties>
</file>