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5.xml" ContentType="application/vnd.openxmlformats-officedocument.drawing+xml"/>
  <Override PartName="/xl/charts/chart1.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gof\Documents\PROYECTOS\REFORMAS Y REMODELACIONES\TRABAJO DE SCCP\FORMATOS CONTROL DE PROYECTOS SCCP\"/>
    </mc:Choice>
  </mc:AlternateContent>
  <xr:revisionPtr revIDLastSave="0" documentId="13_ncr:1_{350B091B-7DCE-439F-96E4-F4DC52812A12}" xr6:coauthVersionLast="47" xr6:coauthVersionMax="47" xr10:uidLastSave="{00000000-0000-0000-0000-000000000000}"/>
  <bookViews>
    <workbookView xWindow="-108" yWindow="-108" windowWidth="23256" windowHeight="12456" tabRatio="500" xr2:uid="{00000000-000D-0000-FFFF-FFFF00000000}"/>
  </bookViews>
  <sheets>
    <sheet name="Ficha Técnica del Proyecto" sheetId="1"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3" i="7" l="1"/>
  <c r="H175" i="6"/>
  <c r="L45" i="4"/>
  <c r="Y146" i="3"/>
  <c r="D157" i="18"/>
  <c r="D69" i="17"/>
  <c r="D376" i="19"/>
  <c r="J46" i="15"/>
  <c r="M69" i="16"/>
  <c r="M68" i="15"/>
  <c r="N132" i="16" l="1"/>
  <c r="M67" i="16"/>
  <c r="E67" i="16"/>
  <c r="M68" i="16" s="1"/>
  <c r="G46" i="16"/>
  <c r="A46" i="16"/>
  <c r="G45" i="16"/>
  <c r="A45" i="16"/>
  <c r="G44" i="16"/>
  <c r="A44" i="16"/>
  <c r="G43" i="16"/>
  <c r="A43" i="16"/>
  <c r="G42" i="16"/>
  <c r="A42" i="16"/>
  <c r="G41" i="16"/>
  <c r="A41" i="16"/>
  <c r="G40" i="16"/>
  <c r="A40" i="16"/>
  <c r="G39" i="16"/>
  <c r="A39" i="16"/>
  <c r="G38" i="16"/>
  <c r="A38" i="16"/>
  <c r="G37" i="16"/>
  <c r="A37" i="16"/>
  <c r="G36" i="16"/>
  <c r="A36" i="16"/>
  <c r="G35" i="16"/>
  <c r="A35" i="16"/>
  <c r="G34" i="16"/>
  <c r="A34" i="16"/>
  <c r="G33" i="16"/>
  <c r="A33" i="16"/>
  <c r="G32" i="16"/>
  <c r="A32" i="16"/>
  <c r="G31" i="16"/>
  <c r="A31" i="16"/>
  <c r="G30" i="16"/>
  <c r="A30" i="16"/>
  <c r="G29" i="16"/>
  <c r="A29" i="16"/>
  <c r="G28" i="16"/>
  <c r="A28" i="16"/>
  <c r="G27" i="16"/>
  <c r="A27" i="16"/>
  <c r="G26" i="16"/>
  <c r="A26" i="16"/>
  <c r="G25" i="16"/>
  <c r="A25" i="16"/>
  <c r="N121" i="15"/>
  <c r="M67" i="15"/>
  <c r="M66" i="15"/>
  <c r="E66" i="15"/>
  <c r="G45" i="15"/>
  <c r="A45" i="15"/>
  <c r="G44" i="15"/>
  <c r="A44" i="15"/>
  <c r="G43" i="15"/>
  <c r="A43" i="15"/>
  <c r="G42" i="15"/>
  <c r="A42" i="15"/>
  <c r="G41" i="15"/>
  <c r="A41" i="15"/>
  <c r="G40" i="15"/>
  <c r="A40" i="15"/>
  <c r="G39" i="15"/>
  <c r="A39" i="15"/>
  <c r="G38" i="15"/>
  <c r="A38" i="15"/>
  <c r="G37" i="15"/>
  <c r="A37" i="15"/>
  <c r="G36" i="15"/>
  <c r="A36" i="15"/>
  <c r="G35" i="15"/>
  <c r="A35" i="15"/>
  <c r="G34" i="15"/>
  <c r="A34" i="15"/>
  <c r="G33" i="15"/>
  <c r="A33" i="15"/>
  <c r="G32" i="15"/>
  <c r="A32" i="15"/>
  <c r="G31" i="15"/>
  <c r="A31" i="15"/>
  <c r="G30" i="15"/>
  <c r="A30" i="15"/>
  <c r="G29" i="15"/>
  <c r="A29" i="15"/>
  <c r="G28" i="15"/>
  <c r="A28" i="15"/>
  <c r="G27" i="15"/>
  <c r="A27" i="15"/>
  <c r="G26" i="15"/>
  <c r="A26" i="15"/>
  <c r="G25" i="15"/>
  <c r="A25" i="15"/>
  <c r="G24" i="15"/>
  <c r="A24" i="15"/>
  <c r="M88" i="14"/>
  <c r="N86" i="13"/>
  <c r="E37" i="13"/>
  <c r="N36" i="13"/>
  <c r="K33" i="13"/>
  <c r="J33" i="13"/>
  <c r="I33" i="13"/>
  <c r="K32" i="13"/>
  <c r="J32" i="13"/>
  <c r="I32" i="13"/>
  <c r="K31" i="13"/>
  <c r="J31" i="13"/>
  <c r="I31" i="13"/>
  <c r="K30" i="13"/>
  <c r="J30" i="13"/>
  <c r="I30" i="13"/>
  <c r="K29" i="13"/>
  <c r="J29" i="13"/>
  <c r="I29" i="13"/>
  <c r="K28" i="13"/>
  <c r="J28" i="13"/>
  <c r="I28" i="13"/>
  <c r="K27" i="13"/>
  <c r="J27" i="13"/>
  <c r="I27" i="13"/>
  <c r="K26" i="13"/>
  <c r="J26" i="13"/>
  <c r="I26" i="13"/>
  <c r="M100" i="12"/>
  <c r="D33" i="12"/>
  <c r="H25" i="12"/>
  <c r="H24" i="12"/>
  <c r="H23" i="12"/>
  <c r="H22" i="12"/>
  <c r="H21" i="12"/>
  <c r="H20" i="12"/>
  <c r="H19" i="12"/>
  <c r="H18" i="12"/>
  <c r="H17" i="12"/>
  <c r="H16" i="12"/>
  <c r="K136" i="11"/>
  <c r="F41" i="10"/>
  <c r="C30" i="10"/>
  <c r="C28" i="10"/>
  <c r="E28" i="10" s="1"/>
  <c r="C18" i="10"/>
  <c r="E18" i="10" s="1"/>
  <c r="F232" i="9"/>
  <c r="E229" i="9"/>
  <c r="E226" i="9"/>
  <c r="E225" i="9"/>
  <c r="E224" i="9"/>
  <c r="F219" i="9"/>
  <c r="F218" i="9"/>
  <c r="F217" i="9"/>
  <c r="F220" i="9" s="1"/>
  <c r="F216" i="9"/>
  <c r="F212" i="9"/>
  <c r="F213" i="9" s="1"/>
  <c r="C32" i="10" s="1"/>
  <c r="F208" i="9"/>
  <c r="F207" i="9"/>
  <c r="F206" i="9"/>
  <c r="F205" i="9"/>
  <c r="F204" i="9"/>
  <c r="F200" i="9"/>
  <c r="F199" i="9"/>
  <c r="F198" i="9"/>
  <c r="F197" i="9"/>
  <c r="F201" i="9" s="1"/>
  <c r="F193" i="9"/>
  <c r="F192" i="9"/>
  <c r="F191" i="9"/>
  <c r="F190" i="9"/>
  <c r="F189" i="9"/>
  <c r="F188" i="9"/>
  <c r="F187" i="9"/>
  <c r="F184" i="9"/>
  <c r="F183" i="9"/>
  <c r="F182" i="9"/>
  <c r="F181" i="9"/>
  <c r="F177" i="9"/>
  <c r="F176" i="9"/>
  <c r="F175" i="9"/>
  <c r="F174" i="9"/>
  <c r="F178" i="9" s="1"/>
  <c r="F170" i="9"/>
  <c r="F169" i="9"/>
  <c r="F168" i="9"/>
  <c r="F167" i="9"/>
  <c r="F166" i="9"/>
  <c r="F165" i="9"/>
  <c r="F161" i="9"/>
  <c r="F160" i="9"/>
  <c r="F159" i="9"/>
  <c r="F158" i="9"/>
  <c r="F157" i="9"/>
  <c r="F156" i="9"/>
  <c r="F155" i="9"/>
  <c r="F154" i="9"/>
  <c r="F153" i="9"/>
  <c r="F152" i="9"/>
  <c r="F151" i="9"/>
  <c r="F147" i="9"/>
  <c r="F146" i="9"/>
  <c r="F145" i="9"/>
  <c r="F144" i="9"/>
  <c r="F143" i="9"/>
  <c r="F142" i="9"/>
  <c r="F141" i="9"/>
  <c r="F140" i="9"/>
  <c r="F139" i="9"/>
  <c r="F138" i="9"/>
  <c r="F137" i="9"/>
  <c r="F133" i="9"/>
  <c r="F131" i="9"/>
  <c r="F130" i="9"/>
  <c r="F126" i="9"/>
  <c r="F125" i="9"/>
  <c r="F124" i="9"/>
  <c r="F122" i="9"/>
  <c r="F121" i="9"/>
  <c r="F120" i="9"/>
  <c r="F127" i="9" s="1"/>
  <c r="F116" i="9"/>
  <c r="F115" i="9"/>
  <c r="F114" i="9"/>
  <c r="F113" i="9"/>
  <c r="F112" i="9"/>
  <c r="F107" i="9"/>
  <c r="F106" i="9"/>
  <c r="F105" i="9"/>
  <c r="F104" i="9"/>
  <c r="F103" i="9"/>
  <c r="F109" i="9" s="1"/>
  <c r="C20" i="10" s="1"/>
  <c r="F102" i="9"/>
  <c r="F101" i="9"/>
  <c r="F98" i="9"/>
  <c r="F97" i="9"/>
  <c r="F96" i="9"/>
  <c r="F95" i="9"/>
  <c r="F91" i="9"/>
  <c r="F90" i="9"/>
  <c r="F88" i="9"/>
  <c r="F84" i="9"/>
  <c r="F83" i="9"/>
  <c r="F82" i="9"/>
  <c r="F81" i="9"/>
  <c r="F80" i="9"/>
  <c r="F79" i="9"/>
  <c r="F74" i="9"/>
  <c r="F73" i="9"/>
  <c r="F72" i="9"/>
  <c r="F71" i="9"/>
  <c r="F70" i="9"/>
  <c r="F69" i="9"/>
  <c r="F68" i="9"/>
  <c r="F75" i="9" s="1"/>
  <c r="F64" i="9"/>
  <c r="F63" i="9"/>
  <c r="F62" i="9"/>
  <c r="F61" i="9"/>
  <c r="F59" i="9"/>
  <c r="F58" i="9"/>
  <c r="F57" i="9"/>
  <c r="F56" i="9"/>
  <c r="F55" i="9"/>
  <c r="F54" i="9"/>
  <c r="F53" i="9"/>
  <c r="F51" i="9"/>
  <c r="F47" i="9"/>
  <c r="F46" i="9"/>
  <c r="F45" i="9"/>
  <c r="F44" i="9"/>
  <c r="F43" i="9"/>
  <c r="F42" i="9"/>
  <c r="F41" i="9"/>
  <c r="F37" i="9"/>
  <c r="F36" i="9"/>
  <c r="F35" i="9"/>
  <c r="F34" i="9"/>
  <c r="F33" i="9"/>
  <c r="F32" i="9"/>
  <c r="F31" i="9"/>
  <c r="F30" i="9"/>
  <c r="F29" i="9"/>
  <c r="F28" i="9"/>
  <c r="F27" i="9"/>
  <c r="F23" i="9"/>
  <c r="F22" i="9"/>
  <c r="F21" i="9"/>
  <c r="F20" i="9"/>
  <c r="F19" i="9"/>
  <c r="F18" i="9"/>
  <c r="F17" i="9"/>
  <c r="F16" i="9"/>
  <c r="F24" i="9" s="1"/>
  <c r="F15" i="9"/>
  <c r="M33" i="8"/>
  <c r="T145" i="5"/>
  <c r="S145" i="5"/>
  <c r="Q145" i="5"/>
  <c r="P145" i="5"/>
  <c r="O145" i="5"/>
  <c r="N145" i="5"/>
  <c r="M145" i="5"/>
  <c r="L145" i="5"/>
  <c r="K145" i="5"/>
  <c r="J145" i="5"/>
  <c r="I145" i="5"/>
  <c r="H145" i="5"/>
  <c r="G145" i="5"/>
  <c r="F145" i="5"/>
  <c r="E145" i="5"/>
  <c r="D145" i="5"/>
  <c r="C145" i="5"/>
  <c r="B145" i="5"/>
  <c r="T144" i="5"/>
  <c r="S144" i="5"/>
  <c r="P144" i="5"/>
  <c r="O144" i="5"/>
  <c r="N144" i="5"/>
  <c r="M144" i="5"/>
  <c r="L144" i="5"/>
  <c r="K144" i="5"/>
  <c r="J144" i="5"/>
  <c r="I144" i="5"/>
  <c r="H144" i="5"/>
  <c r="G144" i="5"/>
  <c r="F144" i="5"/>
  <c r="E144" i="5"/>
  <c r="D144" i="5"/>
  <c r="C144" i="5"/>
  <c r="B144" i="5"/>
  <c r="T143" i="5"/>
  <c r="S143" i="5"/>
  <c r="P143" i="5"/>
  <c r="O143" i="5"/>
  <c r="N143" i="5"/>
  <c r="M143" i="5"/>
  <c r="L143" i="5"/>
  <c r="K143" i="5"/>
  <c r="J143" i="5"/>
  <c r="I143" i="5"/>
  <c r="H143" i="5"/>
  <c r="G143" i="5"/>
  <c r="F143" i="5"/>
  <c r="E143" i="5"/>
  <c r="D143" i="5"/>
  <c r="C143" i="5"/>
  <c r="B143" i="5"/>
  <c r="T142" i="5"/>
  <c r="S142" i="5"/>
  <c r="P142" i="5"/>
  <c r="O142" i="5"/>
  <c r="N142" i="5"/>
  <c r="M142" i="5"/>
  <c r="L142" i="5"/>
  <c r="K142" i="5"/>
  <c r="J142" i="5"/>
  <c r="I142" i="5"/>
  <c r="H142" i="5"/>
  <c r="G142" i="5"/>
  <c r="F142" i="5"/>
  <c r="E142" i="5"/>
  <c r="D142" i="5"/>
  <c r="C142" i="5"/>
  <c r="B142" i="5"/>
  <c r="T141" i="5"/>
  <c r="S141" i="5"/>
  <c r="P141" i="5"/>
  <c r="O141" i="5"/>
  <c r="N141" i="5"/>
  <c r="M141" i="5"/>
  <c r="L141" i="5"/>
  <c r="K141" i="5"/>
  <c r="J141" i="5"/>
  <c r="I141" i="5"/>
  <c r="H141" i="5"/>
  <c r="G141" i="5"/>
  <c r="F141" i="5"/>
  <c r="E141" i="5"/>
  <c r="D141" i="5"/>
  <c r="C141" i="5"/>
  <c r="B141" i="5"/>
  <c r="T140" i="5"/>
  <c r="S140" i="5"/>
  <c r="P140" i="5"/>
  <c r="O140" i="5"/>
  <c r="N140" i="5"/>
  <c r="M140" i="5"/>
  <c r="L140" i="5"/>
  <c r="K140" i="5"/>
  <c r="J140" i="5"/>
  <c r="I140" i="5"/>
  <c r="H140" i="5"/>
  <c r="G140" i="5"/>
  <c r="F140" i="5"/>
  <c r="E140" i="5"/>
  <c r="D140" i="5"/>
  <c r="C140" i="5"/>
  <c r="B140" i="5"/>
  <c r="T139" i="5"/>
  <c r="S139" i="5"/>
  <c r="R139" i="5"/>
  <c r="Q139" i="5"/>
  <c r="P139" i="5"/>
  <c r="O139" i="5"/>
  <c r="N139" i="5"/>
  <c r="M139" i="5"/>
  <c r="L139" i="5"/>
  <c r="K139" i="5"/>
  <c r="J139" i="5"/>
  <c r="I139" i="5"/>
  <c r="H139" i="5"/>
  <c r="G139" i="5"/>
  <c r="F139" i="5"/>
  <c r="E139" i="5"/>
  <c r="D139" i="5"/>
  <c r="C139" i="5"/>
  <c r="B139" i="5"/>
  <c r="T138" i="5"/>
  <c r="S138" i="5"/>
  <c r="P138" i="5"/>
  <c r="O138" i="5"/>
  <c r="N138" i="5"/>
  <c r="M138" i="5"/>
  <c r="L138" i="5"/>
  <c r="K138" i="5"/>
  <c r="J138" i="5"/>
  <c r="I138" i="5"/>
  <c r="H138" i="5"/>
  <c r="G138" i="5"/>
  <c r="F138" i="5"/>
  <c r="E138" i="5"/>
  <c r="D138" i="5"/>
  <c r="C138" i="5"/>
  <c r="B138" i="5"/>
  <c r="T137" i="5"/>
  <c r="S137" i="5"/>
  <c r="Q137" i="5"/>
  <c r="P137" i="5"/>
  <c r="O137" i="5"/>
  <c r="N137" i="5"/>
  <c r="M137" i="5"/>
  <c r="L137" i="5"/>
  <c r="K137" i="5"/>
  <c r="J137" i="5"/>
  <c r="I137" i="5"/>
  <c r="H137" i="5"/>
  <c r="G137" i="5"/>
  <c r="F137" i="5"/>
  <c r="E137" i="5"/>
  <c r="D137" i="5"/>
  <c r="C137" i="5"/>
  <c r="B137" i="5"/>
  <c r="T136" i="5"/>
  <c r="S136" i="5"/>
  <c r="P136" i="5"/>
  <c r="O136" i="5"/>
  <c r="N136" i="5"/>
  <c r="M136" i="5"/>
  <c r="L136" i="5"/>
  <c r="K136" i="5"/>
  <c r="J136" i="5"/>
  <c r="I136" i="5"/>
  <c r="H136" i="5"/>
  <c r="G136" i="5"/>
  <c r="F136" i="5"/>
  <c r="E136" i="5"/>
  <c r="D136" i="5"/>
  <c r="C136" i="5"/>
  <c r="B136" i="5"/>
  <c r="T135" i="5"/>
  <c r="S135" i="5"/>
  <c r="Q135" i="5"/>
  <c r="P135" i="5"/>
  <c r="O135" i="5"/>
  <c r="N135" i="5"/>
  <c r="M135" i="5"/>
  <c r="L135" i="5"/>
  <c r="K135" i="5"/>
  <c r="J135" i="5"/>
  <c r="I135" i="5"/>
  <c r="H135" i="5"/>
  <c r="G135" i="5"/>
  <c r="F135" i="5"/>
  <c r="E135" i="5"/>
  <c r="D135" i="5"/>
  <c r="C135" i="5"/>
  <c r="B135" i="5"/>
  <c r="T134" i="5"/>
  <c r="S134" i="5"/>
  <c r="P134" i="5"/>
  <c r="O134" i="5"/>
  <c r="N134" i="5"/>
  <c r="M134" i="5"/>
  <c r="L134" i="5"/>
  <c r="K134" i="5"/>
  <c r="J134" i="5"/>
  <c r="I134" i="5"/>
  <c r="H134" i="5"/>
  <c r="G134" i="5"/>
  <c r="F134" i="5"/>
  <c r="E134" i="5"/>
  <c r="D134" i="5"/>
  <c r="C134" i="5"/>
  <c r="B134" i="5"/>
  <c r="T133" i="5"/>
  <c r="S133" i="5"/>
  <c r="R133" i="5"/>
  <c r="P133" i="5"/>
  <c r="O133" i="5"/>
  <c r="N133" i="5"/>
  <c r="M133" i="5"/>
  <c r="L133" i="5"/>
  <c r="K133" i="5"/>
  <c r="J133" i="5"/>
  <c r="I133" i="5"/>
  <c r="H133" i="5"/>
  <c r="G133" i="5"/>
  <c r="F133" i="5"/>
  <c r="E133" i="5"/>
  <c r="D133" i="5"/>
  <c r="C133" i="5"/>
  <c r="B133" i="5"/>
  <c r="T132" i="5"/>
  <c r="S132" i="5"/>
  <c r="R132" i="5"/>
  <c r="Q132" i="5"/>
  <c r="P132" i="5"/>
  <c r="O132" i="5"/>
  <c r="N132" i="5"/>
  <c r="M132" i="5"/>
  <c r="L132" i="5"/>
  <c r="K132" i="5"/>
  <c r="J132" i="5"/>
  <c r="I132" i="5"/>
  <c r="H132" i="5"/>
  <c r="G132" i="5"/>
  <c r="F132" i="5"/>
  <c r="E132" i="5"/>
  <c r="D132" i="5"/>
  <c r="C132" i="5"/>
  <c r="B132" i="5"/>
  <c r="T131" i="5"/>
  <c r="S131" i="5"/>
  <c r="P131" i="5"/>
  <c r="O131" i="5"/>
  <c r="N131" i="5"/>
  <c r="M131" i="5"/>
  <c r="L131" i="5"/>
  <c r="K131" i="5"/>
  <c r="J131" i="5"/>
  <c r="I131" i="5"/>
  <c r="H131" i="5"/>
  <c r="G131" i="5"/>
  <c r="F131" i="5"/>
  <c r="E131" i="5"/>
  <c r="D131" i="5"/>
  <c r="C131" i="5"/>
  <c r="B131" i="5"/>
  <c r="T130" i="5"/>
  <c r="S130" i="5"/>
  <c r="P130" i="5"/>
  <c r="O130" i="5"/>
  <c r="N130" i="5"/>
  <c r="M130" i="5"/>
  <c r="L130" i="5"/>
  <c r="K130" i="5"/>
  <c r="J130" i="5"/>
  <c r="I130" i="5"/>
  <c r="H130" i="5"/>
  <c r="G130" i="5"/>
  <c r="F130" i="5"/>
  <c r="E130" i="5"/>
  <c r="D130" i="5"/>
  <c r="C130" i="5"/>
  <c r="B130" i="5"/>
  <c r="T129" i="5"/>
  <c r="S129" i="5"/>
  <c r="P129" i="5"/>
  <c r="O129" i="5"/>
  <c r="N129" i="5"/>
  <c r="M129" i="5"/>
  <c r="L129" i="5"/>
  <c r="K129" i="5"/>
  <c r="J129" i="5"/>
  <c r="I129" i="5"/>
  <c r="H129" i="5"/>
  <c r="G129" i="5"/>
  <c r="F129" i="5"/>
  <c r="E129" i="5"/>
  <c r="D129" i="5"/>
  <c r="C129" i="5"/>
  <c r="B129" i="5"/>
  <c r="T128" i="5"/>
  <c r="S128" i="5"/>
  <c r="P128" i="5"/>
  <c r="O128" i="5"/>
  <c r="N128" i="5"/>
  <c r="M128" i="5"/>
  <c r="L128" i="5"/>
  <c r="K128" i="5"/>
  <c r="J128" i="5"/>
  <c r="I128" i="5"/>
  <c r="H128" i="5"/>
  <c r="G128" i="5"/>
  <c r="F128" i="5"/>
  <c r="E128" i="5"/>
  <c r="D128" i="5"/>
  <c r="C128" i="5"/>
  <c r="B128" i="5"/>
  <c r="T127" i="5"/>
  <c r="S127" i="5"/>
  <c r="P127" i="5"/>
  <c r="O127" i="5"/>
  <c r="N127" i="5"/>
  <c r="M127" i="5"/>
  <c r="L127" i="5"/>
  <c r="K127" i="5"/>
  <c r="J127" i="5"/>
  <c r="I127" i="5"/>
  <c r="H127" i="5"/>
  <c r="G127" i="5"/>
  <c r="F127" i="5"/>
  <c r="E127" i="5"/>
  <c r="D127" i="5"/>
  <c r="C127" i="5"/>
  <c r="B127" i="5"/>
  <c r="T126" i="5"/>
  <c r="S126" i="5"/>
  <c r="P126" i="5"/>
  <c r="O126" i="5"/>
  <c r="N126" i="5"/>
  <c r="M126" i="5"/>
  <c r="L126" i="5"/>
  <c r="K126" i="5"/>
  <c r="J126" i="5"/>
  <c r="I126" i="5"/>
  <c r="H126" i="5"/>
  <c r="G126" i="5"/>
  <c r="F126" i="5"/>
  <c r="E126" i="5"/>
  <c r="D126" i="5"/>
  <c r="C126" i="5"/>
  <c r="B126" i="5"/>
  <c r="T125" i="5"/>
  <c r="S125" i="5"/>
  <c r="P125" i="5"/>
  <c r="O125" i="5"/>
  <c r="N125" i="5"/>
  <c r="M125" i="5"/>
  <c r="L125" i="5"/>
  <c r="K125" i="5"/>
  <c r="J125" i="5"/>
  <c r="I125" i="5"/>
  <c r="H125" i="5"/>
  <c r="G125" i="5"/>
  <c r="F125" i="5"/>
  <c r="E125" i="5"/>
  <c r="D125" i="5"/>
  <c r="C125" i="5"/>
  <c r="B125" i="5"/>
  <c r="T124" i="5"/>
  <c r="S124" i="5"/>
  <c r="Q124" i="5"/>
  <c r="P124" i="5"/>
  <c r="O124" i="5"/>
  <c r="N124" i="5"/>
  <c r="M124" i="5"/>
  <c r="L124" i="5"/>
  <c r="K124" i="5"/>
  <c r="J124" i="5"/>
  <c r="I124" i="5"/>
  <c r="H124" i="5"/>
  <c r="G124" i="5"/>
  <c r="F124" i="5"/>
  <c r="E124" i="5"/>
  <c r="D124" i="5"/>
  <c r="C124" i="5"/>
  <c r="B124" i="5"/>
  <c r="T123" i="5"/>
  <c r="S123" i="5"/>
  <c r="P123" i="5"/>
  <c r="O123" i="5"/>
  <c r="N123" i="5"/>
  <c r="M123" i="5"/>
  <c r="L123" i="5"/>
  <c r="K123" i="5"/>
  <c r="J123" i="5"/>
  <c r="I123" i="5"/>
  <c r="H123" i="5"/>
  <c r="G123" i="5"/>
  <c r="F123" i="5"/>
  <c r="E123" i="5"/>
  <c r="D123" i="5"/>
  <c r="C123" i="5"/>
  <c r="B123" i="5"/>
  <c r="T122" i="5"/>
  <c r="S122" i="5"/>
  <c r="P122" i="5"/>
  <c r="O122" i="5"/>
  <c r="N122" i="5"/>
  <c r="M122" i="5"/>
  <c r="L122" i="5"/>
  <c r="K122" i="5"/>
  <c r="J122" i="5"/>
  <c r="I122" i="5"/>
  <c r="H122" i="5"/>
  <c r="G122" i="5"/>
  <c r="F122" i="5"/>
  <c r="E122" i="5"/>
  <c r="D122" i="5"/>
  <c r="C122" i="5"/>
  <c r="B122" i="5"/>
  <c r="T121" i="5"/>
  <c r="S121" i="5"/>
  <c r="P121" i="5"/>
  <c r="O121" i="5"/>
  <c r="N121" i="5"/>
  <c r="M121" i="5"/>
  <c r="L121" i="5"/>
  <c r="K121" i="5"/>
  <c r="J121" i="5"/>
  <c r="I121" i="5"/>
  <c r="H121" i="5"/>
  <c r="G121" i="5"/>
  <c r="F121" i="5"/>
  <c r="E121" i="5"/>
  <c r="D121" i="5"/>
  <c r="C121" i="5"/>
  <c r="B121" i="5"/>
  <c r="T120" i="5"/>
  <c r="S120" i="5"/>
  <c r="P120" i="5"/>
  <c r="O120" i="5"/>
  <c r="N120" i="5"/>
  <c r="M120" i="5"/>
  <c r="L120" i="5"/>
  <c r="K120" i="5"/>
  <c r="J120" i="5"/>
  <c r="I120" i="5"/>
  <c r="H120" i="5"/>
  <c r="G120" i="5"/>
  <c r="F120" i="5"/>
  <c r="E120" i="5"/>
  <c r="D120" i="5"/>
  <c r="C120" i="5"/>
  <c r="B120" i="5"/>
  <c r="T119" i="5"/>
  <c r="S119" i="5"/>
  <c r="P119" i="5"/>
  <c r="O119" i="5"/>
  <c r="N119" i="5"/>
  <c r="M119" i="5"/>
  <c r="L119" i="5"/>
  <c r="K119" i="5"/>
  <c r="J119" i="5"/>
  <c r="I119" i="5"/>
  <c r="H119" i="5"/>
  <c r="G119" i="5"/>
  <c r="F119" i="5"/>
  <c r="E119" i="5"/>
  <c r="D119" i="5"/>
  <c r="C119" i="5"/>
  <c r="B119" i="5"/>
  <c r="T118" i="5"/>
  <c r="S118" i="5"/>
  <c r="P118" i="5"/>
  <c r="O118" i="5"/>
  <c r="N118" i="5"/>
  <c r="M118" i="5"/>
  <c r="L118" i="5"/>
  <c r="K118" i="5"/>
  <c r="J118" i="5"/>
  <c r="I118" i="5"/>
  <c r="H118" i="5"/>
  <c r="G118" i="5"/>
  <c r="F118" i="5"/>
  <c r="E118" i="5"/>
  <c r="D118" i="5"/>
  <c r="C118" i="5"/>
  <c r="B118" i="5"/>
  <c r="T117" i="5"/>
  <c r="S117" i="5"/>
  <c r="P117" i="5"/>
  <c r="O117" i="5"/>
  <c r="N117" i="5"/>
  <c r="M117" i="5"/>
  <c r="L117" i="5"/>
  <c r="K117" i="5"/>
  <c r="J117" i="5"/>
  <c r="I117" i="5"/>
  <c r="H117" i="5"/>
  <c r="G117" i="5"/>
  <c r="F117" i="5"/>
  <c r="E117" i="5"/>
  <c r="D117" i="5"/>
  <c r="C117" i="5"/>
  <c r="B117" i="5"/>
  <c r="T116" i="5"/>
  <c r="S116" i="5"/>
  <c r="P116" i="5"/>
  <c r="O116" i="5"/>
  <c r="N116" i="5"/>
  <c r="M116" i="5"/>
  <c r="L116" i="5"/>
  <c r="K116" i="5"/>
  <c r="J116" i="5"/>
  <c r="I116" i="5"/>
  <c r="H116" i="5"/>
  <c r="G116" i="5"/>
  <c r="F116" i="5"/>
  <c r="E116" i="5"/>
  <c r="D116" i="5"/>
  <c r="C116" i="5"/>
  <c r="B116" i="5"/>
  <c r="T115" i="5"/>
  <c r="S115" i="5"/>
  <c r="P115" i="5"/>
  <c r="O115" i="5"/>
  <c r="N115" i="5"/>
  <c r="M115" i="5"/>
  <c r="L115" i="5"/>
  <c r="K115" i="5"/>
  <c r="J115" i="5"/>
  <c r="I115" i="5"/>
  <c r="H115" i="5"/>
  <c r="G115" i="5"/>
  <c r="F115" i="5"/>
  <c r="E115" i="5"/>
  <c r="D115" i="5"/>
  <c r="C115" i="5"/>
  <c r="B115" i="5"/>
  <c r="T114" i="5"/>
  <c r="S114" i="5"/>
  <c r="P114" i="5"/>
  <c r="O114" i="5"/>
  <c r="N114" i="5"/>
  <c r="M114" i="5"/>
  <c r="L114" i="5"/>
  <c r="K114" i="5"/>
  <c r="J114" i="5"/>
  <c r="I114" i="5"/>
  <c r="H114" i="5"/>
  <c r="G114" i="5"/>
  <c r="F114" i="5"/>
  <c r="E114" i="5"/>
  <c r="D114" i="5"/>
  <c r="C114" i="5"/>
  <c r="B114" i="5"/>
  <c r="T113" i="5"/>
  <c r="S113" i="5"/>
  <c r="R113" i="5"/>
  <c r="Q113" i="5"/>
  <c r="P113" i="5"/>
  <c r="O113" i="5"/>
  <c r="N113" i="5"/>
  <c r="M113" i="5"/>
  <c r="L113" i="5"/>
  <c r="K113" i="5"/>
  <c r="J113" i="5"/>
  <c r="I113" i="5"/>
  <c r="H113" i="5"/>
  <c r="G113" i="5"/>
  <c r="F113" i="5"/>
  <c r="E113" i="5"/>
  <c r="D113" i="5"/>
  <c r="C113" i="5"/>
  <c r="B113" i="5"/>
  <c r="T112" i="5"/>
  <c r="S112" i="5"/>
  <c r="P112" i="5"/>
  <c r="O112" i="5"/>
  <c r="N112" i="5"/>
  <c r="M112" i="5"/>
  <c r="L112" i="5"/>
  <c r="K112" i="5"/>
  <c r="J112" i="5"/>
  <c r="I112" i="5"/>
  <c r="H112" i="5"/>
  <c r="G112" i="5"/>
  <c r="F112" i="5"/>
  <c r="E112" i="5"/>
  <c r="D112" i="5"/>
  <c r="C112" i="5"/>
  <c r="B112" i="5"/>
  <c r="T111" i="5"/>
  <c r="S111" i="5"/>
  <c r="Q111" i="5"/>
  <c r="P111" i="5"/>
  <c r="O111" i="5"/>
  <c r="N111" i="5"/>
  <c r="M111" i="5"/>
  <c r="L111" i="5"/>
  <c r="K111" i="5"/>
  <c r="J111" i="5"/>
  <c r="I111" i="5"/>
  <c r="H111" i="5"/>
  <c r="G111" i="5"/>
  <c r="F111" i="5"/>
  <c r="E111" i="5"/>
  <c r="D111" i="5"/>
  <c r="C111" i="5"/>
  <c r="B111" i="5"/>
  <c r="T110" i="5"/>
  <c r="S110" i="5"/>
  <c r="P110" i="5"/>
  <c r="O110" i="5"/>
  <c r="N110" i="5"/>
  <c r="M110" i="5"/>
  <c r="L110" i="5"/>
  <c r="K110" i="5"/>
  <c r="J110" i="5"/>
  <c r="I110" i="5"/>
  <c r="H110" i="5"/>
  <c r="G110" i="5"/>
  <c r="F110" i="5"/>
  <c r="E110" i="5"/>
  <c r="D110" i="5"/>
  <c r="C110" i="5"/>
  <c r="B110" i="5"/>
  <c r="T109" i="5"/>
  <c r="S109" i="5"/>
  <c r="P109" i="5"/>
  <c r="O109" i="5"/>
  <c r="N109" i="5"/>
  <c r="M109" i="5"/>
  <c r="L109" i="5"/>
  <c r="K109" i="5"/>
  <c r="J109" i="5"/>
  <c r="I109" i="5"/>
  <c r="H109" i="5"/>
  <c r="G109" i="5"/>
  <c r="F109" i="5"/>
  <c r="E109" i="5"/>
  <c r="D109" i="5"/>
  <c r="C109" i="5"/>
  <c r="B109" i="5"/>
  <c r="T108" i="5"/>
  <c r="S108" i="5"/>
  <c r="P108" i="5"/>
  <c r="O108" i="5"/>
  <c r="N108" i="5"/>
  <c r="M108" i="5"/>
  <c r="L108" i="5"/>
  <c r="K108" i="5"/>
  <c r="J108" i="5"/>
  <c r="I108" i="5"/>
  <c r="H108" i="5"/>
  <c r="G108" i="5"/>
  <c r="F108" i="5"/>
  <c r="E108" i="5"/>
  <c r="D108" i="5"/>
  <c r="C108" i="5"/>
  <c r="B108" i="5"/>
  <c r="T107" i="5"/>
  <c r="S107" i="5"/>
  <c r="P107" i="5"/>
  <c r="O107" i="5"/>
  <c r="N107" i="5"/>
  <c r="M107" i="5"/>
  <c r="L107" i="5"/>
  <c r="K107" i="5"/>
  <c r="J107" i="5"/>
  <c r="I107" i="5"/>
  <c r="H107" i="5"/>
  <c r="G107" i="5"/>
  <c r="F107" i="5"/>
  <c r="E107" i="5"/>
  <c r="D107" i="5"/>
  <c r="C107" i="5"/>
  <c r="B107" i="5"/>
  <c r="T106" i="5"/>
  <c r="S106" i="5"/>
  <c r="P106" i="5"/>
  <c r="O106" i="5"/>
  <c r="N106" i="5"/>
  <c r="M106" i="5"/>
  <c r="L106" i="5"/>
  <c r="K106" i="5"/>
  <c r="J106" i="5"/>
  <c r="I106" i="5"/>
  <c r="H106" i="5"/>
  <c r="G106" i="5"/>
  <c r="F106" i="5"/>
  <c r="E106" i="5"/>
  <c r="D106" i="5"/>
  <c r="C106" i="5"/>
  <c r="B106" i="5"/>
  <c r="T105" i="5"/>
  <c r="S105" i="5"/>
  <c r="P105" i="5"/>
  <c r="O105" i="5"/>
  <c r="N105" i="5"/>
  <c r="M105" i="5"/>
  <c r="L105" i="5"/>
  <c r="K105" i="5"/>
  <c r="J105" i="5"/>
  <c r="I105" i="5"/>
  <c r="H105" i="5"/>
  <c r="G105" i="5"/>
  <c r="F105" i="5"/>
  <c r="E105" i="5"/>
  <c r="D105" i="5"/>
  <c r="C105" i="5"/>
  <c r="B105" i="5"/>
  <c r="T104" i="5"/>
  <c r="S104" i="5"/>
  <c r="Q104" i="5"/>
  <c r="P104" i="5"/>
  <c r="O104" i="5"/>
  <c r="N104" i="5"/>
  <c r="M104" i="5"/>
  <c r="L104" i="5"/>
  <c r="K104" i="5"/>
  <c r="J104" i="5"/>
  <c r="I104" i="5"/>
  <c r="H104" i="5"/>
  <c r="G104" i="5"/>
  <c r="F104" i="5"/>
  <c r="E104" i="5"/>
  <c r="D104" i="5"/>
  <c r="C104" i="5"/>
  <c r="B104" i="5"/>
  <c r="T103" i="5"/>
  <c r="S103" i="5"/>
  <c r="P103" i="5"/>
  <c r="O103" i="5"/>
  <c r="N103" i="5"/>
  <c r="M103" i="5"/>
  <c r="L103" i="5"/>
  <c r="K103" i="5"/>
  <c r="J103" i="5"/>
  <c r="I103" i="5"/>
  <c r="H103" i="5"/>
  <c r="G103" i="5"/>
  <c r="F103" i="5"/>
  <c r="E103" i="5"/>
  <c r="D103" i="5"/>
  <c r="C103" i="5"/>
  <c r="B103" i="5"/>
  <c r="T102" i="5"/>
  <c r="S102" i="5"/>
  <c r="P102" i="5"/>
  <c r="O102" i="5"/>
  <c r="N102" i="5"/>
  <c r="M102" i="5"/>
  <c r="L102" i="5"/>
  <c r="K102" i="5"/>
  <c r="J102" i="5"/>
  <c r="I102" i="5"/>
  <c r="H102" i="5"/>
  <c r="G102" i="5"/>
  <c r="F102" i="5"/>
  <c r="E102" i="5"/>
  <c r="D102" i="5"/>
  <c r="C102" i="5"/>
  <c r="B102" i="5"/>
  <c r="T101" i="5"/>
  <c r="S101" i="5"/>
  <c r="P101" i="5"/>
  <c r="O101" i="5"/>
  <c r="N101" i="5"/>
  <c r="M101" i="5"/>
  <c r="L101" i="5"/>
  <c r="K101" i="5"/>
  <c r="J101" i="5"/>
  <c r="I101" i="5"/>
  <c r="H101" i="5"/>
  <c r="G101" i="5"/>
  <c r="F101" i="5"/>
  <c r="E101" i="5"/>
  <c r="D101" i="5"/>
  <c r="C101" i="5"/>
  <c r="B101" i="5"/>
  <c r="T100" i="5"/>
  <c r="S100" i="5"/>
  <c r="Q100" i="5"/>
  <c r="P100" i="5"/>
  <c r="O100" i="5"/>
  <c r="N100" i="5"/>
  <c r="M100" i="5"/>
  <c r="L100" i="5"/>
  <c r="K100" i="5"/>
  <c r="J100" i="5"/>
  <c r="I100" i="5"/>
  <c r="H100" i="5"/>
  <c r="G100" i="5"/>
  <c r="F100" i="5"/>
  <c r="E100" i="5"/>
  <c r="D100" i="5"/>
  <c r="C100" i="5"/>
  <c r="B100" i="5"/>
  <c r="T99" i="5"/>
  <c r="S99" i="5"/>
  <c r="P99" i="5"/>
  <c r="O99" i="5"/>
  <c r="N99" i="5"/>
  <c r="M99" i="5"/>
  <c r="L99" i="5"/>
  <c r="K99" i="5"/>
  <c r="J99" i="5"/>
  <c r="I99" i="5"/>
  <c r="H99" i="5"/>
  <c r="G99" i="5"/>
  <c r="F99" i="5"/>
  <c r="E99" i="5"/>
  <c r="D99" i="5"/>
  <c r="C99" i="5"/>
  <c r="B99" i="5"/>
  <c r="T98" i="5"/>
  <c r="S98" i="5"/>
  <c r="R98" i="5"/>
  <c r="Q98" i="5"/>
  <c r="P98" i="5"/>
  <c r="O98" i="5"/>
  <c r="N98" i="5"/>
  <c r="M98" i="5"/>
  <c r="L98" i="5"/>
  <c r="K98" i="5"/>
  <c r="J98" i="5"/>
  <c r="I98" i="5"/>
  <c r="H98" i="5"/>
  <c r="G98" i="5"/>
  <c r="F98" i="5"/>
  <c r="E98" i="5"/>
  <c r="D98" i="5"/>
  <c r="C98" i="5"/>
  <c r="B98" i="5"/>
  <c r="T97" i="5"/>
  <c r="S97" i="5"/>
  <c r="P97" i="5"/>
  <c r="O97" i="5"/>
  <c r="N97" i="5"/>
  <c r="M97" i="5"/>
  <c r="L97" i="5"/>
  <c r="K97" i="5"/>
  <c r="J97" i="5"/>
  <c r="I97" i="5"/>
  <c r="H97" i="5"/>
  <c r="G97" i="5"/>
  <c r="F97" i="5"/>
  <c r="E97" i="5"/>
  <c r="D97" i="5"/>
  <c r="C97" i="5"/>
  <c r="B97" i="5"/>
  <c r="T96" i="5"/>
  <c r="S96" i="5"/>
  <c r="P96" i="5"/>
  <c r="O96" i="5"/>
  <c r="N96" i="5"/>
  <c r="M96" i="5"/>
  <c r="L96" i="5"/>
  <c r="K96" i="5"/>
  <c r="J96" i="5"/>
  <c r="I96" i="5"/>
  <c r="H96" i="5"/>
  <c r="G96" i="5"/>
  <c r="F96" i="5"/>
  <c r="E96" i="5"/>
  <c r="D96" i="5"/>
  <c r="C96" i="5"/>
  <c r="B96" i="5"/>
  <c r="T95" i="5"/>
  <c r="S95" i="5"/>
  <c r="P95" i="5"/>
  <c r="O95" i="5"/>
  <c r="N95" i="5"/>
  <c r="M95" i="5"/>
  <c r="L95" i="5"/>
  <c r="K95" i="5"/>
  <c r="J95" i="5"/>
  <c r="I95" i="5"/>
  <c r="H95" i="5"/>
  <c r="G95" i="5"/>
  <c r="F95" i="5"/>
  <c r="E95" i="5"/>
  <c r="D95" i="5"/>
  <c r="C95" i="5"/>
  <c r="B95" i="5"/>
  <c r="T94" i="5"/>
  <c r="S94" i="5"/>
  <c r="P94" i="5"/>
  <c r="O94" i="5"/>
  <c r="N94" i="5"/>
  <c r="M94" i="5"/>
  <c r="L94" i="5"/>
  <c r="K94" i="5"/>
  <c r="J94" i="5"/>
  <c r="I94" i="5"/>
  <c r="H94" i="5"/>
  <c r="G94" i="5"/>
  <c r="F94" i="5"/>
  <c r="E94" i="5"/>
  <c r="D94" i="5"/>
  <c r="C94" i="5"/>
  <c r="B94" i="5"/>
  <c r="T93" i="5"/>
  <c r="S93" i="5"/>
  <c r="Q93" i="5"/>
  <c r="P93" i="5"/>
  <c r="O93" i="5"/>
  <c r="N93" i="5"/>
  <c r="M93" i="5"/>
  <c r="L93" i="5"/>
  <c r="K93" i="5"/>
  <c r="J93" i="5"/>
  <c r="I93" i="5"/>
  <c r="H93" i="5"/>
  <c r="G93" i="5"/>
  <c r="F93" i="5"/>
  <c r="E93" i="5"/>
  <c r="D93" i="5"/>
  <c r="C93" i="5"/>
  <c r="B93" i="5"/>
  <c r="T92" i="5"/>
  <c r="S92" i="5"/>
  <c r="P92" i="5"/>
  <c r="O92" i="5"/>
  <c r="N92" i="5"/>
  <c r="M92" i="5"/>
  <c r="L92" i="5"/>
  <c r="K92" i="5"/>
  <c r="J92" i="5"/>
  <c r="I92" i="5"/>
  <c r="H92" i="5"/>
  <c r="G92" i="5"/>
  <c r="F92" i="5"/>
  <c r="E92" i="5"/>
  <c r="D92" i="5"/>
  <c r="C92" i="5"/>
  <c r="B92" i="5"/>
  <c r="T91" i="5"/>
  <c r="S91" i="5"/>
  <c r="Q91" i="5"/>
  <c r="P91" i="5"/>
  <c r="O91" i="5"/>
  <c r="N91" i="5"/>
  <c r="M91" i="5"/>
  <c r="L91" i="5"/>
  <c r="K91" i="5"/>
  <c r="J91" i="5"/>
  <c r="I91" i="5"/>
  <c r="H91" i="5"/>
  <c r="G91" i="5"/>
  <c r="F91" i="5"/>
  <c r="E91" i="5"/>
  <c r="D91" i="5"/>
  <c r="C91" i="5"/>
  <c r="B91" i="5"/>
  <c r="T90" i="5"/>
  <c r="S90" i="5"/>
  <c r="P90" i="5"/>
  <c r="O90" i="5"/>
  <c r="N90" i="5"/>
  <c r="M90" i="5"/>
  <c r="L90" i="5"/>
  <c r="K90" i="5"/>
  <c r="J90" i="5"/>
  <c r="I90" i="5"/>
  <c r="H90" i="5"/>
  <c r="G90" i="5"/>
  <c r="F90" i="5"/>
  <c r="E90" i="5"/>
  <c r="D90" i="5"/>
  <c r="C90" i="5"/>
  <c r="B90" i="5"/>
  <c r="T89" i="5"/>
  <c r="S89" i="5"/>
  <c r="P89" i="5"/>
  <c r="O89" i="5"/>
  <c r="N89" i="5"/>
  <c r="M89" i="5"/>
  <c r="L89" i="5"/>
  <c r="K89" i="5"/>
  <c r="J89" i="5"/>
  <c r="I89" i="5"/>
  <c r="H89" i="5"/>
  <c r="G89" i="5"/>
  <c r="F89" i="5"/>
  <c r="E89" i="5"/>
  <c r="D89" i="5"/>
  <c r="C89" i="5"/>
  <c r="B89" i="5"/>
  <c r="T88" i="5"/>
  <c r="S88" i="5"/>
  <c r="P88" i="5"/>
  <c r="O88" i="5"/>
  <c r="N88" i="5"/>
  <c r="M88" i="5"/>
  <c r="L88" i="5"/>
  <c r="K88" i="5"/>
  <c r="J88" i="5"/>
  <c r="I88" i="5"/>
  <c r="H88" i="5"/>
  <c r="G88" i="5"/>
  <c r="F88" i="5"/>
  <c r="E88" i="5"/>
  <c r="D88" i="5"/>
  <c r="C88" i="5"/>
  <c r="B88" i="5"/>
  <c r="T87" i="5"/>
  <c r="S87" i="5"/>
  <c r="Q87" i="5"/>
  <c r="P87" i="5"/>
  <c r="O87" i="5"/>
  <c r="N87" i="5"/>
  <c r="M87" i="5"/>
  <c r="L87" i="5"/>
  <c r="K87" i="5"/>
  <c r="J87" i="5"/>
  <c r="I87" i="5"/>
  <c r="H87" i="5"/>
  <c r="G87" i="5"/>
  <c r="F87" i="5"/>
  <c r="E87" i="5"/>
  <c r="D87" i="5"/>
  <c r="C87" i="5"/>
  <c r="B87" i="5"/>
  <c r="T86" i="5"/>
  <c r="S86" i="5"/>
  <c r="Q86" i="5"/>
  <c r="P86" i="5"/>
  <c r="O86" i="5"/>
  <c r="N86" i="5"/>
  <c r="M86" i="5"/>
  <c r="L86" i="5"/>
  <c r="K86" i="5"/>
  <c r="J86" i="5"/>
  <c r="I86" i="5"/>
  <c r="H86" i="5"/>
  <c r="G86" i="5"/>
  <c r="F86" i="5"/>
  <c r="E86" i="5"/>
  <c r="D86" i="5"/>
  <c r="C86" i="5"/>
  <c r="B86" i="5"/>
  <c r="T85" i="5"/>
  <c r="S85" i="5"/>
  <c r="P85" i="5"/>
  <c r="O85" i="5"/>
  <c r="N85" i="5"/>
  <c r="M85" i="5"/>
  <c r="L85" i="5"/>
  <c r="K85" i="5"/>
  <c r="J85" i="5"/>
  <c r="I85" i="5"/>
  <c r="H85" i="5"/>
  <c r="G85" i="5"/>
  <c r="F85" i="5"/>
  <c r="E85" i="5"/>
  <c r="D85" i="5"/>
  <c r="C85" i="5"/>
  <c r="B85" i="5"/>
  <c r="T84" i="5"/>
  <c r="S84" i="5"/>
  <c r="P84" i="5"/>
  <c r="O84" i="5"/>
  <c r="N84" i="5"/>
  <c r="M84" i="5"/>
  <c r="L84" i="5"/>
  <c r="K84" i="5"/>
  <c r="J84" i="5"/>
  <c r="I84" i="5"/>
  <c r="H84" i="5"/>
  <c r="G84" i="5"/>
  <c r="F84" i="5"/>
  <c r="E84" i="5"/>
  <c r="D84" i="5"/>
  <c r="C84" i="5"/>
  <c r="B84" i="5"/>
  <c r="T83" i="5"/>
  <c r="S83" i="5"/>
  <c r="P83" i="5"/>
  <c r="O83" i="5"/>
  <c r="N83" i="5"/>
  <c r="M83" i="5"/>
  <c r="L83" i="5"/>
  <c r="K83" i="5"/>
  <c r="J83" i="5"/>
  <c r="I83" i="5"/>
  <c r="H83" i="5"/>
  <c r="G83" i="5"/>
  <c r="F83" i="5"/>
  <c r="E83" i="5"/>
  <c r="D83" i="5"/>
  <c r="C83" i="5"/>
  <c r="B83" i="5"/>
  <c r="T82" i="5"/>
  <c r="S82" i="5"/>
  <c r="P82" i="5"/>
  <c r="O82" i="5"/>
  <c r="N82" i="5"/>
  <c r="M82" i="5"/>
  <c r="L82" i="5"/>
  <c r="K82" i="5"/>
  <c r="J82" i="5"/>
  <c r="I82" i="5"/>
  <c r="H82" i="5"/>
  <c r="G82" i="5"/>
  <c r="F82" i="5"/>
  <c r="E82" i="5"/>
  <c r="D82" i="5"/>
  <c r="C82" i="5"/>
  <c r="B82" i="5"/>
  <c r="T81" i="5"/>
  <c r="S81" i="5"/>
  <c r="P81" i="5"/>
  <c r="O81" i="5"/>
  <c r="N81" i="5"/>
  <c r="M81" i="5"/>
  <c r="L81" i="5"/>
  <c r="K81" i="5"/>
  <c r="J81" i="5"/>
  <c r="I81" i="5"/>
  <c r="H81" i="5"/>
  <c r="G81" i="5"/>
  <c r="F81" i="5"/>
  <c r="E81" i="5"/>
  <c r="D81" i="5"/>
  <c r="C81" i="5"/>
  <c r="B81" i="5"/>
  <c r="T80" i="5"/>
  <c r="S80" i="5"/>
  <c r="Q80" i="5"/>
  <c r="P80" i="5"/>
  <c r="O80" i="5"/>
  <c r="N80" i="5"/>
  <c r="M80" i="5"/>
  <c r="L80" i="5"/>
  <c r="K80" i="5"/>
  <c r="J80" i="5"/>
  <c r="I80" i="5"/>
  <c r="H80" i="5"/>
  <c r="G80" i="5"/>
  <c r="F80" i="5"/>
  <c r="E80" i="5"/>
  <c r="D80" i="5"/>
  <c r="C80" i="5"/>
  <c r="B80" i="5"/>
  <c r="T79" i="5"/>
  <c r="S79" i="5"/>
  <c r="P79" i="5"/>
  <c r="O79" i="5"/>
  <c r="N79" i="5"/>
  <c r="M79" i="5"/>
  <c r="L79" i="5"/>
  <c r="K79" i="5"/>
  <c r="J79" i="5"/>
  <c r="I79" i="5"/>
  <c r="H79" i="5"/>
  <c r="G79" i="5"/>
  <c r="F79" i="5"/>
  <c r="E79" i="5"/>
  <c r="D79" i="5"/>
  <c r="C79" i="5"/>
  <c r="B79" i="5"/>
  <c r="T78" i="5"/>
  <c r="S78" i="5"/>
  <c r="P78" i="5"/>
  <c r="O78" i="5"/>
  <c r="N78" i="5"/>
  <c r="M78" i="5"/>
  <c r="L78" i="5"/>
  <c r="K78" i="5"/>
  <c r="J78" i="5"/>
  <c r="I78" i="5"/>
  <c r="H78" i="5"/>
  <c r="G78" i="5"/>
  <c r="F78" i="5"/>
  <c r="E78" i="5"/>
  <c r="D78" i="5"/>
  <c r="C78" i="5"/>
  <c r="B78" i="5"/>
  <c r="T77" i="5"/>
  <c r="S77" i="5"/>
  <c r="P77" i="5"/>
  <c r="O77" i="5"/>
  <c r="N77" i="5"/>
  <c r="M77" i="5"/>
  <c r="L77" i="5"/>
  <c r="K77" i="5"/>
  <c r="J77" i="5"/>
  <c r="I77" i="5"/>
  <c r="H77" i="5"/>
  <c r="G77" i="5"/>
  <c r="F77" i="5"/>
  <c r="E77" i="5"/>
  <c r="D77" i="5"/>
  <c r="C77" i="5"/>
  <c r="B77" i="5"/>
  <c r="T76" i="5"/>
  <c r="S76" i="5"/>
  <c r="P76" i="5"/>
  <c r="O76" i="5"/>
  <c r="N76" i="5"/>
  <c r="M76" i="5"/>
  <c r="L76" i="5"/>
  <c r="K76" i="5"/>
  <c r="J76" i="5"/>
  <c r="I76" i="5"/>
  <c r="H76" i="5"/>
  <c r="G76" i="5"/>
  <c r="F76" i="5"/>
  <c r="E76" i="5"/>
  <c r="D76" i="5"/>
  <c r="C76" i="5"/>
  <c r="B76" i="5"/>
  <c r="T75" i="5"/>
  <c r="S75" i="5"/>
  <c r="P75" i="5"/>
  <c r="O75" i="5"/>
  <c r="N75" i="5"/>
  <c r="M75" i="5"/>
  <c r="L75" i="5"/>
  <c r="K75" i="5"/>
  <c r="J75" i="5"/>
  <c r="I75" i="5"/>
  <c r="H75" i="5"/>
  <c r="G75" i="5"/>
  <c r="F75" i="5"/>
  <c r="E75" i="5"/>
  <c r="D75" i="5"/>
  <c r="C75" i="5"/>
  <c r="B75" i="5"/>
  <c r="T74" i="5"/>
  <c r="S74" i="5"/>
  <c r="R74" i="5"/>
  <c r="Q74" i="5"/>
  <c r="P74" i="5"/>
  <c r="O74" i="5"/>
  <c r="N74" i="5"/>
  <c r="M74" i="5"/>
  <c r="L74" i="5"/>
  <c r="K74" i="5"/>
  <c r="J74" i="5"/>
  <c r="I74" i="5"/>
  <c r="H74" i="5"/>
  <c r="G74" i="5"/>
  <c r="F74" i="5"/>
  <c r="E74" i="5"/>
  <c r="D74" i="5"/>
  <c r="C74" i="5"/>
  <c r="B74" i="5"/>
  <c r="T73" i="5"/>
  <c r="S73" i="5"/>
  <c r="Q73" i="5"/>
  <c r="P73" i="5"/>
  <c r="O73" i="5"/>
  <c r="N73" i="5"/>
  <c r="M73" i="5"/>
  <c r="L73" i="5"/>
  <c r="K73" i="5"/>
  <c r="J73" i="5"/>
  <c r="I73" i="5"/>
  <c r="H73" i="5"/>
  <c r="G73" i="5"/>
  <c r="F73" i="5"/>
  <c r="E73" i="5"/>
  <c r="D73" i="5"/>
  <c r="C73" i="5"/>
  <c r="B73" i="5"/>
  <c r="T72" i="5"/>
  <c r="S72" i="5"/>
  <c r="P72" i="5"/>
  <c r="O72" i="5"/>
  <c r="N72" i="5"/>
  <c r="M72" i="5"/>
  <c r="L72" i="5"/>
  <c r="K72" i="5"/>
  <c r="J72" i="5"/>
  <c r="I72" i="5"/>
  <c r="H72" i="5"/>
  <c r="G72" i="5"/>
  <c r="F72" i="5"/>
  <c r="E72" i="5"/>
  <c r="D72" i="5"/>
  <c r="C72" i="5"/>
  <c r="B72" i="5"/>
  <c r="T71" i="5"/>
  <c r="S71" i="5"/>
  <c r="P71" i="5"/>
  <c r="O71" i="5"/>
  <c r="N71" i="5"/>
  <c r="M71" i="5"/>
  <c r="L71" i="5"/>
  <c r="K71" i="5"/>
  <c r="J71" i="5"/>
  <c r="I71" i="5"/>
  <c r="H71" i="5"/>
  <c r="G71" i="5"/>
  <c r="F71" i="5"/>
  <c r="E71" i="5"/>
  <c r="D71" i="5"/>
  <c r="C71" i="5"/>
  <c r="B71" i="5"/>
  <c r="T70" i="5"/>
  <c r="S70" i="5"/>
  <c r="P70" i="5"/>
  <c r="O70" i="5"/>
  <c r="N70" i="5"/>
  <c r="M70" i="5"/>
  <c r="L70" i="5"/>
  <c r="K70" i="5"/>
  <c r="J70" i="5"/>
  <c r="I70" i="5"/>
  <c r="H70" i="5"/>
  <c r="G70" i="5"/>
  <c r="F70" i="5"/>
  <c r="E70" i="5"/>
  <c r="D70" i="5"/>
  <c r="C70" i="5"/>
  <c r="B70" i="5"/>
  <c r="T69" i="5"/>
  <c r="S69" i="5"/>
  <c r="P69" i="5"/>
  <c r="O69" i="5"/>
  <c r="N69" i="5"/>
  <c r="M69" i="5"/>
  <c r="L69" i="5"/>
  <c r="K69" i="5"/>
  <c r="J69" i="5"/>
  <c r="I69" i="5"/>
  <c r="H69" i="5"/>
  <c r="G69" i="5"/>
  <c r="F69" i="5"/>
  <c r="E69" i="5"/>
  <c r="D69" i="5"/>
  <c r="C69" i="5"/>
  <c r="B69" i="5"/>
  <c r="T68" i="5"/>
  <c r="S68" i="5"/>
  <c r="P68" i="5"/>
  <c r="O68" i="5"/>
  <c r="N68" i="5"/>
  <c r="M68" i="5"/>
  <c r="L68" i="5"/>
  <c r="K68" i="5"/>
  <c r="J68" i="5"/>
  <c r="I68" i="5"/>
  <c r="H68" i="5"/>
  <c r="G68" i="5"/>
  <c r="F68" i="5"/>
  <c r="E68" i="5"/>
  <c r="D68" i="5"/>
  <c r="C68" i="5"/>
  <c r="B68" i="5"/>
  <c r="T67" i="5"/>
  <c r="S67" i="5"/>
  <c r="Q67" i="5"/>
  <c r="P67" i="5"/>
  <c r="O67" i="5"/>
  <c r="N67" i="5"/>
  <c r="M67" i="5"/>
  <c r="L67" i="5"/>
  <c r="K67" i="5"/>
  <c r="J67" i="5"/>
  <c r="I67" i="5"/>
  <c r="H67" i="5"/>
  <c r="G67" i="5"/>
  <c r="F67" i="5"/>
  <c r="E67" i="5"/>
  <c r="D67" i="5"/>
  <c r="C67" i="5"/>
  <c r="B67" i="5"/>
  <c r="T66" i="5"/>
  <c r="S66" i="5"/>
  <c r="P66" i="5"/>
  <c r="O66" i="5"/>
  <c r="N66" i="5"/>
  <c r="M66" i="5"/>
  <c r="L66" i="5"/>
  <c r="K66" i="5"/>
  <c r="J66" i="5"/>
  <c r="I66" i="5"/>
  <c r="H66" i="5"/>
  <c r="G66" i="5"/>
  <c r="F66" i="5"/>
  <c r="E66" i="5"/>
  <c r="D66" i="5"/>
  <c r="C66" i="5"/>
  <c r="B66" i="5"/>
  <c r="T65" i="5"/>
  <c r="S65" i="5"/>
  <c r="Q65" i="5"/>
  <c r="P65" i="5"/>
  <c r="O65" i="5"/>
  <c r="N65" i="5"/>
  <c r="M65" i="5"/>
  <c r="L65" i="5"/>
  <c r="K65" i="5"/>
  <c r="J65" i="5"/>
  <c r="I65" i="5"/>
  <c r="H65" i="5"/>
  <c r="G65" i="5"/>
  <c r="F65" i="5"/>
  <c r="E65" i="5"/>
  <c r="D65" i="5"/>
  <c r="C65" i="5"/>
  <c r="B65" i="5"/>
  <c r="T64" i="5"/>
  <c r="S64" i="5"/>
  <c r="P64" i="5"/>
  <c r="O64" i="5"/>
  <c r="N64" i="5"/>
  <c r="M64" i="5"/>
  <c r="L64" i="5"/>
  <c r="K64" i="5"/>
  <c r="J64" i="5"/>
  <c r="I64" i="5"/>
  <c r="H64" i="5"/>
  <c r="G64" i="5"/>
  <c r="F64" i="5"/>
  <c r="E64" i="5"/>
  <c r="D64" i="5"/>
  <c r="C64" i="5"/>
  <c r="B64" i="5"/>
  <c r="T63" i="5"/>
  <c r="S63" i="5"/>
  <c r="P63" i="5"/>
  <c r="O63" i="5"/>
  <c r="N63" i="5"/>
  <c r="M63" i="5"/>
  <c r="L63" i="5"/>
  <c r="K63" i="5"/>
  <c r="J63" i="5"/>
  <c r="I63" i="5"/>
  <c r="H63" i="5"/>
  <c r="G63" i="5"/>
  <c r="F63" i="5"/>
  <c r="E63" i="5"/>
  <c r="D63" i="5"/>
  <c r="C63" i="5"/>
  <c r="B63" i="5"/>
  <c r="T62" i="5"/>
  <c r="S62" i="5"/>
  <c r="P62" i="5"/>
  <c r="O62" i="5"/>
  <c r="N62" i="5"/>
  <c r="M62" i="5"/>
  <c r="L62" i="5"/>
  <c r="K62" i="5"/>
  <c r="J62" i="5"/>
  <c r="I62" i="5"/>
  <c r="H62" i="5"/>
  <c r="G62" i="5"/>
  <c r="F62" i="5"/>
  <c r="E62" i="5"/>
  <c r="D62" i="5"/>
  <c r="C62" i="5"/>
  <c r="B62" i="5"/>
  <c r="T61" i="5"/>
  <c r="S61" i="5"/>
  <c r="R61" i="5"/>
  <c r="P61" i="5"/>
  <c r="O61" i="5"/>
  <c r="N61" i="5"/>
  <c r="M61" i="5"/>
  <c r="L61" i="5"/>
  <c r="K61" i="5"/>
  <c r="J61" i="5"/>
  <c r="I61" i="5"/>
  <c r="H61" i="5"/>
  <c r="G61" i="5"/>
  <c r="F61" i="5"/>
  <c r="E61" i="5"/>
  <c r="D61" i="5"/>
  <c r="C61" i="5"/>
  <c r="B61" i="5"/>
  <c r="T60" i="5"/>
  <c r="S60" i="5"/>
  <c r="R60" i="5"/>
  <c r="Q60" i="5"/>
  <c r="P60" i="5"/>
  <c r="O60" i="5"/>
  <c r="N60" i="5"/>
  <c r="M60" i="5"/>
  <c r="L60" i="5"/>
  <c r="K60" i="5"/>
  <c r="J60" i="5"/>
  <c r="I60" i="5"/>
  <c r="H60" i="5"/>
  <c r="G60" i="5"/>
  <c r="F60" i="5"/>
  <c r="E60" i="5"/>
  <c r="D60" i="5"/>
  <c r="C60" i="5"/>
  <c r="B60" i="5"/>
  <c r="T59" i="5"/>
  <c r="S59" i="5"/>
  <c r="P59" i="5"/>
  <c r="O59" i="5"/>
  <c r="N59" i="5"/>
  <c r="M59" i="5"/>
  <c r="L59" i="5"/>
  <c r="K59" i="5"/>
  <c r="J59" i="5"/>
  <c r="I59" i="5"/>
  <c r="H59" i="5"/>
  <c r="G59" i="5"/>
  <c r="F59" i="5"/>
  <c r="E59" i="5"/>
  <c r="D59" i="5"/>
  <c r="C59" i="5"/>
  <c r="B59" i="5"/>
  <c r="T58" i="5"/>
  <c r="S58" i="5"/>
  <c r="P58" i="5"/>
  <c r="O58" i="5"/>
  <c r="N58" i="5"/>
  <c r="M58" i="5"/>
  <c r="L58" i="5"/>
  <c r="K58" i="5"/>
  <c r="J58" i="5"/>
  <c r="I58" i="5"/>
  <c r="H58" i="5"/>
  <c r="G58" i="5"/>
  <c r="F58" i="5"/>
  <c r="E58" i="5"/>
  <c r="D58" i="5"/>
  <c r="C58" i="5"/>
  <c r="B58" i="5"/>
  <c r="T57" i="5"/>
  <c r="S57" i="5"/>
  <c r="P57" i="5"/>
  <c r="O57" i="5"/>
  <c r="N57" i="5"/>
  <c r="M57" i="5"/>
  <c r="L57" i="5"/>
  <c r="K57" i="5"/>
  <c r="J57" i="5"/>
  <c r="I57" i="5"/>
  <c r="H57" i="5"/>
  <c r="G57" i="5"/>
  <c r="F57" i="5"/>
  <c r="E57" i="5"/>
  <c r="D57" i="5"/>
  <c r="C57" i="5"/>
  <c r="B57" i="5"/>
  <c r="T56" i="5"/>
  <c r="S56" i="5"/>
  <c r="P56" i="5"/>
  <c r="O56" i="5"/>
  <c r="N56" i="5"/>
  <c r="M56" i="5"/>
  <c r="L56" i="5"/>
  <c r="K56" i="5"/>
  <c r="J56" i="5"/>
  <c r="I56" i="5"/>
  <c r="H56" i="5"/>
  <c r="G56" i="5"/>
  <c r="F56" i="5"/>
  <c r="E56" i="5"/>
  <c r="D56" i="5"/>
  <c r="C56" i="5"/>
  <c r="B56" i="5"/>
  <c r="T55" i="5"/>
  <c r="S55" i="5"/>
  <c r="P55" i="5"/>
  <c r="O55" i="5"/>
  <c r="N55" i="5"/>
  <c r="M55" i="5"/>
  <c r="L55" i="5"/>
  <c r="K55" i="5"/>
  <c r="J55" i="5"/>
  <c r="I55" i="5"/>
  <c r="H55" i="5"/>
  <c r="G55" i="5"/>
  <c r="F55" i="5"/>
  <c r="E55" i="5"/>
  <c r="D55" i="5"/>
  <c r="C55" i="5"/>
  <c r="B55" i="5"/>
  <c r="T54" i="5"/>
  <c r="S54" i="5"/>
  <c r="P54" i="5"/>
  <c r="O54" i="5"/>
  <c r="N54" i="5"/>
  <c r="M54" i="5"/>
  <c r="L54" i="5"/>
  <c r="K54" i="5"/>
  <c r="J54" i="5"/>
  <c r="I54" i="5"/>
  <c r="H54" i="5"/>
  <c r="G54" i="5"/>
  <c r="F54" i="5"/>
  <c r="E54" i="5"/>
  <c r="D54" i="5"/>
  <c r="C54" i="5"/>
  <c r="B54" i="5"/>
  <c r="T53" i="5"/>
  <c r="S53" i="5"/>
  <c r="P53" i="5"/>
  <c r="O53" i="5"/>
  <c r="N53" i="5"/>
  <c r="M53" i="5"/>
  <c r="L53" i="5"/>
  <c r="K53" i="5"/>
  <c r="J53" i="5"/>
  <c r="I53" i="5"/>
  <c r="H53" i="5"/>
  <c r="G53" i="5"/>
  <c r="F53" i="5"/>
  <c r="E53" i="5"/>
  <c r="D53" i="5"/>
  <c r="C53" i="5"/>
  <c r="B53" i="5"/>
  <c r="T52" i="5"/>
  <c r="S52" i="5"/>
  <c r="Q52" i="5"/>
  <c r="P52" i="5"/>
  <c r="O52" i="5"/>
  <c r="N52" i="5"/>
  <c r="M52" i="5"/>
  <c r="L52" i="5"/>
  <c r="K52" i="5"/>
  <c r="J52" i="5"/>
  <c r="I52" i="5"/>
  <c r="H52" i="5"/>
  <c r="G52" i="5"/>
  <c r="F52" i="5"/>
  <c r="E52" i="5"/>
  <c r="D52" i="5"/>
  <c r="C52" i="5"/>
  <c r="B52" i="5"/>
  <c r="T51" i="5"/>
  <c r="S51" i="5"/>
  <c r="P51" i="5"/>
  <c r="O51" i="5"/>
  <c r="N51" i="5"/>
  <c r="M51" i="5"/>
  <c r="L51" i="5"/>
  <c r="K51" i="5"/>
  <c r="J51" i="5"/>
  <c r="I51" i="5"/>
  <c r="H51" i="5"/>
  <c r="G51" i="5"/>
  <c r="F51" i="5"/>
  <c r="E51" i="5"/>
  <c r="D51" i="5"/>
  <c r="C51" i="5"/>
  <c r="B51" i="5"/>
  <c r="T50" i="5"/>
  <c r="S50" i="5"/>
  <c r="P50" i="5"/>
  <c r="O50" i="5"/>
  <c r="N50" i="5"/>
  <c r="M50" i="5"/>
  <c r="L50" i="5"/>
  <c r="K50" i="5"/>
  <c r="J50" i="5"/>
  <c r="I50" i="5"/>
  <c r="H50" i="5"/>
  <c r="G50" i="5"/>
  <c r="F50" i="5"/>
  <c r="E50" i="5"/>
  <c r="D50" i="5"/>
  <c r="C50" i="5"/>
  <c r="B50" i="5"/>
  <c r="T49" i="5"/>
  <c r="S49" i="5"/>
  <c r="P49" i="5"/>
  <c r="O49" i="5"/>
  <c r="N49" i="5"/>
  <c r="M49" i="5"/>
  <c r="L49" i="5"/>
  <c r="K49" i="5"/>
  <c r="J49" i="5"/>
  <c r="I49" i="5"/>
  <c r="H49" i="5"/>
  <c r="G49" i="5"/>
  <c r="F49" i="5"/>
  <c r="E49" i="5"/>
  <c r="D49" i="5"/>
  <c r="C49" i="5"/>
  <c r="B49" i="5"/>
  <c r="T48" i="5"/>
  <c r="S48" i="5"/>
  <c r="P48" i="5"/>
  <c r="O48" i="5"/>
  <c r="N48" i="5"/>
  <c r="M48" i="5"/>
  <c r="L48" i="5"/>
  <c r="K48" i="5"/>
  <c r="J48" i="5"/>
  <c r="I48" i="5"/>
  <c r="H48" i="5"/>
  <c r="G48" i="5"/>
  <c r="F48" i="5"/>
  <c r="E48" i="5"/>
  <c r="D48" i="5"/>
  <c r="C48" i="5"/>
  <c r="B48" i="5"/>
  <c r="T47" i="5"/>
  <c r="S47" i="5"/>
  <c r="P47" i="5"/>
  <c r="O47" i="5"/>
  <c r="N47" i="5"/>
  <c r="M47" i="5"/>
  <c r="L47" i="5"/>
  <c r="K47" i="5"/>
  <c r="J47" i="5"/>
  <c r="I47" i="5"/>
  <c r="H47" i="5"/>
  <c r="G47" i="5"/>
  <c r="F47" i="5"/>
  <c r="E47" i="5"/>
  <c r="D47" i="5"/>
  <c r="C47" i="5"/>
  <c r="B47" i="5"/>
  <c r="T46" i="5"/>
  <c r="S46" i="5"/>
  <c r="P46" i="5"/>
  <c r="O46" i="5"/>
  <c r="N46" i="5"/>
  <c r="M46" i="5"/>
  <c r="L46" i="5"/>
  <c r="K46" i="5"/>
  <c r="J46" i="5"/>
  <c r="I46" i="5"/>
  <c r="H46" i="5"/>
  <c r="G46" i="5"/>
  <c r="F46" i="5"/>
  <c r="E46" i="5"/>
  <c r="D46" i="5"/>
  <c r="C46" i="5"/>
  <c r="B46" i="5"/>
  <c r="T45" i="5"/>
  <c r="S45" i="5"/>
  <c r="P45" i="5"/>
  <c r="O45" i="5"/>
  <c r="N45" i="5"/>
  <c r="M45" i="5"/>
  <c r="L45" i="5"/>
  <c r="K45" i="5"/>
  <c r="J45" i="5"/>
  <c r="I45" i="5"/>
  <c r="H45" i="5"/>
  <c r="G45" i="5"/>
  <c r="F45" i="5"/>
  <c r="E45" i="5"/>
  <c r="D45" i="5"/>
  <c r="C45" i="5"/>
  <c r="B45" i="5"/>
  <c r="T44" i="5"/>
  <c r="S44" i="5"/>
  <c r="P44" i="5"/>
  <c r="O44" i="5"/>
  <c r="N44" i="5"/>
  <c r="M44" i="5"/>
  <c r="L44" i="5"/>
  <c r="K44" i="5"/>
  <c r="J44" i="5"/>
  <c r="I44" i="5"/>
  <c r="H44" i="5"/>
  <c r="G44" i="5"/>
  <c r="F44" i="5"/>
  <c r="E44" i="5"/>
  <c r="D44" i="5"/>
  <c r="C44" i="5"/>
  <c r="B44" i="5"/>
  <c r="T43" i="5"/>
  <c r="S43" i="5"/>
  <c r="P43" i="5"/>
  <c r="O43" i="5"/>
  <c r="N43" i="5"/>
  <c r="M43" i="5"/>
  <c r="L43" i="5"/>
  <c r="K43" i="5"/>
  <c r="J43" i="5"/>
  <c r="I43" i="5"/>
  <c r="H43" i="5"/>
  <c r="G43" i="5"/>
  <c r="F43" i="5"/>
  <c r="E43" i="5"/>
  <c r="D43" i="5"/>
  <c r="C43" i="5"/>
  <c r="B43" i="5"/>
  <c r="T42" i="5"/>
  <c r="S42" i="5"/>
  <c r="P42" i="5"/>
  <c r="O42" i="5"/>
  <c r="N42" i="5"/>
  <c r="M42" i="5"/>
  <c r="L42" i="5"/>
  <c r="K42" i="5"/>
  <c r="J42" i="5"/>
  <c r="I42" i="5"/>
  <c r="H42" i="5"/>
  <c r="G42" i="5"/>
  <c r="F42" i="5"/>
  <c r="E42" i="5"/>
  <c r="D42" i="5"/>
  <c r="C42" i="5"/>
  <c r="B42" i="5"/>
  <c r="T41" i="5"/>
  <c r="S41" i="5"/>
  <c r="R41" i="5"/>
  <c r="Q41" i="5"/>
  <c r="P41" i="5"/>
  <c r="O41" i="5"/>
  <c r="N41" i="5"/>
  <c r="M41" i="5"/>
  <c r="L41" i="5"/>
  <c r="K41" i="5"/>
  <c r="J41" i="5"/>
  <c r="I41" i="5"/>
  <c r="H41" i="5"/>
  <c r="G41" i="5"/>
  <c r="F41" i="5"/>
  <c r="E41" i="5"/>
  <c r="D41" i="5"/>
  <c r="C41" i="5"/>
  <c r="B41" i="5"/>
  <c r="T40" i="5"/>
  <c r="S40" i="5"/>
  <c r="P40" i="5"/>
  <c r="O40" i="5"/>
  <c r="N40" i="5"/>
  <c r="M40" i="5"/>
  <c r="L40" i="5"/>
  <c r="K40" i="5"/>
  <c r="J40" i="5"/>
  <c r="I40" i="5"/>
  <c r="H40" i="5"/>
  <c r="G40" i="5"/>
  <c r="F40" i="5"/>
  <c r="E40" i="5"/>
  <c r="D40" i="5"/>
  <c r="C40" i="5"/>
  <c r="B40" i="5"/>
  <c r="T39" i="5"/>
  <c r="S39" i="5"/>
  <c r="Q39" i="5"/>
  <c r="P39" i="5"/>
  <c r="O39" i="5"/>
  <c r="N39" i="5"/>
  <c r="M39" i="5"/>
  <c r="L39" i="5"/>
  <c r="K39" i="5"/>
  <c r="J39" i="5"/>
  <c r="I39" i="5"/>
  <c r="H39" i="5"/>
  <c r="G39" i="5"/>
  <c r="F39" i="5"/>
  <c r="E39" i="5"/>
  <c r="D39" i="5"/>
  <c r="C39" i="5"/>
  <c r="B39" i="5"/>
  <c r="T38" i="5"/>
  <c r="S38" i="5"/>
  <c r="P38" i="5"/>
  <c r="O38" i="5"/>
  <c r="N38" i="5"/>
  <c r="M38" i="5"/>
  <c r="L38" i="5"/>
  <c r="K38" i="5"/>
  <c r="J38" i="5"/>
  <c r="I38" i="5"/>
  <c r="H38" i="5"/>
  <c r="G38" i="5"/>
  <c r="F38" i="5"/>
  <c r="E38" i="5"/>
  <c r="D38" i="5"/>
  <c r="C38" i="5"/>
  <c r="B38" i="5"/>
  <c r="T37" i="5"/>
  <c r="S37" i="5"/>
  <c r="P37" i="5"/>
  <c r="O37" i="5"/>
  <c r="N37" i="5"/>
  <c r="M37" i="5"/>
  <c r="L37" i="5"/>
  <c r="K37" i="5"/>
  <c r="J37" i="5"/>
  <c r="I37" i="5"/>
  <c r="H37" i="5"/>
  <c r="G37" i="5"/>
  <c r="F37" i="5"/>
  <c r="E37" i="5"/>
  <c r="D37" i="5"/>
  <c r="C37" i="5"/>
  <c r="B37" i="5"/>
  <c r="T36" i="5"/>
  <c r="S36" i="5"/>
  <c r="P36" i="5"/>
  <c r="O36" i="5"/>
  <c r="N36" i="5"/>
  <c r="M36" i="5"/>
  <c r="L36" i="5"/>
  <c r="K36" i="5"/>
  <c r="J36" i="5"/>
  <c r="I36" i="5"/>
  <c r="H36" i="5"/>
  <c r="G36" i="5"/>
  <c r="F36" i="5"/>
  <c r="E36" i="5"/>
  <c r="D36" i="5"/>
  <c r="C36" i="5"/>
  <c r="B36" i="5"/>
  <c r="T35" i="5"/>
  <c r="S35" i="5"/>
  <c r="P35" i="5"/>
  <c r="O35" i="5"/>
  <c r="N35" i="5"/>
  <c r="M35" i="5"/>
  <c r="L35" i="5"/>
  <c r="K35" i="5"/>
  <c r="J35" i="5"/>
  <c r="I35" i="5"/>
  <c r="H35" i="5"/>
  <c r="G35" i="5"/>
  <c r="F35" i="5"/>
  <c r="E35" i="5"/>
  <c r="D35" i="5"/>
  <c r="C35" i="5"/>
  <c r="B35" i="5"/>
  <c r="T34" i="5"/>
  <c r="S34" i="5"/>
  <c r="P34" i="5"/>
  <c r="O34" i="5"/>
  <c r="N34" i="5"/>
  <c r="M34" i="5"/>
  <c r="L34" i="5"/>
  <c r="K34" i="5"/>
  <c r="J34" i="5"/>
  <c r="I34" i="5"/>
  <c r="H34" i="5"/>
  <c r="G34" i="5"/>
  <c r="F34" i="5"/>
  <c r="E34" i="5"/>
  <c r="D34" i="5"/>
  <c r="C34" i="5"/>
  <c r="B34" i="5"/>
  <c r="T33" i="5"/>
  <c r="S33" i="5"/>
  <c r="P33" i="5"/>
  <c r="O33" i="5"/>
  <c r="N33" i="5"/>
  <c r="M33" i="5"/>
  <c r="L33" i="5"/>
  <c r="K33" i="5"/>
  <c r="J33" i="5"/>
  <c r="I33" i="5"/>
  <c r="H33" i="5"/>
  <c r="G33" i="5"/>
  <c r="F33" i="5"/>
  <c r="E33" i="5"/>
  <c r="D33" i="5"/>
  <c r="C33" i="5"/>
  <c r="B33" i="5"/>
  <c r="T32" i="5"/>
  <c r="S32" i="5"/>
  <c r="P32" i="5"/>
  <c r="O32" i="5"/>
  <c r="N32" i="5"/>
  <c r="M32" i="5"/>
  <c r="L32" i="5"/>
  <c r="K32" i="5"/>
  <c r="J32" i="5"/>
  <c r="I32" i="5"/>
  <c r="H32" i="5"/>
  <c r="G32" i="5"/>
  <c r="F32" i="5"/>
  <c r="E32" i="5"/>
  <c r="D32" i="5"/>
  <c r="C32" i="5"/>
  <c r="B32" i="5"/>
  <c r="T31" i="5"/>
  <c r="S31" i="5"/>
  <c r="P31" i="5"/>
  <c r="O31" i="5"/>
  <c r="N31" i="5"/>
  <c r="M31" i="5"/>
  <c r="L31" i="5"/>
  <c r="K31" i="5"/>
  <c r="J31" i="5"/>
  <c r="I31" i="5"/>
  <c r="H31" i="5"/>
  <c r="G31" i="5"/>
  <c r="F31" i="5"/>
  <c r="E31" i="5"/>
  <c r="D31" i="5"/>
  <c r="C31" i="5"/>
  <c r="B31" i="5"/>
  <c r="T30" i="5"/>
  <c r="S30" i="5"/>
  <c r="P30" i="5"/>
  <c r="O30" i="5"/>
  <c r="N30" i="5"/>
  <c r="M30" i="5"/>
  <c r="L30" i="5"/>
  <c r="K30" i="5"/>
  <c r="J30" i="5"/>
  <c r="I30" i="5"/>
  <c r="H30" i="5"/>
  <c r="G30" i="5"/>
  <c r="F30" i="5"/>
  <c r="E30" i="5"/>
  <c r="D30" i="5"/>
  <c r="C30" i="5"/>
  <c r="B30" i="5"/>
  <c r="T29" i="5"/>
  <c r="S29" i="5"/>
  <c r="P29" i="5"/>
  <c r="O29" i="5"/>
  <c r="N29" i="5"/>
  <c r="M29" i="5"/>
  <c r="L29" i="5"/>
  <c r="K29" i="5"/>
  <c r="J29" i="5"/>
  <c r="I29" i="5"/>
  <c r="H29" i="5"/>
  <c r="G29" i="5"/>
  <c r="F29" i="5"/>
  <c r="E29" i="5"/>
  <c r="D29" i="5"/>
  <c r="C29" i="5"/>
  <c r="B29" i="5"/>
  <c r="T28" i="5"/>
  <c r="S28" i="5"/>
  <c r="Q28" i="5"/>
  <c r="P28" i="5"/>
  <c r="O28" i="5"/>
  <c r="N28" i="5"/>
  <c r="M28" i="5"/>
  <c r="L28" i="5"/>
  <c r="K28" i="5"/>
  <c r="J28" i="5"/>
  <c r="I28" i="5"/>
  <c r="H28" i="5"/>
  <c r="G28" i="5"/>
  <c r="F28" i="5"/>
  <c r="E28" i="5"/>
  <c r="D28" i="5"/>
  <c r="C28" i="5"/>
  <c r="B28" i="5"/>
  <c r="T27" i="5"/>
  <c r="S27" i="5"/>
  <c r="P27" i="5"/>
  <c r="O27" i="5"/>
  <c r="N27" i="5"/>
  <c r="M27" i="5"/>
  <c r="L27" i="5"/>
  <c r="K27" i="5"/>
  <c r="J27" i="5"/>
  <c r="I27" i="5"/>
  <c r="H27" i="5"/>
  <c r="G27" i="5"/>
  <c r="F27" i="5"/>
  <c r="E27" i="5"/>
  <c r="D27" i="5"/>
  <c r="C27" i="5"/>
  <c r="B27" i="5"/>
  <c r="T26" i="5"/>
  <c r="S26" i="5"/>
  <c r="Q26" i="5"/>
  <c r="P26" i="5"/>
  <c r="O26" i="5"/>
  <c r="N26" i="5"/>
  <c r="M26" i="5"/>
  <c r="L26" i="5"/>
  <c r="K26" i="5"/>
  <c r="J26" i="5"/>
  <c r="I26" i="5"/>
  <c r="H26" i="5"/>
  <c r="G26" i="5"/>
  <c r="F26" i="5"/>
  <c r="E26" i="5"/>
  <c r="D26" i="5"/>
  <c r="C26" i="5"/>
  <c r="B26" i="5"/>
  <c r="T25" i="5"/>
  <c r="S25" i="5"/>
  <c r="P25" i="5"/>
  <c r="O25" i="5"/>
  <c r="N25" i="5"/>
  <c r="M25" i="5"/>
  <c r="L25" i="5"/>
  <c r="K25" i="5"/>
  <c r="J25" i="5"/>
  <c r="I25" i="5"/>
  <c r="H25" i="5"/>
  <c r="G25" i="5"/>
  <c r="F25" i="5"/>
  <c r="E25" i="5"/>
  <c r="D25" i="5"/>
  <c r="C25" i="5"/>
  <c r="B25" i="5"/>
  <c r="T24" i="5"/>
  <c r="S24" i="5"/>
  <c r="P24" i="5"/>
  <c r="O24" i="5"/>
  <c r="N24" i="5"/>
  <c r="M24" i="5"/>
  <c r="L24" i="5"/>
  <c r="K24" i="5"/>
  <c r="J24" i="5"/>
  <c r="I24" i="5"/>
  <c r="H24" i="5"/>
  <c r="G24" i="5"/>
  <c r="F24" i="5"/>
  <c r="E24" i="5"/>
  <c r="D24" i="5"/>
  <c r="C24" i="5"/>
  <c r="B24" i="5"/>
  <c r="T23" i="5"/>
  <c r="S23" i="5"/>
  <c r="P23" i="5"/>
  <c r="O23" i="5"/>
  <c r="N23" i="5"/>
  <c r="M23" i="5"/>
  <c r="L23" i="5"/>
  <c r="K23" i="5"/>
  <c r="J23" i="5"/>
  <c r="I23" i="5"/>
  <c r="H23" i="5"/>
  <c r="G23" i="5"/>
  <c r="F23" i="5"/>
  <c r="E23" i="5"/>
  <c r="D23" i="5"/>
  <c r="C23" i="5"/>
  <c r="B23" i="5"/>
  <c r="T22" i="5"/>
  <c r="S22" i="5"/>
  <c r="P22" i="5"/>
  <c r="O22" i="5"/>
  <c r="N22" i="5"/>
  <c r="M22" i="5"/>
  <c r="L22" i="5"/>
  <c r="K22" i="5"/>
  <c r="J22" i="5"/>
  <c r="I22" i="5"/>
  <c r="H22" i="5"/>
  <c r="G22" i="5"/>
  <c r="F22" i="5"/>
  <c r="E22" i="5"/>
  <c r="D22" i="5"/>
  <c r="C22" i="5"/>
  <c r="B22" i="5"/>
  <c r="T21" i="5"/>
  <c r="S21" i="5"/>
  <c r="Q21" i="5"/>
  <c r="P21" i="5"/>
  <c r="O21" i="5"/>
  <c r="N21" i="5"/>
  <c r="M21" i="5"/>
  <c r="L21" i="5"/>
  <c r="K21" i="5"/>
  <c r="J21" i="5"/>
  <c r="I21" i="5"/>
  <c r="H21" i="5"/>
  <c r="G21" i="5"/>
  <c r="F21" i="5"/>
  <c r="E21" i="5"/>
  <c r="D21" i="5"/>
  <c r="C21" i="5"/>
  <c r="B21" i="5"/>
  <c r="T20" i="5"/>
  <c r="S20" i="5"/>
  <c r="P20" i="5"/>
  <c r="O20" i="5"/>
  <c r="N20" i="5"/>
  <c r="M20" i="5"/>
  <c r="L20" i="5"/>
  <c r="K20" i="5"/>
  <c r="J20" i="5"/>
  <c r="I20" i="5"/>
  <c r="H20" i="5"/>
  <c r="G20" i="5"/>
  <c r="F20" i="5"/>
  <c r="E20" i="5"/>
  <c r="D20" i="5"/>
  <c r="C20" i="5"/>
  <c r="B20" i="5"/>
  <c r="T19" i="5"/>
  <c r="S19" i="5"/>
  <c r="R19" i="5"/>
  <c r="P19" i="5"/>
  <c r="O19" i="5"/>
  <c r="N19" i="5"/>
  <c r="M19" i="5"/>
  <c r="L19" i="5"/>
  <c r="K19" i="5"/>
  <c r="J19" i="5"/>
  <c r="I19" i="5"/>
  <c r="H19" i="5"/>
  <c r="G19" i="5"/>
  <c r="F19" i="5"/>
  <c r="E19" i="5"/>
  <c r="D19" i="5"/>
  <c r="C19" i="5"/>
  <c r="B19" i="5"/>
  <c r="T18" i="5"/>
  <c r="S18" i="5"/>
  <c r="P18" i="5"/>
  <c r="O18" i="5"/>
  <c r="N18" i="5"/>
  <c r="M18" i="5"/>
  <c r="L18" i="5"/>
  <c r="K18" i="5"/>
  <c r="J18" i="5"/>
  <c r="I18" i="5"/>
  <c r="H18" i="5"/>
  <c r="G18" i="5"/>
  <c r="F18" i="5"/>
  <c r="E18" i="5"/>
  <c r="D18" i="5"/>
  <c r="C18" i="5"/>
  <c r="B18" i="5"/>
  <c r="T17" i="5"/>
  <c r="S17" i="5"/>
  <c r="P17" i="5"/>
  <c r="O17" i="5"/>
  <c r="N17" i="5"/>
  <c r="M17" i="5"/>
  <c r="L17" i="5"/>
  <c r="K17" i="5"/>
  <c r="J17" i="5"/>
  <c r="I17" i="5"/>
  <c r="H17" i="5"/>
  <c r="G17" i="5"/>
  <c r="F17" i="5"/>
  <c r="E17" i="5"/>
  <c r="D17" i="5"/>
  <c r="C17" i="5"/>
  <c r="B17" i="5"/>
  <c r="T16" i="5"/>
  <c r="S16" i="5"/>
  <c r="P16" i="5"/>
  <c r="O16" i="5"/>
  <c r="N16" i="5"/>
  <c r="M16" i="5"/>
  <c r="L16" i="5"/>
  <c r="K16" i="5"/>
  <c r="J16" i="5"/>
  <c r="I16" i="5"/>
  <c r="H16" i="5"/>
  <c r="G16" i="5"/>
  <c r="F16" i="5"/>
  <c r="E16" i="5"/>
  <c r="D16" i="5"/>
  <c r="C16" i="5"/>
  <c r="B16" i="5"/>
  <c r="T15" i="5"/>
  <c r="S15" i="5"/>
  <c r="Q15" i="5"/>
  <c r="P15" i="5"/>
  <c r="O15" i="5"/>
  <c r="N15" i="5"/>
  <c r="M15" i="5"/>
  <c r="L15" i="5"/>
  <c r="K15" i="5"/>
  <c r="J15" i="5"/>
  <c r="I15" i="5"/>
  <c r="H15" i="5"/>
  <c r="G15" i="5"/>
  <c r="F15" i="5"/>
  <c r="E15" i="5"/>
  <c r="D15" i="5"/>
  <c r="C15" i="5"/>
  <c r="B15" i="5"/>
  <c r="T14" i="5"/>
  <c r="S14" i="5"/>
  <c r="Q14" i="5"/>
  <c r="P14" i="5"/>
  <c r="O14" i="5"/>
  <c r="N14" i="5"/>
  <c r="M14" i="5"/>
  <c r="L14" i="5"/>
  <c r="K14" i="5"/>
  <c r="J14" i="5"/>
  <c r="I14" i="5"/>
  <c r="H14" i="5"/>
  <c r="G14" i="5"/>
  <c r="F14" i="5"/>
  <c r="E14" i="5"/>
  <c r="D14" i="5"/>
  <c r="C14" i="5"/>
  <c r="B14" i="5"/>
  <c r="T13" i="5"/>
  <c r="S13" i="5"/>
  <c r="P13" i="5"/>
  <c r="O13" i="5"/>
  <c r="N13" i="5"/>
  <c r="M13" i="5"/>
  <c r="L13" i="5"/>
  <c r="K13" i="5"/>
  <c r="J13" i="5"/>
  <c r="I13" i="5"/>
  <c r="H13" i="5"/>
  <c r="G13" i="5"/>
  <c r="F13" i="5"/>
  <c r="E13" i="5"/>
  <c r="D13" i="5"/>
  <c r="C13" i="5"/>
  <c r="B13" i="5"/>
  <c r="T12" i="5"/>
  <c r="S12" i="5"/>
  <c r="P12" i="5"/>
  <c r="O12" i="5"/>
  <c r="N12" i="5"/>
  <c r="M12" i="5"/>
  <c r="L12" i="5"/>
  <c r="K12" i="5"/>
  <c r="J12" i="5"/>
  <c r="I12" i="5"/>
  <c r="H12" i="5"/>
  <c r="G12" i="5"/>
  <c r="F12" i="5"/>
  <c r="E12" i="5"/>
  <c r="D12" i="5"/>
  <c r="C12" i="5"/>
  <c r="B12" i="5"/>
  <c r="T11" i="5"/>
  <c r="S11" i="5"/>
  <c r="P11" i="5"/>
  <c r="O11" i="5"/>
  <c r="N11" i="5"/>
  <c r="M11" i="5"/>
  <c r="L11" i="5"/>
  <c r="K11" i="5"/>
  <c r="J11" i="5"/>
  <c r="I11" i="5"/>
  <c r="H11" i="5"/>
  <c r="G11" i="5"/>
  <c r="F11" i="5"/>
  <c r="E11" i="5"/>
  <c r="D11" i="5"/>
  <c r="C11" i="5"/>
  <c r="B11" i="5"/>
  <c r="T10" i="5"/>
  <c r="S10" i="5"/>
  <c r="P10" i="5"/>
  <c r="O10" i="5"/>
  <c r="N10" i="5"/>
  <c r="M10" i="5"/>
  <c r="L10" i="5"/>
  <c r="K10" i="5"/>
  <c r="J10" i="5"/>
  <c r="I10" i="5"/>
  <c r="H10" i="5"/>
  <c r="G10" i="5"/>
  <c r="F10" i="5"/>
  <c r="E10" i="5"/>
  <c r="D10" i="5"/>
  <c r="C10" i="5"/>
  <c r="B10" i="5"/>
  <c r="T9" i="5"/>
  <c r="S9" i="5"/>
  <c r="P9" i="5"/>
  <c r="O9" i="5"/>
  <c r="N9" i="5"/>
  <c r="M9" i="5"/>
  <c r="L9" i="5"/>
  <c r="K9" i="5"/>
  <c r="J9" i="5"/>
  <c r="I9" i="5"/>
  <c r="H9" i="5"/>
  <c r="G9" i="5"/>
  <c r="F9" i="5"/>
  <c r="E9" i="5"/>
  <c r="D9" i="5"/>
  <c r="C9" i="5"/>
  <c r="B9" i="5"/>
  <c r="B34" i="4"/>
  <c r="B33" i="4"/>
  <c r="B32" i="4"/>
  <c r="B31" i="4"/>
  <c r="B30" i="4"/>
  <c r="B29" i="4"/>
  <c r="B28" i="4"/>
  <c r="B27" i="4"/>
  <c r="B26" i="4"/>
  <c r="B25" i="4"/>
  <c r="B24" i="4"/>
  <c r="B23" i="4"/>
  <c r="B22" i="4"/>
  <c r="B21" i="4"/>
  <c r="B20" i="4"/>
  <c r="B19" i="4"/>
  <c r="B18" i="4"/>
  <c r="B17" i="4"/>
  <c r="B16" i="4"/>
  <c r="B15" i="4"/>
  <c r="J11" i="4"/>
  <c r="G11" i="4"/>
  <c r="A11" i="4"/>
  <c r="S145" i="3"/>
  <c r="T145" i="3" s="1"/>
  <c r="R145" i="5" s="1"/>
  <c r="S144" i="3"/>
  <c r="T144" i="3" s="1"/>
  <c r="R144" i="5" s="1"/>
  <c r="S143" i="3"/>
  <c r="S142" i="3"/>
  <c r="Q142" i="5" s="1"/>
  <c r="T141" i="3"/>
  <c r="S141" i="3"/>
  <c r="Q141" i="5" s="1"/>
  <c r="S140" i="3"/>
  <c r="T140" i="3" s="1"/>
  <c r="R140" i="5" s="1"/>
  <c r="S139" i="3"/>
  <c r="T139" i="3" s="1"/>
  <c r="S138" i="3"/>
  <c r="S137" i="3"/>
  <c r="T137" i="3" s="1"/>
  <c r="S136" i="3"/>
  <c r="Q136" i="5" s="1"/>
  <c r="T135" i="3"/>
  <c r="R135" i="5" s="1"/>
  <c r="S135" i="3"/>
  <c r="T134" i="3"/>
  <c r="R134" i="5" s="1"/>
  <c r="S134" i="3"/>
  <c r="Q134" i="5" s="1"/>
  <c r="T133" i="3"/>
  <c r="S133" i="3"/>
  <c r="Q133" i="5" s="1"/>
  <c r="S132" i="3"/>
  <c r="T132" i="3" s="1"/>
  <c r="S131" i="3"/>
  <c r="Q131" i="5" s="1"/>
  <c r="S130" i="3"/>
  <c r="T129" i="3"/>
  <c r="R129" i="5" s="1"/>
  <c r="S129" i="3"/>
  <c r="Q129" i="5" s="1"/>
  <c r="S128" i="3"/>
  <c r="T128" i="3" s="1"/>
  <c r="R128" i="5" s="1"/>
  <c r="T127" i="3"/>
  <c r="S127" i="3"/>
  <c r="Q127" i="5" s="1"/>
  <c r="S126" i="3"/>
  <c r="S125" i="3"/>
  <c r="Q125" i="5" s="1"/>
  <c r="S124" i="3"/>
  <c r="T124" i="3" s="1"/>
  <c r="R124" i="5" s="1"/>
  <c r="S123" i="3"/>
  <c r="Q123" i="5" s="1"/>
  <c r="S122" i="3"/>
  <c r="Q122" i="5" s="1"/>
  <c r="S121" i="3"/>
  <c r="Q121" i="5" s="1"/>
  <c r="S120" i="3"/>
  <c r="T120" i="3" s="1"/>
  <c r="R120" i="5" s="1"/>
  <c r="S119" i="3"/>
  <c r="Q119" i="5" s="1"/>
  <c r="S118" i="3"/>
  <c r="Q118" i="5" s="1"/>
  <c r="S117" i="3"/>
  <c r="T116" i="3"/>
  <c r="R116" i="5" s="1"/>
  <c r="S116" i="3"/>
  <c r="Q116" i="5" s="1"/>
  <c r="S115" i="3"/>
  <c r="T115" i="3" s="1"/>
  <c r="R115" i="5" s="1"/>
  <c r="S114" i="3"/>
  <c r="T113" i="3"/>
  <c r="S113" i="3"/>
  <c r="S112" i="3"/>
  <c r="T112" i="3" s="1"/>
  <c r="R112" i="5" s="1"/>
  <c r="S111" i="3"/>
  <c r="T111" i="3" s="1"/>
  <c r="R111" i="5" s="1"/>
  <c r="S110" i="3"/>
  <c r="Q110" i="5" s="1"/>
  <c r="S109" i="3"/>
  <c r="Q109" i="5" s="1"/>
  <c r="S108" i="3"/>
  <c r="T107" i="3"/>
  <c r="R107" i="5" s="1"/>
  <c r="S107" i="3"/>
  <c r="Q107" i="5" s="1"/>
  <c r="S106" i="3"/>
  <c r="Q106" i="5" s="1"/>
  <c r="S105" i="3"/>
  <c r="Q105" i="5" s="1"/>
  <c r="S104" i="3"/>
  <c r="T104" i="3" s="1"/>
  <c r="R104" i="5" s="1"/>
  <c r="S103" i="3"/>
  <c r="Q103" i="5" s="1"/>
  <c r="S102" i="3"/>
  <c r="S101" i="3"/>
  <c r="Q101" i="5" s="1"/>
  <c r="T100" i="3"/>
  <c r="R100" i="5" s="1"/>
  <c r="S100" i="3"/>
  <c r="S99" i="3"/>
  <c r="T99" i="3" s="1"/>
  <c r="R99" i="5" s="1"/>
  <c r="S98" i="3"/>
  <c r="T98" i="3" s="1"/>
  <c r="S97" i="3"/>
  <c r="Q97" i="5" s="1"/>
  <c r="S96" i="3"/>
  <c r="S95" i="3"/>
  <c r="Q95" i="5" s="1"/>
  <c r="T94" i="3"/>
  <c r="R94" i="5" s="1"/>
  <c r="S94" i="3"/>
  <c r="Q94" i="5" s="1"/>
  <c r="S93" i="3"/>
  <c r="T93" i="3" s="1"/>
  <c r="R93" i="5" s="1"/>
  <c r="S92" i="3"/>
  <c r="Q92" i="5" s="1"/>
  <c r="S91" i="3"/>
  <c r="T91" i="3" s="1"/>
  <c r="R91" i="5" s="1"/>
  <c r="S90" i="3"/>
  <c r="S89" i="3"/>
  <c r="T89" i="3" s="1"/>
  <c r="R89" i="5" s="1"/>
  <c r="T88" i="3"/>
  <c r="R88" i="5" s="1"/>
  <c r="S88" i="3"/>
  <c r="Q88" i="5" s="1"/>
  <c r="T87" i="3"/>
  <c r="R87" i="5" s="1"/>
  <c r="S87" i="3"/>
  <c r="S86" i="3"/>
  <c r="T86" i="3" s="1"/>
  <c r="R86" i="5" s="1"/>
  <c r="S85" i="3"/>
  <c r="Q85" i="5" s="1"/>
  <c r="S84" i="3"/>
  <c r="T83" i="3"/>
  <c r="R83" i="5" s="1"/>
  <c r="S83" i="3"/>
  <c r="Q83" i="5" s="1"/>
  <c r="S82" i="3"/>
  <c r="Q82" i="5" s="1"/>
  <c r="T81" i="3"/>
  <c r="R81" i="5" s="1"/>
  <c r="S81" i="3"/>
  <c r="Q81" i="5" s="1"/>
  <c r="S80" i="3"/>
  <c r="T80" i="3" s="1"/>
  <c r="R80" i="5" s="1"/>
  <c r="S79" i="3"/>
  <c r="Q79" i="5" s="1"/>
  <c r="S78" i="3"/>
  <c r="S77" i="3"/>
  <c r="Q77" i="5" s="1"/>
  <c r="S76" i="3"/>
  <c r="T76" i="3" s="1"/>
  <c r="R76" i="5" s="1"/>
  <c r="S75" i="3"/>
  <c r="Q75" i="5" s="1"/>
  <c r="T74" i="3"/>
  <c r="S74" i="3"/>
  <c r="S73" i="3"/>
  <c r="T73" i="3" s="1"/>
  <c r="R73" i="5" s="1"/>
  <c r="S72" i="3"/>
  <c r="T72" i="3" s="1"/>
  <c r="R72" i="5" s="1"/>
  <c r="S71" i="3"/>
  <c r="T70" i="3"/>
  <c r="R70" i="5" s="1"/>
  <c r="S70" i="3"/>
  <c r="Q70" i="5" s="1"/>
  <c r="S69" i="3"/>
  <c r="Q69" i="5" s="1"/>
  <c r="T68" i="3"/>
  <c r="R68" i="5" s="1"/>
  <c r="S68" i="3"/>
  <c r="Q68" i="5" s="1"/>
  <c r="S67" i="3"/>
  <c r="T67" i="3" s="1"/>
  <c r="R67" i="5" s="1"/>
  <c r="S66" i="3"/>
  <c r="S65" i="3"/>
  <c r="T65" i="3" s="1"/>
  <c r="R65" i="5" s="1"/>
  <c r="T64" i="3"/>
  <c r="S64" i="3"/>
  <c r="Q64" i="5" s="1"/>
  <c r="S63" i="3"/>
  <c r="Q63" i="5" s="1"/>
  <c r="S62" i="3"/>
  <c r="Q62" i="5" s="1"/>
  <c r="T61" i="3"/>
  <c r="S61" i="3"/>
  <c r="Q61" i="5" s="1"/>
  <c r="S60" i="3"/>
  <c r="T60" i="3" s="1"/>
  <c r="S59" i="3"/>
  <c r="Q59" i="5" s="1"/>
  <c r="S58" i="3"/>
  <c r="S57" i="3"/>
  <c r="Q57" i="5" s="1"/>
  <c r="S56" i="3"/>
  <c r="Q56" i="5" s="1"/>
  <c r="T55" i="3"/>
  <c r="R55" i="5" s="1"/>
  <c r="S55" i="3"/>
  <c r="Q55" i="5" s="1"/>
  <c r="S54" i="3"/>
  <c r="S53" i="3"/>
  <c r="T53" i="3" s="1"/>
  <c r="R53" i="5" s="1"/>
  <c r="S52" i="3"/>
  <c r="T52" i="3" s="1"/>
  <c r="R52" i="5" s="1"/>
  <c r="S51" i="3"/>
  <c r="Q51" i="5" s="1"/>
  <c r="S50" i="3"/>
  <c r="T50" i="3" s="1"/>
  <c r="T49" i="3"/>
  <c r="R49" i="5" s="1"/>
  <c r="S49" i="3"/>
  <c r="Q49" i="5" s="1"/>
  <c r="S48" i="3"/>
  <c r="T48" i="3" s="1"/>
  <c r="R48" i="5" s="1"/>
  <c r="S47" i="3"/>
  <c r="Q47" i="5" s="1"/>
  <c r="S46" i="3"/>
  <c r="Q46" i="5" s="1"/>
  <c r="S45" i="3"/>
  <c r="S44" i="3"/>
  <c r="Q44" i="5" s="1"/>
  <c r="S43" i="3"/>
  <c r="Q43" i="5" s="1"/>
  <c r="S42" i="3"/>
  <c r="T41" i="3"/>
  <c r="S41" i="3"/>
  <c r="S40" i="3"/>
  <c r="T40" i="3" s="1"/>
  <c r="R40" i="5" s="1"/>
  <c r="S39" i="3"/>
  <c r="T39" i="3" s="1"/>
  <c r="R39" i="5" s="1"/>
  <c r="T38" i="3"/>
  <c r="R38" i="5" s="1"/>
  <c r="S38" i="3"/>
  <c r="Q38" i="5" s="1"/>
  <c r="S37" i="3"/>
  <c r="Q37" i="5" s="1"/>
  <c r="S36" i="3"/>
  <c r="T35" i="3"/>
  <c r="R35" i="5" s="1"/>
  <c r="S35" i="3"/>
  <c r="Q35" i="5" s="1"/>
  <c r="S34" i="3"/>
  <c r="Q34" i="5" s="1"/>
  <c r="S33" i="3"/>
  <c r="Q33" i="5" s="1"/>
  <c r="S32" i="3"/>
  <c r="T32" i="3" s="1"/>
  <c r="R32" i="5" s="1"/>
  <c r="S31" i="3"/>
  <c r="Q31" i="5" s="1"/>
  <c r="S30" i="3"/>
  <c r="S29" i="3"/>
  <c r="Q29" i="5" s="1"/>
  <c r="T28" i="3"/>
  <c r="R28" i="5" s="1"/>
  <c r="S28" i="3"/>
  <c r="S27" i="3"/>
  <c r="Q27" i="5" s="1"/>
  <c r="S26" i="3"/>
  <c r="T26" i="3" s="1"/>
  <c r="R26" i="5" s="1"/>
  <c r="S25" i="3"/>
  <c r="Q25" i="5" s="1"/>
  <c r="S24" i="3"/>
  <c r="S23" i="3"/>
  <c r="Q23" i="5" s="1"/>
  <c r="T22" i="3"/>
  <c r="R22" i="5" s="1"/>
  <c r="S22" i="3"/>
  <c r="Q22" i="5" s="1"/>
  <c r="S21" i="3"/>
  <c r="T21" i="3" s="1"/>
  <c r="R21" i="5" s="1"/>
  <c r="S20" i="3"/>
  <c r="T20" i="3" s="1"/>
  <c r="R20" i="5" s="1"/>
  <c r="S19" i="3"/>
  <c r="T19" i="3" s="1"/>
  <c r="S18" i="3"/>
  <c r="S17" i="3"/>
  <c r="Q17" i="5" s="1"/>
  <c r="S16" i="3"/>
  <c r="Q16" i="5" s="1"/>
  <c r="T15" i="3"/>
  <c r="R15" i="5" s="1"/>
  <c r="S15" i="3"/>
  <c r="S14" i="3"/>
  <c r="T14" i="3" s="1"/>
  <c r="R14" i="5" s="1"/>
  <c r="S13" i="3"/>
  <c r="Q13" i="5" s="1"/>
  <c r="S12" i="3"/>
  <c r="S11" i="3"/>
  <c r="Q11" i="5" s="1"/>
  <c r="S10" i="3"/>
  <c r="Q10" i="5" s="1"/>
  <c r="T9" i="3"/>
  <c r="S9" i="3"/>
  <c r="Q9" i="5" s="1"/>
  <c r="E32" i="2"/>
  <c r="B29" i="2"/>
  <c r="B13" i="2"/>
  <c r="B16" i="2" s="1"/>
  <c r="F53" i="1"/>
  <c r="F42" i="1"/>
  <c r="F41" i="1"/>
  <c r="F40" i="1"/>
  <c r="F39" i="1"/>
  <c r="F38" i="1"/>
  <c r="F37" i="1"/>
  <c r="F33" i="1"/>
  <c r="F32" i="1"/>
  <c r="F31" i="1"/>
  <c r="F30" i="1"/>
  <c r="F29" i="1"/>
  <c r="F28" i="1"/>
  <c r="F24" i="1"/>
  <c r="F23" i="1"/>
  <c r="F22" i="1"/>
  <c r="F21" i="1"/>
  <c r="F20" i="1"/>
  <c r="F19" i="1"/>
  <c r="F25" i="1" l="1"/>
  <c r="F44" i="1" s="1"/>
  <c r="F43" i="1"/>
  <c r="F46" i="1" s="1"/>
  <c r="R50" i="5"/>
  <c r="C33" i="4"/>
  <c r="D33" i="4" s="1"/>
  <c r="T24" i="3"/>
  <c r="R24" i="5" s="1"/>
  <c r="Q24" i="5"/>
  <c r="R64" i="5"/>
  <c r="R137" i="5"/>
  <c r="T16" i="3"/>
  <c r="R16" i="5" s="1"/>
  <c r="T57" i="3"/>
  <c r="T97" i="3"/>
  <c r="R97" i="5" s="1"/>
  <c r="Q114" i="5"/>
  <c r="T114" i="3"/>
  <c r="R114" i="5" s="1"/>
  <c r="T122" i="3"/>
  <c r="R122" i="5" s="1"/>
  <c r="Q130" i="5"/>
  <c r="T130" i="3"/>
  <c r="Q30" i="5"/>
  <c r="T30" i="3"/>
  <c r="R30" i="5" s="1"/>
  <c r="Q50" i="5"/>
  <c r="Q128" i="5"/>
  <c r="C19" i="10"/>
  <c r="T63" i="3"/>
  <c r="R63" i="5" s="1"/>
  <c r="Q71" i="5"/>
  <c r="T71" i="3"/>
  <c r="T95" i="3"/>
  <c r="T103" i="3"/>
  <c r="R103" i="5" s="1"/>
  <c r="Q89" i="5"/>
  <c r="Q115" i="5"/>
  <c r="F85" i="9"/>
  <c r="C22" i="10"/>
  <c r="T23" i="3"/>
  <c r="R23" i="5" s="1"/>
  <c r="T31" i="3"/>
  <c r="R31" i="5" s="1"/>
  <c r="T56" i="3"/>
  <c r="R56" i="5" s="1"/>
  <c r="T96" i="3"/>
  <c r="R96" i="5" s="1"/>
  <c r="Q96" i="5"/>
  <c r="T121" i="3"/>
  <c r="R121" i="5" s="1"/>
  <c r="T136" i="3"/>
  <c r="R136" i="5" s="1"/>
  <c r="Q76" i="5"/>
  <c r="F38" i="9"/>
  <c r="E32" i="10"/>
  <c r="C22" i="4"/>
  <c r="D22" i="4" s="1"/>
  <c r="T82" i="3"/>
  <c r="R82" i="5" s="1"/>
  <c r="F34" i="1"/>
  <c r="F45" i="1" s="1"/>
  <c r="T10" i="3"/>
  <c r="R10" i="5" s="1"/>
  <c r="Q18" i="5"/>
  <c r="T18" i="3"/>
  <c r="T43" i="3"/>
  <c r="R43" i="5" s="1"/>
  <c r="T51" i="3"/>
  <c r="R51" i="5" s="1"/>
  <c r="T75" i="3"/>
  <c r="R75" i="5" s="1"/>
  <c r="T108" i="3"/>
  <c r="R108" i="5" s="1"/>
  <c r="Q108" i="5"/>
  <c r="R9" i="5"/>
  <c r="Q42" i="5"/>
  <c r="T42" i="3"/>
  <c r="R42" i="5" s="1"/>
  <c r="T36" i="3"/>
  <c r="Q36" i="5"/>
  <c r="R141" i="5"/>
  <c r="T11" i="3"/>
  <c r="R11" i="5" s="1"/>
  <c r="F209" i="9"/>
  <c r="T12" i="3"/>
  <c r="R12" i="5" s="1"/>
  <c r="Q12" i="5"/>
  <c r="T37" i="3"/>
  <c r="R37" i="5" s="1"/>
  <c r="T45" i="3"/>
  <c r="R45" i="5" s="1"/>
  <c r="Q45" i="5"/>
  <c r="T69" i="3"/>
  <c r="R69" i="5" s="1"/>
  <c r="T101" i="3"/>
  <c r="R101" i="5" s="1"/>
  <c r="T142" i="3"/>
  <c r="R142" i="5" s="1"/>
  <c r="F162" i="9"/>
  <c r="F171" i="9"/>
  <c r="E20" i="10"/>
  <c r="C12" i="10"/>
  <c r="C33" i="10"/>
  <c r="T25" i="3"/>
  <c r="R25" i="5" s="1"/>
  <c r="Q58" i="5"/>
  <c r="T58" i="3"/>
  <c r="R58" i="5" s="1"/>
  <c r="F65" i="9"/>
  <c r="C16" i="10"/>
  <c r="T17" i="3"/>
  <c r="R17" i="5" s="1"/>
  <c r="Q90" i="5"/>
  <c r="T90" i="3"/>
  <c r="R90" i="5" s="1"/>
  <c r="T123" i="3"/>
  <c r="T44" i="3"/>
  <c r="R44" i="5" s="1"/>
  <c r="T84" i="3"/>
  <c r="Q84" i="5"/>
  <c r="T109" i="3"/>
  <c r="R109" i="5" s="1"/>
  <c r="T117" i="3"/>
  <c r="Q117" i="5"/>
  <c r="T29" i="3"/>
  <c r="T62" i="3"/>
  <c r="R62" i="5" s="1"/>
  <c r="T77" i="3"/>
  <c r="R77" i="5" s="1"/>
  <c r="Q102" i="5"/>
  <c r="T102" i="3"/>
  <c r="R102" i="5" s="1"/>
  <c r="T110" i="3"/>
  <c r="R110" i="5" s="1"/>
  <c r="C31" i="4"/>
  <c r="D31" i="4" s="1"/>
  <c r="R127" i="5"/>
  <c r="Q143" i="5"/>
  <c r="T143" i="3"/>
  <c r="R143" i="5" s="1"/>
  <c r="Q19" i="5"/>
  <c r="Q32" i="5"/>
  <c r="F148" i="9"/>
  <c r="F194" i="9"/>
  <c r="T13" i="3"/>
  <c r="R13" i="5" s="1"/>
  <c r="T46" i="3"/>
  <c r="R46" i="5" s="1"/>
  <c r="T59" i="3"/>
  <c r="R59" i="5" s="1"/>
  <c r="T79" i="3"/>
  <c r="T92" i="3"/>
  <c r="R92" i="5" s="1"/>
  <c r="Q53" i="5"/>
  <c r="T27" i="3"/>
  <c r="R27" i="5" s="1"/>
  <c r="T125" i="3"/>
  <c r="R125" i="5" s="1"/>
  <c r="Q78" i="5"/>
  <c r="T78" i="3"/>
  <c r="R78" i="5" s="1"/>
  <c r="E30" i="10"/>
  <c r="T33" i="3"/>
  <c r="R33" i="5" s="1"/>
  <c r="Q66" i="5"/>
  <c r="T66" i="3"/>
  <c r="R66" i="5" s="1"/>
  <c r="T118" i="3"/>
  <c r="R118" i="5" s="1"/>
  <c r="T131" i="3"/>
  <c r="R131" i="5" s="1"/>
  <c r="Q40" i="5"/>
  <c r="Q99" i="5"/>
  <c r="Q112" i="5"/>
  <c r="T34" i="3"/>
  <c r="R34" i="5" s="1"/>
  <c r="T47" i="3"/>
  <c r="R47" i="5" s="1"/>
  <c r="Q54" i="5"/>
  <c r="T54" i="3"/>
  <c r="R54" i="5" s="1"/>
  <c r="T106" i="3"/>
  <c r="T119" i="3"/>
  <c r="R119" i="5" s="1"/>
  <c r="Q126" i="5"/>
  <c r="T126" i="3"/>
  <c r="R126" i="5" s="1"/>
  <c r="Q20" i="5"/>
  <c r="Q140" i="5"/>
  <c r="F48" i="9"/>
  <c r="F117" i="9"/>
  <c r="F134" i="9"/>
  <c r="T85" i="3"/>
  <c r="R85" i="5" s="1"/>
  <c r="T105" i="3"/>
  <c r="R105" i="5" s="1"/>
  <c r="Q138" i="5"/>
  <c r="T138" i="3"/>
  <c r="R138" i="5" s="1"/>
  <c r="Q48" i="5"/>
  <c r="Q72" i="5"/>
  <c r="Q120" i="5"/>
  <c r="Q144" i="5"/>
  <c r="C27" i="10"/>
  <c r="H26" i="12"/>
  <c r="D29" i="12" s="1"/>
  <c r="F47" i="1" l="1"/>
  <c r="C15" i="10"/>
  <c r="C18" i="4"/>
  <c r="D18" i="4" s="1"/>
  <c r="R36" i="5"/>
  <c r="L14" i="16"/>
  <c r="D37" i="16"/>
  <c r="L14" i="15"/>
  <c r="D36" i="15"/>
  <c r="D35" i="15"/>
  <c r="C23" i="10"/>
  <c r="C17" i="4"/>
  <c r="D17" i="4" s="1"/>
  <c r="R29" i="5"/>
  <c r="D32" i="12"/>
  <c r="D31" i="12"/>
  <c r="C25" i="10"/>
  <c r="D37" i="15"/>
  <c r="D27" i="10"/>
  <c r="E27" i="10"/>
  <c r="R117" i="5"/>
  <c r="C29" i="4"/>
  <c r="D29" i="4" s="1"/>
  <c r="E33" i="10"/>
  <c r="D33" i="10"/>
  <c r="C19" i="4"/>
  <c r="D19" i="4" s="1"/>
  <c r="R79" i="5"/>
  <c r="C24" i="4"/>
  <c r="D24" i="4" s="1"/>
  <c r="E16" i="10"/>
  <c r="D30" i="16"/>
  <c r="C17" i="10"/>
  <c r="D29" i="15"/>
  <c r="R106" i="5"/>
  <c r="C28" i="4"/>
  <c r="D28" i="4" s="1"/>
  <c r="C21" i="4"/>
  <c r="D21" i="4" s="1"/>
  <c r="C29" i="10"/>
  <c r="D41" i="15"/>
  <c r="C16" i="4"/>
  <c r="D16" i="4" s="1"/>
  <c r="R18" i="5"/>
  <c r="C31" i="10"/>
  <c r="R95" i="5"/>
  <c r="C27" i="4"/>
  <c r="D27" i="4" s="1"/>
  <c r="C15" i="4"/>
  <c r="D15" i="4" s="1"/>
  <c r="C26" i="10"/>
  <c r="D39" i="16"/>
  <c r="D11" i="4"/>
  <c r="R71" i="5"/>
  <c r="C23" i="4"/>
  <c r="D23" i="4" s="1"/>
  <c r="R130" i="5"/>
  <c r="C32" i="4"/>
  <c r="D32" i="4" s="1"/>
  <c r="C21" i="10"/>
  <c r="D33" i="15"/>
  <c r="R123" i="5"/>
  <c r="C30" i="4"/>
  <c r="D30" i="4" s="1"/>
  <c r="D26" i="15"/>
  <c r="C14" i="10"/>
  <c r="D27" i="16"/>
  <c r="D19" i="10"/>
  <c r="E19" i="10"/>
  <c r="D22" i="10"/>
  <c r="E22" i="10"/>
  <c r="R84" i="5"/>
  <c r="C25" i="4"/>
  <c r="D25" i="4" s="1"/>
  <c r="E12" i="10"/>
  <c r="D12" i="10"/>
  <c r="C34" i="4"/>
  <c r="D34" i="4" s="1"/>
  <c r="C26" i="4"/>
  <c r="D26" i="4" s="1"/>
  <c r="D26" i="16"/>
  <c r="C13" i="10"/>
  <c r="D25" i="15"/>
  <c r="R57" i="5"/>
  <c r="C20" i="4"/>
  <c r="D20" i="4" s="1"/>
  <c r="F222" i="9"/>
  <c r="D36" i="16" s="1"/>
  <c r="J36" i="16" l="1"/>
  <c r="H36" i="16"/>
  <c r="I36" i="16"/>
  <c r="E23" i="10"/>
  <c r="D23" i="10"/>
  <c r="D38" i="15"/>
  <c r="E17" i="10"/>
  <c r="D17" i="10"/>
  <c r="E21" i="10"/>
  <c r="D21" i="10"/>
  <c r="J30" i="16"/>
  <c r="I30" i="16"/>
  <c r="H30" i="16"/>
  <c r="I37" i="15"/>
  <c r="H37" i="15"/>
  <c r="J37" i="15"/>
  <c r="J37" i="16"/>
  <c r="H37" i="16"/>
  <c r="I37" i="16"/>
  <c r="D42" i="16"/>
  <c r="F226" i="9"/>
  <c r="F229" i="9" s="1"/>
  <c r="C38" i="10" s="1"/>
  <c r="F234" i="9"/>
  <c r="F225" i="9"/>
  <c r="D42" i="15"/>
  <c r="D30" i="15"/>
  <c r="D41" i="16"/>
  <c r="D31" i="16"/>
  <c r="D43" i="16"/>
  <c r="F224" i="9"/>
  <c r="D44" i="15"/>
  <c r="D39" i="15"/>
  <c r="D35" i="16"/>
  <c r="D29" i="16"/>
  <c r="D32" i="16"/>
  <c r="D33" i="16"/>
  <c r="D28" i="15"/>
  <c r="D34" i="15"/>
  <c r="D32" i="10"/>
  <c r="D32" i="15"/>
  <c r="D45" i="15"/>
  <c r="D46" i="16"/>
  <c r="D28" i="10"/>
  <c r="D40" i="16"/>
  <c r="D30" i="10"/>
  <c r="D18" i="10"/>
  <c r="D20" i="10"/>
  <c r="D31" i="15"/>
  <c r="D44" i="16"/>
  <c r="D40" i="15"/>
  <c r="D25" i="16"/>
  <c r="D24" i="15"/>
  <c r="D45" i="16"/>
  <c r="D34" i="16"/>
  <c r="E31" i="10"/>
  <c r="D31" i="10"/>
  <c r="D16" i="10"/>
  <c r="D25" i="10"/>
  <c r="E25" i="10"/>
  <c r="D43" i="15"/>
  <c r="D38" i="16"/>
  <c r="D14" i="10"/>
  <c r="E14" i="10"/>
  <c r="J39" i="16"/>
  <c r="I39" i="16"/>
  <c r="H39" i="16"/>
  <c r="J26" i="15"/>
  <c r="I26" i="15"/>
  <c r="H26" i="15"/>
  <c r="D26" i="10"/>
  <c r="E26" i="10"/>
  <c r="D27" i="15"/>
  <c r="I35" i="15"/>
  <c r="H35" i="15"/>
  <c r="J35" i="15"/>
  <c r="I25" i="15"/>
  <c r="H25" i="15"/>
  <c r="J25" i="15"/>
  <c r="E15" i="10"/>
  <c r="D15" i="10"/>
  <c r="I29" i="15"/>
  <c r="H29" i="15"/>
  <c r="J29" i="15"/>
  <c r="I36" i="15"/>
  <c r="H36" i="15"/>
  <c r="J36" i="15"/>
  <c r="I33" i="15"/>
  <c r="H33" i="15"/>
  <c r="J33" i="15"/>
  <c r="E13" i="10"/>
  <c r="D13" i="10"/>
  <c r="I41" i="15"/>
  <c r="H41" i="15"/>
  <c r="J41" i="15"/>
  <c r="J26" i="16"/>
  <c r="H26" i="16"/>
  <c r="I26" i="16"/>
  <c r="J27" i="16"/>
  <c r="I27" i="16"/>
  <c r="H27" i="16"/>
  <c r="E29" i="10"/>
  <c r="D29" i="10"/>
  <c r="D28" i="16"/>
  <c r="I43" i="15" l="1"/>
  <c r="H43" i="15"/>
  <c r="J43" i="15"/>
  <c r="J33" i="16"/>
  <c r="I33" i="16"/>
  <c r="H33" i="16"/>
  <c r="J28" i="16"/>
  <c r="I28" i="16"/>
  <c r="H28" i="16"/>
  <c r="J40" i="16"/>
  <c r="I40" i="16"/>
  <c r="H40" i="16"/>
  <c r="J42" i="16"/>
  <c r="I42" i="16"/>
  <c r="H42" i="16"/>
  <c r="J34" i="16"/>
  <c r="I34" i="16"/>
  <c r="H34" i="16"/>
  <c r="J46" i="16"/>
  <c r="I46" i="16"/>
  <c r="H46" i="16"/>
  <c r="J38" i="15"/>
  <c r="I38" i="15"/>
  <c r="H38" i="15"/>
  <c r="J43" i="16"/>
  <c r="H43" i="16"/>
  <c r="I43" i="16"/>
  <c r="J32" i="15"/>
  <c r="I32" i="15"/>
  <c r="H32" i="15"/>
  <c r="H25" i="16"/>
  <c r="H47" i="16" s="1"/>
  <c r="A21" i="16" s="1"/>
  <c r="D47" i="16"/>
  <c r="I25" i="16"/>
  <c r="I47" i="16" s="1"/>
  <c r="D21" i="16" s="1"/>
  <c r="J25" i="16"/>
  <c r="J47" i="16" s="1"/>
  <c r="J40" i="15"/>
  <c r="H40" i="15"/>
  <c r="I40" i="15"/>
  <c r="J34" i="15"/>
  <c r="I34" i="15"/>
  <c r="H34" i="15"/>
  <c r="J30" i="15"/>
  <c r="I30" i="15"/>
  <c r="H30" i="15"/>
  <c r="I27" i="15"/>
  <c r="H27" i="15"/>
  <c r="J27" i="15"/>
  <c r="I31" i="15"/>
  <c r="H31" i="15"/>
  <c r="J31" i="15"/>
  <c r="J32" i="16"/>
  <c r="I32" i="16"/>
  <c r="H32" i="16"/>
  <c r="J29" i="16"/>
  <c r="I29" i="16"/>
  <c r="H29" i="16"/>
  <c r="I35" i="16"/>
  <c r="H35" i="16"/>
  <c r="J35" i="16"/>
  <c r="I39" i="15"/>
  <c r="H39" i="15"/>
  <c r="J39" i="15"/>
  <c r="J44" i="15"/>
  <c r="I44" i="15"/>
  <c r="H44" i="15"/>
  <c r="F227" i="9"/>
  <c r="J45" i="16"/>
  <c r="H45" i="16"/>
  <c r="I45" i="16"/>
  <c r="I45" i="15"/>
  <c r="H45" i="15"/>
  <c r="J45" i="15"/>
  <c r="I24" i="15"/>
  <c r="I46" i="15" s="1"/>
  <c r="D21" i="15" s="1"/>
  <c r="G21" i="15" s="1"/>
  <c r="H24" i="15"/>
  <c r="H46" i="15" s="1"/>
  <c r="A21" i="15" s="1"/>
  <c r="D46" i="15"/>
  <c r="J24" i="15"/>
  <c r="I31" i="16"/>
  <c r="H31" i="16"/>
  <c r="J31" i="16"/>
  <c r="J41" i="16"/>
  <c r="H41" i="16"/>
  <c r="I41" i="16"/>
  <c r="J38" i="16"/>
  <c r="I38" i="16"/>
  <c r="H38" i="16"/>
  <c r="J44" i="16"/>
  <c r="H44" i="16"/>
  <c r="I44" i="16"/>
  <c r="H28" i="15"/>
  <c r="J28" i="15"/>
  <c r="I28" i="15"/>
  <c r="J42" i="15"/>
  <c r="I42" i="15"/>
  <c r="H42" i="15"/>
  <c r="G69" i="16" l="1"/>
  <c r="J21" i="16"/>
  <c r="K22" i="16"/>
  <c r="G21" i="16"/>
  <c r="C36" i="10"/>
  <c r="F228" i="9"/>
  <c r="J21" i="15"/>
  <c r="G68" i="15"/>
  <c r="F231" i="9" l="1"/>
  <c r="C37" i="10"/>
  <c r="C24" i="10" l="1"/>
  <c r="C40" i="10"/>
  <c r="C42" i="10" s="1"/>
  <c r="F235" i="9"/>
  <c r="E24" i="10" l="1"/>
  <c r="D24" i="10"/>
  <c r="C34" i="10"/>
  <c r="D34" i="10" l="1"/>
  <c r="E3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I26" authorId="0" shapeId="0" xr:uid="{00000000-0006-0000-0C00-000001000000}">
      <text>
        <r>
          <rPr>
            <sz val="11"/>
            <color theme="1"/>
            <rFont val="Calibri"/>
            <family val="2"/>
            <charset val="1"/>
          </rPr>
          <t>Cantidad acumulada = cantidad anterior + cantidad del presente acta.</t>
        </r>
      </text>
    </comment>
    <comment ref="J26" authorId="0" shapeId="0" xr:uid="{00000000-0006-0000-0C00-000002000000}">
      <text>
        <r>
          <rPr>
            <sz val="11"/>
            <color theme="1"/>
            <rFont val="Calibri"/>
            <family val="2"/>
            <charset val="1"/>
          </rPr>
          <t>Saldo = cantidad contractual - cantidad acumulada. No permite saldos negativos.</t>
        </r>
      </text>
    </comment>
    <comment ref="K26" authorId="0" shapeId="0" xr:uid="{00000000-0006-0000-0C00-000003000000}">
      <text>
        <r>
          <rPr>
            <sz val="11"/>
            <color theme="1"/>
            <rFont val="Calibri"/>
            <family val="2"/>
            <charset val="1"/>
          </rPr>
          <t>% ejecución = cantidad acumulada / cantidad contractual.</t>
        </r>
      </text>
    </comment>
  </commentList>
</comments>
</file>

<file path=xl/sharedStrings.xml><?xml version="1.0" encoding="utf-8"?>
<sst xmlns="http://schemas.openxmlformats.org/spreadsheetml/2006/main" count="5620" uniqueCount="2783">
  <si>
    <t>ANÁLISIS DE PRECIOS UNITARIOS</t>
  </si>
  <si>
    <t>CONTROL DOCUMENTAL</t>
  </si>
  <si>
    <t>Código</t>
  </si>
  <si>
    <t>m2</t>
  </si>
  <si>
    <t>1 Topógrafo + 1 Cadenero 1o</t>
  </si>
  <si>
    <t>m2/jornada</t>
  </si>
  <si>
    <t>REFORMAS Y REMODELACIONES</t>
  </si>
  <si>
    <t>RYR-AP-001</t>
  </si>
  <si>
    <t>DISEÑAMOS, RENOVAMOS Y CONSTRUIMOS ESPACIOS QUE INSPIRAN</t>
  </si>
  <si>
    <t>Versión</t>
  </si>
  <si>
    <t>Fecha de Emisión</t>
  </si>
  <si>
    <t>10/09/2026</t>
  </si>
  <si>
    <t>Página</t>
  </si>
  <si>
    <t>1 de 1</t>
  </si>
  <si>
    <t>LOCALIZACIÓN Y REPLANTEO</t>
  </si>
  <si>
    <t>IDENTIFICACIÓN DEL PROYECTO</t>
  </si>
  <si>
    <t>Proyecto</t>
  </si>
  <si>
    <t>No de Contrato</t>
  </si>
  <si>
    <t>Contratista</t>
  </si>
  <si>
    <t>Ubicación</t>
  </si>
  <si>
    <t>1.</t>
  </si>
  <si>
    <t>MATERIALES</t>
  </si>
  <si>
    <t>Descripción</t>
  </si>
  <si>
    <t>Und</t>
  </si>
  <si>
    <t>Cant.</t>
  </si>
  <si>
    <t>Vr Unit.</t>
  </si>
  <si>
    <t>Subtotal</t>
  </si>
  <si>
    <t>SUBTOTAL MATERIALES</t>
  </si>
  <si>
    <t>2.</t>
  </si>
  <si>
    <t>MANO DE OBRA</t>
  </si>
  <si>
    <t>SUBTOTAL MANO DE OBRA</t>
  </si>
  <si>
    <t>3.</t>
  </si>
  <si>
    <t>EQUIPOS Y HERRAMIENTAS</t>
  </si>
  <si>
    <t>SUBTOTAL EQUIPOS Y HERRAMIENTAS</t>
  </si>
  <si>
    <t xml:space="preserve">                Materiales</t>
  </si>
  <si>
    <t xml:space="preserve">                Mano de Obra</t>
  </si>
  <si>
    <t xml:space="preserve">                Equipos y herramientas</t>
  </si>
  <si>
    <t>TOTAL DIRECTO UNITARIO</t>
  </si>
  <si>
    <t>ELABORADO POR</t>
  </si>
  <si>
    <t>Vo. Bo. INTERVENTORÍA:</t>
  </si>
  <si>
    <t>FIRMA:</t>
  </si>
  <si>
    <t>NOMBRE:</t>
  </si>
  <si>
    <t>CARGO:</t>
  </si>
  <si>
    <t>REV. 10/09/2026</t>
  </si>
  <si>
    <t>FICHA TÉCNICA DEL PROYECTO</t>
  </si>
  <si>
    <t>RYR-FT-001</t>
  </si>
  <si>
    <t>DATOS GENERALES DEL PROYECTO</t>
  </si>
  <si>
    <t>Número de pisos (torre)</t>
  </si>
  <si>
    <t>pisos</t>
  </si>
  <si>
    <t>Número de sótanos (parqueaderos)</t>
  </si>
  <si>
    <t>niveles</t>
  </si>
  <si>
    <t>Área del lote</t>
  </si>
  <si>
    <t>m²</t>
  </si>
  <si>
    <t>Área construida típica por piso</t>
  </si>
  <si>
    <t>Área construida - torre (12 pisos)</t>
  </si>
  <si>
    <t>Área construida - sótanos (2 niveles)</t>
  </si>
  <si>
    <t>Área cubierta / cuarto de máquinas / tanques</t>
  </si>
  <si>
    <t>ÁREA TOTAL CONSTRUIDA</t>
  </si>
  <si>
    <t>Número de apartamentos</t>
  </si>
  <si>
    <t>und</t>
  </si>
  <si>
    <t>Área promedio por apartamento (vendible)</t>
  </si>
  <si>
    <t>Número de parqueaderos</t>
  </si>
  <si>
    <t>Número de ascensores</t>
  </si>
  <si>
    <t>Altura total aproximada (sótano a cubierta)</t>
  </si>
  <si>
    <t>m</t>
  </si>
  <si>
    <t>PARÁMETROS ECONÓMICOS DEL PRESUPUESTO</t>
  </si>
  <si>
    <t>Administración (A)</t>
  </si>
  <si>
    <t>% s/costo directo</t>
  </si>
  <si>
    <t>Imprevistos (I)</t>
  </si>
  <si>
    <t>Utilidad (U)</t>
  </si>
  <si>
    <t>IVA sobre Utilidad</t>
  </si>
  <si>
    <t>% s/utilidad (Ley 1943 / práctica AIU en Colombia)</t>
  </si>
  <si>
    <t>AIU TOTAL (A+I+U)</t>
  </si>
  <si>
    <t>FUENTES Y NOTAS METODOLÓGICAS</t>
  </si>
  <si>
    <t>1. Precios de referencia investigados para Bogotá D.C., 2026 (2° semestre). Son precios promedio de mercado; cada obra requiere cotización formal con proveedores.</t>
  </si>
  <si>
    <t>2. Rango de costo directo de construcción en Bogotá 2026 según fuentes de mercado: $2.200.000 - $3.800.000 COP/m² (Aliados de Obras, 2026); promedio de estabilización Ene-Abr 2026: ~$3.050.000 COP/m².</t>
  </si>
  <si>
    <t>3. Concreto 3000 PSI para estructura con formaletería: referencia ~$868.306 COP/m³ (Listado de Precios Unitarios, Secretaría de Infraestructura / Fidubogotá, ajustado a 2026).</t>
  </si>
  <si>
    <t>4. Acero de refuerzo figurado e instalado: referencia ~$6.500-7.000 COP/kg (Comando Construcciones, 2026; incremento por alza del 23,7% en el SMMLV 2026 según DANE-ICOCED).</t>
  </si>
  <si>
    <t>5. Ascensor eléctrico para edificio de 10+ pisos, alta velocidad, instalado: $450M-$750M COP por unidad (OTA Vertical, 2026). Se tomó valor medio.</t>
  </si>
  <si>
    <t>6. Índice de Costos de la Construcción de Edificaciones (ICOCED-DANE): variación interanual ene.2025-ene.2026 de +8,7% en Bogotá, impulsada por incremento salarial.</t>
  </si>
  <si>
    <t>7. AIU recomendado para edificaciones en Colombia: 25%-30% sobre costos directos (Administración 10-12%, Imprevistos 3-5%, Utilidad 10-15%). Se usó 26% (10%+4%+12%).</t>
  </si>
  <si>
    <t>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</si>
  <si>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9. Este documento es una ESTIMACIÓN DE PRESUPUESTO (clase de precisión ±15-20%), útil para prefactibilidad y anteproyecto. No reemplaza un presupuesto detallado con cubicación (cantidades de obra) tomada de planos definitivos y cotizaciones de proveedores.</t>
  </si>
  <si>
    <t>10. Celdas en color AZUL = dato de entrada editable. Celdas en NEGRO = fórmula (se recalculan automáticamente). Cambie cantidades y precios unitarios en la hoja 'Presupuesto' según su proyecto real.</t>
  </si>
  <si>
    <t>CANTIDADES DE OBRA</t>
  </si>
  <si>
    <t>RYR-CO-005</t>
  </si>
  <si>
    <t>ID</t>
  </si>
  <si>
    <t>Capítulo</t>
  </si>
  <si>
    <t>Subcapítulo</t>
  </si>
  <si>
    <t>Código actividad</t>
  </si>
  <si>
    <t>Actividad específica</t>
  </si>
  <si>
    <t>Ubicación / Frente</t>
  </si>
  <si>
    <t>Plano / Detalle</t>
  </si>
  <si>
    <t>Rev.</t>
  </si>
  <si>
    <t>Unidad</t>
  </si>
  <si>
    <t>Largo</t>
  </si>
  <si>
    <t>Ancho</t>
  </si>
  <si>
    <t>Alto / Prof.</t>
  </si>
  <si>
    <t>Espesor</t>
  </si>
  <si>
    <t>N° elementos</t>
  </si>
  <si>
    <t>Repeticiones</t>
  </si>
  <si>
    <t>Factor</t>
  </si>
  <si>
    <t>Deducción</t>
  </si>
  <si>
    <t>Desperdicio %</t>
  </si>
  <si>
    <t>Cantidad neta</t>
  </si>
  <si>
    <t>Cantidad final</t>
  </si>
  <si>
    <t>Fórmula / criterio</t>
  </si>
  <si>
    <t>Observación técnica</t>
  </si>
  <si>
    <t>Responsable</t>
  </si>
  <si>
    <t>Fecha</t>
  </si>
  <si>
    <t>Estado</t>
  </si>
  <si>
    <t>MQ-001</t>
  </si>
  <si>
    <t>PRELIMINARES</t>
  </si>
  <si>
    <t>Preliminares generales</t>
  </si>
  <si>
    <t>01.01.01</t>
  </si>
  <si>
    <t>Localización y Replanteo</t>
  </si>
  <si>
    <t>ml</t>
  </si>
  <si>
    <t>Pendiente</t>
  </si>
  <si>
    <t>MQ-002</t>
  </si>
  <si>
    <t>01.01.02</t>
  </si>
  <si>
    <t>Cerramiento provisional de obra</t>
  </si>
  <si>
    <t>MQ-003</t>
  </si>
  <si>
    <t>01.01.03</t>
  </si>
  <si>
    <t>Instalación de campamento y oficinas provisionales</t>
  </si>
  <si>
    <t>MQ-004</t>
  </si>
  <si>
    <t>01.01.04</t>
  </si>
  <si>
    <t>Adecuación de área de almacenamiento</t>
  </si>
  <si>
    <t>MQ-005</t>
  </si>
  <si>
    <t>01.01.05</t>
  </si>
  <si>
    <t>Señalización preventiva e informativa de obra</t>
  </si>
  <si>
    <t>MQ-006</t>
  </si>
  <si>
    <t>01.01.06</t>
  </si>
  <si>
    <t>Instalaciones provisionales de agua y energía</t>
  </si>
  <si>
    <t>gl</t>
  </si>
  <si>
    <t>MQ-007</t>
  </si>
  <si>
    <t>01.01.07</t>
  </si>
  <si>
    <t>Protección de elementos existentes</t>
  </si>
  <si>
    <t>MQ-008</t>
  </si>
  <si>
    <t>01.01.08</t>
  </si>
  <si>
    <t>Desmonte y limpieza inicial</t>
  </si>
  <si>
    <t>MQ-009</t>
  </si>
  <si>
    <t>01.01.09</t>
  </si>
  <si>
    <t>Demoliciones preliminares</t>
  </si>
  <si>
    <t>m³</t>
  </si>
  <si>
    <t>MQ-010</t>
  </si>
  <si>
    <t>MOVIMIENTO DE TIERRAS</t>
  </si>
  <si>
    <t>Excavaciones</t>
  </si>
  <si>
    <t>02.01.01</t>
  </si>
  <si>
    <t>Excavación manual en material común</t>
  </si>
  <si>
    <t>MQ-011</t>
  </si>
  <si>
    <t>02.01.02</t>
  </si>
  <si>
    <t>Excavación mecánica</t>
  </si>
  <si>
    <t>MQ-012</t>
  </si>
  <si>
    <t>02.01.03</t>
  </si>
  <si>
    <t>Excavación en roca</t>
  </si>
  <si>
    <t>MQ-013</t>
  </si>
  <si>
    <t>02.01.04</t>
  </si>
  <si>
    <t>Perfilado y conformación de excavaciones</t>
  </si>
  <si>
    <t>MQ-014</t>
  </si>
  <si>
    <t>Rellenos</t>
  </si>
  <si>
    <t>02.02.01</t>
  </si>
  <si>
    <t>Relleno con material seleccionado compactado</t>
  </si>
  <si>
    <t>MQ-015</t>
  </si>
  <si>
    <t>02.02.02</t>
  </si>
  <si>
    <t>Relleno con material proveniente de excavación</t>
  </si>
  <si>
    <t>MQ-016</t>
  </si>
  <si>
    <t>02.02.03</t>
  </si>
  <si>
    <t>Suministro, extendido y compactación de subbase</t>
  </si>
  <si>
    <t>MQ-017</t>
  </si>
  <si>
    <t>02.02.04</t>
  </si>
  <si>
    <t>Suministro, extendido y compactación de base granular</t>
  </si>
  <si>
    <t>MQ-018</t>
  </si>
  <si>
    <t>Retiro</t>
  </si>
  <si>
    <t>02.03.01</t>
  </si>
  <si>
    <t>Cargue de material sobrante</t>
  </si>
  <si>
    <t>MQ-019</t>
  </si>
  <si>
    <t>02.03.02</t>
  </si>
  <si>
    <t>Transporte de material sobrante</t>
  </si>
  <si>
    <t>MQ-020</t>
  </si>
  <si>
    <t>02.03.03</t>
  </si>
  <si>
    <t>Disposición final de sobrantes</t>
  </si>
  <si>
    <t>MQ-021</t>
  </si>
  <si>
    <t>CIMENTACIONES</t>
  </si>
  <si>
    <t>Concreto</t>
  </si>
  <si>
    <t>03.01.01</t>
  </si>
  <si>
    <t>Concreto de limpieza / solado</t>
  </si>
  <si>
    <t>MQ-022</t>
  </si>
  <si>
    <t>03.01.02</t>
  </si>
  <si>
    <t>Concreto para zapatas</t>
  </si>
  <si>
    <t>MQ-023</t>
  </si>
  <si>
    <t>03.01.03</t>
  </si>
  <si>
    <t>Concreto para vigas de cimentación</t>
  </si>
  <si>
    <t>MQ-024</t>
  </si>
  <si>
    <t>03.01.04</t>
  </si>
  <si>
    <t>Concreto para losas de cimentación</t>
  </si>
  <si>
    <t>MQ-025</t>
  </si>
  <si>
    <t>03.01.05</t>
  </si>
  <si>
    <t>Concreto para pedestales</t>
  </si>
  <si>
    <t>MQ-026</t>
  </si>
  <si>
    <t>Acero</t>
  </si>
  <si>
    <t>03.02.01</t>
  </si>
  <si>
    <t>Acero de refuerzo en cimentación</t>
  </si>
  <si>
    <t>kg</t>
  </si>
  <si>
    <t>MQ-027</t>
  </si>
  <si>
    <t>Formaleta</t>
  </si>
  <si>
    <t>03.03.01</t>
  </si>
  <si>
    <t>Formaleta para elementos de cimentación</t>
  </si>
  <si>
    <t>MQ-028</t>
  </si>
  <si>
    <t>ESTRUCTURA</t>
  </si>
  <si>
    <t>04.01.01</t>
  </si>
  <si>
    <t>Concreto para columnas</t>
  </si>
  <si>
    <t>MQ-029</t>
  </si>
  <si>
    <t>04.01.02</t>
  </si>
  <si>
    <t>Concreto para vigas</t>
  </si>
  <si>
    <t>MQ-030</t>
  </si>
  <si>
    <t>04.01.03</t>
  </si>
  <si>
    <t>Concreto para losas</t>
  </si>
  <si>
    <t>MQ-031</t>
  </si>
  <si>
    <t>04.01.04</t>
  </si>
  <si>
    <t>Concreto para escaleras</t>
  </si>
  <si>
    <t>MQ-032</t>
  </si>
  <si>
    <t>04.01.05</t>
  </si>
  <si>
    <t>Concreto para muros estructurales</t>
  </si>
  <si>
    <t>MQ-033</t>
  </si>
  <si>
    <t>04.02.01</t>
  </si>
  <si>
    <t>Acero de refuerzo de columnas</t>
  </si>
  <si>
    <t>MQ-034</t>
  </si>
  <si>
    <t>04.02.02</t>
  </si>
  <si>
    <t>Acero de refuerzo de vigas</t>
  </si>
  <si>
    <t>MQ-035</t>
  </si>
  <si>
    <t>04.02.03</t>
  </si>
  <si>
    <t>Acero de refuerzo de losas</t>
  </si>
  <si>
    <t>MQ-036</t>
  </si>
  <si>
    <t>04.03.01</t>
  </si>
  <si>
    <t>Formaleta de columnas</t>
  </si>
  <si>
    <t>MQ-037</t>
  </si>
  <si>
    <t>04.03.02</t>
  </si>
  <si>
    <t>Formaleta de vigas</t>
  </si>
  <si>
    <t>MQ-038</t>
  </si>
  <si>
    <t>04.03.03</t>
  </si>
  <si>
    <t>Formaleta de losas</t>
  </si>
  <si>
    <t>MQ-039</t>
  </si>
  <si>
    <t>04.03.04</t>
  </si>
  <si>
    <t>Formaleta de escaleras</t>
  </si>
  <si>
    <t>MQ-040</t>
  </si>
  <si>
    <t>Estructura metálica</t>
  </si>
  <si>
    <t>04.04.01</t>
  </si>
  <si>
    <t>Suministro y montaje de perfiles metálicos</t>
  </si>
  <si>
    <t>MQ-041</t>
  </si>
  <si>
    <t>04.04.02</t>
  </si>
  <si>
    <t>Placas, pernos y conexiones metálicas</t>
  </si>
  <si>
    <t>MQ-042</t>
  </si>
  <si>
    <t>MAMPOSTERÍA</t>
  </si>
  <si>
    <t>Muros</t>
  </si>
  <si>
    <t>05.01.01</t>
  </si>
  <si>
    <t>Mampostería en bloque de concreto</t>
  </si>
  <si>
    <t>MQ-043</t>
  </si>
  <si>
    <t>05.01.02</t>
  </si>
  <si>
    <t>Mampostería en ladrillo</t>
  </si>
  <si>
    <t>MQ-044</t>
  </si>
  <si>
    <t>05.01.03</t>
  </si>
  <si>
    <t>Mampostería estructural</t>
  </si>
  <si>
    <t>MQ-045</t>
  </si>
  <si>
    <t>05.01.04</t>
  </si>
  <si>
    <t>Muros en sistema liviano / drywall</t>
  </si>
  <si>
    <t>MQ-046</t>
  </si>
  <si>
    <t>Complementarios</t>
  </si>
  <si>
    <t>05.02.01</t>
  </si>
  <si>
    <t>Dinteles sobre vanos</t>
  </si>
  <si>
    <t>MQ-047</t>
  </si>
  <si>
    <t>05.02.02</t>
  </si>
  <si>
    <t>Alfajías y remates</t>
  </si>
  <si>
    <t>MQ-048</t>
  </si>
  <si>
    <t>05.02.03</t>
  </si>
  <si>
    <t>Anclajes y refuerzos de mampostería</t>
  </si>
  <si>
    <t>MQ-049</t>
  </si>
  <si>
    <t>CUBIERTAS</t>
  </si>
  <si>
    <t>Estructura</t>
  </si>
  <si>
    <t>06.01.01</t>
  </si>
  <si>
    <t>Estructura metálica o de madera para cubierta</t>
  </si>
  <si>
    <t>MQ-050</t>
  </si>
  <si>
    <t>06.01.02</t>
  </si>
  <si>
    <t>Cerchas y elementos estructurales</t>
  </si>
  <si>
    <t>MQ-051</t>
  </si>
  <si>
    <t>Cubierta</t>
  </si>
  <si>
    <t>06.02.01</t>
  </si>
  <si>
    <t>Suministro e instalación de teja</t>
  </si>
  <si>
    <t>MQ-052</t>
  </si>
  <si>
    <t>06.02.02</t>
  </si>
  <si>
    <t>Impermeabilización de cubierta</t>
  </si>
  <si>
    <t>MQ-053</t>
  </si>
  <si>
    <t>06.02.03</t>
  </si>
  <si>
    <t>Aislamiento térmico/acústico</t>
  </si>
  <si>
    <t>MQ-054</t>
  </si>
  <si>
    <t>Canales</t>
  </si>
  <si>
    <t>06.03.01</t>
  </si>
  <si>
    <t>Canales de aguas lluvias</t>
  </si>
  <si>
    <t>MQ-055</t>
  </si>
  <si>
    <t>06.03.02</t>
  </si>
  <si>
    <t>Bajantes de aguas lluvias</t>
  </si>
  <si>
    <t>MQ-056</t>
  </si>
  <si>
    <t>IMPERMEABILIZACIONES</t>
  </si>
  <si>
    <t>Superficies</t>
  </si>
  <si>
    <t>07.01.01</t>
  </si>
  <si>
    <t>Impermeabilización de losas y terrazas</t>
  </si>
  <si>
    <t>MQ-057</t>
  </si>
  <si>
    <t>07.01.02</t>
  </si>
  <si>
    <t>Impermeabilización de muros</t>
  </si>
  <si>
    <t>MQ-058</t>
  </si>
  <si>
    <t>07.01.03</t>
  </si>
  <si>
    <t>Impermeabilización de zonas húmedas</t>
  </si>
  <si>
    <t>MQ-059</t>
  </si>
  <si>
    <t>PAÑETES Y REVOQUES</t>
  </si>
  <si>
    <t>Pañetes</t>
  </si>
  <si>
    <t>08.01.01</t>
  </si>
  <si>
    <t>Pañete / revoque interior</t>
  </si>
  <si>
    <t>MQ-060</t>
  </si>
  <si>
    <t>08.01.02</t>
  </si>
  <si>
    <t>Pañete / revoque exterior</t>
  </si>
  <si>
    <t>MQ-061</t>
  </si>
  <si>
    <t>08.01.03</t>
  </si>
  <si>
    <t>Pañete impermeabilizado</t>
  </si>
  <si>
    <t>MQ-062</t>
  </si>
  <si>
    <t>08.01.04</t>
  </si>
  <si>
    <t>Estuco plástico o tradicional</t>
  </si>
  <si>
    <t>MQ-063</t>
  </si>
  <si>
    <t>PISOS Y ENCHAPES</t>
  </si>
  <si>
    <t>Pisos</t>
  </si>
  <si>
    <t>09.01.01</t>
  </si>
  <si>
    <t>Mortero de nivelación</t>
  </si>
  <si>
    <t>MQ-064</t>
  </si>
  <si>
    <t>09.01.02</t>
  </si>
  <si>
    <t>Piso cerámico</t>
  </si>
  <si>
    <t>MQ-065</t>
  </si>
  <si>
    <t>09.01.03</t>
  </si>
  <si>
    <t>Piso en porcelanato</t>
  </si>
  <si>
    <t>MQ-066</t>
  </si>
  <si>
    <t>09.01.04</t>
  </si>
  <si>
    <t>Piso vinílico</t>
  </si>
  <si>
    <t>MQ-067</t>
  </si>
  <si>
    <t>09.01.05</t>
  </si>
  <si>
    <t>Piso laminado</t>
  </si>
  <si>
    <t>MQ-068</t>
  </si>
  <si>
    <t>Enchapes</t>
  </si>
  <si>
    <t>09.02.01</t>
  </si>
  <si>
    <t>Enchape cerámico en muros</t>
  </si>
  <si>
    <t>MQ-069</t>
  </si>
  <si>
    <t>09.02.02</t>
  </si>
  <si>
    <t>Guardaescoba</t>
  </si>
  <si>
    <t>MQ-070</t>
  </si>
  <si>
    <t>09.02.03</t>
  </si>
  <si>
    <t>Juntas de dilatación / construcción</t>
  </si>
  <si>
    <t>MQ-071</t>
  </si>
  <si>
    <t>PINTURA</t>
  </si>
  <si>
    <t>Pintura</t>
  </si>
  <si>
    <t>10.01.01</t>
  </si>
  <si>
    <t>Pintura vinílica interior</t>
  </si>
  <si>
    <t>MQ-072</t>
  </si>
  <si>
    <t>10.01.02</t>
  </si>
  <si>
    <t>Pintura exterior</t>
  </si>
  <si>
    <t>MQ-073</t>
  </si>
  <si>
    <t>10.01.03</t>
  </si>
  <si>
    <t>Pintura esmalte en superficies metálicas/madera</t>
  </si>
  <si>
    <t>MQ-074</t>
  </si>
  <si>
    <t>10.01.04</t>
  </si>
  <si>
    <t>Pintura anticorrosiva</t>
  </si>
  <si>
    <t>MQ-075</t>
  </si>
  <si>
    <t>10.01.05</t>
  </si>
  <si>
    <t>Sellador / imprimante</t>
  </si>
  <si>
    <t>MQ-076</t>
  </si>
  <si>
    <t>CARPINTERÍA</t>
  </si>
  <si>
    <t>Madera</t>
  </si>
  <si>
    <t>11.01.01</t>
  </si>
  <si>
    <t>Puertas de madera</t>
  </si>
  <si>
    <t>MQ-077</t>
  </si>
  <si>
    <t>11.01.02</t>
  </si>
  <si>
    <t>Muebles fijos de madera</t>
  </si>
  <si>
    <t>MQ-078</t>
  </si>
  <si>
    <t>Metálica</t>
  </si>
  <si>
    <t>11.02.01</t>
  </si>
  <si>
    <t>Puertas metálicas</t>
  </si>
  <si>
    <t>MQ-079</t>
  </si>
  <si>
    <t>11.02.02</t>
  </si>
  <si>
    <t>Barandas metálicas</t>
  </si>
  <si>
    <t>MQ-080</t>
  </si>
  <si>
    <t>11.02.03</t>
  </si>
  <si>
    <t>Pasamanos</t>
  </si>
  <si>
    <t>MQ-081</t>
  </si>
  <si>
    <t>Aluminio</t>
  </si>
  <si>
    <t>11.03.01</t>
  </si>
  <si>
    <t>Ventanas de aluminio</t>
  </si>
  <si>
    <t>MQ-082</t>
  </si>
  <si>
    <t>11.03.02</t>
  </si>
  <si>
    <t>Divisiones de aluminio</t>
  </si>
  <si>
    <t>MQ-083</t>
  </si>
  <si>
    <t>VIDRIOS</t>
  </si>
  <si>
    <t>Vidriería</t>
  </si>
  <si>
    <t>12.01.01</t>
  </si>
  <si>
    <t>Vidrio templado</t>
  </si>
  <si>
    <t>MQ-084</t>
  </si>
  <si>
    <t>12.01.02</t>
  </si>
  <si>
    <t>Vidrio laminado</t>
  </si>
  <si>
    <t>MQ-085</t>
  </si>
  <si>
    <t>12.01.03</t>
  </si>
  <si>
    <t>Espejos</t>
  </si>
  <si>
    <t>MQ-086</t>
  </si>
  <si>
    <t>12.01.04</t>
  </si>
  <si>
    <t>Sellos y silicona</t>
  </si>
  <si>
    <t>MQ-087</t>
  </si>
  <si>
    <t>INSTALACIONES HIDROSANITARIAS</t>
  </si>
  <si>
    <t>Agua potable</t>
  </si>
  <si>
    <t>13.01.01</t>
  </si>
  <si>
    <t>Tubería de agua fría</t>
  </si>
  <si>
    <t>MQ-088</t>
  </si>
  <si>
    <t>13.01.02</t>
  </si>
  <si>
    <t>Tubería de agua caliente</t>
  </si>
  <si>
    <t>MQ-089</t>
  </si>
  <si>
    <t>13.01.03</t>
  </si>
  <si>
    <t>Válvulas y accesorios</t>
  </si>
  <si>
    <t>MQ-090</t>
  </si>
  <si>
    <t>Desagües</t>
  </si>
  <si>
    <t>13.02.01</t>
  </si>
  <si>
    <t>Tubería sanitaria</t>
  </si>
  <si>
    <t>MQ-091</t>
  </si>
  <si>
    <t>13.02.02</t>
  </si>
  <si>
    <t>Tubería de aguas lluvias</t>
  </si>
  <si>
    <t>MQ-092</t>
  </si>
  <si>
    <t>13.02.03</t>
  </si>
  <si>
    <t>Cajas de inspección</t>
  </si>
  <si>
    <t>MQ-093</t>
  </si>
  <si>
    <t>Aparatos</t>
  </si>
  <si>
    <t>13.03.01</t>
  </si>
  <si>
    <t>Aparatos sanitarios</t>
  </si>
  <si>
    <t>MQ-094</t>
  </si>
  <si>
    <t>13.03.02</t>
  </si>
  <si>
    <t>Lavamanos</t>
  </si>
  <si>
    <t>MQ-095</t>
  </si>
  <si>
    <t>13.03.03</t>
  </si>
  <si>
    <t>Griferías</t>
  </si>
  <si>
    <t>MQ-096</t>
  </si>
  <si>
    <t>13.03.04</t>
  </si>
  <si>
    <t>Duchas</t>
  </si>
  <si>
    <t>MQ-097</t>
  </si>
  <si>
    <t>Pruebas</t>
  </si>
  <si>
    <t>13.04.01</t>
  </si>
  <si>
    <t>Pruebas hidráulicas y de estanqueidad</t>
  </si>
  <si>
    <t>MQ-098</t>
  </si>
  <si>
    <t>INSTALACIONES ELÉCTRICAS</t>
  </si>
  <si>
    <t>Canalizaciones</t>
  </si>
  <si>
    <t>14.01.01</t>
  </si>
  <si>
    <t>Tubería/conduit eléctrica</t>
  </si>
  <si>
    <t>MQ-099</t>
  </si>
  <si>
    <t>14.01.02</t>
  </si>
  <si>
    <t>Bandejas portacables</t>
  </si>
  <si>
    <t>MQ-100</t>
  </si>
  <si>
    <t>14.01.03</t>
  </si>
  <si>
    <t>Cajas eléctricas</t>
  </si>
  <si>
    <t>MQ-101</t>
  </si>
  <si>
    <t>Cableado</t>
  </si>
  <si>
    <t>14.02.01</t>
  </si>
  <si>
    <t>Cableado de fuerza</t>
  </si>
  <si>
    <t>MQ-102</t>
  </si>
  <si>
    <t>14.02.02</t>
  </si>
  <si>
    <t>Cableado de iluminación</t>
  </si>
  <si>
    <t>MQ-103</t>
  </si>
  <si>
    <t>14.02.03</t>
  </si>
  <si>
    <t>Tableros eléctricos</t>
  </si>
  <si>
    <t>MQ-104</t>
  </si>
  <si>
    <t>14.03.01</t>
  </si>
  <si>
    <t>Tomacorrientes</t>
  </si>
  <si>
    <t>MQ-105</t>
  </si>
  <si>
    <t>14.03.02</t>
  </si>
  <si>
    <t>Interruptores</t>
  </si>
  <si>
    <t>MQ-106</t>
  </si>
  <si>
    <t>14.03.03</t>
  </si>
  <si>
    <t>Luminarias</t>
  </si>
  <si>
    <t>MQ-107</t>
  </si>
  <si>
    <t>Puesta a tierra</t>
  </si>
  <si>
    <t>14.04.01</t>
  </si>
  <si>
    <t>Sistema de puesta a tierra</t>
  </si>
  <si>
    <t>MQ-108</t>
  </si>
  <si>
    <t>14.05.01</t>
  </si>
  <si>
    <t>Pruebas y certificaciones</t>
  </si>
  <si>
    <t>MQ-109</t>
  </si>
  <si>
    <t>COMUNICACIONES Y SEGURIDAD</t>
  </si>
  <si>
    <t>Datos</t>
  </si>
  <si>
    <t>15.01.01</t>
  </si>
  <si>
    <t>Cableado estructurado de datos</t>
  </si>
  <si>
    <t>MQ-110</t>
  </si>
  <si>
    <t>15.01.02</t>
  </si>
  <si>
    <t>Rack de comunicaciones</t>
  </si>
  <si>
    <t>MQ-111</t>
  </si>
  <si>
    <t>Seguridad</t>
  </si>
  <si>
    <t>15.02.01</t>
  </si>
  <si>
    <t>Cámaras y sistema CCTV</t>
  </si>
  <si>
    <t>MQ-112</t>
  </si>
  <si>
    <t>15.02.02</t>
  </si>
  <si>
    <t>Control de acceso</t>
  </si>
  <si>
    <t>MQ-113</t>
  </si>
  <si>
    <t>15.02.03</t>
  </si>
  <si>
    <t>Sistema de citofonía</t>
  </si>
  <si>
    <t>MQ-114</t>
  </si>
  <si>
    <t>Detección</t>
  </si>
  <si>
    <t>15.03.01</t>
  </si>
  <si>
    <t>Sistema de detección de incendios</t>
  </si>
  <si>
    <t>MQ-115</t>
  </si>
  <si>
    <t>CLIMATIZACIÓN Y VENTILACIÓN</t>
  </si>
  <si>
    <t>HVAC</t>
  </si>
  <si>
    <t>16.01.01</t>
  </si>
  <si>
    <t>Equipos de aire acondicionado</t>
  </si>
  <si>
    <t>MQ-116</t>
  </si>
  <si>
    <t>16.01.02</t>
  </si>
  <si>
    <t>Ductos de ventilación</t>
  </si>
  <si>
    <t>MQ-117</t>
  </si>
  <si>
    <t>16.01.03</t>
  </si>
  <si>
    <t>Tubería de refrigerante</t>
  </si>
  <si>
    <t>MQ-118</t>
  </si>
  <si>
    <t>16.01.04</t>
  </si>
  <si>
    <t>Rejillas y difusores</t>
  </si>
  <si>
    <t>MQ-119</t>
  </si>
  <si>
    <t>GAS</t>
  </si>
  <si>
    <t>Red de gas</t>
  </si>
  <si>
    <t>17.01.01</t>
  </si>
  <si>
    <t>Red interna de gas</t>
  </si>
  <si>
    <t>MQ-120</t>
  </si>
  <si>
    <t>17.01.02</t>
  </si>
  <si>
    <t>MQ-121</t>
  </si>
  <si>
    <t>17.01.03</t>
  </si>
  <si>
    <t>Pruebas y certificación</t>
  </si>
  <si>
    <t>MQ-122</t>
  </si>
  <si>
    <t>URBANISMO Y EXTERIORES</t>
  </si>
  <si>
    <t>Pavimentos</t>
  </si>
  <si>
    <t>18.01.01</t>
  </si>
  <si>
    <t>Construcción de andenes</t>
  </si>
  <si>
    <t>MQ-123</t>
  </si>
  <si>
    <t>18.01.02</t>
  </si>
  <si>
    <t>Placas de concreto exteriores</t>
  </si>
  <si>
    <t>MQ-124</t>
  </si>
  <si>
    <t>18.01.03</t>
  </si>
  <si>
    <t>Pavimento en adoquín</t>
  </si>
  <si>
    <t>MQ-125</t>
  </si>
  <si>
    <t>Bordillos</t>
  </si>
  <si>
    <t>18.02.01</t>
  </si>
  <si>
    <t>Sardineles y bordillos</t>
  </si>
  <si>
    <t>MQ-126</t>
  </si>
  <si>
    <t>Drenajes</t>
  </si>
  <si>
    <t>18.03.01</t>
  </si>
  <si>
    <t>Sumideros exteriores</t>
  </si>
  <si>
    <t>MQ-127</t>
  </si>
  <si>
    <t>Paisajismo</t>
  </si>
  <si>
    <t>18.04.01</t>
  </si>
  <si>
    <t>Suministro y extendido de tierra vegetal</t>
  </si>
  <si>
    <t>MQ-128</t>
  </si>
  <si>
    <t>18.04.02</t>
  </si>
  <si>
    <t>Siembra y jardinería</t>
  </si>
  <si>
    <t>MQ-129</t>
  </si>
  <si>
    <t>OBRAS COMPLEMENTARIAS</t>
  </si>
  <si>
    <t>Metálicas</t>
  </si>
  <si>
    <t>19.01.01</t>
  </si>
  <si>
    <t>Rejas metálicas</t>
  </si>
  <si>
    <t>MQ-130</t>
  </si>
  <si>
    <t>19.01.02</t>
  </si>
  <si>
    <t>Escaleras metálicas</t>
  </si>
  <si>
    <t>MQ-131</t>
  </si>
  <si>
    <t>19.01.03</t>
  </si>
  <si>
    <t>Elementos metálicos especiales</t>
  </si>
  <si>
    <t>MQ-132</t>
  </si>
  <si>
    <t>Mobiliario</t>
  </si>
  <si>
    <t>19.02.01</t>
  </si>
  <si>
    <t>Mobiliario fijo de obra</t>
  </si>
  <si>
    <t>MQ-133</t>
  </si>
  <si>
    <t>ASEO, ENTREGA Y CIERRE</t>
  </si>
  <si>
    <t>Limpieza</t>
  </si>
  <si>
    <t>20.01.01</t>
  </si>
  <si>
    <t>Limpieza gruesa y fina de obra</t>
  </si>
  <si>
    <t>MQ-134</t>
  </si>
  <si>
    <t>20.01.02</t>
  </si>
  <si>
    <t>Limpieza final para entrega</t>
  </si>
  <si>
    <t>MQ-135</t>
  </si>
  <si>
    <t>20.02.01</t>
  </si>
  <si>
    <t>Pruebas, puesta en marcha y ajustes</t>
  </si>
  <si>
    <t>MQ-136</t>
  </si>
  <si>
    <t>Documentación</t>
  </si>
  <si>
    <t>Actualización de planos récord / as-built</t>
  </si>
  <si>
    <t>MQ-137</t>
  </si>
  <si>
    <t>Entrega</t>
  </si>
  <si>
    <t>20.02.02</t>
  </si>
  <si>
    <t>Entrega, manuales y acta de recibo</t>
  </si>
  <si>
    <t>RYR-CO-001</t>
  </si>
  <si>
    <t>CONTROL MAESTRO DE CANTIDADES DE OBRA — TODAS LAS ACTIVIDADES</t>
  </si>
  <si>
    <t>Catálogo detallado para medición: preliminares • tierras • cimentación • estructura • mampostería • cubiertas • acabados • instalaciones • exteriores • cierre</t>
  </si>
  <si>
    <t>ACTIVIDADES CATALOGADAS</t>
  </si>
  <si>
    <t>CANTIDADES CALCULADAS</t>
  </si>
  <si>
    <t>ACTIVIDADES APROBADAS</t>
  </si>
  <si>
    <t>PENDIENTES</t>
  </si>
  <si>
    <t>CONTROL POR CAPÍTULO</t>
  </si>
  <si>
    <t>Actividades</t>
  </si>
  <si>
    <t>Calculadas</t>
  </si>
  <si>
    <t>Pendientes</t>
  </si>
  <si>
    <t>FLUJO DE TRABAJO RECOMENDADO</t>
  </si>
  <si>
    <t>1. Seleccionar actividad específica.</t>
  </si>
  <si>
    <t>2. Registrar ubicación y plano/revisión.</t>
  </si>
  <si>
    <t>3. Medir dimensiones y número de elementos.</t>
  </si>
  <si>
    <t>4. Registrar deducciones y desperdicio justificado.</t>
  </si>
  <si>
    <t>5. Revisar cantidad neta y final.</t>
  </si>
  <si>
    <t>6. Contrastar con presupuesto/APU y aprobar.</t>
  </si>
  <si>
    <t>NOTA: el catálogo reúne actividades típicas y debe adaptarse al alcance contractual de cada proyecto. No todas las partidas aplican a todas las obras. Antes de utilizar una cantidad en presupuesto, compras, actas o avance, verifique planos vigentes, especificaciones, APU y condiciones contractuales.</t>
  </si>
  <si>
    <t>RYR-CO-006</t>
  </si>
  <si>
    <t>ID cálculo</t>
  </si>
  <si>
    <t>ID cantidad</t>
  </si>
  <si>
    <t>Actividad</t>
  </si>
  <si>
    <t>Plano</t>
  </si>
  <si>
    <t>Alto/Prof.</t>
  </si>
  <si>
    <t>Criterio matemático</t>
  </si>
  <si>
    <t>Fuente / soporte</t>
  </si>
  <si>
    <t>Observaciones</t>
  </si>
  <si>
    <t>CAL-001</t>
  </si>
  <si>
    <t>Validar contra plano, especificación y medición de campo</t>
  </si>
  <si>
    <t>CAL-002</t>
  </si>
  <si>
    <t>CAL-003</t>
  </si>
  <si>
    <t>CAL-004</t>
  </si>
  <si>
    <t>CAL-005</t>
  </si>
  <si>
    <t>CAL-006</t>
  </si>
  <si>
    <t>CAL-007</t>
  </si>
  <si>
    <t>CAL-008</t>
  </si>
  <si>
    <t>CAL-009</t>
  </si>
  <si>
    <t>CAL-010</t>
  </si>
  <si>
    <t>CAL-011</t>
  </si>
  <si>
    <t>CAL-012</t>
  </si>
  <si>
    <t>CAL-013</t>
  </si>
  <si>
    <t>CAL-014</t>
  </si>
  <si>
    <t>CAL-015</t>
  </si>
  <si>
    <t>CAL-016</t>
  </si>
  <si>
    <t>CAL-017</t>
  </si>
  <si>
    <t>CAL-018</t>
  </si>
  <si>
    <t>CAL-019</t>
  </si>
  <si>
    <t>CAL-020</t>
  </si>
  <si>
    <t>CAL-021</t>
  </si>
  <si>
    <t>CAL-022</t>
  </si>
  <si>
    <t>CAL-023</t>
  </si>
  <si>
    <t>CAL-024</t>
  </si>
  <si>
    <t>CAL-025</t>
  </si>
  <si>
    <t>CAL-026</t>
  </si>
  <si>
    <t>CAL-027</t>
  </si>
  <si>
    <t>CAL-028</t>
  </si>
  <si>
    <t>CAL-029</t>
  </si>
  <si>
    <t>CAL-030</t>
  </si>
  <si>
    <t>CAL-031</t>
  </si>
  <si>
    <t>CAL-032</t>
  </si>
  <si>
    <t>CAL-033</t>
  </si>
  <si>
    <t>CAL-034</t>
  </si>
  <si>
    <t>CAL-035</t>
  </si>
  <si>
    <t>CAL-036</t>
  </si>
  <si>
    <t>CAL-037</t>
  </si>
  <si>
    <t>CAL-038</t>
  </si>
  <si>
    <t>CAL-039</t>
  </si>
  <si>
    <t>CAL-040</t>
  </si>
  <si>
    <t>CAL-041</t>
  </si>
  <si>
    <t>CAL-042</t>
  </si>
  <si>
    <t>CAL-043</t>
  </si>
  <si>
    <t>CAL-044</t>
  </si>
  <si>
    <t>CAL-045</t>
  </si>
  <si>
    <t>CAL-046</t>
  </si>
  <si>
    <t>CAL-047</t>
  </si>
  <si>
    <t>CAL-048</t>
  </si>
  <si>
    <t>CAL-049</t>
  </si>
  <si>
    <t>CAL-050</t>
  </si>
  <si>
    <t>CAL-051</t>
  </si>
  <si>
    <t>CAL-052</t>
  </si>
  <si>
    <t>CAL-053</t>
  </si>
  <si>
    <t>CAL-054</t>
  </si>
  <si>
    <t>CAL-055</t>
  </si>
  <si>
    <t>CAL-056</t>
  </si>
  <si>
    <t>CAL-057</t>
  </si>
  <si>
    <t>CAL-058</t>
  </si>
  <si>
    <t>CAL-059</t>
  </si>
  <si>
    <t>CAL-060</t>
  </si>
  <si>
    <t>CAL-061</t>
  </si>
  <si>
    <t>CAL-062</t>
  </si>
  <si>
    <t>CAL-063</t>
  </si>
  <si>
    <t>CAL-064</t>
  </si>
  <si>
    <t>CAL-065</t>
  </si>
  <si>
    <t>CAL-066</t>
  </si>
  <si>
    <t>CAL-067</t>
  </si>
  <si>
    <t>CAL-068</t>
  </si>
  <si>
    <t>CAL-069</t>
  </si>
  <si>
    <t>CAL-070</t>
  </si>
  <si>
    <t>CAL-071</t>
  </si>
  <si>
    <t>CAL-072</t>
  </si>
  <si>
    <t>CAL-073</t>
  </si>
  <si>
    <t>CAL-074</t>
  </si>
  <si>
    <t>CAL-075</t>
  </si>
  <si>
    <t>CAL-076</t>
  </si>
  <si>
    <t>CAL-077</t>
  </si>
  <si>
    <t>CAL-078</t>
  </si>
  <si>
    <t>CAL-079</t>
  </si>
  <si>
    <t>CAL-080</t>
  </si>
  <si>
    <t>CAL-081</t>
  </si>
  <si>
    <t>CAL-082</t>
  </si>
  <si>
    <t>CAL-083</t>
  </si>
  <si>
    <t>CAL-084</t>
  </si>
  <si>
    <t>CAL-085</t>
  </si>
  <si>
    <t>CAL-086</t>
  </si>
  <si>
    <t>CAL-087</t>
  </si>
  <si>
    <t>CAL-088</t>
  </si>
  <si>
    <t>CAL-089</t>
  </si>
  <si>
    <t>CAL-090</t>
  </si>
  <si>
    <t>CAL-091</t>
  </si>
  <si>
    <t>CAL-092</t>
  </si>
  <si>
    <t>CAL-093</t>
  </si>
  <si>
    <t>CAL-094</t>
  </si>
  <si>
    <t>CAL-095</t>
  </si>
  <si>
    <t>CAL-096</t>
  </si>
  <si>
    <t>CAL-097</t>
  </si>
  <si>
    <t>CAL-098</t>
  </si>
  <si>
    <t>CAL-099</t>
  </si>
  <si>
    <t>CAL-100</t>
  </si>
  <si>
    <t>CAL-101</t>
  </si>
  <si>
    <t>CAL-102</t>
  </si>
  <si>
    <t>CAL-103</t>
  </si>
  <si>
    <t>CAL-104</t>
  </si>
  <si>
    <t>CAL-105</t>
  </si>
  <si>
    <t>CAL-106</t>
  </si>
  <si>
    <t>CAL-107</t>
  </si>
  <si>
    <t>CAL-108</t>
  </si>
  <si>
    <t>CAL-109</t>
  </si>
  <si>
    <t>CAL-110</t>
  </si>
  <si>
    <t>CAL-111</t>
  </si>
  <si>
    <t>CAL-112</t>
  </si>
  <si>
    <t>CAL-113</t>
  </si>
  <si>
    <t>CAL-114</t>
  </si>
  <si>
    <t>CAL-115</t>
  </si>
  <si>
    <t>CAL-116</t>
  </si>
  <si>
    <t>CAL-117</t>
  </si>
  <si>
    <t>CAL-118</t>
  </si>
  <si>
    <t>CAL-119</t>
  </si>
  <si>
    <t>CAL-120</t>
  </si>
  <si>
    <t>CAL-121</t>
  </si>
  <si>
    <t>CAL-122</t>
  </si>
  <si>
    <t>CAL-123</t>
  </si>
  <si>
    <t>CAL-124</t>
  </si>
  <si>
    <t>CAL-125</t>
  </si>
  <si>
    <t>CAL-126</t>
  </si>
  <si>
    <t>CAL-127</t>
  </si>
  <si>
    <t>CAL-128</t>
  </si>
  <si>
    <t>CAL-129</t>
  </si>
  <si>
    <t>CAL-130</t>
  </si>
  <si>
    <t>CAL-131</t>
  </si>
  <si>
    <t>CAL-132</t>
  </si>
  <si>
    <t>CAL-133</t>
  </si>
  <si>
    <t>CAL-134</t>
  </si>
  <si>
    <t>CAL-135</t>
  </si>
  <si>
    <t>CAL-136</t>
  </si>
  <si>
    <t>CAL-137</t>
  </si>
  <si>
    <t>CATÁLOGO MAESTRO DE ACTIVIDADES</t>
  </si>
  <si>
    <t>RYR-CO-002</t>
  </si>
  <si>
    <t>CATÁLOGO MAESTRO DE ACTIVIDADES — REFORMAS Y REMODELACIONES</t>
  </si>
  <si>
    <t>CÓD. ACTIVIDAD</t>
  </si>
  <si>
    <t>SUBCAPÍTULO</t>
  </si>
  <si>
    <t>GRUPO</t>
  </si>
  <si>
    <t>ACTIVIDAD ESPECÍFICA</t>
  </si>
  <si>
    <t>UNIDAD</t>
  </si>
  <si>
    <t>MÉTODO SUGERIDO</t>
  </si>
  <si>
    <t>01  |  PRELIMINARES</t>
  </si>
  <si>
    <t>Localización y replanteo</t>
  </si>
  <si>
    <t>Replanteo general de ejes y niveles</t>
  </si>
  <si>
    <t>Longitud × N° elementos × repeticiones − deducciones</t>
  </si>
  <si>
    <t>Cerramiento provisional</t>
  </si>
  <si>
    <t>Campamento</t>
  </si>
  <si>
    <t>Largo × Ancho × N° elementos × repeticiones − deducciones</t>
  </si>
  <si>
    <t>Almacenamiento</t>
  </si>
  <si>
    <t>Señalización</t>
  </si>
  <si>
    <t>N° elementos × repeticiones − deducciones</t>
  </si>
  <si>
    <t>Servicios provisionales</t>
  </si>
  <si>
    <t>Según alcance contractual / presupuesto</t>
  </si>
  <si>
    <t>Protecciones</t>
  </si>
  <si>
    <t>Desmonte</t>
  </si>
  <si>
    <t>Demoliciones</t>
  </si>
  <si>
    <t>Largo × Ancho × Alto/Prof. × N° elementos × repeticiones − deducciones</t>
  </si>
  <si>
    <t>02  |  MOVIMIENTO DE TIERRAS</t>
  </si>
  <si>
    <t>Excavación manual</t>
  </si>
  <si>
    <t>Perfilado</t>
  </si>
  <si>
    <t>Relleno seleccionado</t>
  </si>
  <si>
    <t>Relleno material excavación</t>
  </si>
  <si>
    <t>Subbase</t>
  </si>
  <si>
    <t>Base granular</t>
  </si>
  <si>
    <t>Cargue</t>
  </si>
  <si>
    <t>Transporte</t>
  </si>
  <si>
    <t>Disposición</t>
  </si>
  <si>
    <t>03  |  CIMENTACIONES</t>
  </si>
  <si>
    <t>Solados</t>
  </si>
  <si>
    <t>Zapatas</t>
  </si>
  <si>
    <t>Vigas de cimentación</t>
  </si>
  <si>
    <t>Losas de cimentación</t>
  </si>
  <si>
    <t>Pedestales</t>
  </si>
  <si>
    <t>Acero de refuerzo</t>
  </si>
  <si>
    <t>Peso/despiece × N° elementos × repeticiones</t>
  </si>
  <si>
    <t>Formaleta cimentación</t>
  </si>
  <si>
    <t>04  |  ESTRUCTURA</t>
  </si>
  <si>
    <t>Columnas</t>
  </si>
  <si>
    <t>Vigas</t>
  </si>
  <si>
    <t>Losas</t>
  </si>
  <si>
    <t>Escaleras</t>
  </si>
  <si>
    <t>Muros estructurales</t>
  </si>
  <si>
    <t>Acero columnas</t>
  </si>
  <si>
    <t>Acero vigas</t>
  </si>
  <si>
    <t>Acero losas</t>
  </si>
  <si>
    <t>Formaleta columnas</t>
  </si>
  <si>
    <t>Formaleta vigas</t>
  </si>
  <si>
    <t>Formaleta losas</t>
  </si>
  <si>
    <t>Formaleta escaleras</t>
  </si>
  <si>
    <t>Perfiles metálicos</t>
  </si>
  <si>
    <t>Placas y conexiones</t>
  </si>
  <si>
    <t>05  |  MAMPOSTERÍA</t>
  </si>
  <si>
    <t>Bloque</t>
  </si>
  <si>
    <t>Ladrillo</t>
  </si>
  <si>
    <t>Ladrillo estructural</t>
  </si>
  <si>
    <t>Divisiones livianas</t>
  </si>
  <si>
    <t>Dinteles</t>
  </si>
  <si>
    <t>Alfajías</t>
  </si>
  <si>
    <t>Anclajes</t>
  </si>
  <si>
    <t>06  |  CUBIERTAS</t>
  </si>
  <si>
    <t>Estructura cubierta</t>
  </si>
  <si>
    <t>Cerchas</t>
  </si>
  <si>
    <t>Teja</t>
  </si>
  <si>
    <t>Impermeabilización cubierta</t>
  </si>
  <si>
    <t>Aislamiento</t>
  </si>
  <si>
    <t>Bajantes</t>
  </si>
  <si>
    <t>07  |  IMPERMEABILIZACIONES</t>
  </si>
  <si>
    <t>Impermeabilización losas</t>
  </si>
  <si>
    <t>Impermeabilización muros</t>
  </si>
  <si>
    <t>Impermeabilización baños</t>
  </si>
  <si>
    <t>08  |  PAÑETES Y REVOQUES</t>
  </si>
  <si>
    <t>Pañete interior</t>
  </si>
  <si>
    <t>Pañete exterior</t>
  </si>
  <si>
    <t>Pañete impermeable</t>
  </si>
  <si>
    <t>Estuco</t>
  </si>
  <si>
    <t>09  |  PISOS Y ENCHAPES</t>
  </si>
  <si>
    <t>Mortero nivelación</t>
  </si>
  <si>
    <t>Cerámica piso</t>
  </si>
  <si>
    <t>Porcelanato</t>
  </si>
  <si>
    <t>Enchape muro</t>
  </si>
  <si>
    <t>Juntas</t>
  </si>
  <si>
    <t>10  |  PINTURA</t>
  </si>
  <si>
    <t>Vinilo interior</t>
  </si>
  <si>
    <t>Vinilo exterior</t>
  </si>
  <si>
    <t>Esmalte</t>
  </si>
  <si>
    <t>Anticorrosivo</t>
  </si>
  <si>
    <t>Sellador</t>
  </si>
  <si>
    <t>11  |  CARPINTERÍA</t>
  </si>
  <si>
    <t>Puertas madera</t>
  </si>
  <si>
    <t>Muebles</t>
  </si>
  <si>
    <t>Barandas</t>
  </si>
  <si>
    <t>Ventanas</t>
  </si>
  <si>
    <t>Divisiones</t>
  </si>
  <si>
    <t>12  |  VIDRIOS</t>
  </si>
  <si>
    <t>Sellos</t>
  </si>
  <si>
    <t>13  |  INSTALACIONES HIDROSANITARIAS</t>
  </si>
  <si>
    <t>Red agua fría</t>
  </si>
  <si>
    <t>Red agua caliente</t>
  </si>
  <si>
    <t>Válvulas</t>
  </si>
  <si>
    <t>Red sanitaria</t>
  </si>
  <si>
    <t>Red lluvias</t>
  </si>
  <si>
    <t>Cajas inspección</t>
  </si>
  <si>
    <t>Sanitarios</t>
  </si>
  <si>
    <t>Prueba hidráulica</t>
  </si>
  <si>
    <t>14  |  INSTALACIONES ELÉCTRICAS</t>
  </si>
  <si>
    <t>Tubería eléctrica</t>
  </si>
  <si>
    <t>Bandejas</t>
  </si>
  <si>
    <t>Cajas</t>
  </si>
  <si>
    <t>Cableado fuerza</t>
  </si>
  <si>
    <t>Cableado iluminación</t>
  </si>
  <si>
    <t>Tableros</t>
  </si>
  <si>
    <t>Sistema puesta a tierra</t>
  </si>
  <si>
    <t>Pruebas eléctricas</t>
  </si>
  <si>
    <t>15  |  COMUNICACIONES Y SEGURIDAD</t>
  </si>
  <si>
    <t>Red de datos</t>
  </si>
  <si>
    <t>Rack</t>
  </si>
  <si>
    <t>CCTV</t>
  </si>
  <si>
    <t>Control acceso</t>
  </si>
  <si>
    <t>Citofonía</t>
  </si>
  <si>
    <t>Detección incendios</t>
  </si>
  <si>
    <t>16  |  CLIMATIZACIÓN Y VENTILACIÓN</t>
  </si>
  <si>
    <t>Equipos</t>
  </si>
  <si>
    <t>Ductos</t>
  </si>
  <si>
    <t>Tubería refrigerante</t>
  </si>
  <si>
    <t>Rejillas</t>
  </si>
  <si>
    <t>17  |  GAS</t>
  </si>
  <si>
    <t>Tubería gas</t>
  </si>
  <si>
    <t>Válvulas gas</t>
  </si>
  <si>
    <t>Pruebas gas</t>
  </si>
  <si>
    <t>18  |  URBANISMO Y EXTERIORES</t>
  </si>
  <si>
    <t>Andenes</t>
  </si>
  <si>
    <t>Placa concreto</t>
  </si>
  <si>
    <t>Adoquín</t>
  </si>
  <si>
    <t>Sardineles</t>
  </si>
  <si>
    <t>Sumideros</t>
  </si>
  <si>
    <t>Tierra vegetal</t>
  </si>
  <si>
    <t>Jardinería</t>
  </si>
  <si>
    <t>19  |  OBRAS COMPLEMENTARIAS</t>
  </si>
  <si>
    <t>Rejas</t>
  </si>
  <si>
    <t>Estructuras especiales</t>
  </si>
  <si>
    <t>Mobiliario fijo</t>
  </si>
  <si>
    <t>20  |  ASEO, ENTREGA Y CIERRE</t>
  </si>
  <si>
    <t>Limpieza general</t>
  </si>
  <si>
    <t>Limpieza final</t>
  </si>
  <si>
    <t>Puesta en marcha</t>
  </si>
  <si>
    <t>Planos récord</t>
  </si>
  <si>
    <t>Entrega final</t>
  </si>
  <si>
    <t>21  |  ASCENSORES</t>
  </si>
  <si>
    <t>21.01.01</t>
  </si>
  <si>
    <t>Equipos de transporte vertical</t>
  </si>
  <si>
    <t>Ascensores</t>
  </si>
  <si>
    <t>Suministro e instalación de ascensor eléctrico</t>
  </si>
  <si>
    <t>Según ficha técnica del fabricante</t>
  </si>
  <si>
    <t>22  |  GESTIÓN, DISEÑO Y ADMINISTRACIÓN</t>
  </si>
  <si>
    <t>22.01.01</t>
  </si>
  <si>
    <t>Estudios y diseños</t>
  </si>
  <si>
    <t>Estudios técnicos</t>
  </si>
  <si>
    <t>Estudio de suelos y geotecnia</t>
  </si>
  <si>
    <t>Según alcance contractual</t>
  </si>
  <si>
    <t>22.01.02</t>
  </si>
  <si>
    <t>Diseños</t>
  </si>
  <si>
    <t>Diseños arquitectónicos, estructurales, hidrosanitarios y eléctricos</t>
  </si>
  <si>
    <t>22.02.01</t>
  </si>
  <si>
    <t>Trámites y pólizas</t>
  </si>
  <si>
    <t>Trámites</t>
  </si>
  <si>
    <t>Licencia de construcción y trámites de curaduría urbana</t>
  </si>
  <si>
    <t>22.02.02</t>
  </si>
  <si>
    <t>Pólizas</t>
  </si>
  <si>
    <t>Póliza de estabilidad de obra y seguros de construcción (todo riesgo)</t>
  </si>
  <si>
    <t>REGISTRO DE PLANOS Y REVISIONES</t>
  </si>
  <si>
    <t>RYR-CO-003</t>
  </si>
  <si>
    <t xml:space="preserve">Página </t>
  </si>
  <si>
    <t>Código plano</t>
  </si>
  <si>
    <t>Disciplina</t>
  </si>
  <si>
    <t>Título</t>
  </si>
  <si>
    <t>Revisión</t>
  </si>
  <si>
    <t>Actividades relacionadas</t>
  </si>
  <si>
    <t>ARQ-001</t>
  </si>
  <si>
    <t>Arquitectura</t>
  </si>
  <si>
    <t>Planta general</t>
  </si>
  <si>
    <t>R01</t>
  </si>
  <si>
    <t>Vigente</t>
  </si>
  <si>
    <t>Preliminares / mampostería / acabados</t>
  </si>
  <si>
    <t>Ing. Residente</t>
  </si>
  <si>
    <t>EST-101</t>
  </si>
  <si>
    <t>Estructural</t>
  </si>
  <si>
    <t>Cimentación</t>
  </si>
  <si>
    <t>R02</t>
  </si>
  <si>
    <t>Cimentaciones / estructura</t>
  </si>
  <si>
    <t>HID-201</t>
  </si>
  <si>
    <t>Hidrosanitaria</t>
  </si>
  <si>
    <t>Redes hidrosanitarias</t>
  </si>
  <si>
    <t>Instalaciones hidrosanitarias</t>
  </si>
  <si>
    <t>ELE-301</t>
  </si>
  <si>
    <t>Eléctrica</t>
  </si>
  <si>
    <t>Fuerza e iluminación</t>
  </si>
  <si>
    <t>Instalaciones eléctricas</t>
  </si>
  <si>
    <t>INSTRUCTIVO DE USO</t>
  </si>
  <si>
    <t>RYR-CO-004</t>
  </si>
  <si>
    <t>REFORMAS Y REMODELACIONES — INSTRUCTIVO DE CANTIDADES</t>
  </si>
  <si>
    <t>1. IDENTIFICAR</t>
  </si>
  <si>
    <t>Use el código y actividad específica del catálogo; defina ubicación/frente y plano/revisión.</t>
  </si>
  <si>
    <t>2. MEDIR</t>
  </si>
  <si>
    <t>Ingrese solo las dimensiones aplicables a la actividad: largo, ancho, alto/profundidad, espesor y número de elementos.</t>
  </si>
  <si>
    <t>3. REPETIR</t>
  </si>
  <si>
    <t>Use N° de elementos para componentes repetitivos y Repeticiones para módulos o conjuntos.</t>
  </si>
  <si>
    <t>4. DEDUCIR</t>
  </si>
  <si>
    <t>Registre vanos, vacíos u otros descuentos en Deducción y explique el criterio.</t>
  </si>
  <si>
    <t>5. DESPERDICIO</t>
  </si>
  <si>
    <t>Ingrese el porcentaje como decimal (5% = 0,05) solo si está técnicamente o contractualmente sustentado.</t>
  </si>
  <si>
    <t>6. TRAZABILIDAD</t>
  </si>
  <si>
    <t>Toda cantidad debe poder rastrearse a plano, detalle, especificación, medición de campo o documento contractual.</t>
  </si>
  <si>
    <t>7. VALIDAR</t>
  </si>
  <si>
    <t>Compare contra presupuesto, APU, planos y medición de campo; documente diferencias.</t>
  </si>
  <si>
    <t>8. APROBAR</t>
  </si>
  <si>
    <t>Cambie el Estado a Aprobada solo después de la revisión técnica.</t>
  </si>
  <si>
    <t>PRESUPUESTO DE OBRA</t>
  </si>
  <si>
    <t>RYR-PP-001</t>
  </si>
  <si>
    <t>IDENTIFICACIÓN DE PROYECTO</t>
  </si>
  <si>
    <t>Bogotá D.C. - Precios de referencia de mercado 2026 - Valores en pesos colombianos (COP), sin decimales</t>
  </si>
  <si>
    <t>Ítem</t>
  </si>
  <si>
    <t>Cantidad</t>
  </si>
  <si>
    <t>Precio Unitario</t>
  </si>
  <si>
    <t>Valor Total</t>
  </si>
  <si>
    <t>1</t>
  </si>
  <si>
    <t>1.1</t>
  </si>
  <si>
    <t>ML</t>
  </si>
  <si>
    <t>1.2</t>
  </si>
  <si>
    <t>1.3</t>
  </si>
  <si>
    <t>M²</t>
  </si>
  <si>
    <t>1.4</t>
  </si>
  <si>
    <t>1.5</t>
  </si>
  <si>
    <t>UND</t>
  </si>
  <si>
    <t>1.6</t>
  </si>
  <si>
    <t>GL</t>
  </si>
  <si>
    <t>1.7</t>
  </si>
  <si>
    <t>1.8</t>
  </si>
  <si>
    <t>1.9</t>
  </si>
  <si>
    <t>M³</t>
  </si>
  <si>
    <t>SUBTOTAL CAPÍTULO 1 - PRELIMINARES</t>
  </si>
  <si>
    <t>2</t>
  </si>
  <si>
    <t>2.1</t>
  </si>
  <si>
    <t>2.2</t>
  </si>
  <si>
    <t>2.3</t>
  </si>
  <si>
    <t>2.4</t>
  </si>
  <si>
    <t>2.5</t>
  </si>
  <si>
    <t>2.6</t>
  </si>
  <si>
    <t>2.7</t>
  </si>
  <si>
    <t>2.8</t>
  </si>
  <si>
    <t>2.9</t>
  </si>
  <si>
    <t>2.10</t>
  </si>
  <si>
    <t>2.11</t>
  </si>
  <si>
    <t>SUBTOTAL CAPÍTULO 2 - MOVIMIENTO DE TIERRAS</t>
  </si>
  <si>
    <t>3</t>
  </si>
  <si>
    <t>3.1</t>
  </si>
  <si>
    <t>3.2</t>
  </si>
  <si>
    <t>3.3</t>
  </si>
  <si>
    <t>3.4</t>
  </si>
  <si>
    <t>3.5</t>
  </si>
  <si>
    <t>3.6</t>
  </si>
  <si>
    <t>KG</t>
  </si>
  <si>
    <t>3.7</t>
  </si>
  <si>
    <t>SUBTOTAL CAPÍTULO 3 - CIMENTACIONES</t>
  </si>
  <si>
    <t>4</t>
  </si>
  <si>
    <t>4.1</t>
  </si>
  <si>
    <t>4.2</t>
  </si>
  <si>
    <t>4.3</t>
  </si>
  <si>
    <t>4.4</t>
  </si>
  <si>
    <t>4.5</t>
  </si>
  <si>
    <t>4.6</t>
  </si>
  <si>
    <t>4.7</t>
  </si>
  <si>
    <t>4.8</t>
  </si>
  <si>
    <t>4.9</t>
  </si>
  <si>
    <t>4.10</t>
  </si>
  <si>
    <t>4.11</t>
  </si>
  <si>
    <t>4.12</t>
  </si>
  <si>
    <t>4.13</t>
  </si>
  <si>
    <t>4.14</t>
  </si>
  <si>
    <t>SUBTOTAL CAPÍTULO 4 - ESTRUCTURA</t>
  </si>
  <si>
    <t>5</t>
  </si>
  <si>
    <t>5.1</t>
  </si>
  <si>
    <t>5.2</t>
  </si>
  <si>
    <t>5.3</t>
  </si>
  <si>
    <t>5.4</t>
  </si>
  <si>
    <t>5.5</t>
  </si>
  <si>
    <t>5.6</t>
  </si>
  <si>
    <t>5.7</t>
  </si>
  <si>
    <t>SUBTOTAL CAPÍTULO 5 - MAMPOSTERÍA</t>
  </si>
  <si>
    <t>6</t>
  </si>
  <si>
    <t>6.1</t>
  </si>
  <si>
    <t>6.2</t>
  </si>
  <si>
    <t>6.3</t>
  </si>
  <si>
    <t>6.4</t>
  </si>
  <si>
    <t>6.5</t>
  </si>
  <si>
    <t>6.6</t>
  </si>
  <si>
    <t>6.7</t>
  </si>
  <si>
    <t>SUBTOTAL CAPÍTULO 6 - CUBIERTAS</t>
  </si>
  <si>
    <t>7</t>
  </si>
  <si>
    <t>7.1</t>
  </si>
  <si>
    <t>7.2</t>
  </si>
  <si>
    <t>7.3</t>
  </si>
  <si>
    <t>SUBTOTAL CAPÍTULO 7 - IMPERMEABILIZACIONES</t>
  </si>
  <si>
    <t>8</t>
  </si>
  <si>
    <t>8.1</t>
  </si>
  <si>
    <t>8.2</t>
  </si>
  <si>
    <t>8.3</t>
  </si>
  <si>
    <t>8.4</t>
  </si>
  <si>
    <t>SUBTOTAL CAPÍTULO 8 - PAÑETES Y REVOQUES</t>
  </si>
  <si>
    <t>9</t>
  </si>
  <si>
    <t>9.1</t>
  </si>
  <si>
    <t>9.2</t>
  </si>
  <si>
    <t>9.3</t>
  </si>
  <si>
    <t>9.4</t>
  </si>
  <si>
    <t>9.5</t>
  </si>
  <si>
    <t>9.6</t>
  </si>
  <si>
    <t>9.7</t>
  </si>
  <si>
    <t>9.8</t>
  </si>
  <si>
    <t>SUBTOTAL CAPÍTULO 9 - PISOS Y ENCHAPES</t>
  </si>
  <si>
    <t>10</t>
  </si>
  <si>
    <t>10.1</t>
  </si>
  <si>
    <t>10.2</t>
  </si>
  <si>
    <t>10.3</t>
  </si>
  <si>
    <t>10.4</t>
  </si>
  <si>
    <t>10.5</t>
  </si>
  <si>
    <t>SUBTOTAL CAPÍTULO 10 - PINTURA</t>
  </si>
  <si>
    <t>11</t>
  </si>
  <si>
    <t>11.1</t>
  </si>
  <si>
    <t>11.2</t>
  </si>
  <si>
    <t>11.3</t>
  </si>
  <si>
    <t>11.4</t>
  </si>
  <si>
    <t>11.5</t>
  </si>
  <si>
    <t>11.6</t>
  </si>
  <si>
    <t>11.7</t>
  </si>
  <si>
    <t>SUBTOTAL CAPÍTULO 11 - CARPINTERÍA</t>
  </si>
  <si>
    <t>12</t>
  </si>
  <si>
    <t>12.1</t>
  </si>
  <si>
    <t>12.2</t>
  </si>
  <si>
    <t>12.3</t>
  </si>
  <si>
    <t>12.4</t>
  </si>
  <si>
    <t>SUBTOTAL CAPÍTULO 12 - VIDRIOS</t>
  </si>
  <si>
    <t>13</t>
  </si>
  <si>
    <t>13.1</t>
  </si>
  <si>
    <t>13.2</t>
  </si>
  <si>
    <t>13.3</t>
  </si>
  <si>
    <t>13.4</t>
  </si>
  <si>
    <t>13.5</t>
  </si>
  <si>
    <t>13.6</t>
  </si>
  <si>
    <t>13.7</t>
  </si>
  <si>
    <t>13.8</t>
  </si>
  <si>
    <t>13.9</t>
  </si>
  <si>
    <t>13.10</t>
  </si>
  <si>
    <t>13.11</t>
  </si>
  <si>
    <t>SUBTOTAL CAPÍTULO 13 - INSTALACIONES HIDROSANITARIAS</t>
  </si>
  <si>
    <t>14</t>
  </si>
  <si>
    <t>14.1</t>
  </si>
  <si>
    <t>14.2</t>
  </si>
  <si>
    <t>14.3</t>
  </si>
  <si>
    <t>14.4</t>
  </si>
  <si>
    <t>14.5</t>
  </si>
  <si>
    <t>14.6</t>
  </si>
  <si>
    <t>14.7</t>
  </si>
  <si>
    <t>14.8</t>
  </si>
  <si>
    <t>14.9</t>
  </si>
  <si>
    <t>14.10</t>
  </si>
  <si>
    <t>14.11</t>
  </si>
  <si>
    <t>SUBTOTAL CAPÍTULO 14 - INSTALACIONES ELÉCTRICAS</t>
  </si>
  <si>
    <t>15</t>
  </si>
  <si>
    <t>15.1</t>
  </si>
  <si>
    <t>15.2</t>
  </si>
  <si>
    <t>15.3</t>
  </si>
  <si>
    <t>15.4</t>
  </si>
  <si>
    <t>15.5</t>
  </si>
  <si>
    <t>15.6</t>
  </si>
  <si>
    <t>SUBTOTAL CAPÍTULO 15 - COMUNICACIONES Y SEGURIDAD</t>
  </si>
  <si>
    <t>16</t>
  </si>
  <si>
    <t>16.1</t>
  </si>
  <si>
    <t>16.2</t>
  </si>
  <si>
    <t>16.3</t>
  </si>
  <si>
    <t>16.4</t>
  </si>
  <si>
    <t>SUBTOTAL CAPÍTULO 16 - CLIMATIZACIÓN Y VENTILACIÓN</t>
  </si>
  <si>
    <t>17</t>
  </si>
  <si>
    <t>17.1</t>
  </si>
  <si>
    <t>17.2</t>
  </si>
  <si>
    <t>17.3</t>
  </si>
  <si>
    <t>SUBTOTAL CAPÍTULO 17 - GAS</t>
  </si>
  <si>
    <t>18</t>
  </si>
  <si>
    <t>18.1</t>
  </si>
  <si>
    <t>18.2</t>
  </si>
  <si>
    <t>18.3</t>
  </si>
  <si>
    <t>18.4</t>
  </si>
  <si>
    <t>18.5</t>
  </si>
  <si>
    <t>18.6</t>
  </si>
  <si>
    <t>18.7</t>
  </si>
  <si>
    <t>SUBTOTAL CAPÍTULO 18 - URBANISMO Y EXTERIORES</t>
  </si>
  <si>
    <t>19</t>
  </si>
  <si>
    <t>19.1</t>
  </si>
  <si>
    <t>19.2</t>
  </si>
  <si>
    <t>19.3</t>
  </si>
  <si>
    <t>19.4</t>
  </si>
  <si>
    <t>SUBTOTAL CAPÍTULO 19 - OBRAS COMPLEMENTARIAS</t>
  </si>
  <si>
    <t>20</t>
  </si>
  <si>
    <t>20.1</t>
  </si>
  <si>
    <t>20.2</t>
  </si>
  <si>
    <t>20.3</t>
  </si>
  <si>
    <t>20.4</t>
  </si>
  <si>
    <t>20.5</t>
  </si>
  <si>
    <t>SUBTOTAL CAPÍTULO 20 - ASEO, ENTREGA Y CIERRE</t>
  </si>
  <si>
    <t>21</t>
  </si>
  <si>
    <t>ASCENSORES</t>
  </si>
  <si>
    <t>21.1</t>
  </si>
  <si>
    <t>SUBTOTAL CAPÍTULO 21 - ASCENSORES</t>
  </si>
  <si>
    <t>22</t>
  </si>
  <si>
    <t>GESTIÓN, DISEÑO Y ADMINISTRACIÓN</t>
  </si>
  <si>
    <t>22.1</t>
  </si>
  <si>
    <t>22.2</t>
  </si>
  <si>
    <t>22.3</t>
  </si>
  <si>
    <t>22.4</t>
  </si>
  <si>
    <t>SUBTOTAL CAPÍTULO 22 - GESTIÓN, DISEÑO Y ADMINISTRACIÓN</t>
  </si>
  <si>
    <t>COSTO DIRECTO TOTAL (suma de capítulos 1 a 14)</t>
  </si>
  <si>
    <t>SUBTOTAL AIU (A+I+U)</t>
  </si>
  <si>
    <t>COSTO DIRECTO + AIU</t>
  </si>
  <si>
    <t>IVA sobre Utilidad (19%)</t>
  </si>
  <si>
    <t>PRESUPUESTO TOTAL DE OBRA</t>
  </si>
  <si>
    <t>Costo por m² construido (sobre Costo Directo Total)</t>
  </si>
  <si>
    <t>Costo por m² construido (sobre Presupuesto Total)</t>
  </si>
  <si>
    <t>RESUMEN EJECUTIVO DEL PRESUPUESTO</t>
  </si>
  <si>
    <t>RYR-RS-001</t>
  </si>
  <si>
    <t>Participación de cada capítulo dentro del Costo Directo Total</t>
  </si>
  <si>
    <t>Cap.</t>
  </si>
  <si>
    <t>Valor (COP)</t>
  </si>
  <si>
    <t>% Participación</t>
  </si>
  <si>
    <t>$/m² construido</t>
  </si>
  <si>
    <t>COSTO DIRECTO TOTAL</t>
  </si>
  <si>
    <t>Subtotal AIU (A+I+U)</t>
  </si>
  <si>
    <t>Costo Directo + AIU</t>
  </si>
  <si>
    <t>Costo por m² construido (Presupuesto Total)</t>
  </si>
  <si>
    <t xml:space="preserve">CRONOGRAMA DE OBRA </t>
  </si>
  <si>
    <t>RYR-CR-001</t>
  </si>
  <si>
    <t>Inicio: 07/09/2026   |   Fin: 24/12/2027   |   Duración: 474 días calendario (≈15.6 meses)   |   Las filas resaltadas en rojo son RUTA CRÍTICA (holgura = 0)</t>
  </si>
  <si>
    <t>DISEÑAMOS, RENOVAMOS Y CONSTRUIMOS ESPACIOS QUE INSPIRAN.</t>
  </si>
  <si>
    <t>Objeto del Contrato</t>
  </si>
  <si>
    <t>No del Contrato</t>
  </si>
  <si>
    <t>Especialidad</t>
  </si>
  <si>
    <t>WBS</t>
  </si>
  <si>
    <t>NOMBRE DE TAREA</t>
  </si>
  <si>
    <t>DURACIÓN (d.h.)</t>
  </si>
  <si>
    <t>INICIO</t>
  </si>
  <si>
    <t>FIN</t>
  </si>
  <si>
    <t>HOLGURA (d.h.)</t>
  </si>
  <si>
    <t>CRÍTICA</t>
  </si>
  <si>
    <t>RECURSOS ASIGNADOS</t>
  </si>
  <si>
    <t>0</t>
  </si>
  <si>
    <t>EDIFICIO DE APARTAMENTOS 12 PISOS - BOGOTÁ D.C.</t>
  </si>
  <si>
    <t>FASE 1 - PRELIMINARES, ESTUDIOS Y DISEÑOS</t>
  </si>
  <si>
    <t xml:space="preserve">    Estudios y diseños</t>
  </si>
  <si>
    <t>1.1.1</t>
  </si>
  <si>
    <t xml:space="preserve">        Estudio de suelos y geotecnia</t>
  </si>
  <si>
    <t>1.1.2</t>
  </si>
  <si>
    <t xml:space="preserve">        Diseño arquitectónico y estructural</t>
  </si>
  <si>
    <t>1.1.3</t>
  </si>
  <si>
    <t xml:space="preserve">        Diseño hidrosanitario, eléctrico y de gas</t>
  </si>
  <si>
    <t>1.1.4</t>
  </si>
  <si>
    <t xml:space="preserve">        Trámite y expedición de licencia de construcción (curaduría)</t>
  </si>
  <si>
    <t xml:space="preserve">    Preliminares en el predio</t>
  </si>
  <si>
    <t>1.2.1</t>
  </si>
  <si>
    <t xml:space="preserve">        Cerramiento provisional, campamento y oficina de obra</t>
  </si>
  <si>
    <t>1.2.2</t>
  </si>
  <si>
    <t xml:space="preserve">        Localización y replanteo topográfico general</t>
  </si>
  <si>
    <t>1.2.3</t>
  </si>
  <si>
    <t xml:space="preserve">        Descapote, demolición de estructuras existentes y limpieza</t>
  </si>
  <si>
    <t>1.2.4</t>
  </si>
  <si>
    <t xml:space="preserve">        HITO: Inicio de obra civil (fin de preliminares)</t>
  </si>
  <si>
    <t>FASE 2 - EXCAVACIÓN Y CIMENTACIÓN</t>
  </si>
  <si>
    <t xml:space="preserve">    Excavación y contención</t>
  </si>
  <si>
    <t>2.1.1</t>
  </si>
  <si>
    <t xml:space="preserve">        Excavación mecánica de sótanos (2 niveles)</t>
  </si>
  <si>
    <t>2.1.2</t>
  </si>
  <si>
    <t xml:space="preserve">        Cargue, transporte y disposición final de material sobrante</t>
  </si>
  <si>
    <t>2.1.3</t>
  </si>
  <si>
    <t xml:space="preserve">        Entibado y contención perimetral (pantalla anclada)</t>
  </si>
  <si>
    <t xml:space="preserve">    Cimentación en concreto</t>
  </si>
  <si>
    <t>2.2.1</t>
  </si>
  <si>
    <t xml:space="preserve">        Solado o cimiento ciclópeo de limpieza</t>
  </si>
  <si>
    <t>2.2.2</t>
  </si>
  <si>
    <t xml:space="preserve">        Armado de acero de refuerzo - zapatas, dados y arranques de columna</t>
  </si>
  <si>
    <t>2.2.3</t>
  </si>
  <si>
    <t xml:space="preserve">        Fundida de zapatas y dados en concreto 3000 PSI</t>
  </si>
  <si>
    <t>2.2.4</t>
  </si>
  <si>
    <t xml:space="preserve">        Armado de acero de refuerzo - muros de contención</t>
  </si>
  <si>
    <t>2.2.5</t>
  </si>
  <si>
    <t xml:space="preserve">        Formaleta y fundida de muros de contención en concreto reforzado 3000 PSI</t>
  </si>
  <si>
    <t>2.2.6</t>
  </si>
  <si>
    <t xml:space="preserve">        Vigas de cimentación (armado y fundida)</t>
  </si>
  <si>
    <t>2.2.7</t>
  </si>
  <si>
    <t xml:space="preserve">        Losa de cimentación / placa contrapiso sótano e=0.15m</t>
  </si>
  <si>
    <t>2.2.8</t>
  </si>
  <si>
    <t xml:space="preserve">        Impermeabilización de cimentación y muros de contención</t>
  </si>
  <si>
    <t>2.2.9</t>
  </si>
  <si>
    <t xml:space="preserve">        HITO: Cimentación terminada</t>
  </si>
  <si>
    <t>FASE 3 - ESTRUCTURA EN CONCRETO (SUPERESTRUCTURA)</t>
  </si>
  <si>
    <t xml:space="preserve">    Estructura de sótanos</t>
  </si>
  <si>
    <t>3.1.1</t>
  </si>
  <si>
    <t xml:space="preserve">        Estructura sótano 1 (columnas, vigas, placa)</t>
  </si>
  <si>
    <t>3.1.2</t>
  </si>
  <si>
    <t xml:space="preserve">        Estructura sótano 2 (columnas, vigas, placa)</t>
  </si>
  <si>
    <t xml:space="preserve">    Estructura de la torre (pisos 1 a 12)</t>
  </si>
  <si>
    <t>3.2.1</t>
  </si>
  <si>
    <t xml:space="preserve">        Estructura piso 1 (columnas, vigas, placa de entrepiso)</t>
  </si>
  <si>
    <t>3.2.2</t>
  </si>
  <si>
    <t xml:space="preserve">        Estructura piso 2 (columnas, vigas, placa de entrepiso)</t>
  </si>
  <si>
    <t>3.2.3</t>
  </si>
  <si>
    <t xml:space="preserve">        Estructura piso 3 (columnas, vigas, placa de entrepiso)</t>
  </si>
  <si>
    <t>3.2.4</t>
  </si>
  <si>
    <t xml:space="preserve">        Estructura piso 4 (columnas, vigas, placa de entrepiso)</t>
  </si>
  <si>
    <t>3.2.5</t>
  </si>
  <si>
    <t xml:space="preserve">        Estructura piso 5 (columnas, vigas, placa de entrepiso)</t>
  </si>
  <si>
    <t>3.2.6</t>
  </si>
  <si>
    <t xml:space="preserve">        Estructura piso 6 (columnas, vigas, placa de entrepiso)</t>
  </si>
  <si>
    <t>3.2.7</t>
  </si>
  <si>
    <t xml:space="preserve">        Estructura piso 7 (columnas, vigas, placa de entrepiso)</t>
  </si>
  <si>
    <t>3.2.8</t>
  </si>
  <si>
    <t xml:space="preserve">        Estructura piso 8 (columnas, vigas, placa de entrepiso)</t>
  </si>
  <si>
    <t>3.2.9</t>
  </si>
  <si>
    <t xml:space="preserve">        Estructura piso 9 (columnas, vigas, placa de entrepiso)</t>
  </si>
  <si>
    <t>3.2.10</t>
  </si>
  <si>
    <t xml:space="preserve">        Estructura piso 10 (columnas, vigas, placa de entrepiso)</t>
  </si>
  <si>
    <t>3.2.11</t>
  </si>
  <si>
    <t xml:space="preserve">        Estructura piso 11 (columnas, vigas, placa de entrepiso)</t>
  </si>
  <si>
    <t>3.2.12</t>
  </si>
  <si>
    <t xml:space="preserve">        Estructura piso 12 (columnas, vigas, placa de entrepiso)</t>
  </si>
  <si>
    <t xml:space="preserve">    Cubierta y remates estructurales</t>
  </si>
  <si>
    <t>3.3.1</t>
  </si>
  <si>
    <t xml:space="preserve">        Placa de cubierta y cuarto de máquinas</t>
  </si>
  <si>
    <t>3.3.2</t>
  </si>
  <si>
    <t xml:space="preserve">        Losa de tanque elevado</t>
  </si>
  <si>
    <t>3.3.3</t>
  </si>
  <si>
    <t xml:space="preserve">        HITO: Estructura de la torre terminada (topo de obra gris)</t>
  </si>
  <si>
    <t>FASE 4 - MAMPOSTERÍA Y PAÑETES</t>
  </si>
  <si>
    <t>4.0.1</t>
  </si>
  <si>
    <t xml:space="preserve">        Mampostería y pañetes - sótanos</t>
  </si>
  <si>
    <t>4.0.2</t>
  </si>
  <si>
    <t xml:space="preserve">        Mampostería y pañetes - pisos 1 a 4</t>
  </si>
  <si>
    <t>4.0.3</t>
  </si>
  <si>
    <t xml:space="preserve">        Mampostería y pañetes - pisos 5 a 8</t>
  </si>
  <si>
    <t>4.0.4</t>
  </si>
  <si>
    <t xml:space="preserve">        Mampostería y pañetes - pisos 9 a 12</t>
  </si>
  <si>
    <t>4.0.5</t>
  </si>
  <si>
    <t xml:space="preserve">        HITO: Mampostería y pañetes terminados</t>
  </si>
  <si>
    <t>FASE 5 - CUBIERTA E IMPERMEABILIZACIONES</t>
  </si>
  <si>
    <t>5.0.1</t>
  </si>
  <si>
    <t xml:space="preserve">        Cubierta en teja termoacústica sobre estructura metálica</t>
  </si>
  <si>
    <t>5.0.2</t>
  </si>
  <si>
    <t xml:space="preserve">        Impermeabilización de cubiertas, terrazas y balcones</t>
  </si>
  <si>
    <t>5.0.3</t>
  </si>
  <si>
    <t xml:space="preserve">        Canales, bajantes de aguas lluvias y cuarto de máquinas/tanques</t>
  </si>
  <si>
    <t>5.0.4</t>
  </si>
  <si>
    <t xml:space="preserve">        HITO: Edificio bajo cubierta (dry-in)</t>
  </si>
  <si>
    <t>FASE 6 - INSTALACIONES HIDROSANITARIAS</t>
  </si>
  <si>
    <t>6.0.1</t>
  </si>
  <si>
    <t xml:space="preserve">        Redes hidrosanitarias (punto agua/desagüe) - pisos 1 a 4</t>
  </si>
  <si>
    <t>6.0.2</t>
  </si>
  <si>
    <t xml:space="preserve">        Redes hidrosanitarias (punto agua/desagüe) - pisos 5 a 8</t>
  </si>
  <si>
    <t>6.0.3</t>
  </si>
  <si>
    <t xml:space="preserve">        Redes hidrosanitarias (punto agua/desagüe) - pisos 9 a 12</t>
  </si>
  <si>
    <t>6.0.4</t>
  </si>
  <si>
    <t xml:space="preserve">        Cuarto de bombas, tanques de reserva y sistema hidroneumático</t>
  </si>
  <si>
    <t>6.0.5</t>
  </si>
  <si>
    <t xml:space="preserve">        Red contra incendio (gabinetes, red húmeda, siamesa)</t>
  </si>
  <si>
    <t>6.0.6</t>
  </si>
  <si>
    <t xml:space="preserve">        Instalación de aparatos sanitarios y grifería</t>
  </si>
  <si>
    <t>6.0.7</t>
  </si>
  <si>
    <t xml:space="preserve">        HITO: Instalaciones hidrosanitarias terminadas</t>
  </si>
  <si>
    <t>FASE 7 - INSTALACIONES ELÉCTRICAS Y ESPECIALES</t>
  </si>
  <si>
    <t>7.0.1</t>
  </si>
  <si>
    <t xml:space="preserve">        Acometida eléctrica y subestación / transformador</t>
  </si>
  <si>
    <t>7.0.2</t>
  </si>
  <si>
    <t xml:space="preserve">        Redes eléctricas internas (puntos, tuberías) - pisos 1 a 4</t>
  </si>
  <si>
    <t>7.0.3</t>
  </si>
  <si>
    <t xml:space="preserve">        Redes eléctricas internas (puntos, tuberías) - pisos 5 a 8</t>
  </si>
  <si>
    <t>7.0.4</t>
  </si>
  <si>
    <t xml:space="preserve">        Redes eléctricas internas (puntos, tuberías) - pisos 9 a 12</t>
  </si>
  <si>
    <t>7.0.5</t>
  </si>
  <si>
    <t xml:space="preserve">        Tableros de distribución por piso y tablero general</t>
  </si>
  <si>
    <t>7.0.6</t>
  </si>
  <si>
    <t xml:space="preserve">        Sistema de puesta a tierra y pararrayos</t>
  </si>
  <si>
    <t>7.0.7</t>
  </si>
  <si>
    <t xml:space="preserve">        Planta eléctrica de emergencia</t>
  </si>
  <si>
    <t>7.0.8</t>
  </si>
  <si>
    <t xml:space="preserve">        Citofonía / portería eléctrica y control de acceso</t>
  </si>
  <si>
    <t>7.0.9</t>
  </si>
  <si>
    <t xml:space="preserve">        Cableado estructurado (voz, datos, TV)</t>
  </si>
  <si>
    <t>7.0.10</t>
  </si>
  <si>
    <t xml:space="preserve">        Iluminación de zonas comunes y exteriores</t>
  </si>
  <si>
    <t>7.0.11</t>
  </si>
  <si>
    <t xml:space="preserve">        HITO: Instalaciones eléctricas terminadas</t>
  </si>
  <si>
    <t>FASE 8 - INSTALACIÓN DE GAS NATURAL</t>
  </si>
  <si>
    <t>8.0.1</t>
  </si>
  <si>
    <t xml:space="preserve">        Acometida y sistema de medición centralizada de gas</t>
  </si>
  <si>
    <t>8.0.2</t>
  </si>
  <si>
    <t xml:space="preserve">        Red interna de gas natural - pisos 1 a 4</t>
  </si>
  <si>
    <t>8.0.3</t>
  </si>
  <si>
    <t xml:space="preserve">        Red interna de gas natural - pisos 5 a 8</t>
  </si>
  <si>
    <t>8.0.4</t>
  </si>
  <si>
    <t xml:space="preserve">        Red interna de gas natural - pisos 9 a 12</t>
  </si>
  <si>
    <t>8.0.5</t>
  </si>
  <si>
    <t xml:space="preserve">        HITO: Instalación de gas terminada</t>
  </si>
  <si>
    <t>FASE 9 - ASCENSORES</t>
  </si>
  <si>
    <t>9.0.1</t>
  </si>
  <si>
    <t xml:space="preserve">        Compra y fabricación de ascensores (long-lead)</t>
  </si>
  <si>
    <t>9.0.2</t>
  </si>
  <si>
    <t xml:space="preserve">        Foso y cuarto de máquinas (obra civil)</t>
  </si>
  <si>
    <t>9.0.3</t>
  </si>
  <si>
    <t xml:space="preserve">        Montaje de guías, cabina y equipos</t>
  </si>
  <si>
    <t>9.0.4</t>
  </si>
  <si>
    <t xml:space="preserve">        Pruebas, puesta en marcha y certificación</t>
  </si>
  <si>
    <t>9.0.5</t>
  </si>
  <si>
    <t xml:space="preserve">        HITO: Ascensores operativos y certificados</t>
  </si>
  <si>
    <t>FASE 10 - CARPINTERÍA METÁLICA Y DE MADERA</t>
  </si>
  <si>
    <t>10.0.1</t>
  </si>
  <si>
    <t xml:space="preserve">        Ventanería en aluminio y vidrio (fachada)</t>
  </si>
  <si>
    <t>10.0.2</t>
  </si>
  <si>
    <t xml:space="preserve">        Baranda metálica de escaleras y balcones</t>
  </si>
  <si>
    <t>10.0.3</t>
  </si>
  <si>
    <t xml:space="preserve">        Puertas cortafuego en escaleras de emergencia</t>
  </si>
  <si>
    <t>10.0.4</t>
  </si>
  <si>
    <t xml:space="preserve">        Puertas de madera, puerta de acceso, closets y muebles de cocina</t>
  </si>
  <si>
    <t>10.0.5</t>
  </si>
  <si>
    <t xml:space="preserve">        HITO: Carpintería terminada</t>
  </si>
  <si>
    <t>FASE 11 - ACABADOS</t>
  </si>
  <si>
    <t>11.0.1</t>
  </si>
  <si>
    <t xml:space="preserve">        Pisos, enchapes, cielo raso y pintura - pisos 1 a 4</t>
  </si>
  <si>
    <t>11.0.2</t>
  </si>
  <si>
    <t xml:space="preserve">        Pisos, enchapes, cielo raso y pintura - pisos 5 a 8</t>
  </si>
  <si>
    <t>11.0.3</t>
  </si>
  <si>
    <t xml:space="preserve">        Pisos, enchapes, cielo raso y pintura - pisos 9 a 12</t>
  </si>
  <si>
    <t>11.0.4</t>
  </si>
  <si>
    <t xml:space="preserve">        Piso en zonas comunes (granito/porcelanato alto tráfico)</t>
  </si>
  <si>
    <t>11.0.5</t>
  </si>
  <si>
    <t xml:space="preserve">        Estuco y pintura de fachada</t>
  </si>
  <si>
    <t>11.0.6</t>
  </si>
  <si>
    <t xml:space="preserve">        HITO: Acabados terminados</t>
  </si>
  <si>
    <t>FASE 12 - FACHADA</t>
  </si>
  <si>
    <t>12.0.1</t>
  </si>
  <si>
    <t xml:space="preserve">        Fachada en sistema de muro cortina / paneles arquitectónicos</t>
  </si>
  <si>
    <t>12.0.2</t>
  </si>
  <si>
    <t xml:space="preserve">        Aislamiento térmico y acústico de fachada</t>
  </si>
  <si>
    <t>12.0.3</t>
  </si>
  <si>
    <t xml:space="preserve">        HITO: Fachada terminada</t>
  </si>
  <si>
    <t>FASE 13 - URBANISMO Y OBRAS EXTERIORES</t>
  </si>
  <si>
    <t>13.0.1</t>
  </si>
  <si>
    <t xml:space="preserve">        Cerramiento definitivo, portería y control vehicular</t>
  </si>
  <si>
    <t>13.0.2</t>
  </si>
  <si>
    <t xml:space="preserve">        Andenes, accesos peatonales y vehiculares</t>
  </si>
  <si>
    <t>13.0.3</t>
  </si>
  <si>
    <t xml:space="preserve">        Demarcación y señalización de parqueaderos</t>
  </si>
  <si>
    <t>13.0.4</t>
  </si>
  <si>
    <t xml:space="preserve">        Zonas verdes, paisajismo y riego</t>
  </si>
  <si>
    <t>13.0.5</t>
  </si>
  <si>
    <t xml:space="preserve">        Cuarto de basuras, shut de residuos y amoblamiento zonas comunes</t>
  </si>
  <si>
    <t>13.0.6</t>
  </si>
  <si>
    <t xml:space="preserve">        HITO: Obras exteriores y urbanismo terminadas</t>
  </si>
  <si>
    <t>FASE 14 - ASEO GENERAL, VARIOS Y ENTREGA</t>
  </si>
  <si>
    <t>14.0.1</t>
  </si>
  <si>
    <t xml:space="preserve">        Aseo general y limpieza fina de entrega</t>
  </si>
  <si>
    <t>14.0.2</t>
  </si>
  <si>
    <t xml:space="preserve">        Dotación contra incendios y señalización final</t>
  </si>
  <si>
    <t>14.0.3</t>
  </si>
  <si>
    <t xml:space="preserve">        Pólizas de estabilidad y seguros todo riesgo (trámite)</t>
  </si>
  <si>
    <t>14.0.4</t>
  </si>
  <si>
    <t xml:space="preserve">        Planos récord, manual de propiedad horizontal y actas de entrega</t>
  </si>
  <si>
    <t>14.0.5</t>
  </si>
  <si>
    <t xml:space="preserve">        HITO FINAL: Entrega de la obra</t>
  </si>
  <si>
    <t xml:space="preserve">MEMORIAS DE CÁLCULO
</t>
  </si>
  <si>
    <t xml:space="preserve">REFORMAS Y REMODELACIONES                                        </t>
  </si>
  <si>
    <t>RYR-MC-001</t>
  </si>
  <si>
    <t>01  |  IDENTIFICACIÓN DEL PROYECTO Y DE LA ACTIVIDAD</t>
  </si>
  <si>
    <t>Proyecto / Obra</t>
  </si>
  <si>
    <t>Área / Frente</t>
  </si>
  <si>
    <t>Contratante</t>
  </si>
  <si>
    <t>Memoria No.</t>
  </si>
  <si>
    <t>Actividad / Ítem</t>
  </si>
  <si>
    <t>1.3.1</t>
  </si>
  <si>
    <t>02  |  MEDICIÓN DE CAMPO / DATOS DE ENTRADA</t>
  </si>
  <si>
    <t>N°</t>
  </si>
  <si>
    <t>DESCRIPCIÓN</t>
  </si>
  <si>
    <t>CANT.</t>
  </si>
  <si>
    <t>LARGO</t>
  </si>
  <si>
    <t>ANCHO</t>
  </si>
  <si>
    <t>ALTO / PESO</t>
  </si>
  <si>
    <t>FACTOR</t>
  </si>
  <si>
    <t>RESULTADO</t>
  </si>
  <si>
    <t>OBSERVACIÓN</t>
  </si>
  <si>
    <t>m3</t>
  </si>
  <si>
    <t>TOTAL CANTIDAD CALCULADA</t>
  </si>
  <si>
    <t>03  |  RESUMEN Y CONTROL DE CANTIDADES</t>
  </si>
  <si>
    <t>Cantidad calculada</t>
  </si>
  <si>
    <t>Cantidad contractual</t>
  </si>
  <si>
    <t>Saldo contractual</t>
  </si>
  <si>
    <t>% ejecutado</t>
  </si>
  <si>
    <t>04  |  DESARROLLO MATEMÁTICO Y CRITERIO DE MEDICIÓN</t>
  </si>
  <si>
    <t>CRITERIO
Producto de las dimensiones, cantidades y factores registrados. Ajustar el factor cuando aplique.</t>
  </si>
  <si>
    <t>OPERACIÓN AUTOMÁTICA
Resultado por registro = PRODUCTO(CANT., LARGO, ANCHO, ALTO/PESO, FACTOR)</t>
  </si>
  <si>
    <t>RESULTADO
=H23</t>
  </si>
  <si>
    <t>05  |  SOPORTE GRÁFICO</t>
  </si>
  <si>
    <t>FOTOGRAFÍA 01</t>
  </si>
  <si>
    <t>FOTOGRAFÍA 02</t>
  </si>
  <si>
    <t>INSERTAR FOTOGRAFÍA</t>
  </si>
  <si>
    <t>Pie de foto / fecha / ubicación: ____________________</t>
  </si>
  <si>
    <t>FOTOGRAFÍA 03</t>
  </si>
  <si>
    <t>FOTOGRAFÍA 04</t>
  </si>
  <si>
    <t>06  |  ESQUEMA DE LA ESTRUCTURA / ELEMENTO INTERVENIDO</t>
  </si>
  <si>
    <t>INSERTAR AQUÍ ESQUEMA, CROQUIS, DETALLE CONSTRUCTIVO O PLANO
Indicar ejes, cotas, niveles, espesores, diámetros, longitudes y referencias necesarias para verificar la medición.</t>
  </si>
  <si>
    <t>REFERENCIAS
Plano: __________________
Detalle: _________________
Escala: _________________
Cota / nivel: ____________
Observación: _____________</t>
  </si>
  <si>
    <t>07  |  RESPONSABLES Y TRAZABILIDAD</t>
  </si>
  <si>
    <t>ELABORÓ</t>
  </si>
  <si>
    <t>REVISÓ</t>
  </si>
  <si>
    <t>APROBÓ</t>
  </si>
  <si>
    <t>Nombre / cargo / firma</t>
  </si>
  <si>
    <t>ACTA DE OBRA</t>
  </si>
  <si>
    <t>RYR-AO-001</t>
  </si>
  <si>
    <t>01</t>
  </si>
  <si>
    <t>Fecha emisión</t>
  </si>
  <si>
    <t>2026-09-13</t>
  </si>
  <si>
    <t>1. IDENTIFICACIÓN DEL ACTA Y DEL PROYECTO</t>
  </si>
  <si>
    <t>Acta No.</t>
  </si>
  <si>
    <t>Tipo de acta</t>
  </si>
  <si>
    <t>Avance de obra</t>
  </si>
  <si>
    <t>BORRADOR</t>
  </si>
  <si>
    <t>Contrato No</t>
  </si>
  <si>
    <t xml:space="preserve">Interventoría </t>
  </si>
  <si>
    <t>Fecha del acta</t>
  </si>
  <si>
    <t>Desde</t>
  </si>
  <si>
    <t>Hasta</t>
  </si>
  <si>
    <t>Período hasta</t>
  </si>
  <si>
    <t>Objeto / alcance resumido</t>
  </si>
  <si>
    <t>2. PARTICIPANTES Y CONTROL DEL PERÍODO</t>
  </si>
  <si>
    <t>Días Contractuales</t>
  </si>
  <si>
    <t>Días de Avance</t>
  </si>
  <si>
    <t>% Tiempo de Avance</t>
  </si>
  <si>
    <t>Interventor</t>
  </si>
  <si>
    <t xml:space="preserve">Cargo </t>
  </si>
  <si>
    <t>3. AVANCE FÍSICO Y CANTIDADES EJECUTADAS</t>
  </si>
  <si>
    <t>Actividad / partida</t>
  </si>
  <si>
    <t>Cant. contractual</t>
  </si>
  <si>
    <t>Cant. anterior</t>
  </si>
  <si>
    <t>Cant. acta</t>
  </si>
  <si>
    <t>Cant. acumulada</t>
  </si>
  <si>
    <t>Saldo</t>
  </si>
  <si>
    <t>% ejecución</t>
  </si>
  <si>
    <t>Observación</t>
  </si>
  <si>
    <t>4. CONTROL ECONÓMICO DEL ACTA</t>
  </si>
  <si>
    <t>Valor contractual</t>
  </si>
  <si>
    <t>Valor actas anteriores</t>
  </si>
  <si>
    <t>Valor presente acta</t>
  </si>
  <si>
    <t xml:space="preserve">% ejecutado </t>
  </si>
  <si>
    <t>Anticipo (si aplica)</t>
  </si>
  <si>
    <t>Amortización acta</t>
  </si>
  <si>
    <t xml:space="preserve">Retenciones </t>
  </si>
  <si>
    <t>5. VERIFICACIÓN DE CALIDAD, SST Y AMBIENTAL</t>
  </si>
  <si>
    <t xml:space="preserve">Calidad </t>
  </si>
  <si>
    <t>SST</t>
  </si>
  <si>
    <t>Ambiental</t>
  </si>
  <si>
    <t>CUMPLE</t>
  </si>
  <si>
    <t>Referencia</t>
  </si>
  <si>
    <t>6. OBSERVACIONES, NO CONFORMIDADES, RIESGOS Y COMPROMISOS</t>
  </si>
  <si>
    <t>No.</t>
  </si>
  <si>
    <t>Descripción / hallazgo</t>
  </si>
  <si>
    <t>Clasificación</t>
  </si>
  <si>
    <t>Acción / compromiso</t>
  </si>
  <si>
    <t>Fecha compromiso</t>
  </si>
  <si>
    <t>7. EVIDENCIA DE EJECUCIÓN Y ACEPTACIÓN</t>
  </si>
  <si>
    <t>8. DECLARACIÓN Y CIERRE DEL ACTA</t>
  </si>
  <si>
    <t>Con la suscripción de la presente acta, las partes dejan constancia de la información registrada, del avance y/o actividades verificadas durante el período indicado, así como de las observaciones y compromisos consignados. La aceptación queda sujeta al contrato, especificaciones técnicas, requisitos legales y demás documentos aplicables al proyecto.</t>
  </si>
  <si>
    <t>9. APROBACIONES Y FIRMAS</t>
  </si>
  <si>
    <t>ELABORÓ / CONTRATISTA</t>
  </si>
  <si>
    <t>REVISÓ / SUPERVISIÓN</t>
  </si>
  <si>
    <t>APROBÓ / CONTRATANTE</t>
  </si>
  <si>
    <t>FECHA</t>
  </si>
  <si>
    <t>Firma / nombre / cargo</t>
  </si>
  <si>
    <t>10. REFERENTES NORMATIVOS Y CONTROL DE INFORMACIÓN DOCUMENTADA</t>
  </si>
  <si>
    <t>Registrar en el proyecto las normas, reglamentos, especificaciones, planos, contrato y requisitos legales aplicables. Esta plantilla está diseñada como herramienta de control documental y trazabilidad, alineada con buenas prácticas de información documentada y gestión de calidad, SST y ambiental; no constituye por sí sola una certificación de conformidad.</t>
  </si>
  <si>
    <t>REFORMAS Y REMODELACIONES  |  Documento controlado  |  Código RYR-AO-001  |  Versión 01</t>
  </si>
  <si>
    <t>NOTA DE CONTROL: Una vez diligenciada y aprobada, conservar el acta conforme al procedimiento de control de información documentada de la organización.</t>
  </si>
  <si>
    <t>INFORME DIARIO DE AVANCE DE OBRA</t>
  </si>
  <si>
    <t>RYR-ID-001</t>
  </si>
  <si>
    <t>IDENTIFICACIÓN DEL INFORME Y DEL PROYECTO</t>
  </si>
  <si>
    <t>Hora de Entrada</t>
  </si>
  <si>
    <t>Hora de Apertura Permiso de Trabajo</t>
  </si>
  <si>
    <t>Hora de Salida</t>
  </si>
  <si>
    <t>Informe No</t>
  </si>
  <si>
    <t>UBICACIÓN</t>
  </si>
  <si>
    <t>ITEM</t>
  </si>
  <si>
    <t>DESCRIPCIÓN DEL ITEM</t>
  </si>
  <si>
    <t>CONTRACTUAL</t>
  </si>
  <si>
    <t>ACUMULADO ANTERIOR</t>
  </si>
  <si>
    <t xml:space="preserve"> AVANCE DIARIO</t>
  </si>
  <si>
    <t>NUEVO ACUMULADO</t>
  </si>
  <si>
    <t xml:space="preserve">OTRAS ACTIVIDADES </t>
  </si>
  <si>
    <t>DESCRIPCIÓN DE ACTIVIDADES</t>
  </si>
  <si>
    <t>ACUMULADO</t>
  </si>
  <si>
    <t>OBSERVACIONES</t>
  </si>
  <si>
    <t>RECURSOS</t>
  </si>
  <si>
    <t>EQUIPOS</t>
  </si>
  <si>
    <t>CARGO</t>
  </si>
  <si>
    <t>TIEMPO</t>
  </si>
  <si>
    <t>ASPECTOS PROBLEMÁTICOS</t>
  </si>
  <si>
    <t>PLAN DE ACCIÓN</t>
  </si>
  <si>
    <t>HORAS PERDIDAS</t>
  </si>
  <si>
    <t>ASPECTOS HSE</t>
  </si>
  <si>
    <t>MOTIVO</t>
  </si>
  <si>
    <t>TOTAL(HORAS)</t>
  </si>
  <si>
    <t>CHARLA DEL DÍA</t>
  </si>
  <si>
    <t>OBSERVACIONES HSE</t>
  </si>
  <si>
    <t>REGISTRO FOTOGRÁFICO</t>
  </si>
  <si>
    <t>INFORME SEMANAL</t>
  </si>
  <si>
    <t>RYR-IS-001</t>
  </si>
  <si>
    <t>Presupuesto Total del Contrato</t>
  </si>
  <si>
    <t>Mes</t>
  </si>
  <si>
    <t>Elaborado Por</t>
  </si>
  <si>
    <t>RESUMEN EJECUTIVO</t>
  </si>
  <si>
    <t>AVANCE TÉCNICO Y ECONÓMICO DEL PROYECTO (POR CAPÍTULO)</t>
  </si>
  <si>
    <t>AVANCE PROGRAMADO GLOBAL</t>
  </si>
  <si>
    <t>AVANCE REAL GLOBAL</t>
  </si>
  <si>
    <t>DIFERENCIA</t>
  </si>
  <si>
    <t>% EJECUTADO FINANCIERO</t>
  </si>
  <si>
    <t>CAPÍTULO</t>
  </si>
  <si>
    <t>PESO %</t>
  </si>
  <si>
    <t>PROG. %</t>
  </si>
  <si>
    <t>REAL %</t>
  </si>
  <si>
    <t>DIF. %</t>
  </si>
  <si>
    <t>PROG. POND. %</t>
  </si>
  <si>
    <t>REAL POND. %</t>
  </si>
  <si>
    <t>VALOR EJECUTADO ($)</t>
  </si>
  <si>
    <t>TOTAL</t>
  </si>
  <si>
    <t>ACTIVIDADES MÁS RELEVANTES DEL PERÍODO</t>
  </si>
  <si>
    <t>DESCRIPCIÓN DE LA ACTIVIDAD</t>
  </si>
  <si>
    <t>AVANCE DEL PERÍODO</t>
  </si>
  <si>
    <t>RESPONSABLE</t>
  </si>
  <si>
    <t>AVANCE FINANCIERO Y ADMINISTRATIVO</t>
  </si>
  <si>
    <t>INGRESOS DEL PERÍODO</t>
  </si>
  <si>
    <t>EGRESOS / GASTOS DEL PERÍODO</t>
  </si>
  <si>
    <t>CONCEPTO</t>
  </si>
  <si>
    <t>VALOR ($)</t>
  </si>
  <si>
    <t>TOTAL INGRESOS</t>
  </si>
  <si>
    <t>TOTAL EGRESOS</t>
  </si>
  <si>
    <t>BALANCE DEL PERÍODO (INGRESOS - EGRESOS)</t>
  </si>
  <si>
    <t>PRESUPUESTO EJECUTADO ACUMULADO ($)</t>
  </si>
  <si>
    <t>% EJECUTADO vs PRESUPUESTO</t>
  </si>
  <si>
    <t>ASPECTOS HSE Y AMBIENTALES</t>
  </si>
  <si>
    <t>HORAS HOMBRE TRABAJADAS</t>
  </si>
  <si>
    <t>ASPECTOS AMBIENTALES / NO CONFORMIDADES</t>
  </si>
  <si>
    <t>FIRMAS</t>
  </si>
  <si>
    <t>REVISADO POR</t>
  </si>
  <si>
    <t>APROBADO POR</t>
  </si>
  <si>
    <t>INFORME MENSUAL DE AVANCE DE OBRA</t>
  </si>
  <si>
    <t>RYR-IM-001</t>
  </si>
  <si>
    <t>Elaborado por</t>
  </si>
  <si>
    <t>AVANCE REAL ACUMULADO AL INICIO DEL PERÍODO (%)</t>
  </si>
  <si>
    <t>AVANCE DE ESTE PERÍODO (%)</t>
  </si>
  <si>
    <t>CATÁLOGO DE MANO DE OBRA</t>
  </si>
  <si>
    <t>PRECIO DE REFERENCIA ($)</t>
  </si>
  <si>
    <t>CÓDIGO</t>
  </si>
  <si>
    <t>Armador</t>
  </si>
  <si>
    <t>día</t>
  </si>
  <si>
    <t>A0100130</t>
  </si>
  <si>
    <t>Ayudante</t>
  </si>
  <si>
    <t>A0100150</t>
  </si>
  <si>
    <t>Cadenero</t>
  </si>
  <si>
    <t>A0010010</t>
  </si>
  <si>
    <t>Calculista</t>
  </si>
  <si>
    <t>A0100181</t>
  </si>
  <si>
    <t>Cortador</t>
  </si>
  <si>
    <t>A0100140</t>
  </si>
  <si>
    <t>Cuadrilla de desmontaje (10 personas)</t>
  </si>
  <si>
    <t>A0100010</t>
  </si>
  <si>
    <t>Cuadrilla de fabricación</t>
  </si>
  <si>
    <t>A0100180</t>
  </si>
  <si>
    <t>Cuadrilla de Un Oficial y (2) Obreros.</t>
  </si>
  <si>
    <t>A0041004</t>
  </si>
  <si>
    <t>Cuadrilla de un oficial y (4) Obreros.</t>
  </si>
  <si>
    <t>A0041006</t>
  </si>
  <si>
    <t>Dibujante</t>
  </si>
  <si>
    <t>A0100170</t>
  </si>
  <si>
    <t>Dibujante 2</t>
  </si>
  <si>
    <t>A0100182</t>
  </si>
  <si>
    <t>Estudios, análisis e informes</t>
  </si>
  <si>
    <t>Un</t>
  </si>
  <si>
    <t>A0100120</t>
  </si>
  <si>
    <t>Ingeniero de montaje y prueba</t>
  </si>
  <si>
    <t>A0100070</t>
  </si>
  <si>
    <t>Ingeniero de Montaje y Prueba Pilote (1)</t>
  </si>
  <si>
    <t>A0100069</t>
  </si>
  <si>
    <t>Ingeniero Especialista prueba de  integridad</t>
  </si>
  <si>
    <t>A0100082</t>
  </si>
  <si>
    <t>Ingeniero Geotecnista</t>
  </si>
  <si>
    <t>A0100071</t>
  </si>
  <si>
    <t>Ingeniero supervisor</t>
  </si>
  <si>
    <t>A0100020</t>
  </si>
  <si>
    <t>Ingeniero supervisor y director de prueba</t>
  </si>
  <si>
    <t>A0100080</t>
  </si>
  <si>
    <t>Ingeniero Supervisor y Director de Prueba Pilote</t>
  </si>
  <si>
    <t>A0100081</t>
  </si>
  <si>
    <t>Inspector</t>
  </si>
  <si>
    <t>A0100160</t>
  </si>
  <si>
    <t>Inspector de fabricación y montaje</t>
  </si>
  <si>
    <t>A0020010</t>
  </si>
  <si>
    <t>1 Oficial y 1 Obrero.</t>
  </si>
  <si>
    <t>A0041008</t>
  </si>
  <si>
    <t>Maestro</t>
  </si>
  <si>
    <t>A0100030</t>
  </si>
  <si>
    <t>Obrero (10)</t>
  </si>
  <si>
    <t>A0030100</t>
  </si>
  <si>
    <t>Obrero (2)</t>
  </si>
  <si>
    <t>A0030020</t>
  </si>
  <si>
    <t>Obrero (3)</t>
  </si>
  <si>
    <t>A0030030</t>
  </si>
  <si>
    <t>Obrero (4)</t>
  </si>
  <si>
    <t>A0030040</t>
  </si>
  <si>
    <t>Obrero (5)</t>
  </si>
  <si>
    <t>A0030050</t>
  </si>
  <si>
    <t>Obrero (6)</t>
  </si>
  <si>
    <t>A0030060</t>
  </si>
  <si>
    <t>Obrero (7)</t>
  </si>
  <si>
    <t>A0030070</t>
  </si>
  <si>
    <t>Obrero (8)</t>
  </si>
  <si>
    <t>A0030080</t>
  </si>
  <si>
    <t>Obrero (9)</t>
  </si>
  <si>
    <t>A0030090</t>
  </si>
  <si>
    <t>Obrero (prueba de carga)</t>
  </si>
  <si>
    <t>A0100060</t>
  </si>
  <si>
    <t>Obreros de incado (2)</t>
  </si>
  <si>
    <t>A0030120</t>
  </si>
  <si>
    <t>Obreros de izado (2)</t>
  </si>
  <si>
    <t>A0030110</t>
  </si>
  <si>
    <t>Oficial</t>
  </si>
  <si>
    <t>A0040010</t>
  </si>
  <si>
    <t>Oficial  Obrero (3) Cuadrilla de un oficial y 3 Obreros.</t>
  </si>
  <si>
    <t>A0041002</t>
  </si>
  <si>
    <t>Oficial (2)</t>
  </si>
  <si>
    <t>A0040020</t>
  </si>
  <si>
    <t>Oficial (3)</t>
  </si>
  <si>
    <t>A0040030</t>
  </si>
  <si>
    <t>Oficial + 3 Ayudantes (armado e inyección de anclajes)</t>
  </si>
  <si>
    <t>A0100050</t>
  </si>
  <si>
    <t>Oficial experto en desmontaje</t>
  </si>
  <si>
    <t>A0041000</t>
  </si>
  <si>
    <t>Oficial experto en explosivos</t>
  </si>
  <si>
    <t>A0041001</t>
  </si>
  <si>
    <t>Operador prueba de integridad</t>
  </si>
  <si>
    <t>A0100092</t>
  </si>
  <si>
    <t>Paletero</t>
  </si>
  <si>
    <t>A0050010</t>
  </si>
  <si>
    <t>Paletero (2)</t>
  </si>
  <si>
    <t>A0050020</t>
  </si>
  <si>
    <t>Perforador</t>
  </si>
  <si>
    <t>A0060010</t>
  </si>
  <si>
    <t>Perforador + Ayudante1 + Ayudante2</t>
  </si>
  <si>
    <t>A0100040</t>
  </si>
  <si>
    <t>Personal requerido para el diseño y fabricación de estructura metálica. (incluye un calista, un dibujante y la cuadrilla de Fabricación) De esta ultima no hay detalle de que personal la compone.</t>
  </si>
  <si>
    <t>A0040001</t>
  </si>
  <si>
    <t>Rastrillero</t>
  </si>
  <si>
    <t>A0070010</t>
  </si>
  <si>
    <t>Rastrilleros (2)</t>
  </si>
  <si>
    <t>A0070020</t>
  </si>
  <si>
    <t>Soldador</t>
  </si>
  <si>
    <t>A0080010</t>
  </si>
  <si>
    <t>Soldador (2)</t>
  </si>
  <si>
    <t>A0010083</t>
  </si>
  <si>
    <t>Soldador 1A</t>
  </si>
  <si>
    <t>A0080012</t>
  </si>
  <si>
    <t>Soldador experto en montaje y pruebas</t>
  </si>
  <si>
    <t>A0100090</t>
  </si>
  <si>
    <t>A0100091</t>
  </si>
  <si>
    <t>Topógrafo</t>
  </si>
  <si>
    <t>A0090010</t>
  </si>
  <si>
    <t>Obrero</t>
  </si>
  <si>
    <t>A0030010</t>
  </si>
  <si>
    <t>Viáticos ingeniero y director</t>
  </si>
  <si>
    <t>A0100100</t>
  </si>
  <si>
    <t>Viáticos soldadores</t>
  </si>
  <si>
    <t>A0100110</t>
  </si>
  <si>
    <t>Celador</t>
  </si>
  <si>
    <t>A0040110</t>
  </si>
  <si>
    <t>Andamiaje para Aplicar la Carga (Equipos Sustituto de la Tara)</t>
  </si>
  <si>
    <t>C0010011</t>
  </si>
  <si>
    <t>Aspersor manual</t>
  </si>
  <si>
    <t>h</t>
  </si>
  <si>
    <t>C0010010</t>
  </si>
  <si>
    <t>Barredora mecánica de cepillo de 3658 mm ; 6 m3</t>
  </si>
  <si>
    <t>C0010020</t>
  </si>
  <si>
    <t>Bomba de concreto, Producción: 30 m3/h, POTENCIA: 67 HP, MAX PRESION DE CONCRETO: 1150 PSI</t>
  </si>
  <si>
    <t>C0010030</t>
  </si>
  <si>
    <t>Bomba de inyección de lechada</t>
  </si>
  <si>
    <t>C0010040</t>
  </si>
  <si>
    <t>Bomba eléctrica para accionar la celda</t>
  </si>
  <si>
    <t>C0010034</t>
  </si>
  <si>
    <t>Bomba para gato de tensionamiento</t>
  </si>
  <si>
    <t>C0010050</t>
  </si>
  <si>
    <t>Buldozer Potencia al volante de 305 HP, motor de 2100 RPM, longitud de hoja 6,39m.</t>
  </si>
  <si>
    <t>C0010053</t>
  </si>
  <si>
    <t>Buldozer, Potencia al volante de 140 HP, motor de 2200 RPM, longitud de hoja 4,80m.</t>
  </si>
  <si>
    <t>C0010052</t>
  </si>
  <si>
    <t>Buldozer, Potencia al volante de 80 HP, motor de 2400 RPM, longitud de hoja 3,99m,</t>
  </si>
  <si>
    <t>C0010051</t>
  </si>
  <si>
    <t>Caldera para pintura termoplástica</t>
  </si>
  <si>
    <t>C0010961</t>
  </si>
  <si>
    <t>Calentador a gas</t>
  </si>
  <si>
    <t>C0010090</t>
  </si>
  <si>
    <t>Camabaja</t>
  </si>
  <si>
    <t>C0010125</t>
  </si>
  <si>
    <t>Camión 350</t>
  </si>
  <si>
    <t>C0010100</t>
  </si>
  <si>
    <t>Camión de Slurry</t>
  </si>
  <si>
    <t>C0010110</t>
  </si>
  <si>
    <t>Camioneta D-300</t>
  </si>
  <si>
    <t>C0010120</t>
  </si>
  <si>
    <t>Camisa</t>
  </si>
  <si>
    <t>C0010124</t>
  </si>
  <si>
    <t>Camisa para Pilote D=1.20m</t>
  </si>
  <si>
    <t>Kg</t>
  </si>
  <si>
    <t>C0010123</t>
  </si>
  <si>
    <t>Cargador : Potencia en el volante 110 hp, Clasificación de RPM del motor 2300.</t>
  </si>
  <si>
    <t>C0010130</t>
  </si>
  <si>
    <t>Cargador : Potencia en el volante 125 hp, Clasificación de RPM del motor 2300.</t>
  </si>
  <si>
    <t>C0010140</t>
  </si>
  <si>
    <t>Carrotanque de agua(1000 Galones)</t>
  </si>
  <si>
    <t>C0010150</t>
  </si>
  <si>
    <t>Carrotanque Irrigador de asfalto, 1000 GALONES DE CAPACIDAD</t>
  </si>
  <si>
    <t>C0010160</t>
  </si>
  <si>
    <t>Cizalla manual de 90 cm.</t>
  </si>
  <si>
    <t>C0010170</t>
  </si>
  <si>
    <t>Compactador de Rodillo POTENCIA: 99HP, PESO: 8 ton</t>
  </si>
  <si>
    <t>C0010211</t>
  </si>
  <si>
    <t>Compactador manual (SALTARIN) Peso de operación (Kg.) 52, Fuerza de impacto por golpe (KN) 12.</t>
  </si>
  <si>
    <t>C0010200</t>
  </si>
  <si>
    <t>Compactador manual de rodillo</t>
  </si>
  <si>
    <t>C0010210</t>
  </si>
  <si>
    <t>Compactador manual vibratorio (CANGURO) (Apisonadores)</t>
  </si>
  <si>
    <t>C0010220</t>
  </si>
  <si>
    <t>COMPACTADOR MANUAL VIBRATORIO (RANA) con motor de 6 HP</t>
  </si>
  <si>
    <t>C0010190</t>
  </si>
  <si>
    <t>Compactador neumático de Potencia 70 HP, peso de 13 ton</t>
  </si>
  <si>
    <t>C0010230</t>
  </si>
  <si>
    <t>Compactador neumático peso 3,5 ton</t>
  </si>
  <si>
    <t>C0010213</t>
  </si>
  <si>
    <t>Compactador tipo  POTENCIA: 105 HP, PESO: 6 ton</t>
  </si>
  <si>
    <t>C0010212</t>
  </si>
  <si>
    <t>Compactador vibratorio tipo DD-20</t>
  </si>
  <si>
    <t>C0010240</t>
  </si>
  <si>
    <t>Compresor (barrido y soplado)</t>
  </si>
  <si>
    <t>C0010250</t>
  </si>
  <si>
    <t>Compresor 120 HP, con martillo.</t>
  </si>
  <si>
    <t>C0010270</t>
  </si>
  <si>
    <t>Compresor 80 HP, con martillo.</t>
  </si>
  <si>
    <t>C0010260</t>
  </si>
  <si>
    <t>Compresor para penetrar roca</t>
  </si>
  <si>
    <t>C0010280</t>
  </si>
  <si>
    <t>Cortadora de pavimento</t>
  </si>
  <si>
    <t>C0010291</t>
  </si>
  <si>
    <t>Cortadora de pavimento, Máxima profundidad de corte: 160 mm. Capacidad de disco: desde 12´´ hasta 18´´ de diámetro. Peso operacional: 135 kg, 13.5 hp de potencia</t>
  </si>
  <si>
    <t>C0010290</t>
  </si>
  <si>
    <t>Derretidora de asfalto (crafco o similar)</t>
  </si>
  <si>
    <t>C0010311</t>
  </si>
  <si>
    <t>Diferencial</t>
  </si>
  <si>
    <t>C0010301</t>
  </si>
  <si>
    <t>Diferencial de 2 ton.</t>
  </si>
  <si>
    <t>C0010300</t>
  </si>
  <si>
    <t>Diferencial de 3 ton</t>
  </si>
  <si>
    <t>C0010310</t>
  </si>
  <si>
    <t>Equipo autopropulsado para pintura termoplástica</t>
  </si>
  <si>
    <t>C0010351</t>
  </si>
  <si>
    <t>Equipo de acarreo interno</t>
  </si>
  <si>
    <t>C0010314</t>
  </si>
  <si>
    <t>Equipo de control (bandas sonoras reduce velocidad) (Termohigometros, Termómetros, Galgas, etc.)</t>
  </si>
  <si>
    <t>C0010320</t>
  </si>
  <si>
    <t>Equipo de Medición (Deformimetros Eléctricos, Mecánicos, Celdas de Carga,  Etc.)</t>
  </si>
  <si>
    <t>C0010401</t>
  </si>
  <si>
    <t>Equipo de oxicorte, Capacidad de corte: hasta 6´´ (152mm)</t>
  </si>
  <si>
    <t>C0010330</t>
  </si>
  <si>
    <t>Equipo de oxigeno y soldadura</t>
  </si>
  <si>
    <t>C0010382</t>
  </si>
  <si>
    <t>Equipo de perforación (TRACKDRILL), potencia 40 HP, 2100 golpes / minuto</t>
  </si>
  <si>
    <t>C0010340</t>
  </si>
  <si>
    <t>Equipo de pintura (Compresor), Presión máxima de trabajo 3300 psi.</t>
  </si>
  <si>
    <t>C0010350</t>
  </si>
  <si>
    <t>Equipo de rayos X y/o ultrasonido</t>
  </si>
  <si>
    <t>C0010352</t>
  </si>
  <si>
    <t>Equipo de Sand Blastin y Pintura COMPRESOR 250cfm a 100 psi. PULMON de 70 gal (250 lt.) para 160 psi</t>
  </si>
  <si>
    <t>C0010381</t>
  </si>
  <si>
    <t>Equipo de Soldadura</t>
  </si>
  <si>
    <t>C0010361</t>
  </si>
  <si>
    <t>Equipo de soldadura 250 AMP</t>
  </si>
  <si>
    <t>C0010360</t>
  </si>
  <si>
    <t>Equipo de soldadura 400</t>
  </si>
  <si>
    <t>C0010370</t>
  </si>
  <si>
    <t>Equipo de soldadura 600</t>
  </si>
  <si>
    <t>C0010380</t>
  </si>
  <si>
    <t>Equipo de soldadura y de acetileno (incluye soldadura)</t>
  </si>
  <si>
    <t>C0010384</t>
  </si>
  <si>
    <t>Equipo de topografía</t>
  </si>
  <si>
    <t>C0010390</t>
  </si>
  <si>
    <t>Equipo de topografía Teodolito electrónico con abertura de anteojo de 42 mm. Aumento del anteojo: 30x.Distancia mínima de enfoque: 1.0 m. Precisión: 5´´. Compensador con rango de trabajo ±3´.</t>
  </si>
  <si>
    <t>C0010383</t>
  </si>
  <si>
    <t>Equipo de transporte (Camiones, Grúas, Volquetas, etc.)</t>
  </si>
  <si>
    <t>C0010394</t>
  </si>
  <si>
    <t>Equipo manual aplicador (bandas sonoras reduce velocidad)</t>
  </si>
  <si>
    <t>C0010400</t>
  </si>
  <si>
    <t>Esparcidor de gravilla, Ancho de esparcimiento 3100mm, Velocidad de trabajo 10—20km2/h</t>
  </si>
  <si>
    <t>C0010410</t>
  </si>
  <si>
    <t>Estación Total con precisión angular de 6´´. Precisión lineal 2 mm ± 2 ppm</t>
  </si>
  <si>
    <t>C0010420</t>
  </si>
  <si>
    <t>Formaleta Metálica</t>
  </si>
  <si>
    <t>C0010443</t>
  </si>
  <si>
    <t>Formaleta metálica (concreto hidráulico)</t>
  </si>
  <si>
    <t>C0010430</t>
  </si>
  <si>
    <t>Formaleta metálica (tubería de concreto reforzado)</t>
  </si>
  <si>
    <t>C0010440</t>
  </si>
  <si>
    <t>Formaleta metálica para tubo de 900</t>
  </si>
  <si>
    <t>C0010442</t>
  </si>
  <si>
    <t>Formaleta para camisa de pilote</t>
  </si>
  <si>
    <t>C0010450</t>
  </si>
  <si>
    <t>Fresadora de pavimento, potencia 255 HP, peso 19 Ton, PROFUNDIDAD DE CORTE 305 mm</t>
  </si>
  <si>
    <t>C0010460</t>
  </si>
  <si>
    <t>Fresadora y recicladora de pavimento, potencia 430 HP, peso 20 Ton</t>
  </si>
  <si>
    <t>C0010470</t>
  </si>
  <si>
    <t>Gato para tensionamiento, fuerza Max 200 ton, área de tensión 314 cm2.</t>
  </si>
  <si>
    <t>C0010480</t>
  </si>
  <si>
    <t>Grúa (capacidad 15 ton)</t>
  </si>
  <si>
    <t>C0010490</t>
  </si>
  <si>
    <t>Grúa (Transporte en Obra)</t>
  </si>
  <si>
    <t>C0010511</t>
  </si>
  <si>
    <t>Grúa 10 ton</t>
  </si>
  <si>
    <t>C0010500</t>
  </si>
  <si>
    <t>Grúa con barreno o máquina piloteadora</t>
  </si>
  <si>
    <t>C0010502</t>
  </si>
  <si>
    <t>Grúa con torre</t>
  </si>
  <si>
    <t>C0010510</t>
  </si>
  <si>
    <t>Grúa Con Torre (2)</t>
  </si>
  <si>
    <t>C0010512</t>
  </si>
  <si>
    <t>Grúa con torre capacidad 1 ton en la punta.</t>
  </si>
  <si>
    <t>C0010491</t>
  </si>
  <si>
    <t>Grúa telescópica de 50 Ton.</t>
  </si>
  <si>
    <t>C0010520</t>
  </si>
  <si>
    <t>Guadañadora, Cilindraje 41.5 cm3, Longitud del mango 1450 mm, Peso 7.4 kg</t>
  </si>
  <si>
    <t>C0010530</t>
  </si>
  <si>
    <t>Manómetro cable de acero para bajar la celda</t>
  </si>
  <si>
    <t>C0010544</t>
  </si>
  <si>
    <t>Máquina hidrosembradora</t>
  </si>
  <si>
    <t>C0010541</t>
  </si>
  <si>
    <t>Maquina térmica pegatachas</t>
  </si>
  <si>
    <t>C0010540</t>
  </si>
  <si>
    <t>Mezcladora de concreto 1 bulto</t>
  </si>
  <si>
    <t>C0010550</t>
  </si>
  <si>
    <t>Montacargas</t>
  </si>
  <si>
    <t>C0010560</t>
  </si>
  <si>
    <t>Motobomba 3 PULGADAS (incluye operario)</t>
  </si>
  <si>
    <t>C0010570</t>
  </si>
  <si>
    <t>Motobomba 4 pulgadas</t>
  </si>
  <si>
    <t>C0010580</t>
  </si>
  <si>
    <t>Motobomba 6´´ diámetro de bombeo de 2 m3/seg</t>
  </si>
  <si>
    <t>C0010590</t>
  </si>
  <si>
    <t>Motobomba de concreto</t>
  </si>
  <si>
    <t>C0010600</t>
  </si>
  <si>
    <t>Motoniveladora  potencia 215 HP, ancho de cuchilla 4,27 m, peso 18 ton.</t>
  </si>
  <si>
    <t>C0010610</t>
  </si>
  <si>
    <t>Motoniveladora, potencia 140 HP, ancho de cuchilla 3,66 m, peso 11 ton.</t>
  </si>
  <si>
    <t>C0010611</t>
  </si>
  <si>
    <t>Motosierra, 93.6 cm3 - 7.1 HP, 45-90 cm - 7.9 kg</t>
  </si>
  <si>
    <t>C0010620</t>
  </si>
  <si>
    <t>Motosoldador, 300 amperios</t>
  </si>
  <si>
    <t>C0010621</t>
  </si>
  <si>
    <t>Pala auxiliar de piloteadora</t>
  </si>
  <si>
    <t>C0010630</t>
  </si>
  <si>
    <t>Pala grúa con martillos</t>
  </si>
  <si>
    <t>C0010640</t>
  </si>
  <si>
    <t>Piloteadora</t>
  </si>
  <si>
    <t>C0010650</t>
  </si>
  <si>
    <t>Piloteadora potencia 250KW, RPM 1800, fuerza elevadora 200KN</t>
  </si>
  <si>
    <t>C0010651</t>
  </si>
  <si>
    <t>Planta de asfalto en caliente</t>
  </si>
  <si>
    <t>C0010660</t>
  </si>
  <si>
    <t>Planta de asfalto en frio</t>
  </si>
  <si>
    <t>C0010670</t>
  </si>
  <si>
    <t>Planta eléctrica</t>
  </si>
  <si>
    <t>C0010680</t>
  </si>
  <si>
    <t>Planta trituradora</t>
  </si>
  <si>
    <t>C0010690</t>
  </si>
  <si>
    <t>Pluma capacidad 100 kg</t>
  </si>
  <si>
    <t>C0010700</t>
  </si>
  <si>
    <t>Puente grúa</t>
  </si>
  <si>
    <t>C0010704</t>
  </si>
  <si>
    <t>Pulidora (8500 REV)</t>
  </si>
  <si>
    <t>C0010710</t>
  </si>
  <si>
    <t>Pulvimixer</t>
  </si>
  <si>
    <t>C0010720</t>
  </si>
  <si>
    <t>Recicladora, potencia 430HP</t>
  </si>
  <si>
    <t>C0010730</t>
  </si>
  <si>
    <t>Regla vibratoria, de longitud de 3 a 5 m, motor de 3600 rpm, potencia 6 HP</t>
  </si>
  <si>
    <t>C0010740</t>
  </si>
  <si>
    <t>Retrocargador CAT 510</t>
  </si>
  <si>
    <t>C0010760</t>
  </si>
  <si>
    <t>Retrocargador, pala de 1,1 m3 de capacidad, profundidad de excavación de 4.400 mm y una altura de 5.680 mm</t>
  </si>
  <si>
    <t>C0010750</t>
  </si>
  <si>
    <t>Retroexcavadora 428 doble trasmisión</t>
  </si>
  <si>
    <t>C0010770</t>
  </si>
  <si>
    <t>Retroexcavadora A25C</t>
  </si>
  <si>
    <t>C0010780</t>
  </si>
  <si>
    <t>Retroexcavadora E-200 con martillo neumático</t>
  </si>
  <si>
    <t>C0010800</t>
  </si>
  <si>
    <t>Retroexcavadora E-200 sobre orugas trabajo en rio</t>
  </si>
  <si>
    <t>C0010820</t>
  </si>
  <si>
    <t>Retroexcavadora E-200 sobre orugas</t>
  </si>
  <si>
    <t>C0010810</t>
  </si>
  <si>
    <t>Retroexcavadora sobre llantas</t>
  </si>
  <si>
    <t>C0010831</t>
  </si>
  <si>
    <t>Retroexcavadora sobre llantas JD 410</t>
  </si>
  <si>
    <t>C0010830</t>
  </si>
  <si>
    <t>Retroexcavadora sobre llantas, motor 62HP, Profundidad de excavación de 5.41 metros.</t>
  </si>
  <si>
    <t>C0010822</t>
  </si>
  <si>
    <t>Retroexcavadora sobre oruga, potencia 138 HP, balde de 1,5 m3.</t>
  </si>
  <si>
    <t>C0010790</t>
  </si>
  <si>
    <t>Retroexcavadora Tipo E-200 o  Equivalente</t>
  </si>
  <si>
    <t>C0010811</t>
  </si>
  <si>
    <t>Retroexcavadora, Potencia en el Volante 78 HP 2200 RPM</t>
  </si>
  <si>
    <t>C0010765</t>
  </si>
  <si>
    <t>Ruteadora</t>
  </si>
  <si>
    <t>C0010840</t>
  </si>
  <si>
    <t>Sensor de Impacto para prueba de integridad tipo</t>
  </si>
  <si>
    <t>C0010841</t>
  </si>
  <si>
    <t>Taco metálico o puntal (escamas en concreto)</t>
  </si>
  <si>
    <t>C0010850</t>
  </si>
  <si>
    <t>Taladro de 1/2´´, pulidora, lijadora y circular para corte extremo superior</t>
  </si>
  <si>
    <t>C0010853</t>
  </si>
  <si>
    <t>Taladro de 1/2´´, pulidora, lijadora y circular</t>
  </si>
  <si>
    <t>C0010854</t>
  </si>
  <si>
    <t>Taladro industrial</t>
  </si>
  <si>
    <t>C0010855</t>
  </si>
  <si>
    <t>Tara (Recebo, Agua, Etc.)</t>
  </si>
  <si>
    <t>C0010859</t>
  </si>
  <si>
    <t>Tarifa de transporte</t>
  </si>
  <si>
    <t>C0010860</t>
  </si>
  <si>
    <t>Tarifa de transporte (agregados pétreos)</t>
  </si>
  <si>
    <t>m3k</t>
  </si>
  <si>
    <t>C0010861</t>
  </si>
  <si>
    <t>Tarifa de transporte de concreto hidráulico en mixer</t>
  </si>
  <si>
    <t>C0010901</t>
  </si>
  <si>
    <t>Tarifa de transporte de estructuras metálicas</t>
  </si>
  <si>
    <t>kgk</t>
  </si>
  <si>
    <t>C0010870</t>
  </si>
  <si>
    <t>Tarifa de transporte de estructuras metálicas en obra</t>
  </si>
  <si>
    <t>C0010880</t>
  </si>
  <si>
    <t>Tarifa de transporte de mezclas para bacheo</t>
  </si>
  <si>
    <t>C0010900</t>
  </si>
  <si>
    <t>Tarifa de transporte de mezclas</t>
  </si>
  <si>
    <t>C0010890</t>
  </si>
  <si>
    <t>Tarifa de Transporte de Postes</t>
  </si>
  <si>
    <t>C0010903</t>
  </si>
  <si>
    <t>Tarifa de transporte para agregados de mezclas asfálticas</t>
  </si>
  <si>
    <t>C0010862</t>
  </si>
  <si>
    <t>Tarifa de Trasporte de especies vegetales</t>
  </si>
  <si>
    <t>C0010902</t>
  </si>
  <si>
    <t>Terminadora de asfalto (Finisher), potencia 130 HP, peso 15 ton.</t>
  </si>
  <si>
    <t>C0010911</t>
  </si>
  <si>
    <t>Terminadora de asfalto (Finisher), potencia en el volante 174 HP, R=20M3/H, velocidad de desplazamiento 114 m/min</t>
  </si>
  <si>
    <t>C0010910</t>
  </si>
  <si>
    <t>Vehículo delineador</t>
  </si>
  <si>
    <t>C0010920</t>
  </si>
  <si>
    <t>Vehículo delineador R=1500 M/H</t>
  </si>
  <si>
    <t>C0010921</t>
  </si>
  <si>
    <t>Vibrador de concreto (incluye operario)</t>
  </si>
  <si>
    <t>C0010930</t>
  </si>
  <si>
    <t>Vibrador de concreto, Motor de 3 hp a 18.000 rpm Mangueras de 4 mt</t>
  </si>
  <si>
    <t>C0010922</t>
  </si>
  <si>
    <t>Vibrocompactador, tipo benitìn, de peso 700 kg a 1.5 toneladas</t>
  </si>
  <si>
    <t>C0010180</t>
  </si>
  <si>
    <t>Vibrocompatador Dynapac (10 ton)</t>
  </si>
  <si>
    <t>C0010940</t>
  </si>
  <si>
    <t>Vibrocompatador Dynapac C15</t>
  </si>
  <si>
    <t>C0010950</t>
  </si>
  <si>
    <t>Vibrocompatador, potencia 153 HP, peso 10 Ton.</t>
  </si>
  <si>
    <t>C0010923</t>
  </si>
  <si>
    <t>Volqueta 6 m3</t>
  </si>
  <si>
    <t>C0010960</t>
  </si>
  <si>
    <t>CATÁLOGO DE MATERIALES</t>
  </si>
  <si>
    <t>Acero A-36 para estructura metálica</t>
  </si>
  <si>
    <t>B0020001</t>
  </si>
  <si>
    <t>Acero A-37</t>
  </si>
  <si>
    <t>B0020004</t>
  </si>
  <si>
    <t>Acero A-40</t>
  </si>
  <si>
    <t>B0020002</t>
  </si>
  <si>
    <t>Acero PDR-60</t>
  </si>
  <si>
    <t>B0020003</t>
  </si>
  <si>
    <t>Acero suministrado y figurado PDR 60</t>
  </si>
  <si>
    <t>B002001</t>
  </si>
  <si>
    <t>Aditivo Acelerante de Fraguado</t>
  </si>
  <si>
    <t>B003003</t>
  </si>
  <si>
    <t>Aditivo curador</t>
  </si>
  <si>
    <t>B0030001</t>
  </si>
  <si>
    <t>Adoquín color 10X20X6</t>
  </si>
  <si>
    <t>B0043070</t>
  </si>
  <si>
    <t>Adoquín e=8cm</t>
  </si>
  <si>
    <t>B0043080</t>
  </si>
  <si>
    <t>Adoquín grama 10X20X6</t>
  </si>
  <si>
    <t>B0043090</t>
  </si>
  <si>
    <t>Adoquín Gris E=10 Cm</t>
  </si>
  <si>
    <t>B0043071</t>
  </si>
  <si>
    <t>Aglomerante Estabilizador</t>
  </si>
  <si>
    <t>lt</t>
  </si>
  <si>
    <t>B0063201</t>
  </si>
  <si>
    <t>Agregado para concreto hidráulico</t>
  </si>
  <si>
    <t>B0053100</t>
  </si>
  <si>
    <t>Agregado para tratamiento superf. Doble</t>
  </si>
  <si>
    <t>B0053110</t>
  </si>
  <si>
    <t>Agregado para tratamiento superf. Simple</t>
  </si>
  <si>
    <t>B0053120</t>
  </si>
  <si>
    <t>Agregado para tratamiento superficial doble (primer riego)</t>
  </si>
  <si>
    <t>B0053112</t>
  </si>
  <si>
    <t>Agregado para tratamiento superficial doble (segundo riego)</t>
  </si>
  <si>
    <t>B0053114</t>
  </si>
  <si>
    <t>Agregado petreo para mezclas asfálticas</t>
  </si>
  <si>
    <t>B0053130</t>
  </si>
  <si>
    <t>Agregado Petreo para Triturar (Crudo)</t>
  </si>
  <si>
    <t>B0053191</t>
  </si>
  <si>
    <t>Agregado Petreo para TSS</t>
  </si>
  <si>
    <t>B0053131</t>
  </si>
  <si>
    <t>Agregado tipo LA 10 (lechadas)</t>
  </si>
  <si>
    <t>B0053160</t>
  </si>
  <si>
    <t>Agregado tipo LA 13 (lechadas)</t>
  </si>
  <si>
    <t>B0053150</t>
  </si>
  <si>
    <t>Agregado tipo LA 4 (lechadas)</t>
  </si>
  <si>
    <t>B0053180</t>
  </si>
  <si>
    <t>Agregado tipo LA 5 (lechadas)</t>
  </si>
  <si>
    <t>B0053170</t>
  </si>
  <si>
    <t>Agregados seleccionados (tamaño máximo 1´´) (bandas sonoras reduce velocidad)</t>
  </si>
  <si>
    <t>B0053190</t>
  </si>
  <si>
    <t>Agua</t>
  </si>
  <si>
    <t>B0063200</t>
  </si>
  <si>
    <t>Alambre de púa calibre 12 (350 m)</t>
  </si>
  <si>
    <t>B0073210</t>
  </si>
  <si>
    <t>Alambre Galvanizado Aleación Zn-5A1-Mm</t>
  </si>
  <si>
    <t>B0073211</t>
  </si>
  <si>
    <t>Alambre Galvanizado Aleación Zn-5A1-Mm Y Pvc</t>
  </si>
  <si>
    <t>B0073222</t>
  </si>
  <si>
    <t>Alambre galvanizado No. 12</t>
  </si>
  <si>
    <t>B0073220</t>
  </si>
  <si>
    <t>Alambre Galvanizado Zinc Y Pvc</t>
  </si>
  <si>
    <t>B0073221</t>
  </si>
  <si>
    <t>Alambre Negro Para Amarre</t>
  </si>
  <si>
    <t>B026012</t>
  </si>
  <si>
    <t>Alambre negro para amarre calibre 18</t>
  </si>
  <si>
    <t>B0073230</t>
  </si>
  <si>
    <t>Almohadillas de neopreno dureza 60 (35cm*45cm*5cm con 2 laminas de 3mm)</t>
  </si>
  <si>
    <t>B031001</t>
  </si>
  <si>
    <t>Amortiguadores (Para Defensas Metálicas), Incluye Tornillos</t>
  </si>
  <si>
    <t>B026011</t>
  </si>
  <si>
    <t>Anclaje para fijación del manto</t>
  </si>
  <si>
    <t>B0113260</t>
  </si>
  <si>
    <t>Anclajes o Cuñas para el tensionamiento</t>
  </si>
  <si>
    <t>B0013770</t>
  </si>
  <si>
    <t>Anfo</t>
  </si>
  <si>
    <t>B0013270</t>
  </si>
  <si>
    <t>Angulo de 1-1/2´´ x 1/4´´ (cerramiento en malla)</t>
  </si>
  <si>
    <t>B0013280</t>
  </si>
  <si>
    <t>Antisol blanco (presentación 20 kg)</t>
  </si>
  <si>
    <t>B0063290</t>
  </si>
  <si>
    <t>Árbol de 0.6 m (Protector)</t>
  </si>
  <si>
    <t>B0303300</t>
  </si>
  <si>
    <t>Árbol de 1.2 m (Paisajístico)</t>
  </si>
  <si>
    <t>B0303310</t>
  </si>
  <si>
    <t>Arena de sello (fina)</t>
  </si>
  <si>
    <t>B0093320</t>
  </si>
  <si>
    <t>Arena de soporte (media)</t>
  </si>
  <si>
    <t>B0093330</t>
  </si>
  <si>
    <t>Arena de Trituración</t>
  </si>
  <si>
    <t>B0093321</t>
  </si>
  <si>
    <t>Arena de trituración (sellos de arena-afalto)</t>
  </si>
  <si>
    <t>B009111</t>
  </si>
  <si>
    <t>Arena lavada</t>
  </si>
  <si>
    <t>B0093350</t>
  </si>
  <si>
    <t>Armadura de Acero</t>
  </si>
  <si>
    <t>B0013281</t>
  </si>
  <si>
    <t>Asfalto AP 190 (BREA)</t>
  </si>
  <si>
    <t>B0083360</t>
  </si>
  <si>
    <t>Asfalto liquido</t>
  </si>
  <si>
    <t>B008007</t>
  </si>
  <si>
    <t>Asfalto liquido RC 250</t>
  </si>
  <si>
    <t>gal</t>
  </si>
  <si>
    <t>B008009</t>
  </si>
  <si>
    <t>Barras de transferencia de carga (1'')</t>
  </si>
  <si>
    <t>B0013380</t>
  </si>
  <si>
    <t>Barras de unión de 1/2´´</t>
  </si>
  <si>
    <t>B0013390</t>
  </si>
  <si>
    <t>Base Granular reciclada en obra</t>
  </si>
  <si>
    <t>B0013400</t>
  </si>
  <si>
    <t>Bentonita</t>
  </si>
  <si>
    <t>B0013410</t>
  </si>
  <si>
    <t>Biomanto</t>
  </si>
  <si>
    <t>B0013420</t>
  </si>
  <si>
    <t>Biomanto Temporal  300 Gr/M2</t>
  </si>
  <si>
    <t>B0013435</t>
  </si>
  <si>
    <t>Bolsacreto de 1m3</t>
  </si>
  <si>
    <t>B0013430</t>
  </si>
  <si>
    <t>Bordillo Prefabricado En Concreto Ref.A85 Ntc-4109, 0,20 X 0,35 X 0.80 M</t>
  </si>
  <si>
    <t>B0013436</t>
  </si>
  <si>
    <t>Botella de gas propano (40 lb) (5% de oxígeno)</t>
  </si>
  <si>
    <t>B0013432</t>
  </si>
  <si>
    <t>Botella de oxígeno (1800 lb)</t>
  </si>
  <si>
    <t>B0013434</t>
  </si>
  <si>
    <t>Cable de 1/2´´ (para anclajes)</t>
  </si>
  <si>
    <t>B0320001</t>
  </si>
  <si>
    <t>Cal</t>
  </si>
  <si>
    <t>B0013450</t>
  </si>
  <si>
    <t>Camisa metálica en acero A-37</t>
  </si>
  <si>
    <t>B0013460</t>
  </si>
  <si>
    <t>Camisas y Formaleta en Concreto</t>
  </si>
  <si>
    <t>B0013470</t>
  </si>
  <si>
    <t>Captafaro, Incluye Tornillos</t>
  </si>
  <si>
    <t>B0013480</t>
  </si>
  <si>
    <t>Celda especial de carga</t>
  </si>
  <si>
    <t>B0013484</t>
  </si>
  <si>
    <t>Cemento Asfaltico 40-50</t>
  </si>
  <si>
    <t>B0103501</t>
  </si>
  <si>
    <t>Cemento Asfaltico 60-70</t>
  </si>
  <si>
    <t>B0103490</t>
  </si>
  <si>
    <t>Cemento Asfaltico 80-100</t>
  </si>
  <si>
    <t>B0103500</t>
  </si>
  <si>
    <t>Cemento Asfaltico con grano de Caucho Reciclado</t>
  </si>
  <si>
    <t>B0103555</t>
  </si>
  <si>
    <t>Cemento Asfáltico</t>
  </si>
  <si>
    <t>B0103491</t>
  </si>
  <si>
    <t>Cemento Asfáltico Modificado Con Grano De Caucho Reciclado Tipo I</t>
  </si>
  <si>
    <t>B0103551</t>
  </si>
  <si>
    <t>Cemento Asfáltico Modificado Con Grano De Caucho Reciclado Tipo Il</t>
  </si>
  <si>
    <t>B0103552</t>
  </si>
  <si>
    <t>Cemento Asfáltico Modificado Con Grano De Caucho Reciclado Tipo lll</t>
  </si>
  <si>
    <t>B0103553</t>
  </si>
  <si>
    <t>Cemento asfaltico modificado con polímeros tipo I</t>
  </si>
  <si>
    <t>B0103510</t>
  </si>
  <si>
    <t>Cemento asfaltico modificado con polímeros tipo II</t>
  </si>
  <si>
    <t>B0103520</t>
  </si>
  <si>
    <t>Cemento asfaltico modificado con polímeros tipo III</t>
  </si>
  <si>
    <t>B0103530</t>
  </si>
  <si>
    <t>Cemento asfaltico modificado con polímeros tipo IV</t>
  </si>
  <si>
    <t>B0103540</t>
  </si>
  <si>
    <t>Cemento Asfaltico Modificado Con Polímeros Tipo V</t>
  </si>
  <si>
    <t>B0103554</t>
  </si>
  <si>
    <t>Cemento asfaltico modificado con polímeros tipo V</t>
  </si>
  <si>
    <t>B0103550</t>
  </si>
  <si>
    <t>Cemento gris</t>
  </si>
  <si>
    <t>B0100001</t>
  </si>
  <si>
    <t>Cemento Hidráulico adicionado, Norma ASTM C595 Tipo _______</t>
  </si>
  <si>
    <t>B0103557</t>
  </si>
  <si>
    <t>Cemento Porthland Norma ASTM C150 Tipo _______</t>
  </si>
  <si>
    <t>B0103556</t>
  </si>
  <si>
    <t>Cespedones</t>
  </si>
  <si>
    <t>B0303570</t>
  </si>
  <si>
    <t>Cicatrizante (para remoción de especies vegetales)</t>
  </si>
  <si>
    <t>B0013580</t>
  </si>
  <si>
    <t>Cinta Sika PVC 0,22</t>
  </si>
  <si>
    <t>B0013590</t>
  </si>
  <si>
    <t>Cintilla de poliuretano (sikarod)</t>
  </si>
  <si>
    <t>B0013600</t>
  </si>
  <si>
    <t>Cintilla De Poliuretano (Sikarod) (Pavimentos De Concreto Hidráulico)</t>
  </si>
  <si>
    <t>B0013601</t>
  </si>
  <si>
    <t>Cloruro de calcio</t>
  </si>
  <si>
    <t>B0013610</t>
  </si>
  <si>
    <t>Cloruro De Calcio En Esferas (Pellets)</t>
  </si>
  <si>
    <t>B0013772</t>
  </si>
  <si>
    <t>Cloruro De Calcio En Hojuelas (Flakes)</t>
  </si>
  <si>
    <t>B0013771</t>
  </si>
  <si>
    <t>Cloruro De Calcio Liquido</t>
  </si>
  <si>
    <t>B0013611</t>
  </si>
  <si>
    <t>Concreto hidráulico para pavimento MR-20</t>
  </si>
  <si>
    <t>B0133680</t>
  </si>
  <si>
    <t>Concreto hidráulico para pavimento MR-36</t>
  </si>
  <si>
    <t>B0133690</t>
  </si>
  <si>
    <t>Concreto hidráulico para pavimento MR-43 (FastracK)(acelerado a 24 horas)</t>
  </si>
  <si>
    <t>B0133700</t>
  </si>
  <si>
    <t>Concreto hidráulico para pavimento MR-43</t>
  </si>
  <si>
    <t>B0133710</t>
  </si>
  <si>
    <t>Concreto hidráulico para pavimento MR-45</t>
  </si>
  <si>
    <t>B0133720</t>
  </si>
  <si>
    <t>Concreto Resistencia  14 (Mpa)</t>
  </si>
  <si>
    <t>B0123660</t>
  </si>
  <si>
    <t>Concreto Resistencia  21 (Mpa)</t>
  </si>
  <si>
    <t>B0123650</t>
  </si>
  <si>
    <t>Concreto Resistencia  28 (Mpa)</t>
  </si>
  <si>
    <t>B0123671</t>
  </si>
  <si>
    <t>B0123620</t>
  </si>
  <si>
    <t>Concreto Resistencia  32 (Mpa)</t>
  </si>
  <si>
    <t>B0123640</t>
  </si>
  <si>
    <t>Concreto Resistencia  35 (Mpa)</t>
  </si>
  <si>
    <t>B0123630</t>
  </si>
  <si>
    <t>Concreto resistencia 14 (MPA) (Ciclopeo)</t>
  </si>
  <si>
    <t>B0123670</t>
  </si>
  <si>
    <t>Cordón detonante</t>
  </si>
  <si>
    <t>B0013730</t>
  </si>
  <si>
    <t>Costal de fibra o fique</t>
  </si>
  <si>
    <t>B0013740</t>
  </si>
  <si>
    <t>B0013750</t>
  </si>
  <si>
    <t>Cuneta prefabricada de concreto tipo V de (0,8*0,3*0,22)</t>
  </si>
  <si>
    <t>B0013760</t>
  </si>
  <si>
    <t>Cuneta Prefabricada En Concreto Perfil U O V Ref.Cu004 Ntc-4109, 0,20 X 0,30 X 1.0 M</t>
  </si>
  <si>
    <t>B0013761</t>
  </si>
  <si>
    <t>Defensa Metálica De 4,13 M Galvanizada</t>
  </si>
  <si>
    <t>B0013773</t>
  </si>
  <si>
    <t>Delineador De Corona</t>
  </si>
  <si>
    <t>B0013781</t>
  </si>
  <si>
    <t>Delineador de corona en forma de A de lámina galvanizada calibre 16 de (1.55*25) cm</t>
  </si>
  <si>
    <t>B0013780</t>
  </si>
  <si>
    <t>Derechos de explotación de material pétreo</t>
  </si>
  <si>
    <t>B0013794</t>
  </si>
  <si>
    <t>Derechos de explotación y/o disposición de materiales</t>
  </si>
  <si>
    <t>B0013790</t>
  </si>
  <si>
    <t>Disolvente para pintura (TINNER)</t>
  </si>
  <si>
    <t>B014001</t>
  </si>
  <si>
    <t>Disolvente para pintura Trafico (acrílico)</t>
  </si>
  <si>
    <t>B014002</t>
  </si>
  <si>
    <t>Disposición de material de derrumbe</t>
  </si>
  <si>
    <t>B0013820</t>
  </si>
  <si>
    <t>Ductos para tensionimiento</t>
  </si>
  <si>
    <t>B0013830</t>
  </si>
  <si>
    <t>Emulsión Asfáltica de Rotura Lenta CRL</t>
  </si>
  <si>
    <t>B020011</t>
  </si>
  <si>
    <t>Emulsión Asfáltica de Rotura Media Modificada Con Polímeros CRM-m</t>
  </si>
  <si>
    <t>B020012</t>
  </si>
  <si>
    <t>Emulsión asfáltica de rotura media modificada con polímeros CRMm</t>
  </si>
  <si>
    <t>B020010</t>
  </si>
  <si>
    <t>Emulsión CRL-0</t>
  </si>
  <si>
    <t>B020001</t>
  </si>
  <si>
    <t>Emulsión CRL-1</t>
  </si>
  <si>
    <t>B020002</t>
  </si>
  <si>
    <t>Emulsión CRL-1h</t>
  </si>
  <si>
    <t>B020003</t>
  </si>
  <si>
    <t>Emulsión CRL-1hm</t>
  </si>
  <si>
    <t>B020004</t>
  </si>
  <si>
    <t>Emulsión CRM</t>
  </si>
  <si>
    <t>B020005</t>
  </si>
  <si>
    <t>Emulsión CRR-1</t>
  </si>
  <si>
    <t>B020007</t>
  </si>
  <si>
    <t>Emulsión CRR-1m</t>
  </si>
  <si>
    <t>B020006</t>
  </si>
  <si>
    <t>Emulsión CRR-2</t>
  </si>
  <si>
    <t>B020008</t>
  </si>
  <si>
    <t>Emulsión CRR-2m</t>
  </si>
  <si>
    <t>B020009</t>
  </si>
  <si>
    <t>Escolta y transporte (una tarifa por cada m3 escoltado y transportado)</t>
  </si>
  <si>
    <t>B015012</t>
  </si>
  <si>
    <t>Escolta y trasporte (Tarifa Porcentual de 40 %) por cada Metro Cubico exportado y trasportado</t>
  </si>
  <si>
    <t>%</t>
  </si>
  <si>
    <t>B015002</t>
  </si>
  <si>
    <t>Esferas reflectivas</t>
  </si>
  <si>
    <t>B0013940</t>
  </si>
  <si>
    <t>Estacas, Pintura, Tachuelas, Hilo (localización de estructuras y carreteras)</t>
  </si>
  <si>
    <t>glo</t>
  </si>
  <si>
    <t>B0013950</t>
  </si>
  <si>
    <t>Estacón en madera viva diámetro mayor a 10 cm, L=2 m</t>
  </si>
  <si>
    <t>B0013960</t>
  </si>
  <si>
    <t>Estoperol en resina de 11X3 cm</t>
  </si>
  <si>
    <t>B0013970</t>
  </si>
  <si>
    <t>Explosivos  75% (INDUGEL)</t>
  </si>
  <si>
    <t>lb</t>
  </si>
  <si>
    <t>B0013980</t>
  </si>
  <si>
    <t>Fertilizante Orgánico Mineral</t>
  </si>
  <si>
    <t>B0013991</t>
  </si>
  <si>
    <t>FORMALETA (Depende para que sea el Concreto)</t>
  </si>
  <si>
    <t>B021007</t>
  </si>
  <si>
    <t>Formaleta (gaviones, juntas de bordillos, juntas de cunetas, muros, concretos clase D,E, F y G)</t>
  </si>
  <si>
    <t>B021001</t>
  </si>
  <si>
    <t>Formaleta concreto clase A,B y C</t>
  </si>
  <si>
    <t>B021003</t>
  </si>
  <si>
    <t>B021002</t>
  </si>
  <si>
    <t>Formaleta para baranda de concreto</t>
  </si>
  <si>
    <t>B021004</t>
  </si>
  <si>
    <t>Formaleta para muros</t>
  </si>
  <si>
    <t>B021005</t>
  </si>
  <si>
    <t>Formaleta, platina y accesorios (escamas en concreto)</t>
  </si>
  <si>
    <t>B021006</t>
  </si>
  <si>
    <t>Fulminantes</t>
  </si>
  <si>
    <t>B0014040</t>
  </si>
  <si>
    <t>Fundente</t>
  </si>
  <si>
    <t>B0014050</t>
  </si>
  <si>
    <t>Gas propano</t>
  </si>
  <si>
    <t>B0014060</t>
  </si>
  <si>
    <t>Geodren circular diámetro 100 mm y altura 2.00 M</t>
  </si>
  <si>
    <t>B028001</t>
  </si>
  <si>
    <t>Geodren planar Diamet 100 mm y h=0.50</t>
  </si>
  <si>
    <t>B028002</t>
  </si>
  <si>
    <t>Geodren planar Diamet 100 mm y h=1.00</t>
  </si>
  <si>
    <t>B028003</t>
  </si>
  <si>
    <t>Geodren planar Diamet 100 mm y h=2.00</t>
  </si>
  <si>
    <t>B028004</t>
  </si>
  <si>
    <t>Geomalla Biaxial Para Refuerzo Pbx-11</t>
  </si>
  <si>
    <t>B0014112</t>
  </si>
  <si>
    <t>B0264112</t>
  </si>
  <si>
    <t>Geomalla Biaxial Para Refuerzo Pbx-12</t>
  </si>
  <si>
    <t>B0014113</t>
  </si>
  <si>
    <t>B0264113</t>
  </si>
  <si>
    <t>Geomalla en fibra de vidrio GLASGRID 8511</t>
  </si>
  <si>
    <t>B026010</t>
  </si>
  <si>
    <t>B026013</t>
  </si>
  <si>
    <t>Geomalla Forgrid UX100</t>
  </si>
  <si>
    <t>M2</t>
  </si>
  <si>
    <t>B0264116</t>
  </si>
  <si>
    <t>Geomalla Fort Gird UX-50</t>
  </si>
  <si>
    <t>B0264115</t>
  </si>
  <si>
    <t>Geomalla Tipo Asphalt</t>
  </si>
  <si>
    <t>B0014114</t>
  </si>
  <si>
    <t>B0264114</t>
  </si>
  <si>
    <t>Geomalla Uniaxial Pbx-11</t>
  </si>
  <si>
    <t>B0014111</t>
  </si>
  <si>
    <t>B0264111</t>
  </si>
  <si>
    <t>Geoterxtil T-4000 o similar</t>
  </si>
  <si>
    <t>B025002</t>
  </si>
  <si>
    <t>Geotextil Forte Grid UX-165</t>
  </si>
  <si>
    <t>B025100</t>
  </si>
  <si>
    <t>Geotextil Fortex BX-40</t>
  </si>
  <si>
    <t>B025101</t>
  </si>
  <si>
    <t>Geotextil No Tejido</t>
  </si>
  <si>
    <t>B025003</t>
  </si>
  <si>
    <t>Geotextil No Tejido para reparación</t>
  </si>
  <si>
    <t>B025004</t>
  </si>
  <si>
    <t>Geotextil Nt Repav 450 O Similar (Proveedores Pavco, Lafayet, Geomatrix, Tensar, Omnes U Otros)</t>
  </si>
  <si>
    <t>B025008</t>
  </si>
  <si>
    <t>Geotextil Nt-2500 O Similar (Proveedores, Pavco, Geomatrix, Tensar, Omnes U Otros)</t>
  </si>
  <si>
    <t>B025005</t>
  </si>
  <si>
    <t>Geotextil NT-3000 o similar (proveedores, Tensar, Omnes u otros)</t>
  </si>
  <si>
    <t>B025006</t>
  </si>
  <si>
    <t>Geotextil T-2100 O Similar (Proveedores Pavco, Lafayet, Geomatrix, Tensar, Omnes U Otros)</t>
  </si>
  <si>
    <t>B025011</t>
  </si>
  <si>
    <t>Geotextil T-2400 O Similar (Proveedores Lafayet, Pavco, Geomatrix, Tensar, Omnes U Otros)</t>
  </si>
  <si>
    <t>B025001</t>
  </si>
  <si>
    <t>Geotextil Tejido</t>
  </si>
  <si>
    <t>B025007</t>
  </si>
  <si>
    <t>B025009</t>
  </si>
  <si>
    <t>Grapas</t>
  </si>
  <si>
    <t>B0014180</t>
  </si>
  <si>
    <t>Grata de limpieza</t>
  </si>
  <si>
    <t>B0014184</t>
  </si>
  <si>
    <t>Gravilla</t>
  </si>
  <si>
    <t>B0014181</t>
  </si>
  <si>
    <t>Guadua</t>
  </si>
  <si>
    <t>B0014185</t>
  </si>
  <si>
    <t>Impermeabilizante para Concreto</t>
  </si>
  <si>
    <t>B0014191</t>
  </si>
  <si>
    <t>Impermeabilizante para concreto</t>
  </si>
  <si>
    <t>B033011</t>
  </si>
  <si>
    <t>Imprimante y puente de adherencia</t>
  </si>
  <si>
    <t>B0014190</t>
  </si>
  <si>
    <t>Junta elastomérica Jeene (J 8097VV)</t>
  </si>
  <si>
    <t>B021008</t>
  </si>
  <si>
    <t>Lamina 1,22 X 2,44 X 1/2´´</t>
  </si>
  <si>
    <t>B0014231</t>
  </si>
  <si>
    <t>Lamina 1,22 X 2,44 X 1/4´´</t>
  </si>
  <si>
    <t>B0014232</t>
  </si>
  <si>
    <t>Láminas impermeabilizantes</t>
  </si>
  <si>
    <t>B0014200</t>
  </si>
  <si>
    <t>Lechada Para Ductos (Acero De Preesfuerzo)</t>
  </si>
  <si>
    <t>B0014233</t>
  </si>
  <si>
    <t>Lechada para ductos (tensionamiento)</t>
  </si>
  <si>
    <t>B0014210</t>
  </si>
  <si>
    <t>Limpiador 1/4 de galón (anclajes)</t>
  </si>
  <si>
    <t>B0014220</t>
  </si>
  <si>
    <t>Listón en guadua para empradizar</t>
  </si>
  <si>
    <t>B0014230</t>
  </si>
  <si>
    <t>Lubricante Pvc X 500 G</t>
  </si>
  <si>
    <t>B0014234</t>
  </si>
  <si>
    <t>Malla Ciclónica Para Gaviones Galvanizada Aleación Zn-5A1-Mm Cal 12 (2M3)</t>
  </si>
  <si>
    <t>B033005</t>
  </si>
  <si>
    <t>Malla Ciclónica Para Gaviones Galvanizada Aleación Zn-5A1-Mm Y Plastificada Pvc Cal 12 (2M3)</t>
  </si>
  <si>
    <t>B033009</t>
  </si>
  <si>
    <t>Malla Ciclónica Para Gaviones Galvanizada Y Plastificada Con Pvc Cal 12 (2M3)</t>
  </si>
  <si>
    <t>B033006</t>
  </si>
  <si>
    <t>Malla Electrosoldada de 5/16</t>
  </si>
  <si>
    <t>B033010</t>
  </si>
  <si>
    <t>Malla eslabonada, calibre 10, 6 ojos</t>
  </si>
  <si>
    <t>B033001</t>
  </si>
  <si>
    <t>Malla Para Colchagaviones Espesor 0,30 M</t>
  </si>
  <si>
    <t>B033003</t>
  </si>
  <si>
    <t>Malla para gaviones (2M3)</t>
  </si>
  <si>
    <t>B033002</t>
  </si>
  <si>
    <t>Manguera De Alta Presión</t>
  </si>
  <si>
    <t>B0014235</t>
  </si>
  <si>
    <t>Manguera de alta presión</t>
  </si>
  <si>
    <t>B0014254</t>
  </si>
  <si>
    <t>Manguera de polietileno de 3´´</t>
  </si>
  <si>
    <t>B0014260</t>
  </si>
  <si>
    <t>Manto de refuerzo de vegetación tipo 5A</t>
  </si>
  <si>
    <t>B0014265</t>
  </si>
  <si>
    <t>Manto Permanente (Protección de Taludes)</t>
  </si>
  <si>
    <t>B0014267</t>
  </si>
  <si>
    <t>Manto Temporal (Protección de Taludes)</t>
  </si>
  <si>
    <t>B0014266</t>
  </si>
  <si>
    <t>Material  de afirmado de la Zona</t>
  </si>
  <si>
    <t>B0014281</t>
  </si>
  <si>
    <t>Material  Granular Tipo SBG</t>
  </si>
  <si>
    <t>B0014271</t>
  </si>
  <si>
    <t>Material de afirmado</t>
  </si>
  <si>
    <t>B0014270</t>
  </si>
  <si>
    <t>Material de Base</t>
  </si>
  <si>
    <t>B0014291</t>
  </si>
  <si>
    <t>Material de base (gradación 1)</t>
  </si>
  <si>
    <t>B0014300</t>
  </si>
  <si>
    <t>Material de base (gradación 2)</t>
  </si>
  <si>
    <t>B0014310</t>
  </si>
  <si>
    <t>Material de base (gradación 3)</t>
  </si>
  <si>
    <t>B0014320</t>
  </si>
  <si>
    <t>Material de base procesado en planta (gradación 1, 2)</t>
  </si>
  <si>
    <t>B0014322</t>
  </si>
  <si>
    <t>Material de base reciclada (manejo)</t>
  </si>
  <si>
    <t>B0014292</t>
  </si>
  <si>
    <t>Material de la zona (para estabilizar bases)</t>
  </si>
  <si>
    <t>B0014330</t>
  </si>
  <si>
    <t>Material de Recebo Para Relleno</t>
  </si>
  <si>
    <t>B0014373</t>
  </si>
  <si>
    <t>Material de Remoción</t>
  </si>
  <si>
    <t>B0014411</t>
  </si>
  <si>
    <t>Material de Sub- Base CBR=20%</t>
  </si>
  <si>
    <t>B0014340</t>
  </si>
  <si>
    <t>Material de Sub- Base CBR=30%</t>
  </si>
  <si>
    <t>B0014350</t>
  </si>
  <si>
    <t>Material de Sub Base CBR=40%</t>
  </si>
  <si>
    <t>B0014361</t>
  </si>
  <si>
    <t>Material de Sub- Base para bacheo</t>
  </si>
  <si>
    <t>B0014370</t>
  </si>
  <si>
    <t>Material de Sub- Base procesado en planta (tipo 1 o tipo 2)</t>
  </si>
  <si>
    <t>B0014372</t>
  </si>
  <si>
    <t>Material drenante (3´´)</t>
  </si>
  <si>
    <t>B0014380</t>
  </si>
  <si>
    <t>Material filtrante (6´´)</t>
  </si>
  <si>
    <t>B0014390</t>
  </si>
  <si>
    <t>Material Granular Tipo  BG</t>
  </si>
  <si>
    <t>B0014272</t>
  </si>
  <si>
    <t>Material para pedraplén</t>
  </si>
  <si>
    <t>B0014400</t>
  </si>
  <si>
    <t>Material para solado y atraque</t>
  </si>
  <si>
    <t>B0014402</t>
  </si>
  <si>
    <t>Material seleccionado para Relleno</t>
  </si>
  <si>
    <t>B0014410</t>
  </si>
  <si>
    <t>Mecha Lenta</t>
  </si>
  <si>
    <t>B0014420</t>
  </si>
  <si>
    <t>Mezcla abierta en caliente MAC-1</t>
  </si>
  <si>
    <t>B0014430</t>
  </si>
  <si>
    <t>Mezcla abierta en caliente MAC-2</t>
  </si>
  <si>
    <t>B0014440</t>
  </si>
  <si>
    <t>Mezcla abierta en caliente MAC-3</t>
  </si>
  <si>
    <t>B0014450</t>
  </si>
  <si>
    <t>Mezcla Abierta en Frio  MAF-25</t>
  </si>
  <si>
    <t>M3</t>
  </si>
  <si>
    <t>B0014542</t>
  </si>
  <si>
    <t>Mezcla Abierta en Frío MAF-19</t>
  </si>
  <si>
    <t>B0014461</t>
  </si>
  <si>
    <t>Mezcla Abierta en Frio MAF-38</t>
  </si>
  <si>
    <t>B0014469</t>
  </si>
  <si>
    <t>Mezcla Densa en caliente MDC-0</t>
  </si>
  <si>
    <t>B0014490</t>
  </si>
  <si>
    <t>Mezcla Densa en caliente MDC-10</t>
  </si>
  <si>
    <t>B0014501</t>
  </si>
  <si>
    <t>Mezcla densa en Caliente MDC-19</t>
  </si>
  <si>
    <t>B0014502</t>
  </si>
  <si>
    <t>Mezcla densa en Caliente MDC-25</t>
  </si>
  <si>
    <t>B0014511</t>
  </si>
  <si>
    <t>Mezcla Densa en Frio MDF-19</t>
  </si>
  <si>
    <t>B0014531</t>
  </si>
  <si>
    <t>Mezcla Densa en Frio MDF-25</t>
  </si>
  <si>
    <t>B0014541</t>
  </si>
  <si>
    <t>Mezcla Densa en Frio MDF-38</t>
  </si>
  <si>
    <t>B0014551</t>
  </si>
  <si>
    <t>Mezcla Densa en Frio para Bacheo</t>
  </si>
  <si>
    <t>B0014552</t>
  </si>
  <si>
    <t>Mezcla discontinua en caliente F-1</t>
  </si>
  <si>
    <t>B0014560</t>
  </si>
  <si>
    <t>Mezcla discontinua en caliente F-2</t>
  </si>
  <si>
    <t>B0014570</t>
  </si>
  <si>
    <t>Mezcla discontinua en caliente M-1</t>
  </si>
  <si>
    <t>B0014580</t>
  </si>
  <si>
    <t>Mezcla discontinua en caliente M-2</t>
  </si>
  <si>
    <t>B0014590</t>
  </si>
  <si>
    <t>Mezcla Fértil</t>
  </si>
  <si>
    <t>B0014601</t>
  </si>
  <si>
    <t>Mezcla gruesa en caliente tipo MGC-1</t>
  </si>
  <si>
    <t>B0014600</t>
  </si>
  <si>
    <t>Mezcla Semidensa en Caliente MSC-19</t>
  </si>
  <si>
    <t>B0014421</t>
  </si>
  <si>
    <t>Mortero 1:3</t>
  </si>
  <si>
    <t>B0014610</t>
  </si>
  <si>
    <t>Mortero 1:3 De recubrimiento</t>
  </si>
  <si>
    <t>B0014611</t>
  </si>
  <si>
    <t>Mortero 1:3 Para Anillos</t>
  </si>
  <si>
    <t>B0014236</t>
  </si>
  <si>
    <t>Mortero alta resistencia (Eucocrete)</t>
  </si>
  <si>
    <t>B0014240</t>
  </si>
  <si>
    <t>Mulch Orgánico</t>
  </si>
  <si>
    <t>B0014237</t>
  </si>
  <si>
    <t>Nutrientes (para remoción de especies vegetales) (dap, triple 15 o similar) (ítem 201.9)</t>
  </si>
  <si>
    <t>B0014620</t>
  </si>
  <si>
    <t>Obra falsa concreto clase A y B (puntal de 3m metálico)</t>
  </si>
  <si>
    <t>B0014630</t>
  </si>
  <si>
    <t>Oxigeno industrial</t>
  </si>
  <si>
    <t>B0014640</t>
  </si>
  <si>
    <t>Paral en madera rolliza de 3´´ (tablestacados)</t>
  </si>
  <si>
    <t>B0014650</t>
  </si>
  <si>
    <t>Paral en madera rolliza de 5´´ y 4,5m de longitud (tablestacados)</t>
  </si>
  <si>
    <t>B0014660</t>
  </si>
  <si>
    <t>Paral en madera rolliza de 6´´ y 5m de longitud (tablestacados)</t>
  </si>
  <si>
    <t>B0014670</t>
  </si>
  <si>
    <t>Paral en madera rolliza de 6´´ y 8m de longitud (tablestacados)</t>
  </si>
  <si>
    <t>B0014680</t>
  </si>
  <si>
    <t>Pegante epóxico</t>
  </si>
  <si>
    <t>B0014690</t>
  </si>
  <si>
    <t>Perfil Hea 200</t>
  </si>
  <si>
    <t>B0014701</t>
  </si>
  <si>
    <t>Piedra para Concreto Ciclópeo (Rajón o Canto Rodado)</t>
  </si>
  <si>
    <t>B0014702</t>
  </si>
  <si>
    <t>Piedra para concreto ciclópeo (rajón o canto rodado)</t>
  </si>
  <si>
    <t>B0014700</t>
  </si>
  <si>
    <t>Piedra para gavión</t>
  </si>
  <si>
    <t>B0014710</t>
  </si>
  <si>
    <t>Pilote de madera diam mayor a 18 cm.</t>
  </si>
  <si>
    <t>B0014720</t>
  </si>
  <si>
    <t>Pilote en madera barbosco de 15*15</t>
  </si>
  <si>
    <t>B0014730</t>
  </si>
  <si>
    <t>Pintura acrílica pura para tráfico</t>
  </si>
  <si>
    <t>B0014740</t>
  </si>
  <si>
    <t>Pintura acrílica, esmalte o similar</t>
  </si>
  <si>
    <t>B0014750</t>
  </si>
  <si>
    <t>B0014760</t>
  </si>
  <si>
    <t>Pintura Impermeabilizante</t>
  </si>
  <si>
    <t>g</t>
  </si>
  <si>
    <t>B0014238</t>
  </si>
  <si>
    <t>Pintura Imprimante</t>
  </si>
  <si>
    <t>B0014239</t>
  </si>
  <si>
    <t>Piscina de decantación de (3*3*1)</t>
  </si>
  <si>
    <t>B0014770</t>
  </si>
  <si>
    <t>Plastificante (Sikament)</t>
  </si>
  <si>
    <t>B0014772</t>
  </si>
  <si>
    <t>Platina de 1´´ x 1/4´´ (cerramiento en malla)</t>
  </si>
  <si>
    <t>B0014780</t>
  </si>
  <si>
    <t>Poste de madera para cercas</t>
  </si>
  <si>
    <t>B0014790</t>
  </si>
  <si>
    <t>Poste en angulo de 2*2*1/4 de 3,5m para señal</t>
  </si>
  <si>
    <t>B0014800</t>
  </si>
  <si>
    <t>Poste kilometraje</t>
  </si>
  <si>
    <t>B0014810</t>
  </si>
  <si>
    <t>Postes De Concreto Para Cercas 2,00 Mts</t>
  </si>
  <si>
    <t>B0014831</t>
  </si>
  <si>
    <t>Postes de concreto para cercas</t>
  </si>
  <si>
    <t>B0014820</t>
  </si>
  <si>
    <t>Postes para defensa metálica (1,80m)</t>
  </si>
  <si>
    <t>B0014830</t>
  </si>
  <si>
    <t>Puntilla</t>
  </si>
  <si>
    <t>B0014840</t>
  </si>
  <si>
    <t>Químico estabilizante (PROBASE)</t>
  </si>
  <si>
    <t>B0014850</t>
  </si>
  <si>
    <t>Refuerzo de 3/8'' 60000 psi</t>
  </si>
  <si>
    <t>B0014860</t>
  </si>
  <si>
    <t>Resina termoplástica</t>
  </si>
  <si>
    <t>B0014870</t>
  </si>
  <si>
    <t>Salida en PVC D=2´´</t>
  </si>
  <si>
    <t>B0014880</t>
  </si>
  <si>
    <t>Sección De Tope Defensa Metálica</t>
  </si>
  <si>
    <t>B0014893</t>
  </si>
  <si>
    <t>Sección final de defensa metálica</t>
  </si>
  <si>
    <t>B0014890</t>
  </si>
  <si>
    <t>Sección tope</t>
  </si>
  <si>
    <t>B0014892</t>
  </si>
  <si>
    <t>Sello de silicona o sellador autonivelante</t>
  </si>
  <si>
    <t>B0014900</t>
  </si>
  <si>
    <t>Semilla Para Empradizar Tipo Braquiaria</t>
  </si>
  <si>
    <t>B0014894</t>
  </si>
  <si>
    <t>Semillas para empradizar</t>
  </si>
  <si>
    <t>B0014910</t>
  </si>
  <si>
    <t>Señal (grupo 1) tablero en lamina galvanizada de 90*90 cm, calibre 16 reflectivo tipo 1./ incluye poste)</t>
  </si>
  <si>
    <t>B0014920</t>
  </si>
  <si>
    <t>Señal (grupo 1). Tablero en lámina galvanizada de 75cm*75cm, calibre 16, reflectivo tipo 1/ incluye poste )</t>
  </si>
  <si>
    <t>B0014930</t>
  </si>
  <si>
    <t>Señal (grupo 2). Tablero en lámina galvanizado de 1,2m*0,4m, calibre 16, reflectivo tipo 1.</t>
  </si>
  <si>
    <t>B0014940</t>
  </si>
  <si>
    <t>Señal (grupo 3 ferrocarril) (SP-54). Tablero en lámina galvanizado de 2,4m*0,3m, calibre 16, reflectivo tipo 1.</t>
  </si>
  <si>
    <t>B0014950</t>
  </si>
  <si>
    <t>Señal (grupo 4). Tablero en lámina galvanizado de 60cm*75cm, calibre 16, reflectivo tipo 1. (delineador de curva horizontal)</t>
  </si>
  <si>
    <t>B0014960</t>
  </si>
  <si>
    <t>Señal (grupo 5). Tablero en lámina galvanizado de 0,90m*1,13m, calibre 16, reflectivo tipo 1.</t>
  </si>
  <si>
    <t>B0014970</t>
  </si>
  <si>
    <t>Señal temporal preventiva</t>
  </si>
  <si>
    <t>B0014980</t>
  </si>
  <si>
    <t>Sika Color C</t>
  </si>
  <si>
    <t>B0014895</t>
  </si>
  <si>
    <t>Sika Top 122</t>
  </si>
  <si>
    <t>B0014898</t>
  </si>
  <si>
    <t>Sika Top Armatec 108</t>
  </si>
  <si>
    <t>B0014897</t>
  </si>
  <si>
    <t>Sikadur 32 Primer</t>
  </si>
  <si>
    <t>B0014896</t>
  </si>
  <si>
    <t>Sikaset L - Acelerante</t>
  </si>
  <si>
    <t>B0014899</t>
  </si>
  <si>
    <t>Soldadura 6013 de 1/8</t>
  </si>
  <si>
    <t>B0015000</t>
  </si>
  <si>
    <t>Soldadura 7018</t>
  </si>
  <si>
    <t>B0015010</t>
  </si>
  <si>
    <t>Soldadura E70XX o en arco sumergido</t>
  </si>
  <si>
    <t>B0015032</t>
  </si>
  <si>
    <t>Soldadura en PVC 1/8 de galón (anclajes)</t>
  </si>
  <si>
    <t>B0015020</t>
  </si>
  <si>
    <t>Soldadura L-70</t>
  </si>
  <si>
    <t>B0015030</t>
  </si>
  <si>
    <t>Superplastificante Sikament</t>
  </si>
  <si>
    <t>B0015040</t>
  </si>
  <si>
    <t>Tabla burda en madera aserrada (0,30*0,03*3,00)</t>
  </si>
  <si>
    <t>B0015050</t>
  </si>
  <si>
    <t>Tablero en lámina galvanizada de 1,2 cm*0,4 cm, calibre 16, reflectivo tipo 1.</t>
  </si>
  <si>
    <t>B0015064</t>
  </si>
  <si>
    <t>Tablero en lámina galvanizada de 2,4 m*30 cm, calibre 16, reflectivo tipo 1.</t>
  </si>
  <si>
    <t>B0015066</t>
  </si>
  <si>
    <t>Tablero en lámina galvanizada de 60 cm*75cm, calibre 16, reflectivo tipo 1</t>
  </si>
  <si>
    <t>B0015063</t>
  </si>
  <si>
    <t>Tablero en lámina galvanizada de 75cm*75cm, calibre 16, reflectivo tipo 1. Incluye poste de 2*2*1/4´´</t>
  </si>
  <si>
    <t>B0015062</t>
  </si>
  <si>
    <t>Tablero en lámina galvanizado de 0,90m*1,13m, calibre 16, reflectivo tipo 1.</t>
  </si>
  <si>
    <t>B0015068</t>
  </si>
  <si>
    <t>Tablestaca de madera aserrada (0.25x0.03x3)</t>
  </si>
  <si>
    <t>B0015071</t>
  </si>
  <si>
    <t>Tablestaca en madera aserrada (0,25*0,05*3)</t>
  </si>
  <si>
    <t>B0015060</t>
  </si>
  <si>
    <t>Tablestaca en madera aserrada (0,3*0,03*3)</t>
  </si>
  <si>
    <t>B0015070</t>
  </si>
  <si>
    <t>Tablestaca metálica (riel de 70 lb/yarda)</t>
  </si>
  <si>
    <t>B0015080</t>
  </si>
  <si>
    <t>Tacha reflectiva</t>
  </si>
  <si>
    <t>B0015090</t>
  </si>
  <si>
    <t>Tachón en resina de (50*15*8) cm</t>
  </si>
  <si>
    <t>B0015100</t>
  </si>
  <si>
    <t>Tapón en PVC RD21 de 1´´ (para anclaje)</t>
  </si>
  <si>
    <t>B0015110</t>
  </si>
  <si>
    <t>Tierra abonada</t>
  </si>
  <si>
    <t>B0015130</t>
  </si>
  <si>
    <t>Tierra común</t>
  </si>
  <si>
    <t>B0015120</t>
  </si>
  <si>
    <t>Tornillos de Unión de D= 12 mm</t>
  </si>
  <si>
    <t>B0015141</t>
  </si>
  <si>
    <t>Tornillos para defensa metálica</t>
  </si>
  <si>
    <t>B0015140</t>
  </si>
  <si>
    <t>Torón de tensionmiento 1/2´´ o 5/8´´</t>
  </si>
  <si>
    <t>B0015150</t>
  </si>
  <si>
    <t>Tramo Curvo De 4,13 M Galvanizado</t>
  </si>
  <si>
    <t>B0015162</t>
  </si>
  <si>
    <t>Tramo Final O Terminal 2,5 Mm, De 71 Cm Galvanizado</t>
  </si>
  <si>
    <t>B0015161</t>
  </si>
  <si>
    <t>Tramo recto para defensas metálicas (4,13m)</t>
  </si>
  <si>
    <t>B0015160</t>
  </si>
  <si>
    <t>Transductores Electrónicos (Incluye Cables, Protección Contra El Concreto Y Panel De Lectura)</t>
  </si>
  <si>
    <t>B0014901</t>
  </si>
  <si>
    <t>Transductores electrónicos (incluye cables, protección contra el concreto y panel de lectura)</t>
  </si>
  <si>
    <t>B0015164</t>
  </si>
  <si>
    <t>Transductores Mecánicos (Incluye Cables, Protección Contra El Concreto Y Panel De Lectura)</t>
  </si>
  <si>
    <t>B0014902</t>
  </si>
  <si>
    <t>Transductores mecánicos (incluye cables, protección contra el concreto y panel de lectura)</t>
  </si>
  <si>
    <t>B0015166</t>
  </si>
  <si>
    <t>Triturado tamaño 1/2''</t>
  </si>
  <si>
    <t>B0015350</t>
  </si>
  <si>
    <t>Trompetas de 12 torones (tensionamiento)</t>
  </si>
  <si>
    <t>B0015170</t>
  </si>
  <si>
    <t>Tubería D=4´´ tipo pesado, E=2mm (baranda metálica)</t>
  </si>
  <si>
    <t>B0015180</t>
  </si>
  <si>
    <t>Tubería de 10´´ PAA vaciado tremi de 4 mts</t>
  </si>
  <si>
    <t>B0015230</t>
  </si>
  <si>
    <t>Tubería de Plástico</t>
  </si>
  <si>
    <t>B0015233</t>
  </si>
  <si>
    <t>Tubería en H de D=1/4´´, H=1.40m, A=0.20m (baranda metálica)</t>
  </si>
  <si>
    <t>B0015190</t>
  </si>
  <si>
    <t>Tubería Perforada en PVC de 2´´</t>
  </si>
  <si>
    <t>B0015200</t>
  </si>
  <si>
    <t>Tubería Petrolera 7´´</t>
  </si>
  <si>
    <t>B0015340</t>
  </si>
  <si>
    <t>Tubería Pvc Alcantarillado D= 24´´</t>
  </si>
  <si>
    <t>B0015231</t>
  </si>
  <si>
    <t>Tubería Pvc Alcantarillado D= 36´´</t>
  </si>
  <si>
    <t>B0015232</t>
  </si>
  <si>
    <t>Tubería PVC de 1´´ (para escamas en concreto)</t>
  </si>
  <si>
    <t>B0015220</t>
  </si>
  <si>
    <t>Tubería PVC RD21 de 1´´ (para anclajes)</t>
  </si>
  <si>
    <t>B0015210</t>
  </si>
  <si>
    <t>Tubo concreto clase C, D=0,25 m</t>
  </si>
  <si>
    <t>B0015254</t>
  </si>
  <si>
    <t>Tubo concreto reforzado 900mm (tipo 1)</t>
  </si>
  <si>
    <t>B0015240</t>
  </si>
  <si>
    <t>Tubo concreto reforzado 900mm (tipo 2)</t>
  </si>
  <si>
    <t>B0015250</t>
  </si>
  <si>
    <t>Tubo concreto simple 450 mm</t>
  </si>
  <si>
    <t>B0015260</t>
  </si>
  <si>
    <t>Tubo concreto simple 500 mm</t>
  </si>
  <si>
    <t>B0015270</t>
  </si>
  <si>
    <t>Tubo concreto simple 600 mm</t>
  </si>
  <si>
    <t>B0015280</t>
  </si>
  <si>
    <t>Tubo concreto simple 750 mm</t>
  </si>
  <si>
    <t>B0015290</t>
  </si>
  <si>
    <t>Tubo corrugado de acero galvanizado MP-68</t>
  </si>
  <si>
    <t>B0015300</t>
  </si>
  <si>
    <t>Tubo metálico con recubrimiento bituminoso de lámina calibre 12 y diámetro de 60''</t>
  </si>
  <si>
    <t>B0015360</t>
  </si>
  <si>
    <t>Tubo metálico de alta resistencia</t>
  </si>
  <si>
    <t>B0015304</t>
  </si>
  <si>
    <t>Tubo Metálico De Alta Resistencia</t>
  </si>
  <si>
    <t>B0015305</t>
  </si>
  <si>
    <t>Tubo para cerramiento, calibre 16 de 2,7m (cerramientos en malla)</t>
  </si>
  <si>
    <t>B0015310</t>
  </si>
  <si>
    <t>Unión en PVC D=2´´</t>
  </si>
  <si>
    <t>B0015330</t>
  </si>
  <si>
    <t>Unión en PVC RD21 de 1´´ (para anclajes)</t>
  </si>
  <si>
    <t>B0015320</t>
  </si>
  <si>
    <t>Uniones especiales de alta resistencia para tubería</t>
  </si>
  <si>
    <t>B0015334</t>
  </si>
  <si>
    <t>Uniones Especiales De Alta Resistencia Para Tubería</t>
  </si>
  <si>
    <t>B0015362</t>
  </si>
  <si>
    <t>Varilla 5/8</t>
  </si>
  <si>
    <t>B0015361</t>
  </si>
  <si>
    <t>CÓDIGOS</t>
  </si>
  <si>
    <t>CATÁLOGO DE EQUIPOS Y HERRAMIENTAS</t>
  </si>
  <si>
    <t>RYR-CO-009</t>
  </si>
  <si>
    <t>RYR-CO-007</t>
  </si>
  <si>
    <t>RYR-CO-008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</si>
</sst>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 #,##0.00"/>
    <numFmt numFmtId="165" formatCode="_-&quot;$ &quot;* #,##0.00_-;&quot;-$ &quot;* #,##0.00_-;_-&quot;$ &quot;* \-??_-;_-@_-"/>
    <numFmt numFmtId="166" formatCode="0.000"/>
    <numFmt numFmtId="167" formatCode="0.0%"/>
    <numFmt numFmtId="168" formatCode="&quot;$ &quot;#,##0"/>
    <numFmt numFmtId="169" formatCode="dd/mm/yyyy"/>
    <numFmt numFmtId="171" formatCode="&quot;$&quot;\ #,##0.00"/>
  </numFmts>
  <fonts count="163"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8"/>
      <color rgb="FF8A8F99"/>
      <name val="Cambria"/>
      <family val="1"/>
      <charset val="1"/>
    </font>
    <font>
      <sz val="11"/>
      <color theme="1"/>
      <name val="Tahoma"/>
      <family val="2"/>
      <charset val="1"/>
    </font>
    <font>
      <sz val="10"/>
      <name val="Tahoma"/>
      <family val="2"/>
      <charset val="1"/>
    </font>
    <font>
      <sz val="16"/>
      <color rgb="FFFFFFFF"/>
      <name val="Franklin Gothic Demi Cond"/>
      <family val="2"/>
      <charset val="1"/>
    </font>
    <font>
      <i/>
      <sz val="9"/>
      <color theme="3" tint="-0.499984740745262"/>
      <name val="Arial"/>
      <family val="2"/>
      <charset val="1"/>
    </font>
    <font>
      <b/>
      <sz val="16"/>
      <color rgb="FFFFFFFF"/>
      <name val="Arial"/>
      <family val="2"/>
      <charset val="1"/>
    </font>
    <font>
      <b/>
      <sz val="9"/>
      <color theme="0"/>
      <name val="Arial"/>
      <family val="2"/>
      <charset val="1"/>
    </font>
    <font>
      <b/>
      <sz val="9"/>
      <color theme="3" tint="-0.499984740745262"/>
      <name val="Arial"/>
      <family val="2"/>
      <charset val="1"/>
    </font>
    <font>
      <b/>
      <sz val="9"/>
      <color rgb="FFFFFFFF"/>
      <name val="Arial"/>
      <family val="2"/>
      <charset val="1"/>
    </font>
    <font>
      <b/>
      <sz val="9"/>
      <name val="Arial"/>
      <family val="2"/>
      <charset val="1"/>
    </font>
    <font>
      <sz val="9"/>
      <name val="Arial"/>
      <family val="2"/>
      <charset val="1"/>
    </font>
    <font>
      <sz val="7"/>
      <color rgb="FF8A8F99"/>
      <name val="Cambria"/>
      <family val="1"/>
      <charset val="1"/>
    </font>
    <font>
      <b/>
      <sz val="11"/>
      <color rgb="FFFFFFFF"/>
      <name val="Calibri"/>
      <family val="2"/>
      <charset val="1"/>
    </font>
    <font>
      <b/>
      <sz val="8"/>
      <color rgb="FF17365D"/>
      <name val="Calibri"/>
      <family val="2"/>
      <charset val="1"/>
    </font>
    <font>
      <b/>
      <sz val="11"/>
      <color theme="1"/>
      <name val="Calibri"/>
      <family val="2"/>
      <charset val="1"/>
    </font>
    <font>
      <b/>
      <sz val="10"/>
      <color rgb="FFFFFFFF"/>
      <name val="Calibri"/>
      <family val="2"/>
      <charset val="1"/>
    </font>
    <font>
      <b/>
      <sz val="11"/>
      <color rgb="FF17365D"/>
      <name val="Calibri"/>
      <family val="2"/>
      <charset val="1"/>
    </font>
    <font>
      <b/>
      <sz val="11"/>
      <color rgb="FF203040"/>
      <name val="Calibri"/>
      <family val="2"/>
      <charset val="1"/>
    </font>
    <font>
      <i/>
      <sz val="9"/>
      <color rgb="FF666666"/>
      <name val="Calibri"/>
      <family val="2"/>
      <charset val="1"/>
    </font>
    <font>
      <sz val="10"/>
      <color rgb="FF666666"/>
      <name val="Calibri"/>
      <family val="2"/>
      <charset val="1"/>
    </font>
    <font>
      <b/>
      <u/>
      <sz val="8"/>
      <color rgb="FF203040"/>
      <name val="Calibri"/>
      <family val="2"/>
      <charset val="1"/>
    </font>
    <font>
      <sz val="11"/>
      <color theme="1"/>
      <name val="Calibri"/>
      <family val="2"/>
      <charset val="1"/>
    </font>
    <font>
      <b/>
      <sz val="11"/>
      <color theme="0"/>
      <name val="Calibri"/>
      <family val="2"/>
      <scheme val="minor"/>
    </font>
    <font>
      <b/>
      <sz val="11"/>
      <color theme="1"/>
      <name val="Calibri"/>
      <family val="2"/>
      <scheme val="minor"/>
    </font>
    <font>
      <sz val="11"/>
      <color theme="0"/>
      <name val="Calibri"/>
      <family val="2"/>
      <scheme val="minor"/>
    </font>
    <font>
      <sz val="10"/>
      <color theme="1"/>
      <name val="Calibri"/>
      <family val="2"/>
      <charset val="1"/>
    </font>
    <font>
      <b/>
      <sz val="16"/>
      <color theme="0"/>
      <name val="Arial"/>
      <family val="2"/>
    </font>
    <font>
      <sz val="10"/>
      <color theme="0"/>
      <name val="Calibri"/>
      <family val="2"/>
      <scheme val="minor"/>
    </font>
    <font>
      <sz val="10"/>
      <name val="Calibri"/>
      <family val="2"/>
      <scheme val="minor"/>
    </font>
    <font>
      <sz val="10"/>
      <color theme="1"/>
      <name val="Calibri"/>
      <family val="2"/>
      <scheme val="minor"/>
    </font>
    <font>
      <b/>
      <sz val="9"/>
      <color theme="3" tint="-0.499984740745262"/>
      <name val="Calibri"/>
      <family val="2"/>
      <scheme val="minor"/>
    </font>
    <font>
      <sz val="11"/>
      <name val="Calibri"/>
      <family val="2"/>
      <scheme val="minor"/>
    </font>
    <font>
      <b/>
      <sz val="11"/>
      <color theme="3" tint="-0.499984740745262"/>
      <name val="Calibri"/>
      <family val="2"/>
      <scheme val="minor"/>
    </font>
    <font>
      <sz val="10"/>
      <color theme="3" tint="-0.499984740745262"/>
      <name val="Calibri"/>
      <family val="2"/>
      <scheme val="minor"/>
    </font>
    <font>
      <b/>
      <sz val="11"/>
      <color rgb="FFFFFFFF"/>
      <name val="Calibri"/>
      <family val="2"/>
      <scheme val="minor"/>
    </font>
    <font>
      <b/>
      <sz val="10"/>
      <color rgb="FFFFFFFF"/>
      <name val="Calibri"/>
      <family val="2"/>
      <scheme val="minor"/>
    </font>
    <font>
      <sz val="9"/>
      <name val="Calibri"/>
      <family val="2"/>
    </font>
    <font>
      <sz val="10"/>
      <color theme="0"/>
      <name val="Calibri"/>
      <family val="2"/>
    </font>
    <font>
      <sz val="10"/>
      <color rgb="FFFFFFFF"/>
      <name val="Calibri"/>
      <family val="2"/>
    </font>
    <font>
      <sz val="11"/>
      <color theme="1"/>
      <name val="Calibri"/>
      <family val="2"/>
    </font>
    <font>
      <sz val="11"/>
      <color theme="3" tint="-0.499984740745262"/>
      <name val="Calibri"/>
      <family val="2"/>
    </font>
    <font>
      <sz val="10"/>
      <color theme="1"/>
      <name val="Calibri"/>
      <family val="2"/>
    </font>
    <font>
      <b/>
      <sz val="10"/>
      <color theme="3" tint="-0.499984740745262"/>
      <name val="Calibri"/>
      <family val="2"/>
    </font>
    <font>
      <sz val="11"/>
      <color theme="0"/>
      <name val="Calibri"/>
      <family val="2"/>
    </font>
    <font>
      <sz val="11"/>
      <name val="Calibri"/>
      <family val="2"/>
    </font>
    <font>
      <i/>
      <sz val="8.5"/>
      <name val="Calibri"/>
      <family val="2"/>
    </font>
    <font>
      <b/>
      <sz val="10"/>
      <color rgb="FF17365D"/>
      <name val="Calibri"/>
      <family val="2"/>
      <scheme val="minor"/>
    </font>
    <font>
      <b/>
      <sz val="10"/>
      <color rgb="FF17365D"/>
      <name val="Calibri"/>
      <family val="2"/>
    </font>
    <font>
      <b/>
      <sz val="11"/>
      <color rgb="FFFFFFFF"/>
      <name val="Calibri"/>
      <family val="2"/>
    </font>
    <font>
      <b/>
      <sz val="11"/>
      <name val="Calibri"/>
      <family val="2"/>
      <scheme val="minor"/>
    </font>
    <font>
      <b/>
      <sz val="10"/>
      <color theme="0"/>
      <name val="Calibri"/>
      <family val="2"/>
      <scheme val="minor"/>
    </font>
    <font>
      <b/>
      <sz val="10"/>
      <color theme="3" tint="-0.499984740745262"/>
      <name val="Calibri"/>
      <family val="2"/>
      <scheme val="minor"/>
    </font>
    <font>
      <b/>
      <sz val="10"/>
      <color theme="0"/>
      <name val="Calibri"/>
      <family val="2"/>
    </font>
    <font>
      <b/>
      <sz val="10"/>
      <name val="Calibri"/>
      <family val="2"/>
      <scheme val="minor"/>
    </font>
    <font>
      <b/>
      <sz val="9"/>
      <color theme="3" tint="-0.499984740745262"/>
      <name val="Calibri"/>
      <family val="2"/>
    </font>
    <font>
      <sz val="10"/>
      <name val="Calibri"/>
      <family val="2"/>
    </font>
    <font>
      <b/>
      <sz val="8"/>
      <color theme="1"/>
      <name val="Calibri"/>
      <family val="2"/>
      <scheme val="minor"/>
    </font>
    <font>
      <b/>
      <sz val="10"/>
      <name val="Calibri"/>
      <family val="2"/>
    </font>
    <font>
      <b/>
      <sz val="11"/>
      <color theme="1"/>
      <name val="Calibri"/>
      <family val="2"/>
    </font>
    <font>
      <b/>
      <sz val="11"/>
      <color theme="3" tint="-0.499984740745262"/>
      <name val="Calibri"/>
      <family val="2"/>
    </font>
    <font>
      <b/>
      <sz val="11"/>
      <color theme="0"/>
      <name val="Calibri"/>
      <family val="2"/>
    </font>
    <font>
      <b/>
      <sz val="9"/>
      <color rgb="FF17365D"/>
      <name val="Calibri"/>
      <family val="2"/>
    </font>
    <font>
      <b/>
      <sz val="9"/>
      <color rgb="FF17365D"/>
      <name val="Calibri"/>
      <family val="2"/>
      <scheme val="minor"/>
    </font>
    <font>
      <b/>
      <sz val="28"/>
      <color theme="0"/>
      <name val="Arial"/>
      <family val="2"/>
    </font>
    <font>
      <b/>
      <sz val="9"/>
      <name val="Calibri"/>
      <family val="2"/>
    </font>
    <font>
      <i/>
      <sz val="9"/>
      <color theme="0" tint="-0.34998626667073579"/>
      <name val="Calibri"/>
      <family val="2"/>
      <scheme val="minor"/>
    </font>
    <font>
      <i/>
      <sz val="9"/>
      <color rgb="FF4A4A4A"/>
      <name val="Calibri"/>
      <family val="2"/>
      <scheme val="minor"/>
    </font>
    <font>
      <b/>
      <sz val="11"/>
      <color rgb="FF17365D"/>
      <name val="Calibri"/>
      <family val="2"/>
      <scheme val="minor"/>
    </font>
    <font>
      <sz val="11"/>
      <color theme="0" tint="-0.499984740745262"/>
      <name val="Calibri"/>
      <family val="2"/>
    </font>
    <font>
      <sz val="10"/>
      <color rgb="FF0000FF"/>
      <name val="Calibri"/>
      <family val="2"/>
    </font>
    <font>
      <i/>
      <sz val="8"/>
      <color rgb="FF7F7F7F"/>
      <name val="Calibri"/>
      <family val="2"/>
    </font>
    <font>
      <b/>
      <sz val="10"/>
      <color rgb="FF17365D"/>
      <name val="Calibri"/>
      <family val="2"/>
      <charset val="1"/>
    </font>
    <font>
      <b/>
      <sz val="10"/>
      <color theme="1"/>
      <name val="Calibri"/>
      <family val="2"/>
      <charset val="1"/>
    </font>
    <font>
      <b/>
      <i/>
      <sz val="8"/>
      <color theme="1"/>
      <name val="Calibri"/>
      <family val="2"/>
      <charset val="1"/>
    </font>
    <font>
      <b/>
      <sz val="9"/>
      <color theme="0"/>
      <name val="Calibri"/>
      <family val="2"/>
    </font>
    <font>
      <b/>
      <sz val="9"/>
      <color rgb="FFFFFFFF"/>
      <name val="Calibri"/>
      <family val="2"/>
    </font>
    <font>
      <b/>
      <sz val="11"/>
      <color rgb="FF17365D"/>
      <name val="Calibri"/>
      <family val="2"/>
    </font>
    <font>
      <b/>
      <sz val="11"/>
      <color theme="0" tint="-0.34998626667073579"/>
      <name val="Calibri"/>
      <family val="2"/>
      <charset val="1"/>
    </font>
    <font>
      <b/>
      <sz val="9"/>
      <color rgb="FF17365D"/>
      <name val="Arial"/>
      <family val="2"/>
      <charset val="1"/>
    </font>
    <font>
      <b/>
      <sz val="14"/>
      <color rgb="FF17365D"/>
      <name val="Arial"/>
      <family val="2"/>
    </font>
    <font>
      <b/>
      <sz val="16"/>
      <color theme="0"/>
      <name val="Calibri"/>
      <family val="2"/>
      <scheme val="minor"/>
    </font>
    <font>
      <b/>
      <sz val="14"/>
      <color theme="0"/>
      <name val="Calibri"/>
      <family val="2"/>
      <scheme val="minor"/>
    </font>
    <font>
      <b/>
      <i/>
      <sz val="10"/>
      <color theme="0" tint="-0.34998626667073579"/>
      <name val="Calibri"/>
      <family val="2"/>
    </font>
    <font>
      <b/>
      <i/>
      <sz val="9"/>
      <color theme="0" tint="-0.34998626667073579"/>
      <name val="Calibri"/>
      <family val="2"/>
      <scheme val="minor"/>
    </font>
    <font>
      <b/>
      <sz val="10"/>
      <color theme="0" tint="-0.34998626667073579"/>
      <name val="Calibri"/>
      <family val="2"/>
    </font>
    <font>
      <b/>
      <i/>
      <sz val="10"/>
      <color theme="0" tint="-0.34998626667073579"/>
      <name val="Calibri"/>
      <family val="2"/>
      <scheme val="minor"/>
    </font>
    <font>
      <b/>
      <sz val="10"/>
      <color rgb="FFFFFFFF"/>
      <name val="Calibri"/>
      <family val="2"/>
    </font>
    <font>
      <b/>
      <sz val="11"/>
      <color theme="0"/>
      <name val="Arial"/>
      <family val="2"/>
    </font>
    <font>
      <b/>
      <i/>
      <sz val="8"/>
      <color theme="3" tint="-0.499984740745262"/>
      <name val="Calibri"/>
      <family val="2"/>
      <scheme val="minor"/>
    </font>
    <font>
      <i/>
      <sz val="10"/>
      <color theme="3" tint="-0.499984740745262"/>
      <name val="Arial"/>
      <family val="2"/>
      <charset val="1"/>
    </font>
    <font>
      <i/>
      <sz val="8"/>
      <name val="Cambria"/>
      <family val="1"/>
      <charset val="1"/>
    </font>
    <font>
      <sz val="12"/>
      <color rgb="FF17365D"/>
      <name val="Calibri"/>
      <family val="2"/>
      <scheme val="minor"/>
    </font>
    <font>
      <b/>
      <sz val="12"/>
      <color rgb="FF17365D"/>
      <name val="Calibri"/>
      <family val="2"/>
      <scheme val="minor"/>
    </font>
    <font>
      <sz val="11"/>
      <name val="Calibri"/>
      <family val="2"/>
      <charset val="1"/>
    </font>
    <font>
      <b/>
      <sz val="8"/>
      <color theme="3" tint="-0.499984740745262"/>
      <name val="Calibri"/>
      <family val="2"/>
      <scheme val="minor"/>
    </font>
    <font>
      <sz val="11"/>
      <color rgb="FF17365D"/>
      <name val="Calibri"/>
      <family val="2"/>
      <scheme val="minor"/>
    </font>
    <font>
      <b/>
      <sz val="12"/>
      <color rgb="FFFFFFFF"/>
      <name val="Arial"/>
      <family val="2"/>
    </font>
    <font>
      <b/>
      <sz val="10"/>
      <color rgb="FF0F243E"/>
      <name val="Calibri"/>
      <family val="2"/>
      <scheme val="minor"/>
    </font>
    <font>
      <b/>
      <sz val="16"/>
      <name val="Arial"/>
      <family val="2"/>
    </font>
    <font>
      <b/>
      <sz val="16"/>
      <name val="Arial"/>
      <family val="2"/>
      <charset val="1"/>
    </font>
    <font>
      <i/>
      <sz val="8"/>
      <color rgb="FF1F2933"/>
      <name val="Calibri"/>
      <family val="2"/>
      <scheme val="minor"/>
    </font>
    <font>
      <sz val="8"/>
      <color theme="1"/>
      <name val="Calibri"/>
      <family val="2"/>
      <scheme val="minor"/>
    </font>
    <font>
      <i/>
      <sz val="10"/>
      <name val="Arial"/>
      <family val="2"/>
    </font>
    <font>
      <i/>
      <sz val="11"/>
      <name val="Arial"/>
      <family val="2"/>
    </font>
    <font>
      <b/>
      <sz val="11"/>
      <color rgb="FFFFFFFF"/>
      <name val="Arial"/>
      <family val="2"/>
    </font>
    <font>
      <b/>
      <sz val="11"/>
      <name val="Calibri"/>
      <family val="2"/>
    </font>
    <font>
      <i/>
      <sz val="8"/>
      <name val="Calibri"/>
      <family val="2"/>
    </font>
    <font>
      <sz val="8"/>
      <color rgb="FF17365D"/>
      <name val="Calibri"/>
      <family val="2"/>
    </font>
    <font>
      <i/>
      <sz val="11"/>
      <name val="Calibri"/>
      <family val="2"/>
    </font>
    <font>
      <b/>
      <sz val="16"/>
      <name val="Calibri"/>
      <family val="2"/>
    </font>
    <font>
      <b/>
      <sz val="16"/>
      <color rgb="FF17365D"/>
      <name val="Calibri"/>
      <family val="2"/>
    </font>
    <font>
      <b/>
      <sz val="16"/>
      <color rgb="FF17365D"/>
      <name val="Arial"/>
      <family val="2"/>
    </font>
    <font>
      <b/>
      <sz val="22"/>
      <color rgb="FFFFFFFF"/>
      <name val="Arial"/>
      <family val="2"/>
    </font>
    <font>
      <sz val="11"/>
      <color theme="1"/>
      <name val="Arial"/>
      <family val="2"/>
    </font>
    <font>
      <b/>
      <sz val="16"/>
      <color rgb="FF142B44"/>
      <name val="Arial"/>
      <family val="2"/>
    </font>
    <font>
      <b/>
      <sz val="10"/>
      <color rgb="FF1F2933"/>
      <name val="Calibri"/>
      <family val="2"/>
      <scheme val="minor"/>
    </font>
    <font>
      <b/>
      <i/>
      <sz val="11"/>
      <color theme="0" tint="-0.249977111117893"/>
      <name val="Calibri"/>
      <family val="2"/>
      <scheme val="minor"/>
    </font>
    <font>
      <i/>
      <sz val="11"/>
      <color theme="0" tint="-0.249977111117893"/>
      <name val="Calibri"/>
      <family val="2"/>
      <scheme val="minor"/>
    </font>
    <font>
      <b/>
      <sz val="11"/>
      <color rgb="FF002060"/>
      <name val="Calibri"/>
      <family val="2"/>
      <scheme val="minor"/>
    </font>
    <font>
      <b/>
      <i/>
      <sz val="11"/>
      <color theme="0" tint="-0.249977111117893"/>
      <name val="Calibri"/>
      <family val="2"/>
    </font>
    <font>
      <sz val="11"/>
      <color rgb="FF1F2933"/>
      <name val="Calibri"/>
      <family val="2"/>
      <scheme val="minor"/>
    </font>
    <font>
      <b/>
      <sz val="11"/>
      <color rgb="FF1F2933"/>
      <name val="Calibri"/>
      <family val="2"/>
      <scheme val="minor"/>
    </font>
    <font>
      <b/>
      <sz val="11"/>
      <color rgb="FF0F243E"/>
      <name val="Calibri"/>
      <family val="2"/>
      <scheme val="minor"/>
    </font>
    <font>
      <b/>
      <sz val="11"/>
      <color rgb="FF142B44"/>
      <name val="Calibri"/>
      <family val="2"/>
      <scheme val="minor"/>
    </font>
    <font>
      <b/>
      <sz val="10"/>
      <color rgb="FFFFFFFF"/>
      <name val="Tahoma"/>
      <family val="2"/>
    </font>
    <font>
      <b/>
      <sz val="11"/>
      <color rgb="FFFFFFFF"/>
      <name val="Cambria"/>
      <family val="1"/>
    </font>
    <font>
      <b/>
      <sz val="13"/>
      <color rgb="FF1B2A45"/>
      <name val="Arial"/>
      <family val="2"/>
    </font>
    <font>
      <sz val="8"/>
      <color rgb="FF8A8F99"/>
      <name val="Calibri"/>
      <family val="2"/>
    </font>
    <font>
      <b/>
      <sz val="22"/>
      <color rgb="FFFFFFFF"/>
      <name val="Calibri"/>
      <family val="2"/>
      <scheme val="minor"/>
    </font>
    <font>
      <b/>
      <sz val="18"/>
      <color rgb="FFFFFFFF"/>
      <name val="Calibri"/>
      <family val="2"/>
      <scheme val="minor"/>
    </font>
    <font>
      <i/>
      <sz val="10"/>
      <color rgb="FF404040"/>
      <name val="Calibri"/>
      <family val="2"/>
      <scheme val="minor"/>
    </font>
    <font>
      <i/>
      <sz val="10"/>
      <color theme="1"/>
      <name val="Calibri"/>
      <family val="2"/>
      <scheme val="minor"/>
    </font>
    <font>
      <b/>
      <sz val="9"/>
      <color rgb="FFFFFFFF"/>
      <name val="Calibri"/>
      <family val="2"/>
      <scheme val="minor"/>
    </font>
    <font>
      <sz val="9"/>
      <color theme="1"/>
      <name val="Calibri"/>
      <family val="2"/>
      <scheme val="minor"/>
    </font>
    <font>
      <sz val="9"/>
      <color theme="1"/>
      <name val="Calibri"/>
      <family val="2"/>
      <charset val="1"/>
    </font>
    <font>
      <sz val="9"/>
      <name val="Calibri"/>
      <family val="2"/>
      <scheme val="minor"/>
    </font>
    <font>
      <b/>
      <sz val="9"/>
      <color theme="1"/>
      <name val="Calibri"/>
      <family val="2"/>
      <scheme val="minor"/>
    </font>
    <font>
      <b/>
      <sz val="9"/>
      <color theme="0"/>
      <name val="Calibri"/>
      <family val="2"/>
      <scheme val="minor"/>
    </font>
    <font>
      <b/>
      <sz val="9"/>
      <color theme="1"/>
      <name val="Calibri"/>
      <family val="2"/>
    </font>
    <font>
      <i/>
      <sz val="9"/>
      <name val="Calibri"/>
      <family val="2"/>
    </font>
    <font>
      <b/>
      <sz val="9"/>
      <color rgb="FFFFFFFF"/>
      <name val="Arial"/>
      <family val="2"/>
    </font>
    <font>
      <sz val="9"/>
      <color theme="1"/>
      <name val="Arial"/>
      <family val="2"/>
    </font>
    <font>
      <sz val="11"/>
      <color rgb="FF17365D"/>
      <name val="Calibri"/>
      <family val="2"/>
      <charset val="1"/>
    </font>
    <font>
      <sz val="11"/>
      <color rgb="FF17365D"/>
      <name val="Calibri"/>
      <family val="2"/>
    </font>
    <font>
      <sz val="10"/>
      <color rgb="FF8A8F99"/>
      <name val="Calibri"/>
      <family val="2"/>
    </font>
    <font>
      <b/>
      <sz val="16"/>
      <color rgb="FFFFFFFF"/>
      <name val="Arial"/>
      <family val="2"/>
    </font>
    <font>
      <b/>
      <sz val="8.5"/>
      <color rgb="FF17365D"/>
      <name val="Tahoma"/>
      <family val="2"/>
    </font>
    <font>
      <b/>
      <sz val="16"/>
      <color theme="1"/>
      <name val="Calibri"/>
      <family val="2"/>
    </font>
    <font>
      <i/>
      <sz val="11"/>
      <color theme="1"/>
      <name val="Calibri"/>
      <family val="2"/>
    </font>
    <font>
      <i/>
      <sz val="9"/>
      <color theme="1"/>
      <name val="Calibri"/>
      <family val="2"/>
    </font>
    <font>
      <i/>
      <sz val="10"/>
      <name val="Calibri"/>
      <family val="2"/>
    </font>
    <font>
      <b/>
      <sz val="12"/>
      <color theme="3" tint="-0.499984740745262"/>
      <name val="Calibri"/>
      <family val="2"/>
      <scheme val="minor"/>
    </font>
    <font>
      <sz val="12"/>
      <color theme="1"/>
      <name val="Calibri"/>
      <family val="2"/>
    </font>
    <font>
      <b/>
      <sz val="12"/>
      <color theme="1"/>
      <name val="Calibri"/>
      <family val="2"/>
      <scheme val="minor"/>
    </font>
    <font>
      <sz val="14"/>
      <color theme="1"/>
      <name val="Calibri"/>
      <family val="2"/>
    </font>
    <font>
      <sz val="10"/>
      <color rgb="FF17365D"/>
      <name val="Calibri"/>
      <family val="2"/>
      <scheme val="minor"/>
    </font>
    <font>
      <b/>
      <i/>
      <sz val="10"/>
      <color theme="0" tint="-0.249977111117893"/>
      <name val="Calibri"/>
      <family val="2"/>
    </font>
  </fonts>
  <fills count="77">
    <fill>
      <patternFill patternType="none"/>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86"/>
        <bgColor rgb="FFD9D9D9"/>
      </patternFill>
    </fill>
    <fill>
      <patternFill patternType="solid">
        <fgColor theme="0" tint="-0.14999847407452621"/>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5"/>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4.9989318521683403E-2"/>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4.9989318521683403E-2"/>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2"/>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1"/>
        <bgColor indexed="64"/>
      </patternFill>
    </fill>
    <fill>
      <patternFill patternType="solid">
        <fgColor theme="4"/>
        <bgColor indexed="64"/>
      </patternFill>
    </fill>
    <fill>
      <patternFill patternType="solid">
        <fgColor rgb="FFD39A12"/>
        <bgColor rgb="FF1B2A45"/>
      </patternFill>
    </fill>
  </fills>
  <borders count="37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86"/>
      </top>
      <bottom style="thin">
        <color theme="4" tint="0.59987182226020086"/>
      </bottom>
      <diagonal/>
    </border>
    <border>
      <left/>
      <right/>
      <top style="thin">
        <color rgb="FFB7C3D0"/>
      </top>
      <bottom style="thin">
        <color rgb="FFB7C3D0"/>
      </bottom>
      <diagonal/>
    </border>
    <border>
      <left/>
      <right/>
      <top style="thin">
        <color theme="4" tint="0.59987182226020086"/>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86"/>
      </left>
      <right style="thin">
        <color auto="1"/>
      </right>
      <top style="thin">
        <color theme="4" tint="0.59987182226020086"/>
      </top>
      <bottom style="thin">
        <color theme="4" tint="0.59987182226020086"/>
      </bottom>
      <diagonal/>
    </border>
    <border>
      <left style="thin">
        <color rgb="FFB7C3D0"/>
      </left>
      <right style="thin">
        <color theme="4" tint="0.59987182226020086"/>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4" tint="0.59996337778862885"/>
      </bottom>
      <diagonal/>
    </border>
    <border>
      <left/>
      <right/>
      <top/>
      <bottom style="thin">
        <color theme="0"/>
      </bottom>
      <diagonal/>
    </border>
    <border>
      <left/>
      <right/>
      <top/>
      <bottom style="thin">
        <color theme="4" tint="0.59996337778862885"/>
      </bottom>
      <diagonal/>
    </border>
    <border>
      <left/>
      <right/>
      <top style="thin">
        <color theme="4" tint="0.59996337778862885"/>
      </top>
      <bottom/>
      <diagonal/>
    </border>
    <border>
      <left style="thin">
        <color theme="0"/>
      </left>
      <right/>
      <top/>
      <bottom/>
      <diagonal/>
    </border>
    <border>
      <left/>
      <right style="thin">
        <color theme="4" tint="0.59996337778862885"/>
      </right>
      <top style="thin">
        <color theme="4" tint="0.59996337778862885"/>
      </top>
      <bottom/>
      <diagonal/>
    </border>
    <border>
      <left style="thin">
        <color theme="4" tint="0.59996337778862885"/>
      </left>
      <right/>
      <top/>
      <bottom style="thin">
        <color theme="4" tint="0.59996337778862885"/>
      </bottom>
      <diagonal/>
    </border>
    <border>
      <left/>
      <right style="thin">
        <color theme="4" tint="0.59996337778862885"/>
      </right>
      <top/>
      <bottom style="thin">
        <color theme="4" tint="0.59996337778862885"/>
      </bottom>
      <diagonal/>
    </border>
    <border>
      <left style="thin">
        <color theme="4" tint="0.59996337778862885"/>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style="thin">
        <color theme="4" tint="0.59996337778862885"/>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5"/>
      </right>
      <top/>
      <bottom/>
      <diagonal/>
    </border>
    <border>
      <left/>
      <right/>
      <top/>
      <bottom style="medium">
        <color theme="4" tint="0.59996337778862885"/>
      </bottom>
      <diagonal/>
    </border>
    <border>
      <left/>
      <right/>
      <top style="thin">
        <color theme="0" tint="-0.14990691854609822"/>
      </top>
      <bottom/>
      <diagonal/>
    </border>
    <border>
      <left/>
      <right style="thin">
        <color theme="0" tint="-0.14990691854609822"/>
      </right>
      <top style="thin">
        <color theme="0" tint="-0.14990691854609822"/>
      </top>
      <bottom/>
      <diagonal/>
    </border>
    <border>
      <left style="thin">
        <color theme="0" tint="-0.14990691854609822"/>
      </left>
      <right/>
      <top/>
      <bottom/>
      <diagonal/>
    </border>
    <border>
      <left/>
      <right style="thin">
        <color theme="0" tint="-0.14990691854609822"/>
      </right>
      <top/>
      <bottom/>
      <diagonal/>
    </border>
    <border>
      <left style="thin">
        <color theme="0" tint="-0.14990691854609822"/>
      </left>
      <right/>
      <top/>
      <bottom style="thin">
        <color theme="0" tint="-0.14990691854609822"/>
      </bottom>
      <diagonal/>
    </border>
    <border>
      <left/>
      <right/>
      <top/>
      <bottom style="thin">
        <color theme="0" tint="-0.14990691854609822"/>
      </bottom>
      <diagonal/>
    </border>
    <border>
      <left/>
      <right style="thin">
        <color theme="0" tint="-0.14990691854609822"/>
      </right>
      <top/>
      <bottom style="thin">
        <color theme="0" tint="-0.14990691854609822"/>
      </bottom>
      <diagonal/>
    </border>
    <border>
      <left/>
      <right/>
      <top style="medium">
        <color auto="1"/>
      </top>
      <bottom/>
      <diagonal/>
    </border>
    <border>
      <left/>
      <right/>
      <top style="thin">
        <color theme="0"/>
      </top>
      <bottom style="medium">
        <color auto="1"/>
      </bottom>
      <diagonal/>
    </border>
    <border>
      <left/>
      <right/>
      <top style="medium">
        <color theme="4" tint="0.59996337778862885"/>
      </top>
      <bottom style="thin">
        <color theme="4" tint="0.59996337778862885"/>
      </bottom>
      <diagonal/>
    </border>
    <border>
      <left/>
      <right/>
      <top style="thin">
        <color theme="4" tint="0.59996337778862885"/>
      </top>
      <bottom style="medium">
        <color theme="4" tint="0.59996337778862885"/>
      </bottom>
      <diagonal/>
    </border>
    <border>
      <left/>
      <right/>
      <top style="thin">
        <color auto="1"/>
      </top>
      <bottom style="thin">
        <color theme="4" tint="0.59996337778862885"/>
      </bottom>
      <diagonal/>
    </border>
    <border>
      <left/>
      <right/>
      <top style="thin">
        <color theme="4" tint="0.59996337778862885"/>
      </top>
      <bottom style="thin">
        <color auto="1"/>
      </bottom>
      <diagonal/>
    </border>
    <border>
      <left/>
      <right/>
      <top style="thin">
        <color theme="0" tint="-0.34998626667073579"/>
      </top>
      <bottom style="thin">
        <color theme="0" tint="-0.34998626667073579"/>
      </bottom>
      <diagonal/>
    </border>
    <border>
      <left/>
      <right/>
      <top style="thin">
        <color auto="1"/>
      </top>
      <bottom style="thin">
        <color theme="0" tint="-0.34998626667073579"/>
      </bottom>
      <diagonal/>
    </border>
    <border>
      <left/>
      <right/>
      <top/>
      <bottom style="thin">
        <color theme="0" tint="-0.34998626667073579"/>
      </bottom>
      <diagonal/>
    </border>
    <border>
      <left style="thin">
        <color theme="0" tint="-0.34998626667073579"/>
      </left>
      <right/>
      <top style="thin">
        <color theme="0" tint="-0.34998626667073579"/>
      </top>
      <bottom style="thin">
        <color theme="4" tint="0.59996337778862885"/>
      </bottom>
      <diagonal/>
    </border>
    <border>
      <left/>
      <right/>
      <top style="thin">
        <color theme="0" tint="-0.34998626667073579"/>
      </top>
      <bottom style="thin">
        <color theme="4" tint="0.59996337778862885"/>
      </bottom>
      <diagonal/>
    </border>
    <border>
      <left/>
      <right style="thin">
        <color theme="0" tint="-0.34998626667073579"/>
      </right>
      <top style="thin">
        <color theme="0" tint="-0.34998626667073579"/>
      </top>
      <bottom style="thin">
        <color theme="4" tint="0.59996337778862885"/>
      </bottom>
      <diagonal/>
    </border>
    <border>
      <left style="thin">
        <color theme="0" tint="-0.34998626667073579"/>
      </left>
      <right/>
      <top style="thin">
        <color theme="4" tint="0.59996337778862885"/>
      </top>
      <bottom style="thin">
        <color theme="4" tint="0.59996337778862885"/>
      </bottom>
      <diagonal/>
    </border>
    <border>
      <left/>
      <right style="thin">
        <color theme="0" tint="-0.34998626667073579"/>
      </right>
      <top style="thin">
        <color theme="4" tint="0.59996337778862885"/>
      </top>
      <bottom style="thin">
        <color theme="4" tint="0.59996337778862885"/>
      </bottom>
      <diagonal/>
    </border>
    <border>
      <left style="thin">
        <color theme="0" tint="-0.34998626667073579"/>
      </left>
      <right style="thin">
        <color auto="1"/>
      </right>
      <top/>
      <bottom/>
      <diagonal/>
    </border>
    <border>
      <left style="thin">
        <color theme="0" tint="-0.34998626667073579"/>
      </left>
      <right/>
      <top style="medium">
        <color auto="1"/>
      </top>
      <bottom style="thin">
        <color auto="1"/>
      </bottom>
      <diagonal/>
    </border>
    <border>
      <left/>
      <right style="thin">
        <color theme="0" tint="-0.34998626667073579"/>
      </right>
      <top style="medium">
        <color auto="1"/>
      </top>
      <bottom style="thin">
        <color auto="1"/>
      </bottom>
      <diagonal/>
    </border>
    <border>
      <left style="thin">
        <color theme="0" tint="-0.34998626667073579"/>
      </left>
      <right style="thin">
        <color auto="1"/>
      </right>
      <top/>
      <bottom style="thin">
        <color auto="1"/>
      </bottom>
      <diagonal/>
    </border>
    <border>
      <left style="thin">
        <color theme="0" tint="-0.34998626667073579"/>
      </left>
      <right/>
      <top style="thin">
        <color auto="1"/>
      </top>
      <bottom/>
      <diagonal/>
    </border>
    <border>
      <left/>
      <right style="thin">
        <color theme="0" tint="-0.34998626667073579"/>
      </right>
      <top style="thin">
        <color auto="1"/>
      </top>
      <bottom/>
      <diagonal/>
    </border>
    <border>
      <left style="thin">
        <color theme="0" tint="-0.34998626667073579"/>
      </left>
      <right/>
      <top/>
      <bottom style="medium">
        <color theme="4" tint="0.59996337778862885"/>
      </bottom>
      <diagonal/>
    </border>
    <border>
      <left/>
      <right style="thin">
        <color theme="0" tint="-0.34998626667073579"/>
      </right>
      <top/>
      <bottom style="medium">
        <color theme="4" tint="0.59996337778862885"/>
      </bottom>
      <diagonal/>
    </border>
    <border>
      <left style="thin">
        <color theme="0" tint="-0.34998626667073579"/>
      </left>
      <right/>
      <top style="medium">
        <color theme="4" tint="0.59996337778862885"/>
      </top>
      <bottom style="thin">
        <color theme="4" tint="0.59996337778862885"/>
      </bottom>
      <diagonal/>
    </border>
    <border>
      <left/>
      <right style="thin">
        <color theme="0" tint="-0.34998626667073579"/>
      </right>
      <top style="medium">
        <color theme="4" tint="0.59996337778862885"/>
      </top>
      <bottom style="thin">
        <color theme="4" tint="0.59996337778862885"/>
      </bottom>
      <diagonal/>
    </border>
    <border>
      <left style="thin">
        <color theme="0" tint="-0.34998626667073579"/>
      </left>
      <right/>
      <top style="thin">
        <color theme="4" tint="0.59996337778862885"/>
      </top>
      <bottom style="medium">
        <color theme="4" tint="0.59996337778862885"/>
      </bottom>
      <diagonal/>
    </border>
    <border>
      <left/>
      <right style="thin">
        <color theme="0" tint="-0.34998626667073579"/>
      </right>
      <top style="thin">
        <color theme="4" tint="0.59996337778862885"/>
      </top>
      <bottom style="medium">
        <color theme="4" tint="0.59996337778862885"/>
      </bottom>
      <diagonal/>
    </border>
    <border>
      <left style="thin">
        <color theme="0" tint="-0.34998626667073579"/>
      </left>
      <right style="medium">
        <color auto="1"/>
      </right>
      <top style="medium">
        <color theme="4" tint="0.59996337778862885"/>
      </top>
      <bottom style="thin">
        <color theme="0"/>
      </bottom>
      <diagonal/>
    </border>
    <border>
      <left style="thin">
        <color theme="0" tint="-0.34998626667073579"/>
      </left>
      <right/>
      <top style="thin">
        <color theme="0"/>
      </top>
      <bottom style="medium">
        <color auto="1"/>
      </bottom>
      <diagonal/>
    </border>
    <border>
      <left/>
      <right style="thin">
        <color theme="0" tint="-0.34998626667073579"/>
      </right>
      <top style="thin">
        <color theme="0"/>
      </top>
      <bottom style="medium">
        <color auto="1"/>
      </bottom>
      <diagonal/>
    </border>
    <border>
      <left style="thin">
        <color auto="1"/>
      </left>
      <right style="thin">
        <color theme="0" tint="-0.34998626667073579"/>
      </right>
      <top/>
      <bottom style="thin">
        <color auto="1"/>
      </bottom>
      <diagonal/>
    </border>
    <border>
      <left style="thin">
        <color theme="0" tint="-0.34998626667073579"/>
      </left>
      <right/>
      <top style="thin">
        <color auto="1"/>
      </top>
      <bottom style="thin">
        <color theme="4" tint="0.59996337778862885"/>
      </bottom>
      <diagonal/>
    </border>
    <border>
      <left/>
      <right style="thin">
        <color theme="0" tint="-0.34998626667073579"/>
      </right>
      <top style="thin">
        <color auto="1"/>
      </top>
      <bottom style="thin">
        <color theme="4" tint="0.59996337778862885"/>
      </bottom>
      <diagonal/>
    </border>
    <border>
      <left style="thin">
        <color theme="0" tint="-0.34998626667073579"/>
      </left>
      <right/>
      <top style="thin">
        <color theme="4" tint="0.59996337778862885"/>
      </top>
      <bottom style="thin">
        <color auto="1"/>
      </bottom>
      <diagonal/>
    </border>
    <border>
      <left/>
      <right style="thin">
        <color theme="0" tint="-0.34998626667073579"/>
      </right>
      <top style="thin">
        <color theme="4" tint="0.59996337778862885"/>
      </top>
      <bottom style="thin">
        <color auto="1"/>
      </bottom>
      <diagonal/>
    </border>
    <border>
      <left style="thin">
        <color theme="0" tint="-0.34998626667073579"/>
      </left>
      <right style="medium">
        <color auto="1"/>
      </right>
      <top style="thin">
        <color auto="1"/>
      </top>
      <bottom style="thin">
        <color theme="4" tint="0.39994506668294322"/>
      </bottom>
      <diagonal/>
    </border>
    <border>
      <left style="thin">
        <color theme="0" tint="-0.34998626667073579"/>
      </left>
      <right style="medium">
        <color auto="1"/>
      </right>
      <top style="thin">
        <color theme="4" tint="0.39994506668294322"/>
      </top>
      <bottom style="thin">
        <color theme="4" tint="0.39994506668294322"/>
      </bottom>
      <diagonal/>
    </border>
    <border>
      <left style="thin">
        <color theme="0" tint="-0.34998626667073579"/>
      </left>
      <right style="medium">
        <color auto="1"/>
      </right>
      <top style="thin">
        <color theme="4" tint="0.39994506668294322"/>
      </top>
      <bottom style="thin">
        <color auto="1"/>
      </bottom>
      <diagonal/>
    </border>
    <border>
      <left style="thin">
        <color theme="0" tint="-0.34998626667073579"/>
      </left>
      <right/>
      <top style="thin">
        <color auto="1"/>
      </top>
      <bottom style="thin">
        <color auto="1"/>
      </bottom>
      <diagonal/>
    </border>
    <border>
      <left style="thin">
        <color theme="0" tint="-0.34998626667073579"/>
      </left>
      <right style="thin">
        <color auto="1"/>
      </right>
      <top style="thin">
        <color auto="1"/>
      </top>
      <bottom style="thin">
        <color auto="1"/>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bottom style="thin">
        <color theme="0" tint="-0.14990691854609822"/>
      </bottom>
      <diagonal/>
    </border>
    <border>
      <left style="thin">
        <color theme="0" tint="-0.34998626667073579"/>
      </left>
      <right/>
      <top/>
      <bottom style="thin">
        <color auto="1"/>
      </bottom>
      <diagonal/>
    </border>
    <border>
      <left style="thin">
        <color theme="0" tint="-0.34998626667073579"/>
      </left>
      <right/>
      <top style="thin">
        <color auto="1"/>
      </top>
      <bottom style="thin">
        <color theme="0" tint="-0.34998626667073579"/>
      </bottom>
      <diagonal/>
    </border>
    <border>
      <left/>
      <right style="thin">
        <color theme="0" tint="-0.34998626667073579"/>
      </right>
      <top style="thin">
        <color auto="1"/>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right style="thin">
        <color theme="0" tint="-0.34998626667073579"/>
      </right>
      <top/>
      <bottom style="thin">
        <color rgb="FFB7C3D0"/>
      </bottom>
      <diagonal/>
    </border>
    <border>
      <left/>
      <right style="thin">
        <color theme="0" tint="-0.34998626667073579"/>
      </right>
      <top style="thin">
        <color rgb="FFB7C3D0"/>
      </top>
      <bottom style="thin">
        <color rgb="FFB7C3D0"/>
      </bottom>
      <diagonal/>
    </border>
    <border>
      <left style="thin">
        <color theme="0" tint="-0.34998626667073579"/>
      </left>
      <right/>
      <top/>
      <bottom style="thin">
        <color theme="0" tint="-0.34998626667073579"/>
      </bottom>
      <diagonal/>
    </border>
    <border>
      <left/>
      <right style="thin">
        <color theme="0" tint="-0.34998626667073579"/>
      </right>
      <top style="thin">
        <color rgb="FFB7C3D0"/>
      </top>
      <bottom style="thin">
        <color theme="0" tint="-0.34998626667073579"/>
      </bottom>
      <diagonal/>
    </border>
    <border>
      <left style="thin">
        <color theme="0" tint="-0.34998626667073579"/>
      </left>
      <right/>
      <top/>
      <bottom style="thin">
        <color theme="3" tint="-0.499984740745262"/>
      </bottom>
      <diagonal/>
    </border>
    <border>
      <left/>
      <right style="thin">
        <color theme="0" tint="-0.34998626667073579"/>
      </right>
      <top style="thin">
        <color rgb="FFB7C3D0"/>
      </top>
      <bottom/>
      <diagonal/>
    </border>
    <border>
      <left style="thin">
        <color theme="0" tint="-0.34998626667073579"/>
      </left>
      <right/>
      <top/>
      <bottom style="thin">
        <color theme="0"/>
      </bottom>
      <diagonal/>
    </border>
    <border>
      <left/>
      <right style="thin">
        <color theme="0" tint="-0.34998626667073579"/>
      </right>
      <top/>
      <bottom style="thin">
        <color theme="4" tint="0.59996337778862885"/>
      </bottom>
      <diagonal/>
    </border>
    <border>
      <left style="thin">
        <color theme="0" tint="-0.34998626667073579"/>
      </left>
      <right/>
      <top/>
      <bottom style="thin">
        <color rgb="FFBFBFBF"/>
      </bottom>
      <diagonal/>
    </border>
    <border>
      <left style="thin">
        <color theme="0" tint="-0.34998626667073579"/>
      </left>
      <right/>
      <top style="thin">
        <color rgb="FFBFBFBF"/>
      </top>
      <bottom style="thin">
        <color rgb="FFBFBFBF"/>
      </bottom>
      <diagonal/>
    </border>
    <border>
      <left style="thin">
        <color theme="0" tint="-0.34998626667073579"/>
      </left>
      <right/>
      <top style="thin">
        <color rgb="FFBFBFBF"/>
      </top>
      <bottom style="thin">
        <color theme="0" tint="-0.34998626667073579"/>
      </bottom>
      <diagonal/>
    </border>
    <border>
      <left/>
      <right/>
      <top style="thin">
        <color theme="4" tint="0.59996337778862885"/>
      </top>
      <bottom style="thin">
        <color theme="0" tint="-0.34998626667073579"/>
      </bottom>
      <diagonal/>
    </border>
    <border>
      <left/>
      <right style="thin">
        <color theme="0" tint="-0.34998626667073579"/>
      </right>
      <top style="thin">
        <color theme="4" tint="0.59996337778862885"/>
      </top>
      <bottom style="thin">
        <color theme="0" tint="-0.34998626667073579"/>
      </bottom>
      <diagonal/>
    </border>
    <border>
      <left/>
      <right style="thin">
        <color theme="0" tint="-0.34998626667073579"/>
      </right>
      <top/>
      <bottom style="thin">
        <color theme="3" tint="-0.499984740745262"/>
      </bottom>
      <diagonal/>
    </border>
    <border>
      <left/>
      <right style="thin">
        <color theme="0" tint="-0.34998626667073579"/>
      </right>
      <top style="thin">
        <color rgb="FFEAF0F6"/>
      </top>
      <bottom/>
      <diagonal/>
    </border>
    <border>
      <left style="thin">
        <color theme="0" tint="-0.34998626667073579"/>
      </left>
      <right/>
      <top/>
      <bottom style="thin">
        <color theme="4" tint="0.59996337778862885"/>
      </bottom>
      <diagonal/>
    </border>
    <border>
      <left/>
      <right style="thin">
        <color theme="0" tint="-0.34998626667073579"/>
      </right>
      <top style="thin">
        <color theme="4" tint="0.59996337778862885"/>
      </top>
      <bottom/>
      <diagonal/>
    </border>
    <border>
      <left style="thin">
        <color theme="4" tint="0.59996337778862885"/>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rgb="FFB7C3D0"/>
      </right>
      <top style="thin">
        <color rgb="FFB7C3D0"/>
      </top>
      <bottom style="thin">
        <color rgb="FFB7C3D0"/>
      </bottom>
      <diagonal/>
    </border>
    <border>
      <left style="thin">
        <color theme="0" tint="-0.34998626667073579"/>
      </left>
      <right/>
      <top style="thin">
        <color rgb="FFB7C3D0"/>
      </top>
      <bottom/>
      <diagonal/>
    </border>
    <border>
      <left/>
      <right style="thin">
        <color rgb="FFB7C3D0"/>
      </right>
      <top/>
      <bottom style="thin">
        <color theme="0" tint="-0.34998626667073579"/>
      </bottom>
      <diagonal/>
    </border>
    <border>
      <left style="thin">
        <color theme="0" tint="-0.34998626667073579"/>
      </left>
      <right style="thin">
        <color rgb="FFB7C3D0"/>
      </right>
      <top style="thin">
        <color theme="0" tint="-0.34998626667073579"/>
      </top>
      <bottom/>
      <diagonal/>
    </border>
    <border>
      <left style="thin">
        <color theme="0" tint="-0.34998626667073579"/>
      </left>
      <right/>
      <top/>
      <bottom style="thin">
        <color rgb="FFB7C3D0"/>
      </bottom>
      <diagonal/>
    </border>
    <border>
      <left style="thin">
        <color theme="0" tint="-0.34998626667073579"/>
      </left>
      <right style="thin">
        <color rgb="FFB7C3D0"/>
      </right>
      <top/>
      <bottom/>
      <diagonal/>
    </border>
    <border>
      <left style="thin">
        <color theme="0" tint="-0.34998626667073579"/>
      </left>
      <right/>
      <top style="medium">
        <color rgb="FF17365D"/>
      </top>
      <bottom style="medium">
        <color rgb="FF17365D"/>
      </bottom>
      <diagonal/>
    </border>
    <border>
      <left style="thin">
        <color theme="0" tint="-0.34998626667073579"/>
      </left>
      <right style="thin">
        <color rgb="FFB7C3D0"/>
      </right>
      <top/>
      <bottom style="thin">
        <color rgb="FFB7C3D0"/>
      </bottom>
      <diagonal/>
    </border>
    <border>
      <left style="thin">
        <color theme="0" tint="-0.34998626667073579"/>
      </left>
      <right/>
      <top style="thin">
        <color theme="4" tint="0.59996337778862885"/>
      </top>
      <bottom style="thin">
        <color theme="0" tint="-0.34998626667073579"/>
      </bottom>
      <diagonal/>
    </border>
    <border>
      <left style="thin">
        <color theme="4" tint="0.59996337778862885"/>
      </left>
      <right style="thin">
        <color theme="4" tint="0.59996337778862885"/>
      </right>
      <top/>
      <bottom style="thin">
        <color theme="4" tint="0.59996337778862885"/>
      </bottom>
      <diagonal/>
    </border>
    <border>
      <left style="hair">
        <color theme="0" tint="-0.34998626667073579"/>
      </left>
      <right/>
      <top/>
      <bottom style="thin">
        <color theme="0" tint="-0.34998626667073579"/>
      </bottom>
      <diagonal/>
    </border>
    <border>
      <left/>
      <right style="medium">
        <color theme="4" tint="0.59996337778862885"/>
      </right>
      <top style="medium">
        <color rgb="FF17365D"/>
      </top>
      <bottom style="thin">
        <color theme="4" tint="0.59996337778862885"/>
      </bottom>
      <diagonal/>
    </border>
    <border>
      <left/>
      <right style="medium">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rgb="FF17365D"/>
      </top>
      <bottom style="thin">
        <color rgb="FF17365D"/>
      </bottom>
      <diagonal/>
    </border>
    <border>
      <left/>
      <right/>
      <top style="thin">
        <color theme="0"/>
      </top>
      <bottom style="thin">
        <color theme="4" tint="0.59996337778862885"/>
      </bottom>
      <diagonal/>
    </border>
    <border>
      <left style="thin">
        <color rgb="FFB7C3D0"/>
      </left>
      <right/>
      <top/>
      <bottom style="thin">
        <color theme="0" tint="-0.34998626667073579"/>
      </bottom>
      <diagonal/>
    </border>
    <border>
      <left/>
      <right style="thin">
        <color theme="4" tint="0.59996337778862885"/>
      </right>
      <top/>
      <bottom style="thin">
        <color theme="0" tint="-0.34998626667073579"/>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34998626667073579"/>
      </top>
      <bottom style="thin">
        <color rgb="FFB7C3D0"/>
      </bottom>
      <diagonal/>
    </border>
    <border>
      <left/>
      <right/>
      <top style="thin">
        <color theme="0" tint="-0.34998626667073579"/>
      </top>
      <bottom style="thin">
        <color theme="0" tint="-0.24994659260841701"/>
      </bottom>
      <diagonal/>
    </border>
    <border>
      <left/>
      <right style="thin">
        <color theme="0" tint="-0.34998626667073579"/>
      </right>
      <top style="thin">
        <color theme="0" tint="-0.34998626667073579"/>
      </top>
      <bottom style="thin">
        <color theme="0" tint="-0.24994659260841701"/>
      </bottom>
      <diagonal/>
    </border>
    <border>
      <left/>
      <right style="thin">
        <color theme="0" tint="-0.34998626667073579"/>
      </right>
      <top style="thin">
        <color theme="0" tint="-0.24994659260841701"/>
      </top>
      <bottom style="thin">
        <color theme="0" tint="-0.24994659260841701"/>
      </bottom>
      <diagonal/>
    </border>
    <border>
      <left/>
      <right style="thin">
        <color theme="0" tint="-0.34998626667073579"/>
      </right>
      <top style="thin">
        <color theme="0" tint="-0.24994659260841701"/>
      </top>
      <bottom/>
      <diagonal/>
    </border>
    <border>
      <left/>
      <right style="thin">
        <color theme="0" tint="-0.24994659260841701"/>
      </right>
      <top/>
      <bottom/>
      <diagonal/>
    </border>
    <border>
      <left style="thin">
        <color theme="0" tint="-0.34998626667073579"/>
      </left>
      <right/>
      <top style="thin">
        <color rgb="FFBFBFBF"/>
      </top>
      <bottom/>
      <diagonal/>
    </border>
    <border>
      <left style="thin">
        <color theme="0" tint="-0.24994659260841701"/>
      </left>
      <right/>
      <top style="thin">
        <color theme="0" tint="-0.24994659260841701"/>
      </top>
      <bottom style="thin">
        <color rgb="FFBFBFBF"/>
      </bottom>
      <diagonal/>
    </border>
    <border>
      <left/>
      <right/>
      <top style="thin">
        <color theme="0" tint="-0.24994659260841701"/>
      </top>
      <bottom style="thin">
        <color theme="4" tint="0.59996337778862885"/>
      </bottom>
      <diagonal/>
    </border>
    <border>
      <left/>
      <right style="thin">
        <color theme="0" tint="-0.24994659260841701"/>
      </right>
      <top style="thin">
        <color theme="0" tint="-0.24994659260841701"/>
      </top>
      <bottom/>
      <diagonal/>
    </border>
    <border>
      <left style="thin">
        <color theme="0" tint="-0.24994659260841701"/>
      </left>
      <right/>
      <top style="thin">
        <color rgb="FFBFBFBF"/>
      </top>
      <bottom style="thin">
        <color rgb="FFBFBFBF"/>
      </bottom>
      <diagonal/>
    </border>
    <border>
      <left style="thin">
        <color theme="0" tint="-0.24994659260841701"/>
      </left>
      <right/>
      <top style="thin">
        <color rgb="FFBFBFBF"/>
      </top>
      <bottom style="thin">
        <color theme="0" tint="-0.24994659260841701"/>
      </bottom>
      <diagonal/>
    </border>
    <border>
      <left/>
      <right/>
      <top style="thin">
        <color theme="4" tint="0.59996337778862885"/>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style="thin">
        <color theme="0" tint="-0.24994659260841701"/>
      </bottom>
      <diagonal/>
    </border>
    <border>
      <left style="thin">
        <color rgb="FFBFBFBF"/>
      </left>
      <right style="thin">
        <color rgb="FFBFBFBF"/>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diagonal/>
    </border>
    <border>
      <left style="thin">
        <color rgb="FFBFBFBF"/>
      </left>
      <right style="thin">
        <color rgb="FFBFBFBF"/>
      </right>
      <top style="thin">
        <color theme="0" tint="-0.24994659260841701"/>
      </top>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top style="thin">
        <color theme="3" tint="0.59996337778862885"/>
      </top>
      <bottom style="thin">
        <color theme="3" tint="0.59996337778862885"/>
      </bottom>
      <diagonal/>
    </border>
    <border>
      <left/>
      <right/>
      <top style="thin">
        <color theme="3" tint="0.59996337778862885"/>
      </top>
      <bottom style="thin">
        <color theme="3" tint="0.59996337778862885"/>
      </bottom>
      <diagonal/>
    </border>
    <border>
      <left/>
      <right style="thin">
        <color theme="3" tint="0.59996337778862885"/>
      </right>
      <top style="thin">
        <color theme="3" tint="0.59996337778862885"/>
      </top>
      <bottom style="thin">
        <color theme="3" tint="0.59996337778862885"/>
      </bottom>
      <diagonal/>
    </border>
    <border>
      <left/>
      <right/>
      <top style="thin">
        <color theme="3" tint="0.59996337778862885"/>
      </top>
      <bottom/>
      <diagonal/>
    </border>
    <border>
      <left style="thin">
        <color theme="0" tint="-0.24994659260841701"/>
      </left>
      <right/>
      <top style="thin">
        <color theme="0" tint="-0.24994659260841701"/>
      </top>
      <bottom/>
      <diagonal/>
    </border>
    <border>
      <left style="thin">
        <color theme="0"/>
      </left>
      <right style="thin">
        <color theme="0"/>
      </right>
      <top style="thin">
        <color theme="0" tint="-0.24994659260841701"/>
      </top>
      <bottom style="thin">
        <color theme="0"/>
      </bottom>
      <diagonal/>
    </border>
    <border>
      <left/>
      <right/>
      <top style="thin">
        <color theme="0" tint="-0.24994659260841701"/>
      </top>
      <bottom style="thin">
        <color auto="1"/>
      </bottom>
      <diagonal/>
    </border>
    <border>
      <left/>
      <right style="thin">
        <color theme="0" tint="-0.24994659260841701"/>
      </right>
      <top style="thin">
        <color theme="0" tint="-0.24994659260841701"/>
      </top>
      <bottom style="thin">
        <color auto="1"/>
      </bottom>
      <diagonal/>
    </border>
    <border>
      <left style="thin">
        <color theme="0" tint="-0.24994659260841701"/>
      </left>
      <right/>
      <top style="hair">
        <color auto="1"/>
      </top>
      <bottom style="thin">
        <color theme="4" tint="0.59996337778862885"/>
      </bottom>
      <diagonal/>
    </border>
    <border>
      <left/>
      <right style="thin">
        <color theme="0" tint="-0.24994659260841701"/>
      </right>
      <top style="thin">
        <color auto="1"/>
      </top>
      <bottom/>
      <diagonal/>
    </border>
    <border>
      <left style="thin">
        <color theme="0" tint="-0.24994659260841701"/>
      </left>
      <right/>
      <top style="thin">
        <color theme="4" tint="0.59996337778862885"/>
      </top>
      <bottom style="thin">
        <color theme="4" tint="0.59996337778862885"/>
      </bottom>
      <diagonal/>
    </border>
    <border>
      <left/>
      <right style="thin">
        <color theme="0" tint="-0.24994659260841701"/>
      </right>
      <top style="thin">
        <color theme="4" tint="0.59996337778862885"/>
      </top>
      <bottom style="thin">
        <color theme="4" tint="0.59996337778862885"/>
      </bottom>
      <diagonal/>
    </border>
    <border>
      <left style="thin">
        <color theme="0" tint="-0.24994659260841701"/>
      </left>
      <right/>
      <top style="thin">
        <color theme="4" tint="0.59996337778862885"/>
      </top>
      <bottom style="thin">
        <color theme="0" tint="-0.24994659260841701"/>
      </bottom>
      <diagonal/>
    </border>
    <border>
      <left/>
      <right style="thin">
        <color theme="0" tint="-0.24994659260841701"/>
      </right>
      <top style="thin">
        <color theme="4" tint="0.59996337778862885"/>
      </top>
      <bottom style="thin">
        <color theme="0" tint="-0.24994659260841701"/>
      </bottom>
      <diagonal/>
    </border>
    <border>
      <left/>
      <right/>
      <top style="thin">
        <color theme="0" tint="-0.34998626667073579"/>
      </top>
      <bottom style="medium">
        <color rgb="FF142B44"/>
      </bottom>
      <diagonal/>
    </border>
    <border>
      <left/>
      <right style="thin">
        <color theme="0" tint="-0.34998626667073579"/>
      </right>
      <top style="thin">
        <color theme="0" tint="-0.34998626667073579"/>
      </top>
      <bottom style="medium">
        <color rgb="FF142B44"/>
      </bottom>
      <diagonal/>
    </border>
    <border>
      <left style="thin">
        <color theme="0" tint="-0.34998626667073579"/>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79"/>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79"/>
      </right>
      <top style="thin">
        <color rgb="FFB8C2CC"/>
      </top>
      <bottom style="thin">
        <color rgb="FFB8C2CC"/>
      </bottom>
      <diagonal/>
    </border>
    <border>
      <left/>
      <right/>
      <top/>
      <bottom style="medium">
        <color rgb="FF142B44"/>
      </bottom>
      <diagonal/>
    </border>
    <border>
      <left style="thin">
        <color theme="0" tint="-0.34998626667073579"/>
      </left>
      <right style="thin">
        <color rgb="FFB8C2CC"/>
      </right>
      <top style="thin">
        <color rgb="FFB8C2CC"/>
      </top>
      <bottom style="thin">
        <color theme="0" tint="-0.34998626667073579"/>
      </bottom>
      <diagonal/>
    </border>
    <border>
      <left/>
      <right style="thin">
        <color theme="0" tint="-0.34998626667073579"/>
      </right>
      <top style="thin">
        <color rgb="FFB8C2CC"/>
      </top>
      <bottom style="thin">
        <color theme="0" tint="-0.34998626667073579"/>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5"/>
      </bottom>
      <diagonal/>
    </border>
    <border>
      <left style="thin">
        <color rgb="FFB8C2CC"/>
      </left>
      <right style="thin">
        <color rgb="FFB8C2CC"/>
      </right>
      <top style="medium">
        <color theme="4" tint="0.59996337778862885"/>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01"/>
      </right>
      <top style="thin">
        <color theme="0" tint="-0.24994659260841701"/>
      </top>
      <bottom style="thin">
        <color auto="1"/>
      </bottom>
      <diagonal/>
    </border>
    <border>
      <left/>
      <right style="thin">
        <color theme="3" tint="0.59996337778862885"/>
      </right>
      <top style="thin">
        <color theme="3" tint="0.59996337778862885"/>
      </top>
      <bottom/>
      <diagonal/>
    </border>
    <border>
      <left style="thin">
        <color theme="0" tint="-0.34998626667073579"/>
      </left>
      <right style="thin">
        <color theme="0" tint="-0.34998626667073579"/>
      </right>
      <top style="thin">
        <color theme="0" tint="-0.34998626667073579"/>
      </top>
      <bottom/>
      <diagonal/>
    </border>
    <border>
      <left style="thin">
        <color theme="0" tint="-0.24994659260841701"/>
      </left>
      <right style="thin">
        <color theme="0" tint="-0.24994659260841701"/>
      </right>
      <top/>
      <bottom style="thin">
        <color theme="0" tint="-0.24994659260841701"/>
      </bottom>
      <diagonal/>
    </border>
    <border>
      <left style="thin">
        <color rgb="FFBFBFBF"/>
      </left>
      <right style="thin">
        <color theme="0" tint="-0.24994659260841701"/>
      </right>
      <top style="thin">
        <color theme="0" tint="-0.24994659260841701"/>
      </top>
      <bottom style="thin">
        <color theme="0" tint="-0.24994659260841701"/>
      </bottom>
      <diagonal/>
    </border>
    <border>
      <left/>
      <right/>
      <top style="thin">
        <color theme="4" tint="0.59987182226020086"/>
      </top>
      <bottom/>
      <diagonal/>
    </border>
    <border>
      <left/>
      <right style="thin">
        <color auto="1"/>
      </right>
      <top style="thin">
        <color theme="4" tint="0.59987182226020086"/>
      </top>
      <bottom/>
      <diagonal/>
    </border>
    <border>
      <left/>
      <right style="thin">
        <color auto="1"/>
      </right>
      <top/>
      <bottom/>
      <diagonal/>
    </border>
    <border>
      <left style="thin">
        <color theme="4" tint="0.59987182226020086"/>
      </left>
      <right/>
      <top/>
      <bottom style="thin">
        <color theme="4" tint="0.59987182226020086"/>
      </bottom>
      <diagonal/>
    </border>
    <border>
      <left/>
      <right/>
      <top/>
      <bottom style="thin">
        <color theme="4" tint="0.59987182226020086"/>
      </bottom>
      <diagonal/>
    </border>
    <border>
      <left/>
      <right style="thin">
        <color auto="1"/>
      </right>
      <top/>
      <bottom style="thin">
        <color theme="4" tint="0.59987182226020086"/>
      </bottom>
      <diagonal/>
    </border>
    <border>
      <left style="thin">
        <color theme="0" tint="-0.34998626667073579"/>
      </left>
      <right style="thin">
        <color theme="0" tint="-0.34998626667073579"/>
      </right>
      <top/>
      <bottom/>
      <diagonal/>
    </border>
    <border>
      <left/>
      <right style="thin">
        <color auto="1"/>
      </right>
      <top style="thin">
        <color theme="4" tint="0.59987182226020086"/>
      </top>
      <bottom style="thin">
        <color theme="4" tint="0.59987182226020086"/>
      </bottom>
      <diagonal/>
    </border>
    <border>
      <left/>
      <right style="thin">
        <color theme="4" tint="0.59987182226020086"/>
      </right>
      <top style="thin">
        <color rgb="FFB7C3D0"/>
      </top>
      <bottom/>
      <diagonal/>
    </border>
    <border>
      <left/>
      <right style="thin">
        <color theme="4" tint="0.59987182226020086"/>
      </right>
      <top/>
      <bottom style="thin">
        <color rgb="FFB7C3D0"/>
      </bottom>
      <diagonal/>
    </border>
    <border>
      <left style="thin">
        <color theme="0" tint="-0.34998626667073579"/>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5"/>
      </bottom>
      <diagonal/>
    </border>
    <border>
      <left/>
      <right style="thin">
        <color rgb="FFB7C3D0"/>
      </right>
      <top style="thin">
        <color theme="0" tint="-0.34998626667073579"/>
      </top>
      <bottom/>
      <diagonal/>
    </border>
    <border>
      <left style="thin">
        <color rgb="FFB7C3D0"/>
      </left>
      <right style="thin">
        <color theme="0" tint="-0.34998626667073579"/>
      </right>
      <top style="thin">
        <color rgb="FFB7C3D0"/>
      </top>
      <bottom style="thin">
        <color theme="0" tint="-0.34998626667073579"/>
      </bottom>
      <diagonal/>
    </border>
    <border>
      <left style="thin">
        <color rgb="FFB8C2CC"/>
      </left>
      <right style="thin">
        <color rgb="FFB8C2CC"/>
      </right>
      <top style="medium">
        <color rgb="FF142B44"/>
      </top>
      <bottom style="thin">
        <color rgb="FFB8C2CC"/>
      </bottom>
      <diagonal/>
    </border>
    <border>
      <left style="thin">
        <color theme="0" tint="-0.34998626667073579"/>
      </left>
      <right style="thin">
        <color theme="0" tint="-0.34998626667073579"/>
      </right>
      <top style="thin">
        <color theme="0" tint="-0.34998626667073579"/>
      </top>
      <bottom style="medium">
        <color rgb="FF142B44"/>
      </bottom>
      <diagonal/>
    </border>
    <border>
      <left style="thin">
        <color rgb="FFB8C2CC"/>
      </left>
      <right style="thin">
        <color theme="0" tint="-0.34998626667073579"/>
      </right>
      <top style="medium">
        <color rgb="FF142B44"/>
      </top>
      <bottom style="thin">
        <color rgb="FFB8C2CC"/>
      </bottom>
      <diagonal/>
    </border>
    <border>
      <left style="thin">
        <color rgb="FFB8C2CC"/>
      </left>
      <right style="thin">
        <color theme="0" tint="-0.34998626667073579"/>
      </right>
      <top style="thin">
        <color rgb="FFB8C2CC"/>
      </top>
      <bottom style="thin">
        <color rgb="FFB8C2CC"/>
      </bottom>
      <diagonal/>
    </border>
    <border>
      <left style="thin">
        <color rgb="FFB8C2CC"/>
      </left>
      <right style="thin">
        <color theme="0" tint="-0.34998626667073579"/>
      </right>
      <top style="thin">
        <color rgb="FFB8C2CC"/>
      </top>
      <bottom style="thin">
        <color theme="0" tint="-0.34998626667073579"/>
      </bottom>
      <diagonal/>
    </border>
    <border>
      <left/>
      <right/>
      <top style="medium">
        <color theme="4" tint="0.59996337778862885"/>
      </top>
      <bottom style="thin">
        <color rgb="FFB8C2CC"/>
      </bottom>
      <diagonal/>
    </border>
    <border>
      <left/>
      <right style="thin">
        <color rgb="FFB8C2CC"/>
      </right>
      <top style="medium">
        <color theme="4" tint="0.59996337778862885"/>
      </top>
      <bottom style="thin">
        <color rgb="FFB8C2CC"/>
      </bottom>
      <diagonal/>
    </border>
    <border>
      <left style="thin">
        <color theme="0" tint="-0.34998626667073579"/>
      </left>
      <right style="thin">
        <color theme="0" tint="-0.14990691854609822"/>
      </right>
      <top style="thin">
        <color theme="0" tint="-0.14990691854609822"/>
      </top>
      <bottom style="thin">
        <color theme="0" tint="-0.14990691854609822"/>
      </bottom>
      <diagonal/>
    </border>
    <border>
      <left/>
      <right style="thin">
        <color theme="0" tint="-0.34998626667073579"/>
      </right>
      <top style="thin">
        <color auto="1"/>
      </top>
      <bottom style="medium">
        <color theme="4" tint="0.59996337778862885"/>
      </bottom>
      <diagonal/>
    </border>
    <border>
      <left/>
      <right/>
      <top style="thin">
        <color auto="1"/>
      </top>
      <bottom style="medium">
        <color theme="4" tint="0.59996337778862885"/>
      </bottom>
      <diagonal/>
    </border>
    <border>
      <left style="thin">
        <color theme="0" tint="-0.34998626667073579"/>
      </left>
      <right/>
      <top style="thin">
        <color auto="1"/>
      </top>
      <bottom style="medium">
        <color theme="4" tint="0.59996337778862885"/>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0691854609822"/>
      </left>
      <right style="thin">
        <color theme="0" tint="-0.34998626667073579"/>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2"/>
      </bottom>
      <diagonal/>
    </border>
    <border>
      <left/>
      <right style="medium">
        <color auto="1"/>
      </right>
      <top style="thin">
        <color auto="1"/>
      </top>
      <bottom style="thin">
        <color theme="4" tint="0.39994506668294322"/>
      </bottom>
      <diagonal/>
    </border>
    <border>
      <left/>
      <right/>
      <top style="thin">
        <color theme="4" tint="0.39994506668294322"/>
      </top>
      <bottom style="thin">
        <color theme="4" tint="0.39994506668294322"/>
      </bottom>
      <diagonal/>
    </border>
    <border>
      <left/>
      <right style="medium">
        <color auto="1"/>
      </right>
      <top style="thin">
        <color theme="4" tint="0.39994506668294322"/>
      </top>
      <bottom style="thin">
        <color theme="4" tint="0.39994506668294322"/>
      </bottom>
      <diagonal/>
    </border>
    <border>
      <left/>
      <right/>
      <top style="thin">
        <color theme="4" tint="0.39994506668294322"/>
      </top>
      <bottom style="thin">
        <color auto="1"/>
      </bottom>
      <diagonal/>
    </border>
    <border>
      <left/>
      <right style="medium">
        <color auto="1"/>
      </right>
      <top style="thin">
        <color theme="4" tint="0.39994506668294322"/>
      </top>
      <bottom style="thin">
        <color auto="1"/>
      </bottom>
      <diagonal/>
    </border>
    <border>
      <left/>
      <right/>
      <top style="medium">
        <color theme="4" tint="0.59996337778862885"/>
      </top>
      <bottom style="thin">
        <color theme="0"/>
      </bottom>
      <diagonal/>
    </border>
    <border>
      <left/>
      <right style="medium">
        <color auto="1"/>
      </right>
      <top style="medium">
        <color theme="4" tint="0.59996337778862885"/>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5"/>
      </bottom>
      <diagonal/>
    </border>
    <border>
      <left/>
      <right style="thin">
        <color theme="0" tint="-0.34998626667073579"/>
      </right>
      <top/>
      <bottom style="thin">
        <color theme="3" tint="0.59996337778862885"/>
      </bottom>
      <diagonal/>
    </border>
    <border>
      <left/>
      <right/>
      <top style="thin">
        <color rgb="FFEAF0F6"/>
      </top>
      <bottom style="thin">
        <color theme="3" tint="0.59996337778862885"/>
      </bottom>
      <diagonal/>
    </border>
    <border>
      <left/>
      <right style="thin">
        <color theme="0" tint="-0.34998626667073579"/>
      </right>
      <top style="thin">
        <color rgb="FFEAF0F6"/>
      </top>
      <bottom style="thin">
        <color theme="3" tint="0.59996337778862885"/>
      </bottom>
      <diagonal/>
    </border>
    <border>
      <left style="thin">
        <color theme="0"/>
      </left>
      <right style="thin">
        <color theme="0" tint="-0.34998626667073579"/>
      </right>
      <top/>
      <bottom/>
      <diagonal/>
    </border>
    <border>
      <left/>
      <right style="thin">
        <color theme="0" tint="-0.34998626667073579"/>
      </right>
      <top style="thin">
        <color theme="3" tint="0.59996337778862885"/>
      </top>
      <bottom style="thin">
        <color theme="3" tint="0.59996337778862885"/>
      </bottom>
      <diagonal/>
    </border>
    <border>
      <left/>
      <right/>
      <top style="thin">
        <color theme="4" tint="0.59996337778862885"/>
      </top>
      <bottom style="thin">
        <color theme="3" tint="0.59996337778862885"/>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5"/>
      </left>
      <right style="thin">
        <color rgb="FFD9E1F2"/>
      </right>
      <top style="thin">
        <color theme="3" tint="0.59996337778862885"/>
      </top>
      <bottom style="thin">
        <color rgb="FFD9E1F2"/>
      </bottom>
      <diagonal/>
    </border>
    <border>
      <left/>
      <right/>
      <top style="thin">
        <color theme="3" tint="0.59996337778862885"/>
      </top>
      <bottom style="thin">
        <color rgb="FFD9E1F2"/>
      </bottom>
      <diagonal/>
    </border>
    <border>
      <left style="thin">
        <color theme="3" tint="0.59996337778862885"/>
      </left>
      <right style="thin">
        <color rgb="FFD9E1F2"/>
      </right>
      <top style="thin">
        <color rgb="FFD9E1F2"/>
      </top>
      <bottom style="thin">
        <color rgb="FFD9E1F2"/>
      </bottom>
      <diagonal/>
    </border>
    <border>
      <left style="thin">
        <color theme="3" tint="0.59996337778862885"/>
      </left>
      <right style="thin">
        <color rgb="FFD9E1F2"/>
      </right>
      <top style="thin">
        <color rgb="FFD9E1F2"/>
      </top>
      <bottom style="thin">
        <color theme="3" tint="0.59996337778862885"/>
      </bottom>
      <diagonal/>
    </border>
    <border>
      <left/>
      <right/>
      <top style="thin">
        <color rgb="FFD9E1F2"/>
      </top>
      <bottom style="thin">
        <color theme="3" tint="0.59996337778862885"/>
      </bottom>
      <diagonal/>
    </border>
    <border>
      <left style="thin">
        <color theme="3" tint="0.59996337778862885"/>
      </left>
      <right/>
      <top/>
      <bottom/>
      <diagonal/>
    </border>
    <border>
      <left/>
      <right style="thin">
        <color theme="3" tint="0.59996337778862885"/>
      </right>
      <top/>
      <bottom/>
      <diagonal/>
    </border>
    <border>
      <left style="thin">
        <color theme="3" tint="0.59996337778862885"/>
      </left>
      <right/>
      <top/>
      <bottom style="thin">
        <color theme="3" tint="0.59996337778862885"/>
      </bottom>
      <diagonal/>
    </border>
    <border>
      <left/>
      <right style="thin">
        <color theme="3" tint="0.59996337778862885"/>
      </right>
      <top/>
      <bottom style="thin">
        <color theme="3" tint="0.59996337778862885"/>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01"/>
      </right>
      <top style="thin">
        <color theme="0"/>
      </top>
      <bottom style="thin">
        <color theme="0" tint="-0.24994659260841701"/>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5"/>
      </top>
      <bottom style="thin">
        <color theme="3" tint="-0.499984740745262"/>
      </bottom>
      <diagonal/>
    </border>
    <border>
      <left/>
      <right style="thin">
        <color theme="0" tint="-0.34998626667073579"/>
      </right>
      <top style="thin">
        <color theme="4" tint="0.59996337778862885"/>
      </top>
      <bottom style="thin">
        <color theme="3" tint="0.59996337778862885"/>
      </bottom>
      <diagonal/>
    </border>
    <border>
      <left/>
      <right/>
      <top style="thin">
        <color theme="3" tint="0.59996337778862885"/>
      </top>
      <bottom style="thin">
        <color theme="4" tint="0.59996337778862885"/>
      </bottom>
      <diagonal/>
    </border>
    <border>
      <left/>
      <right style="thin">
        <color theme="0" tint="-0.34998626667073579"/>
      </right>
      <top style="thin">
        <color theme="3" tint="0.59996337778862885"/>
      </top>
      <bottom style="thin">
        <color theme="4" tint="0.59996337778862885"/>
      </bottom>
      <diagonal/>
    </border>
    <border>
      <left/>
      <right style="thin">
        <color theme="4" tint="0.59996337778862885"/>
      </right>
      <top style="thin">
        <color theme="3" tint="0.59996337778862885"/>
      </top>
      <bottom style="thin">
        <color theme="4" tint="0.59996337778862885"/>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01"/>
      </bottom>
      <diagonal/>
    </border>
    <border>
      <left/>
      <right/>
      <top style="thin">
        <color theme="0"/>
      </top>
      <bottom/>
      <diagonal/>
    </border>
    <border>
      <left style="thin">
        <color rgb="FFD9E1F2"/>
      </left>
      <right style="thin">
        <color rgb="FFD9E1F2"/>
      </right>
      <top style="thin">
        <color theme="4" tint="0.59996337778862885"/>
      </top>
      <bottom style="thin">
        <color theme="4" tint="0.59996337778862885"/>
      </bottom>
      <diagonal/>
    </border>
    <border>
      <left style="thin">
        <color rgb="FFD9E1F2"/>
      </left>
      <right style="thin">
        <color rgb="FFD9E1F2"/>
      </right>
      <top/>
      <bottom style="thin">
        <color theme="4" tint="0.59996337778862885"/>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5"/>
      </bottom>
      <diagonal/>
    </border>
    <border>
      <left/>
      <right style="thin">
        <color rgb="FFD9E1F2"/>
      </right>
      <top style="thin">
        <color theme="3" tint="0.59996337778862885"/>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01"/>
      </right>
      <top style="thin">
        <color theme="0" tint="-0.24994659260841701"/>
      </top>
      <bottom/>
      <diagonal/>
    </border>
    <border>
      <left/>
      <right style="thin">
        <color theme="0" tint="-0.34998626667073579"/>
      </right>
      <top/>
      <bottom style="thin">
        <color auto="1"/>
      </bottom>
      <diagonal/>
    </border>
    <border>
      <left style="thin">
        <color theme="4" tint="0.59996337778862885"/>
      </left>
      <right style="thin">
        <color theme="4" tint="0.59996337778862885"/>
      </right>
      <top style="thin">
        <color theme="3"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diagonal/>
    </border>
    <border>
      <left style="thin">
        <color theme="4" tint="0.59996337778862885"/>
      </left>
      <right style="thin">
        <color theme="0" tint="-0.34998626667073579"/>
      </right>
      <top/>
      <bottom/>
      <diagonal/>
    </border>
    <border>
      <left style="thin">
        <color theme="4" tint="0.59996337778862885"/>
      </left>
      <right style="thin">
        <color theme="0" tint="-0.34998626667073579"/>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4" tint="0.59996337778862885"/>
      </bottom>
      <diagonal/>
    </border>
    <border>
      <left style="thin">
        <color theme="3" tint="-0.499984740745262"/>
      </left>
      <right style="thin">
        <color theme="0" tint="-0.34998626667073579"/>
      </right>
      <top/>
      <bottom/>
      <diagonal/>
    </border>
    <border>
      <left style="thin">
        <color theme="4" tint="0.59996337778862885"/>
      </left>
      <right style="thin">
        <color theme="0" tint="-0.34998626667073579"/>
      </right>
      <top/>
      <bottom style="thin">
        <color theme="0" tint="-0.34998626667073579"/>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5"/>
      </left>
      <right/>
      <top style="thin">
        <color theme="4" tint="0.59996337778862885"/>
      </top>
      <bottom style="thin">
        <color theme="0"/>
      </bottom>
      <diagonal/>
    </border>
    <border>
      <left/>
      <right style="thin">
        <color theme="4" tint="0.59996337778862885"/>
      </right>
      <top style="thin">
        <color theme="4" tint="0.59996337778862885"/>
      </top>
      <bottom style="thin">
        <color theme="0"/>
      </bottom>
      <diagonal/>
    </border>
    <border>
      <left style="thin">
        <color theme="4" tint="0.59996337778862885"/>
      </left>
      <right/>
      <top/>
      <bottom style="thin">
        <color theme="0" tint="-0.24994659260841701"/>
      </bottom>
      <diagonal/>
    </border>
    <border>
      <left/>
      <right style="thin">
        <color theme="4" tint="0.59996337778862885"/>
      </right>
      <top style="thin">
        <color theme="0"/>
      </top>
      <bottom style="thin">
        <color theme="0" tint="-0.24994659260841701"/>
      </bottom>
      <diagonal/>
    </border>
    <border>
      <left style="thin">
        <color theme="4" tint="0.59996337778862885"/>
      </left>
      <right/>
      <top style="thin">
        <color theme="0" tint="-0.24994659260841701"/>
      </top>
      <bottom style="thin">
        <color theme="0" tint="-0.24994659260841701"/>
      </bottom>
      <diagonal/>
    </border>
    <border>
      <left/>
      <right style="thin">
        <color theme="4" tint="0.59996337778862885"/>
      </right>
      <top style="thin">
        <color theme="0" tint="-0.24994659260841701"/>
      </top>
      <bottom style="thin">
        <color theme="0" tint="-0.24994659260841701"/>
      </bottom>
      <diagonal/>
    </border>
    <border>
      <left style="thin">
        <color theme="4" tint="0.59996337778862885"/>
      </left>
      <right/>
      <top style="thin">
        <color theme="0" tint="-0.24994659260841701"/>
      </top>
      <bottom style="thin">
        <color theme="4" tint="0.59996337778862885"/>
      </bottom>
      <diagonal/>
    </border>
    <border>
      <left/>
      <right style="thin">
        <color theme="4" tint="0.59996337778862885"/>
      </right>
      <top style="thin">
        <color theme="0" tint="-0.24994659260841701"/>
      </top>
      <bottom style="thin">
        <color theme="4" tint="0.59996337778862885"/>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5"/>
      </left>
      <right/>
      <top style="thin">
        <color theme="0" tint="-0.24994659260841701"/>
      </top>
      <bottom/>
      <diagonal/>
    </border>
    <border>
      <left/>
      <right style="thin">
        <color theme="4" tint="0.59996337778862885"/>
      </right>
      <top style="thin">
        <color theme="0" tint="-0.24994659260841701"/>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5"/>
      </left>
      <right style="thin">
        <color theme="0" tint="-0.34998626667073579"/>
      </right>
      <top style="thin">
        <color theme="4" tint="0.59996337778862885"/>
      </top>
      <bottom/>
      <diagonal/>
    </border>
    <border>
      <left style="thin">
        <color theme="4" tint="0.59996337778862885"/>
      </left>
      <right/>
      <top style="thin">
        <color auto="1"/>
      </top>
      <bottom/>
      <diagonal/>
    </border>
    <border>
      <left style="thin">
        <color theme="4" tint="0.59996337778862885"/>
      </left>
      <right/>
      <top style="thin">
        <color rgb="FFEAF0F6"/>
      </top>
      <bottom/>
      <diagonal/>
    </border>
    <border>
      <left/>
      <right style="thin">
        <color theme="4" tint="0.59996337778862885"/>
      </right>
      <top style="thin">
        <color rgb="FFEAF0F6"/>
      </top>
      <bottom/>
      <diagonal/>
    </border>
    <border>
      <left style="thin">
        <color theme="4" tint="0.59996337778862885"/>
      </left>
      <right/>
      <top/>
      <bottom style="thin">
        <color theme="0"/>
      </bottom>
      <diagonal/>
    </border>
    <border>
      <left/>
      <right style="thin">
        <color theme="4" tint="0.59996337778862885"/>
      </right>
      <top/>
      <bottom style="thin">
        <color theme="3" tint="0.59996337778862885"/>
      </bottom>
      <diagonal/>
    </border>
    <border>
      <left/>
      <right style="thin">
        <color theme="4" tint="0.59996337778862885"/>
      </right>
      <top style="thin">
        <color theme="3" tint="0.59996337778862885"/>
      </top>
      <bottom/>
      <diagonal/>
    </border>
    <border>
      <left style="thin">
        <color theme="4" tint="0.59996337778862885"/>
      </left>
      <right/>
      <top style="thin">
        <color theme="4" tint="0.59996337778862885"/>
      </top>
      <bottom/>
      <diagonal/>
    </border>
    <border>
      <left style="thin">
        <color theme="4" tint="0.59996337778862885"/>
      </left>
      <right/>
      <top style="thin">
        <color theme="4" tint="0.59996337778862885"/>
      </top>
      <bottom style="thin">
        <color theme="3" tint="-0.499984740745262"/>
      </bottom>
      <diagonal/>
    </border>
    <border>
      <left style="thin">
        <color theme="4" tint="0.59996337778862885"/>
      </left>
      <right/>
      <top style="thin">
        <color theme="4" tint="0.59996337778862885"/>
      </top>
      <bottom style="thin">
        <color theme="3" tint="0.59996337778862885"/>
      </bottom>
      <diagonal/>
    </border>
    <border>
      <left/>
      <right style="thin">
        <color theme="4" tint="0.59996337778862885"/>
      </right>
      <top style="thin">
        <color theme="4" tint="0.59996337778862885"/>
      </top>
      <bottom style="thin">
        <color theme="3" tint="0.59996337778862885"/>
      </bottom>
      <diagonal/>
    </border>
    <border>
      <left style="thin">
        <color theme="4" tint="0.59996337778862885"/>
      </left>
      <right/>
      <top style="thin">
        <color theme="3" tint="0.59996337778862885"/>
      </top>
      <bottom style="thin">
        <color theme="4" tint="0.59996337778862885"/>
      </bottom>
      <diagonal/>
    </border>
    <border>
      <left style="thin">
        <color theme="4" tint="0.59996337778862885"/>
      </left>
      <right style="thin">
        <color rgb="FFB7C3D0"/>
      </right>
      <top style="thin">
        <color rgb="FFB7C3D0"/>
      </top>
      <bottom style="thin">
        <color rgb="FFB7C3D0"/>
      </bottom>
      <diagonal/>
    </border>
    <border>
      <left/>
      <right style="thin">
        <color theme="4" tint="0.59996337778862885"/>
      </right>
      <top style="thin">
        <color rgb="FFB7C3D0"/>
      </top>
      <bottom/>
      <diagonal/>
    </border>
    <border>
      <left style="thin">
        <color theme="4" tint="0.59996337778862885"/>
      </left>
      <right/>
      <top/>
      <bottom style="thin">
        <color rgb="FFB7C3D0"/>
      </bottom>
      <diagonal/>
    </border>
    <border>
      <left/>
      <right style="thin">
        <color theme="4" tint="0.59996337778862885"/>
      </right>
      <top/>
      <bottom style="thin">
        <color rgb="FFB7C3D0"/>
      </bottom>
      <diagonal/>
    </border>
    <border>
      <left style="thin">
        <color theme="4" tint="0.59996337778862885"/>
      </left>
      <right style="thin">
        <color rgb="FFB7C3D0"/>
      </right>
      <top/>
      <bottom/>
      <diagonal/>
    </border>
    <border>
      <left style="thin">
        <color theme="4" tint="0.59996337778862885"/>
      </left>
      <right/>
      <top style="thin">
        <color theme="4" tint="0.59996337778862885"/>
      </top>
      <bottom style="thin">
        <color theme="0" tint="-0.34998626667073579"/>
      </bottom>
      <diagonal/>
    </border>
    <border>
      <left style="thin">
        <color theme="4" tint="0.59996337778862885"/>
      </left>
      <right/>
      <top style="thin">
        <color theme="0" tint="-0.34998626667073579"/>
      </top>
      <bottom style="thin">
        <color theme="4" tint="0.59996337778862885"/>
      </bottom>
      <diagonal/>
    </border>
    <border>
      <left style="thin">
        <color theme="4" tint="0.59996337778862885"/>
      </left>
      <right/>
      <top style="thin">
        <color theme="0" tint="-0.34998626667073579"/>
      </top>
      <bottom style="thin">
        <color theme="0" tint="-0.34998626667073579"/>
      </bottom>
      <diagonal/>
    </border>
    <border>
      <left/>
      <right style="thin">
        <color theme="4" tint="0.59996337778862885"/>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diagonal/>
    </border>
    <border>
      <left/>
      <right style="thin">
        <color theme="4" tint="0.59996337778862885"/>
      </right>
      <top style="thin">
        <color theme="0" tint="-0.34998626667073579"/>
      </top>
      <bottom/>
      <diagonal/>
    </border>
    <border>
      <left style="thin">
        <color theme="4" tint="0.59996337778862885"/>
      </left>
      <right/>
      <top style="thin">
        <color rgb="FFEAF0F6"/>
      </top>
      <bottom style="thin">
        <color theme="3" tint="0.59996337778862885"/>
      </bottom>
      <diagonal/>
    </border>
    <border>
      <left/>
      <right style="thin">
        <color theme="4" tint="0.59996337778862885"/>
      </right>
      <top style="thin">
        <color rgb="FFEAF0F6"/>
      </top>
      <bottom style="thin">
        <color theme="3" tint="0.59996337778862885"/>
      </bottom>
      <diagonal/>
    </border>
    <border>
      <left style="thin">
        <color theme="4" tint="0.59996337778862885"/>
      </left>
      <right/>
      <top style="thin">
        <color theme="3" tint="0.59996337778862885"/>
      </top>
      <bottom style="thin">
        <color theme="3" tint="0.59996337778862885"/>
      </bottom>
      <diagonal/>
    </border>
    <border>
      <left/>
      <right style="thin">
        <color theme="4" tint="0.59996337778862885"/>
      </right>
      <top style="thin">
        <color theme="3" tint="0.59996337778862885"/>
      </top>
      <bottom style="thin">
        <color theme="3" tint="0.59996337778862885"/>
      </bottom>
      <diagonal/>
    </border>
    <border>
      <left style="thin">
        <color theme="4" tint="0.59996337778862885"/>
      </left>
      <right style="thin">
        <color theme="0"/>
      </right>
      <top/>
      <bottom style="thin">
        <color theme="0"/>
      </bottom>
      <diagonal/>
    </border>
    <border>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3" tint="0.59996337778862885"/>
      </bottom>
      <diagonal/>
    </border>
    <border>
      <left style="thin">
        <color theme="4" tint="0.59996337778862885"/>
      </left>
      <right style="thin">
        <color theme="0" tint="-0.34998626667073579"/>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style="thin">
        <color theme="4" tint="0.59996337778862885"/>
      </bottom>
      <diagonal/>
    </border>
    <border>
      <left/>
      <right style="thin">
        <color theme="4" tint="0.59996337778862885"/>
      </right>
      <top style="thin">
        <color theme="0" tint="-0.34998626667073579"/>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rgb="FF17365D"/>
      </top>
      <bottom style="thin">
        <color rgb="FF17365D"/>
      </bottom>
      <diagonal/>
    </border>
    <border>
      <left/>
      <right style="thin">
        <color theme="4" tint="0.59996337778862885"/>
      </right>
      <top style="thin">
        <color rgb="FF17365D"/>
      </top>
      <bottom style="thin">
        <color rgb="FF17365D"/>
      </bottom>
      <diagonal/>
    </border>
    <border>
      <left style="thin">
        <color theme="4" tint="0.59996337778862885"/>
      </left>
      <right style="thin">
        <color theme="3" tint="-0.499984740745262"/>
      </right>
      <top/>
      <bottom/>
      <diagonal/>
    </border>
    <border>
      <left style="thin">
        <color theme="0" tint="-0.34998626667073579"/>
      </left>
      <right/>
      <top style="thin">
        <color theme="0" tint="-0.34998626667073579"/>
      </top>
      <bottom/>
      <diagonal/>
    </border>
  </borders>
  <cellStyleXfs count="5">
    <xf numFmtId="0" fontId="0" fillId="0" borderId="0"/>
    <xf numFmtId="0" fontId="27" fillId="0" borderId="0"/>
    <xf numFmtId="0" fontId="27" fillId="0" borderId="0"/>
    <xf numFmtId="0" fontId="27" fillId="0" borderId="0"/>
    <xf numFmtId="0" fontId="5" fillId="0" borderId="0"/>
  </cellStyleXfs>
  <cellXfs count="1234">
    <xf numFmtId="0" fontId="0" fillId="0" borderId="0" xfId="0"/>
    <xf numFmtId="0" fontId="0" fillId="4" borderId="0" xfId="0" applyFill="1" applyAlignment="1">
      <alignment horizontal="center"/>
    </xf>
    <xf numFmtId="0" fontId="0" fillId="4" borderId="0" xfId="0" applyFill="1"/>
    <xf numFmtId="0" fontId="0" fillId="0" borderId="0" xfId="0" applyAlignment="1">
      <alignment vertical="center"/>
    </xf>
    <xf numFmtId="0" fontId="9" fillId="4" borderId="0" xfId="0" applyFont="1" applyFill="1" applyAlignment="1">
      <alignment vertical="center"/>
    </xf>
    <xf numFmtId="0" fontId="10" fillId="4" borderId="0" xfId="0" applyFont="1" applyFill="1" applyAlignment="1">
      <alignment vertical="center"/>
    </xf>
    <xf numFmtId="0" fontId="7" fillId="0" borderId="0" xfId="0" applyFont="1"/>
    <xf numFmtId="0" fontId="8" fillId="0" borderId="0" xfId="1" applyFont="1" applyAlignment="1">
      <alignment vertical="center" wrapText="1"/>
    </xf>
    <xf numFmtId="0" fontId="17" fillId="0" borderId="0" xfId="0" applyFont="1"/>
    <xf numFmtId="0" fontId="0" fillId="0" borderId="9" xfId="3" applyFont="1" applyBorder="1"/>
    <xf numFmtId="0" fontId="19" fillId="10" borderId="12" xfId="3" applyFont="1" applyFill="1" applyBorder="1" applyAlignment="1">
      <alignment vertical="center"/>
    </xf>
    <xf numFmtId="0" fontId="0" fillId="0" borderId="12" xfId="3" applyFont="1" applyBorder="1" applyAlignment="1">
      <alignment vertical="center" wrapText="1"/>
    </xf>
    <xf numFmtId="0" fontId="18" fillId="13" borderId="20" xfId="3" applyFont="1" applyFill="1" applyBorder="1" applyAlignment="1">
      <alignment vertical="center"/>
    </xf>
    <xf numFmtId="0" fontId="0" fillId="0" borderId="0" xfId="3" applyFont="1" applyAlignment="1">
      <alignment vertical="center"/>
    </xf>
    <xf numFmtId="0" fontId="31" fillId="0" borderId="0" xfId="2" applyFont="1"/>
    <xf numFmtId="0" fontId="18" fillId="13" borderId="26" xfId="3" applyFont="1" applyFill="1" applyBorder="1" applyAlignment="1">
      <alignment horizontal="center" vertical="center"/>
    </xf>
    <xf numFmtId="0" fontId="35" fillId="17" borderId="28" xfId="2" applyFont="1" applyFill="1" applyBorder="1"/>
    <xf numFmtId="0" fontId="29" fillId="0" borderId="28" xfId="2" applyFont="1" applyBorder="1"/>
    <xf numFmtId="0" fontId="0" fillId="0" borderId="0" xfId="1" applyFont="1" applyAlignment="1">
      <alignment vertical="center"/>
    </xf>
    <xf numFmtId="0" fontId="52" fillId="27" borderId="29" xfId="1" applyFont="1" applyFill="1" applyBorder="1" applyAlignment="1">
      <alignment horizontal="center" vertical="center" wrapText="1"/>
    </xf>
    <xf numFmtId="0" fontId="52" fillId="27" borderId="29" xfId="1" applyFont="1" applyFill="1" applyBorder="1" applyAlignment="1">
      <alignment vertical="center" wrapText="1"/>
    </xf>
    <xf numFmtId="0" fontId="37" fillId="17" borderId="29" xfId="1" applyFont="1" applyFill="1" applyBorder="1" applyAlignment="1">
      <alignment horizontal="center" vertical="center" wrapText="1"/>
    </xf>
    <xf numFmtId="0" fontId="37" fillId="32" borderId="29" xfId="1" applyFont="1" applyFill="1" applyBorder="1" applyAlignment="1">
      <alignment horizontal="center" vertical="center" wrapText="1"/>
    </xf>
    <xf numFmtId="0" fontId="37" fillId="32" borderId="29" xfId="1" applyFont="1" applyFill="1" applyBorder="1" applyAlignment="1">
      <alignment vertical="center" wrapText="1"/>
    </xf>
    <xf numFmtId="0" fontId="59" fillId="0" borderId="58" xfId="1" applyFont="1" applyBorder="1" applyAlignment="1">
      <alignment vertical="center"/>
    </xf>
    <xf numFmtId="0" fontId="37" fillId="0" borderId="29" xfId="1" applyFont="1" applyBorder="1" applyAlignment="1">
      <alignment vertical="center" wrapText="1"/>
    </xf>
    <xf numFmtId="0" fontId="20" fillId="4" borderId="42" xfId="3" applyFont="1" applyFill="1" applyBorder="1" applyAlignment="1">
      <alignment vertical="center"/>
    </xf>
    <xf numFmtId="0" fontId="20" fillId="4" borderId="0" xfId="3" applyFont="1" applyFill="1" applyAlignment="1">
      <alignment vertical="center"/>
    </xf>
    <xf numFmtId="0" fontId="74" fillId="0" borderId="0" xfId="0" applyFont="1"/>
    <xf numFmtId="0" fontId="45" fillId="0" borderId="0" xfId="0" applyFont="1" applyAlignment="1">
      <alignment horizontal="center" vertical="center"/>
    </xf>
    <xf numFmtId="0" fontId="45" fillId="0" borderId="29" xfId="0" applyFont="1" applyBorder="1" applyAlignment="1">
      <alignment vertical="center"/>
    </xf>
    <xf numFmtId="0" fontId="46" fillId="3" borderId="29" xfId="0" applyFont="1" applyFill="1" applyBorder="1" applyAlignment="1">
      <alignment vertical="center"/>
    </xf>
    <xf numFmtId="0" fontId="65" fillId="3" borderId="29" xfId="0" applyFont="1" applyFill="1" applyBorder="1" applyAlignment="1">
      <alignment vertical="center"/>
    </xf>
    <xf numFmtId="0" fontId="31" fillId="11" borderId="12" xfId="3" applyFont="1" applyFill="1" applyBorder="1" applyAlignment="1">
      <alignment vertical="center" wrapText="1"/>
    </xf>
    <xf numFmtId="0" fontId="31" fillId="11" borderId="16" xfId="3" applyFont="1" applyFill="1" applyBorder="1" applyAlignment="1">
      <alignment vertical="center" wrapText="1"/>
    </xf>
    <xf numFmtId="0" fontId="48" fillId="34" borderId="29" xfId="0" applyFont="1" applyFill="1" applyBorder="1" applyAlignment="1">
      <alignment horizontal="left"/>
    </xf>
    <xf numFmtId="0" fontId="48" fillId="34" borderId="29" xfId="0" applyFont="1" applyFill="1" applyBorder="1" applyAlignment="1">
      <alignment horizontal="center"/>
    </xf>
    <xf numFmtId="0" fontId="54" fillId="20" borderId="29" xfId="0" applyFont="1" applyFill="1" applyBorder="1" applyAlignment="1">
      <alignment horizontal="left" vertical="center"/>
    </xf>
    <xf numFmtId="0" fontId="54" fillId="20" borderId="29" xfId="0" applyFont="1" applyFill="1" applyBorder="1" applyAlignment="1">
      <alignment horizontal="center" vertical="center"/>
    </xf>
    <xf numFmtId="0" fontId="70" fillId="36" borderId="29" xfId="0" applyFont="1" applyFill="1" applyBorder="1" applyAlignment="1">
      <alignment horizontal="left" indent="2"/>
    </xf>
    <xf numFmtId="0" fontId="70" fillId="36" borderId="29" xfId="0" applyFont="1" applyFill="1" applyBorder="1" applyAlignment="1">
      <alignment horizontal="center"/>
    </xf>
    <xf numFmtId="0" fontId="42" fillId="7" borderId="29" xfId="0" applyFont="1" applyFill="1" applyBorder="1" applyAlignment="1">
      <alignment horizontal="left" indent="3"/>
    </xf>
    <xf numFmtId="0" fontId="42" fillId="6" borderId="29" xfId="0" applyFont="1" applyFill="1" applyBorder="1" applyAlignment="1">
      <alignment horizontal="left" indent="3"/>
    </xf>
    <xf numFmtId="0" fontId="42" fillId="0" borderId="29" xfId="0" applyFont="1" applyBorder="1" applyAlignment="1">
      <alignment horizontal="left" indent="3"/>
    </xf>
    <xf numFmtId="0" fontId="66" fillId="20" borderId="29" xfId="0" applyFont="1" applyFill="1" applyBorder="1" applyAlignment="1">
      <alignment horizontal="center"/>
    </xf>
    <xf numFmtId="0" fontId="43" fillId="20" borderId="29" xfId="0" applyFont="1" applyFill="1" applyBorder="1" applyAlignment="1">
      <alignment horizontal="center" vertical="center"/>
    </xf>
    <xf numFmtId="0" fontId="80" fillId="20" borderId="29" xfId="0" applyFont="1" applyFill="1" applyBorder="1" applyAlignment="1">
      <alignment horizontal="center"/>
    </xf>
    <xf numFmtId="0" fontId="44" fillId="20" borderId="29" xfId="0" applyFont="1" applyFill="1" applyBorder="1" applyAlignment="1">
      <alignment horizontal="center" vertical="center"/>
    </xf>
    <xf numFmtId="0" fontId="61" fillId="26" borderId="29" xfId="0" applyFont="1" applyFill="1" applyBorder="1" applyAlignment="1">
      <alignment vertical="center"/>
    </xf>
    <xf numFmtId="0" fontId="64" fillId="26" borderId="29" xfId="0" applyFont="1" applyFill="1" applyBorder="1" applyAlignment="1">
      <alignment vertical="center"/>
    </xf>
    <xf numFmtId="0" fontId="28" fillId="39" borderId="1" xfId="0" applyFont="1" applyFill="1" applyBorder="1" applyAlignment="1">
      <alignment horizontal="center" vertical="center"/>
    </xf>
    <xf numFmtId="0" fontId="5" fillId="0" borderId="0" xfId="0" applyFont="1"/>
    <xf numFmtId="0" fontId="28" fillId="39" borderId="29" xfId="0" applyFont="1" applyFill="1" applyBorder="1" applyAlignment="1">
      <alignment horizontal="center" vertical="center"/>
    </xf>
    <xf numFmtId="0" fontId="37" fillId="0" borderId="74" xfId="1" applyFont="1" applyBorder="1" applyAlignment="1">
      <alignment horizontal="center" vertical="center" wrapText="1"/>
    </xf>
    <xf numFmtId="0" fontId="37" fillId="0" borderId="76" xfId="1" applyFont="1" applyBorder="1" applyAlignment="1">
      <alignment horizontal="center" vertical="center" wrapText="1"/>
    </xf>
    <xf numFmtId="0" fontId="57" fillId="3" borderId="81" xfId="1" applyFont="1" applyFill="1" applyBorder="1" applyAlignment="1">
      <alignment horizontal="center" vertical="center"/>
    </xf>
    <xf numFmtId="0" fontId="37" fillId="0" borderId="83" xfId="1" applyFont="1" applyBorder="1" applyAlignment="1">
      <alignment horizontal="center" vertical="center"/>
    </xf>
    <xf numFmtId="0" fontId="37" fillId="0" borderId="65" xfId="1" applyFont="1" applyBorder="1" applyAlignment="1">
      <alignment horizontal="center" vertical="center"/>
    </xf>
    <xf numFmtId="0" fontId="37" fillId="0" borderId="85" xfId="1" applyFont="1" applyBorder="1" applyAlignment="1">
      <alignment horizontal="center" vertical="center"/>
    </xf>
    <xf numFmtId="0" fontId="59" fillId="0" borderId="97" xfId="1" applyFont="1" applyBorder="1" applyAlignment="1">
      <alignment horizontal="left" vertical="center"/>
    </xf>
    <xf numFmtId="0" fontId="13" fillId="34" borderId="109" xfId="0" applyFont="1" applyFill="1" applyBorder="1" applyAlignment="1">
      <alignment horizontal="center"/>
    </xf>
    <xf numFmtId="0" fontId="14" fillId="2" borderId="110" xfId="0" applyFont="1" applyFill="1" applyBorder="1" applyAlignment="1">
      <alignment horizontal="center"/>
    </xf>
    <xf numFmtId="0" fontId="15" fillId="36" borderId="110" xfId="0" applyFont="1" applyFill="1" applyBorder="1" applyAlignment="1">
      <alignment horizontal="center"/>
    </xf>
    <xf numFmtId="0" fontId="16" fillId="7" borderId="110" xfId="0" applyFont="1" applyFill="1" applyBorder="1" applyAlignment="1">
      <alignment horizontal="center"/>
    </xf>
    <xf numFmtId="0" fontId="16" fillId="6" borderId="110" xfId="0" applyFont="1" applyFill="1" applyBorder="1" applyAlignment="1">
      <alignment horizontal="center"/>
    </xf>
    <xf numFmtId="0" fontId="16" fillId="0" borderId="110" xfId="0" applyFont="1" applyBorder="1" applyAlignment="1">
      <alignment horizontal="center"/>
    </xf>
    <xf numFmtId="0" fontId="12" fillId="2" borderId="110" xfId="0" applyFont="1" applyFill="1" applyBorder="1" applyAlignment="1">
      <alignment horizontal="center"/>
    </xf>
    <xf numFmtId="0" fontId="86" fillId="5" borderId="64" xfId="0" applyFont="1" applyFill="1" applyBorder="1" applyAlignment="1">
      <alignment horizontal="center" vertical="center"/>
    </xf>
    <xf numFmtId="0" fontId="30" fillId="20" borderId="64" xfId="0" applyFont="1" applyFill="1" applyBorder="1" applyAlignment="1">
      <alignment vertical="center"/>
    </xf>
    <xf numFmtId="0" fontId="28" fillId="39" borderId="65" xfId="0" applyFont="1" applyFill="1" applyBorder="1" applyAlignment="1">
      <alignment horizontal="center" vertical="center"/>
    </xf>
    <xf numFmtId="0" fontId="28" fillId="20" borderId="64" xfId="0" applyFont="1" applyFill="1" applyBorder="1" applyAlignment="1">
      <alignment vertical="center"/>
    </xf>
    <xf numFmtId="0" fontId="5" fillId="0" borderId="92" xfId="0" applyFont="1" applyBorder="1"/>
    <xf numFmtId="0" fontId="5" fillId="0" borderId="91" xfId="0" applyFont="1" applyBorder="1"/>
    <xf numFmtId="0" fontId="31" fillId="11" borderId="101" xfId="3" applyFont="1" applyFill="1" applyBorder="1" applyAlignment="1">
      <alignment vertical="center" wrapText="1"/>
    </xf>
    <xf numFmtId="0" fontId="0" fillId="0" borderId="92" xfId="3" applyFont="1" applyBorder="1"/>
    <xf numFmtId="0" fontId="0" fillId="0" borderId="91" xfId="3" applyFont="1" applyBorder="1"/>
    <xf numFmtId="0" fontId="0" fillId="0" borderId="124" xfId="3" applyFont="1" applyBorder="1" applyAlignment="1">
      <alignment vertical="center"/>
    </xf>
    <xf numFmtId="0" fontId="0" fillId="0" borderId="121" xfId="3" applyFont="1" applyBorder="1"/>
    <xf numFmtId="0" fontId="0" fillId="0" borderId="106" xfId="3" applyFont="1" applyBorder="1"/>
    <xf numFmtId="0" fontId="22" fillId="10" borderId="121" xfId="3" applyFont="1" applyFill="1" applyBorder="1" applyAlignment="1">
      <alignment horizontal="center"/>
    </xf>
    <xf numFmtId="0" fontId="77" fillId="40" borderId="126" xfId="3" applyFont="1" applyFill="1" applyBorder="1" applyAlignment="1">
      <alignment horizontal="center" vertical="center" wrapText="1"/>
    </xf>
    <xf numFmtId="0" fontId="77" fillId="40" borderId="20" xfId="3" applyFont="1" applyFill="1" applyBorder="1" applyAlignment="1">
      <alignment horizontal="center" vertical="center" wrapText="1"/>
    </xf>
    <xf numFmtId="0" fontId="77" fillId="40" borderId="27" xfId="3" applyFont="1" applyFill="1" applyBorder="1" applyAlignment="1">
      <alignment horizontal="center" vertical="center" wrapText="1"/>
    </xf>
    <xf numFmtId="0" fontId="20" fillId="4" borderId="101" xfId="3" applyFont="1" applyFill="1" applyBorder="1" applyAlignment="1">
      <alignment horizontal="center" vertical="center"/>
    </xf>
    <xf numFmtId="0" fontId="47" fillId="0" borderId="30" xfId="0" applyFont="1" applyBorder="1" applyAlignment="1">
      <alignment horizontal="center"/>
    </xf>
    <xf numFmtId="0" fontId="61" fillId="0" borderId="64" xfId="0" applyFont="1" applyBorder="1" applyAlignment="1">
      <alignment horizontal="center" vertical="center"/>
    </xf>
    <xf numFmtId="0" fontId="46" fillId="3" borderId="64" xfId="0" applyFont="1" applyFill="1" applyBorder="1" applyAlignment="1">
      <alignment horizontal="center" vertical="center"/>
    </xf>
    <xf numFmtId="0" fontId="45" fillId="26" borderId="64" xfId="0" applyFont="1" applyFill="1" applyBorder="1" applyAlignment="1">
      <alignment horizontal="center" vertical="center"/>
    </xf>
    <xf numFmtId="0" fontId="54" fillId="35" borderId="64" xfId="0" applyFont="1" applyFill="1" applyBorder="1" applyAlignment="1">
      <alignment horizontal="center" vertical="center"/>
    </xf>
    <xf numFmtId="0" fontId="45" fillId="0" borderId="64" xfId="0" applyFont="1" applyBorder="1" applyAlignment="1">
      <alignment horizontal="center" vertical="center"/>
    </xf>
    <xf numFmtId="0" fontId="45" fillId="0" borderId="65" xfId="0" applyFont="1" applyBorder="1" applyAlignment="1">
      <alignment vertical="center"/>
    </xf>
    <xf numFmtId="0" fontId="49" fillId="20" borderId="64" xfId="0" applyFont="1" applyFill="1" applyBorder="1" applyAlignment="1">
      <alignment horizontal="center" vertical="center"/>
    </xf>
    <xf numFmtId="0" fontId="45" fillId="0" borderId="92" xfId="0" applyFont="1" applyBorder="1" applyAlignment="1">
      <alignment horizontal="center" vertical="center"/>
    </xf>
    <xf numFmtId="0" fontId="45" fillId="0" borderId="103" xfId="0" applyFont="1" applyBorder="1" applyAlignment="1">
      <alignment horizontal="center" vertical="center"/>
    </xf>
    <xf numFmtId="0" fontId="88" fillId="0" borderId="0" xfId="0" applyFont="1"/>
    <xf numFmtId="0" fontId="90" fillId="0" borderId="0" xfId="0" applyFont="1"/>
    <xf numFmtId="0" fontId="88" fillId="0" borderId="60" xfId="0" applyFont="1" applyBorder="1"/>
    <xf numFmtId="0" fontId="90" fillId="0" borderId="60" xfId="0" applyFont="1" applyBorder="1"/>
    <xf numFmtId="0" fontId="77" fillId="10" borderId="0" xfId="3" applyFont="1" applyFill="1" applyAlignment="1">
      <alignment vertical="center"/>
    </xf>
    <xf numFmtId="0" fontId="77" fillId="10" borderId="60" xfId="3" applyFont="1" applyFill="1" applyBorder="1" applyAlignment="1">
      <alignment vertical="center"/>
    </xf>
    <xf numFmtId="0" fontId="77" fillId="10" borderId="12" xfId="3" applyFont="1" applyFill="1" applyBorder="1" applyAlignment="1">
      <alignment horizontal="left" vertical="center"/>
    </xf>
    <xf numFmtId="0" fontId="77" fillId="10" borderId="0" xfId="3" applyFont="1" applyFill="1" applyAlignment="1">
      <alignment horizontal="left" vertical="center"/>
    </xf>
    <xf numFmtId="0" fontId="52" fillId="0" borderId="29" xfId="2" applyFont="1" applyBorder="1"/>
    <xf numFmtId="0" fontId="88" fillId="0" borderId="0" xfId="0" applyFont="1" applyAlignment="1">
      <alignment vertical="center"/>
    </xf>
    <xf numFmtId="0" fontId="61" fillId="6" borderId="0" xfId="0" applyFont="1" applyFill="1" applyAlignment="1">
      <alignment vertical="center"/>
    </xf>
    <xf numFmtId="4" fontId="75" fillId="6" borderId="0" xfId="0" applyNumberFormat="1" applyFont="1" applyFill="1" applyAlignment="1">
      <alignment vertical="center"/>
    </xf>
    <xf numFmtId="0" fontId="61" fillId="0" borderId="0" xfId="0" applyFont="1" applyAlignment="1">
      <alignment vertical="center"/>
    </xf>
    <xf numFmtId="4" fontId="75" fillId="0" borderId="0" xfId="0" applyNumberFormat="1" applyFont="1" applyAlignment="1">
      <alignment vertical="center"/>
    </xf>
    <xf numFmtId="0" fontId="63" fillId="6" borderId="0" xfId="0" applyFont="1" applyFill="1" applyAlignment="1">
      <alignment vertical="center"/>
    </xf>
    <xf numFmtId="4" fontId="48" fillId="3" borderId="0" xfId="0" applyNumberFormat="1" applyFont="1" applyFill="1" applyAlignment="1">
      <alignment vertical="center"/>
    </xf>
    <xf numFmtId="0" fontId="63" fillId="0" borderId="0" xfId="0" applyFont="1" applyAlignment="1">
      <alignment vertical="center"/>
    </xf>
    <xf numFmtId="0" fontId="73" fillId="23" borderId="29" xfId="1" applyFont="1" applyFill="1" applyBorder="1" applyAlignment="1">
      <alignment vertical="center"/>
    </xf>
    <xf numFmtId="0" fontId="52" fillId="23" borderId="29" xfId="1" applyFont="1" applyFill="1" applyBorder="1" applyAlignment="1">
      <alignment vertical="center" wrapText="1"/>
    </xf>
    <xf numFmtId="0" fontId="52" fillId="23" borderId="65" xfId="1" applyFont="1" applyFill="1" applyBorder="1" applyAlignment="1">
      <alignment horizontal="center" vertical="center" wrapText="1"/>
    </xf>
    <xf numFmtId="0" fontId="30" fillId="18" borderId="29" xfId="1" applyFont="1" applyFill="1" applyBorder="1" applyAlignment="1">
      <alignment horizontal="center" vertical="center" wrapText="1"/>
    </xf>
    <xf numFmtId="0" fontId="30" fillId="33" borderId="29" xfId="1" applyFont="1" applyFill="1" applyBorder="1" applyAlignment="1">
      <alignment horizontal="center" vertical="center" wrapText="1"/>
    </xf>
    <xf numFmtId="0" fontId="30" fillId="33" borderId="29" xfId="1" applyFont="1" applyFill="1" applyBorder="1" applyAlignment="1">
      <alignment vertical="center" wrapText="1"/>
    </xf>
    <xf numFmtId="0" fontId="37" fillId="0" borderId="77" xfId="1" applyFont="1" applyBorder="1" applyAlignment="1">
      <alignment horizontal="center" vertical="center" wrapText="1"/>
    </xf>
    <xf numFmtId="0" fontId="97" fillId="0" borderId="29" xfId="0" applyFont="1" applyBorder="1" applyAlignment="1">
      <alignment horizontal="center" vertical="center"/>
    </xf>
    <xf numFmtId="0" fontId="97" fillId="17" borderId="29" xfId="0" applyFont="1" applyFill="1" applyBorder="1" applyAlignment="1">
      <alignment horizontal="center" vertical="center"/>
    </xf>
    <xf numFmtId="0" fontId="6" fillId="0" borderId="0" xfId="0" applyFont="1"/>
    <xf numFmtId="0" fontId="99" fillId="0" borderId="0" xfId="0" applyFont="1"/>
    <xf numFmtId="0" fontId="96" fillId="0" borderId="0" xfId="0" applyFont="1"/>
    <xf numFmtId="0" fontId="73" fillId="27" borderId="62" xfId="0" applyFont="1" applyFill="1" applyBorder="1" applyAlignment="1">
      <alignment vertical="center"/>
    </xf>
    <xf numFmtId="0" fontId="77" fillId="10" borderId="58" xfId="3" applyFont="1" applyFill="1" applyBorder="1" applyAlignment="1">
      <alignment vertical="center"/>
    </xf>
    <xf numFmtId="0" fontId="77" fillId="10" borderId="23" xfId="3" applyFont="1" applyFill="1" applyBorder="1" applyAlignment="1">
      <alignment vertical="center"/>
    </xf>
    <xf numFmtId="0" fontId="73" fillId="27" borderId="61" xfId="1" applyFont="1" applyFill="1" applyBorder="1" applyAlignment="1">
      <alignment vertical="center" wrapText="1"/>
    </xf>
    <xf numFmtId="0" fontId="73" fillId="27" borderId="64" xfId="1" applyFont="1" applyFill="1" applyBorder="1" applyAlignment="1">
      <alignment vertical="center"/>
    </xf>
    <xf numFmtId="0" fontId="42" fillId="7" borderId="29" xfId="0" applyFont="1" applyFill="1" applyBorder="1" applyAlignment="1">
      <alignment horizontal="center"/>
    </xf>
    <xf numFmtId="0" fontId="42" fillId="6" borderId="29" xfId="0" applyFont="1" applyFill="1" applyBorder="1" applyAlignment="1">
      <alignment horizontal="center"/>
    </xf>
    <xf numFmtId="0" fontId="42" fillId="0" borderId="29" xfId="0" applyFont="1" applyBorder="1" applyAlignment="1">
      <alignment horizontal="center"/>
    </xf>
    <xf numFmtId="0" fontId="81" fillId="20" borderId="29" xfId="0" applyFont="1" applyFill="1" applyBorder="1" applyAlignment="1">
      <alignment horizontal="center"/>
    </xf>
    <xf numFmtId="0" fontId="28" fillId="39" borderId="134" xfId="0" applyFont="1" applyFill="1" applyBorder="1" applyAlignment="1">
      <alignment horizontal="center" vertical="center"/>
    </xf>
    <xf numFmtId="0" fontId="105" fillId="44" borderId="103" xfId="3" applyFont="1" applyFill="1" applyBorder="1" applyAlignment="1">
      <alignment vertical="center" wrapText="1"/>
    </xf>
    <xf numFmtId="0" fontId="105" fillId="44" borderId="60" xfId="3" applyFont="1" applyFill="1" applyBorder="1" applyAlignment="1">
      <alignment vertical="center" wrapText="1"/>
    </xf>
    <xf numFmtId="0" fontId="11" fillId="45" borderId="92" xfId="3" applyFont="1" applyFill="1" applyBorder="1" applyAlignment="1">
      <alignment horizontal="center" wrapText="1"/>
    </xf>
    <xf numFmtId="0" fontId="11" fillId="45" borderId="0" xfId="3" applyFont="1" applyFill="1" applyAlignment="1">
      <alignment horizontal="center" wrapText="1"/>
    </xf>
    <xf numFmtId="0" fontId="11" fillId="45" borderId="91" xfId="3" applyFont="1" applyFill="1" applyBorder="1" applyAlignment="1">
      <alignment horizontal="center" wrapText="1"/>
    </xf>
    <xf numFmtId="0" fontId="8" fillId="28" borderId="0" xfId="1" applyFont="1" applyFill="1" applyAlignment="1">
      <alignment vertical="center"/>
    </xf>
    <xf numFmtId="0" fontId="8" fillId="43" borderId="60" xfId="1" applyFont="1" applyFill="1" applyBorder="1" applyAlignment="1">
      <alignment vertical="center"/>
    </xf>
    <xf numFmtId="0" fontId="8" fillId="43" borderId="119" xfId="1" applyFont="1" applyFill="1" applyBorder="1" applyAlignment="1">
      <alignment vertical="center"/>
    </xf>
    <xf numFmtId="0" fontId="53" fillId="23" borderId="32" xfId="0" applyFont="1" applyFill="1" applyBorder="1" applyAlignment="1">
      <alignment horizontal="center" vertical="center" wrapText="1"/>
    </xf>
    <xf numFmtId="0" fontId="0" fillId="43" borderId="60" xfId="0" applyFill="1" applyBorder="1"/>
    <xf numFmtId="0" fontId="0" fillId="43" borderId="119" xfId="0" applyFill="1" applyBorder="1"/>
    <xf numFmtId="0" fontId="53" fillId="48" borderId="99" xfId="0" applyFont="1" applyFill="1" applyBorder="1" applyAlignment="1">
      <alignment vertical="center" wrapText="1"/>
    </xf>
    <xf numFmtId="0" fontId="53" fillId="48" borderId="0" xfId="0" applyFont="1" applyFill="1" applyAlignment="1">
      <alignment vertical="center" wrapText="1"/>
    </xf>
    <xf numFmtId="0" fontId="104" fillId="28" borderId="33" xfId="1" applyFont="1" applyFill="1" applyBorder="1" applyAlignment="1">
      <alignment vertical="top"/>
    </xf>
    <xf numFmtId="0" fontId="104" fillId="28" borderId="32" xfId="1" applyFont="1" applyFill="1" applyBorder="1" applyAlignment="1">
      <alignment vertical="top"/>
    </xf>
    <xf numFmtId="0" fontId="0" fillId="43" borderId="0" xfId="2" applyFont="1" applyFill="1"/>
    <xf numFmtId="0" fontId="22" fillId="46" borderId="12" xfId="3" applyFont="1" applyFill="1" applyBorder="1" applyAlignment="1">
      <alignment horizontal="center" vertical="center"/>
    </xf>
    <xf numFmtId="0" fontId="20" fillId="47" borderId="0" xfId="3" applyFont="1" applyFill="1" applyAlignment="1">
      <alignment vertical="center"/>
    </xf>
    <xf numFmtId="0" fontId="20" fillId="47" borderId="91" xfId="3" applyFont="1" applyFill="1" applyBorder="1" applyAlignment="1">
      <alignment vertical="center"/>
    </xf>
    <xf numFmtId="0" fontId="22" fillId="10" borderId="140" xfId="3" applyFont="1" applyFill="1" applyBorder="1" applyAlignment="1">
      <alignment horizontal="center" vertical="center"/>
    </xf>
    <xf numFmtId="0" fontId="15" fillId="36" borderId="109" xfId="0" applyFont="1" applyFill="1" applyBorder="1" applyAlignment="1">
      <alignment horizontal="center"/>
    </xf>
    <xf numFmtId="0" fontId="70" fillId="36" borderId="32" xfId="0" applyFont="1" applyFill="1" applyBorder="1" applyAlignment="1">
      <alignment horizontal="left" indent="2"/>
    </xf>
    <xf numFmtId="0" fontId="70" fillId="36" borderId="32" xfId="0" applyFont="1" applyFill="1" applyBorder="1" applyAlignment="1">
      <alignment horizontal="center"/>
    </xf>
    <xf numFmtId="0" fontId="14" fillId="2" borderId="111" xfId="0" applyFont="1" applyFill="1" applyBorder="1" applyAlignment="1">
      <alignment horizontal="center"/>
    </xf>
    <xf numFmtId="0" fontId="54" fillId="20" borderId="112" xfId="0" applyFont="1" applyFill="1" applyBorder="1" applyAlignment="1">
      <alignment horizontal="left" vertical="center"/>
    </xf>
    <xf numFmtId="0" fontId="54" fillId="20" borderId="112" xfId="0" applyFont="1" applyFill="1" applyBorder="1" applyAlignment="1">
      <alignment horizontal="center" vertical="center"/>
    </xf>
    <xf numFmtId="0" fontId="83" fillId="4" borderId="0" xfId="3" applyFont="1" applyFill="1" applyAlignment="1">
      <alignment vertical="center"/>
    </xf>
    <xf numFmtId="0" fontId="16" fillId="7" borderId="147" xfId="0" applyFont="1" applyFill="1" applyBorder="1" applyAlignment="1">
      <alignment horizontal="center"/>
    </xf>
    <xf numFmtId="0" fontId="42" fillId="7" borderId="33" xfId="0" applyFont="1" applyFill="1" applyBorder="1" applyAlignment="1">
      <alignment horizontal="left" indent="3"/>
    </xf>
    <xf numFmtId="0" fontId="42" fillId="7" borderId="33" xfId="0" applyFont="1" applyFill="1" applyBorder="1" applyAlignment="1">
      <alignment horizontal="center"/>
    </xf>
    <xf numFmtId="0" fontId="16" fillId="7" borderId="148" xfId="0" applyFont="1" applyFill="1" applyBorder="1" applyAlignment="1">
      <alignment horizontal="center"/>
    </xf>
    <xf numFmtId="0" fontId="42" fillId="7" borderId="149" xfId="0" applyFont="1" applyFill="1" applyBorder="1" applyAlignment="1">
      <alignment horizontal="left" indent="3"/>
    </xf>
    <xf numFmtId="0" fontId="42" fillId="7" borderId="149" xfId="0" applyFont="1" applyFill="1" applyBorder="1" applyAlignment="1">
      <alignment horizontal="center"/>
    </xf>
    <xf numFmtId="0" fontId="16" fillId="6" borderId="151" xfId="0" applyFont="1" applyFill="1" applyBorder="1" applyAlignment="1">
      <alignment horizontal="center"/>
    </xf>
    <xf numFmtId="0" fontId="16" fillId="7" borderId="151" xfId="0" applyFont="1" applyFill="1" applyBorder="1" applyAlignment="1">
      <alignment horizontal="center"/>
    </xf>
    <xf numFmtId="0" fontId="14" fillId="2" borderId="151" xfId="0" applyFont="1" applyFill="1" applyBorder="1" applyAlignment="1">
      <alignment horizontal="center"/>
    </xf>
    <xf numFmtId="0" fontId="16" fillId="0" borderId="151" xfId="0" applyFont="1" applyBorder="1" applyAlignment="1">
      <alignment horizontal="center"/>
    </xf>
    <xf numFmtId="0" fontId="16" fillId="7" borderId="152" xfId="0" applyFont="1" applyFill="1" applyBorder="1" applyAlignment="1">
      <alignment horizontal="center"/>
    </xf>
    <xf numFmtId="0" fontId="42" fillId="7" borderId="153" xfId="0" applyFont="1" applyFill="1" applyBorder="1" applyAlignment="1">
      <alignment horizontal="left" indent="3"/>
    </xf>
    <xf numFmtId="0" fontId="42" fillId="7" borderId="153" xfId="0" applyFont="1" applyFill="1" applyBorder="1" applyAlignment="1">
      <alignment horizontal="center"/>
    </xf>
    <xf numFmtId="0" fontId="22" fillId="10" borderId="141" xfId="3" applyFont="1" applyFill="1" applyBorder="1" applyAlignment="1">
      <alignment horizontal="right" vertical="center"/>
    </xf>
    <xf numFmtId="0" fontId="22" fillId="10" borderId="12" xfId="3" applyFont="1" applyFill="1" applyBorder="1" applyAlignment="1">
      <alignment horizontal="right" vertical="center"/>
    </xf>
    <xf numFmtId="0" fontId="22" fillId="10" borderId="60" xfId="3" applyFont="1" applyFill="1" applyBorder="1" applyAlignment="1">
      <alignment horizontal="right" vertical="center"/>
    </xf>
    <xf numFmtId="0" fontId="111" fillId="28" borderId="0" xfId="2" applyFont="1" applyFill="1"/>
    <xf numFmtId="0" fontId="112" fillId="28" borderId="0" xfId="2" applyFont="1" applyFill="1"/>
    <xf numFmtId="0" fontId="113" fillId="42" borderId="101" xfId="3" applyFont="1" applyFill="1" applyBorder="1" applyAlignment="1">
      <alignment horizontal="center" vertical="center"/>
    </xf>
    <xf numFmtId="0" fontId="77" fillId="10" borderId="140" xfId="3" applyFont="1" applyFill="1" applyBorder="1" applyAlignment="1">
      <alignment horizontal="left" vertical="center"/>
    </xf>
    <xf numFmtId="0" fontId="77" fillId="10" borderId="155" xfId="3" applyFont="1" applyFill="1" applyBorder="1" applyAlignment="1">
      <alignment horizontal="left" vertical="center"/>
    </xf>
    <xf numFmtId="0" fontId="92" fillId="20" borderId="158" xfId="0" applyFont="1" applyFill="1" applyBorder="1" applyAlignment="1">
      <alignment horizontal="center" vertical="center" wrapText="1"/>
    </xf>
    <xf numFmtId="0" fontId="92" fillId="20" borderId="159" xfId="0" applyFont="1" applyFill="1" applyBorder="1" applyAlignment="1">
      <alignment horizontal="center" vertical="center" wrapText="1"/>
    </xf>
    <xf numFmtId="0" fontId="61" fillId="0" borderId="158" xfId="0" applyFont="1" applyBorder="1"/>
    <xf numFmtId="0" fontId="61" fillId="0" borderId="159" xfId="0" applyFont="1" applyBorder="1"/>
    <xf numFmtId="0" fontId="46" fillId="3" borderId="158" xfId="0" applyFont="1" applyFill="1" applyBorder="1"/>
    <xf numFmtId="0" fontId="48" fillId="3" borderId="159" xfId="0" applyFont="1" applyFill="1" applyBorder="1"/>
    <xf numFmtId="0" fontId="45" fillId="0" borderId="156" xfId="0" applyFont="1" applyBorder="1"/>
    <xf numFmtId="0" fontId="45" fillId="0" borderId="158" xfId="0" applyFont="1" applyBorder="1"/>
    <xf numFmtId="0" fontId="45" fillId="0" borderId="159" xfId="0" applyFont="1" applyBorder="1"/>
    <xf numFmtId="0" fontId="45" fillId="20" borderId="160" xfId="0" applyFont="1" applyFill="1" applyBorder="1" applyAlignment="1">
      <alignment vertical="center"/>
    </xf>
    <xf numFmtId="0" fontId="54" fillId="20" borderId="161" xfId="0" applyFont="1" applyFill="1" applyBorder="1" applyAlignment="1">
      <alignment vertical="center"/>
    </xf>
    <xf numFmtId="0" fontId="64" fillId="20" borderId="161" xfId="0" applyFont="1" applyFill="1" applyBorder="1" applyAlignment="1">
      <alignment vertical="center"/>
    </xf>
    <xf numFmtId="0" fontId="0" fillId="43" borderId="0" xfId="0" applyFill="1" applyAlignment="1">
      <alignment vertical="center"/>
    </xf>
    <xf numFmtId="0" fontId="77" fillId="10" borderId="124" xfId="3" applyFont="1" applyFill="1" applyBorder="1" applyAlignment="1">
      <alignment horizontal="left" vertical="center"/>
    </xf>
    <xf numFmtId="0" fontId="77" fillId="10" borderId="103" xfId="3" applyFont="1" applyFill="1" applyBorder="1" applyAlignment="1">
      <alignment horizontal="left" vertical="center"/>
    </xf>
    <xf numFmtId="0" fontId="66" fillId="20" borderId="116" xfId="0" applyFont="1" applyFill="1" applyBorder="1" applyAlignment="1">
      <alignment horizontal="center" vertical="center"/>
    </xf>
    <xf numFmtId="0" fontId="45" fillId="4" borderId="104" xfId="3" applyFont="1" applyFill="1" applyBorder="1" applyAlignment="1">
      <alignment horizontal="center" vertical="center"/>
    </xf>
    <xf numFmtId="0" fontId="66" fillId="28" borderId="99" xfId="2" applyFont="1" applyFill="1" applyBorder="1" applyAlignment="1">
      <alignment vertical="center"/>
    </xf>
    <xf numFmtId="0" fontId="66" fillId="28" borderId="100" xfId="2" applyFont="1" applyFill="1" applyBorder="1" applyAlignment="1">
      <alignment vertical="center"/>
    </xf>
    <xf numFmtId="0" fontId="66" fillId="28" borderId="0" xfId="2" applyFont="1" applyFill="1" applyAlignment="1">
      <alignment vertical="center"/>
    </xf>
    <xf numFmtId="0" fontId="66" fillId="28" borderId="91" xfId="2" applyFont="1" applyFill="1" applyBorder="1" applyAlignment="1">
      <alignment vertical="center"/>
    </xf>
    <xf numFmtId="0" fontId="86" fillId="5" borderId="116" xfId="0" applyFont="1" applyFill="1" applyBorder="1" applyAlignment="1">
      <alignment horizontal="center" vertical="center"/>
    </xf>
    <xf numFmtId="0" fontId="87" fillId="5" borderId="167" xfId="0" applyFont="1" applyFill="1" applyBorder="1" applyAlignment="1">
      <alignment horizontal="center" vertical="center"/>
    </xf>
    <xf numFmtId="0" fontId="30" fillId="20" borderId="171" xfId="0" applyFont="1" applyFill="1" applyBorder="1" applyAlignment="1">
      <alignment vertical="center"/>
    </xf>
    <xf numFmtId="0" fontId="28" fillId="39" borderId="172" xfId="0" applyFont="1" applyFill="1" applyBorder="1" applyAlignment="1">
      <alignment horizontal="center" vertical="center"/>
    </xf>
    <xf numFmtId="0" fontId="4" fillId="16" borderId="162" xfId="0" applyFont="1" applyFill="1" applyBorder="1" applyAlignment="1">
      <alignment vertical="center"/>
    </xf>
    <xf numFmtId="0" fontId="112" fillId="28" borderId="0" xfId="2" applyFont="1" applyFill="1" applyAlignment="1">
      <alignment horizontal="left" vertical="center"/>
    </xf>
    <xf numFmtId="0" fontId="4" fillId="4" borderId="18" xfId="3" applyFont="1" applyFill="1" applyBorder="1" applyAlignment="1">
      <alignment horizontal="center" vertical="center"/>
    </xf>
    <xf numFmtId="0" fontId="4" fillId="53" borderId="0" xfId="4" applyFont="1" applyFill="1"/>
    <xf numFmtId="0" fontId="4" fillId="43" borderId="0" xfId="4" applyFont="1" applyFill="1"/>
    <xf numFmtId="0" fontId="119" fillId="0" borderId="0" xfId="4" applyFont="1"/>
    <xf numFmtId="0" fontId="120" fillId="0" borderId="0" xfId="4" applyFont="1" applyAlignment="1">
      <alignment vertical="center"/>
    </xf>
    <xf numFmtId="0" fontId="107" fillId="0" borderId="0" xfId="4" applyFont="1"/>
    <xf numFmtId="0" fontId="106" fillId="0" borderId="0" xfId="4" applyFont="1" applyAlignment="1">
      <alignment vertical="center"/>
    </xf>
    <xf numFmtId="0" fontId="53" fillId="58" borderId="128" xfId="0" applyFont="1" applyFill="1" applyBorder="1" applyAlignment="1">
      <alignment horizontal="center" vertical="center" wrapText="1"/>
    </xf>
    <xf numFmtId="0" fontId="53" fillId="58" borderId="112" xfId="0" applyFont="1" applyFill="1" applyBorder="1" applyAlignment="1">
      <alignment horizontal="center" vertical="center" wrapText="1"/>
    </xf>
    <xf numFmtId="0" fontId="53" fillId="58" borderId="113" xfId="0" applyFont="1" applyFill="1" applyBorder="1" applyAlignment="1">
      <alignment horizontal="center" vertical="center" wrapText="1"/>
    </xf>
    <xf numFmtId="0" fontId="84" fillId="59" borderId="107" xfId="0" applyFont="1" applyFill="1" applyBorder="1" applyAlignment="1">
      <alignment horizontal="center" vertical="center" wrapText="1"/>
    </xf>
    <xf numFmtId="0" fontId="82" fillId="59" borderId="32" xfId="0" applyFont="1" applyFill="1" applyBorder="1" applyAlignment="1">
      <alignment horizontal="center" vertical="center" wrapText="1"/>
    </xf>
    <xf numFmtId="0" fontId="97" fillId="16" borderId="29" xfId="0" applyFont="1" applyFill="1" applyBorder="1" applyAlignment="1">
      <alignment vertical="center"/>
    </xf>
    <xf numFmtId="0" fontId="52" fillId="27" borderId="1" xfId="1" applyFont="1" applyFill="1" applyBorder="1" applyAlignment="1">
      <alignment horizontal="center" vertical="center"/>
    </xf>
    <xf numFmtId="0" fontId="77" fillId="10" borderId="14" xfId="3" applyFont="1" applyFill="1" applyBorder="1" applyAlignment="1">
      <alignment vertical="center"/>
    </xf>
    <xf numFmtId="0" fontId="45" fillId="4" borderId="58" xfId="3" applyFont="1" applyFill="1" applyBorder="1" applyAlignment="1">
      <alignment horizontal="center" vertical="center"/>
    </xf>
    <xf numFmtId="0" fontId="57" fillId="34" borderId="56" xfId="1" applyFont="1" applyFill="1" applyBorder="1" applyAlignment="1">
      <alignment horizontal="center" vertical="center" wrapText="1"/>
    </xf>
    <xf numFmtId="0" fontId="52" fillId="23" borderId="29" xfId="2" applyFont="1" applyFill="1" applyBorder="1" applyAlignment="1">
      <alignment horizontal="center" vertical="center" wrapText="1"/>
    </xf>
    <xf numFmtId="0" fontId="54" fillId="60" borderId="0" xfId="0" applyFont="1" applyFill="1" applyAlignment="1">
      <alignment horizontal="center" vertical="center"/>
    </xf>
    <xf numFmtId="0" fontId="0" fillId="28" borderId="0" xfId="0" applyFill="1"/>
    <xf numFmtId="0" fontId="125" fillId="60" borderId="0" xfId="0" applyFont="1" applyFill="1" applyAlignment="1">
      <alignment horizontal="left" vertical="center"/>
    </xf>
    <xf numFmtId="0" fontId="125" fillId="0" borderId="91" xfId="0" applyFont="1" applyBorder="1" applyAlignment="1">
      <alignment horizontal="center"/>
    </xf>
    <xf numFmtId="0" fontId="125" fillId="0" borderId="0" xfId="0" applyFont="1" applyAlignment="1">
      <alignment horizontal="center"/>
    </xf>
    <xf numFmtId="0" fontId="125" fillId="0" borderId="0" xfId="0" applyFont="1"/>
    <xf numFmtId="0" fontId="122" fillId="0" borderId="92" xfId="1" applyFont="1" applyBorder="1" applyAlignment="1">
      <alignment horizontal="left" vertical="center"/>
    </xf>
    <xf numFmtId="0" fontId="125" fillId="0" borderId="0" xfId="1" applyFont="1" applyAlignment="1">
      <alignment horizontal="left" vertical="center"/>
    </xf>
    <xf numFmtId="0" fontId="125" fillId="0" borderId="92" xfId="1" applyFont="1" applyBorder="1" applyAlignment="1">
      <alignment horizontal="left" vertical="center"/>
    </xf>
    <xf numFmtId="0" fontId="125" fillId="4" borderId="100" xfId="3" applyFont="1" applyFill="1" applyBorder="1" applyAlignment="1">
      <alignment horizontal="center" vertical="center"/>
    </xf>
    <xf numFmtId="0" fontId="121" fillId="54" borderId="179" xfId="4" applyFont="1" applyFill="1" applyBorder="1" applyAlignment="1">
      <alignment vertical="center" wrapText="1"/>
    </xf>
    <xf numFmtId="0" fontId="121" fillId="54" borderId="185" xfId="4" applyFont="1" applyFill="1" applyBorder="1" applyAlignment="1">
      <alignment vertical="center" wrapText="1"/>
    </xf>
    <xf numFmtId="0" fontId="126" fillId="55" borderId="188" xfId="4" applyFont="1" applyFill="1" applyBorder="1" applyAlignment="1">
      <alignment vertical="center" wrapText="1"/>
    </xf>
    <xf numFmtId="0" fontId="126" fillId="55" borderId="189" xfId="4" applyFont="1" applyFill="1" applyBorder="1" applyAlignment="1">
      <alignment vertical="center" wrapText="1"/>
    </xf>
    <xf numFmtId="0" fontId="126" fillId="55" borderId="191" xfId="4" applyFont="1" applyFill="1" applyBorder="1" applyAlignment="1">
      <alignment vertical="center" wrapText="1"/>
    </xf>
    <xf numFmtId="0" fontId="126" fillId="55" borderId="192" xfId="4" applyFont="1" applyFill="1" applyBorder="1" applyAlignment="1">
      <alignment vertical="center" wrapText="1"/>
    </xf>
    <xf numFmtId="0" fontId="29" fillId="0" borderId="190" xfId="4" applyFont="1" applyBorder="1" applyAlignment="1">
      <alignment vertical="center"/>
    </xf>
    <xf numFmtId="0" fontId="3" fillId="0" borderId="0" xfId="4" applyFont="1"/>
    <xf numFmtId="2" fontId="126" fillId="55" borderId="199" xfId="4" applyNumberFormat="1" applyFont="1" applyFill="1" applyBorder="1" applyAlignment="1">
      <alignment vertical="center" wrapText="1"/>
    </xf>
    <xf numFmtId="2" fontId="129" fillId="56" borderId="199" xfId="4" applyNumberFormat="1" applyFont="1" applyFill="1" applyBorder="1" applyAlignment="1">
      <alignment vertical="center" wrapText="1"/>
    </xf>
    <xf numFmtId="2" fontId="126" fillId="55" borderId="190" xfId="4" applyNumberFormat="1" applyFont="1" applyFill="1" applyBorder="1" applyAlignment="1">
      <alignment vertical="center" wrapText="1"/>
    </xf>
    <xf numFmtId="2" fontId="129" fillId="56" borderId="190" xfId="4" applyNumberFormat="1" applyFont="1" applyFill="1" applyBorder="1" applyAlignment="1">
      <alignment vertical="center" wrapText="1"/>
    </xf>
    <xf numFmtId="0" fontId="122" fillId="0" borderId="0" xfId="4" applyFont="1" applyAlignment="1">
      <alignment horizontal="left" vertical="center"/>
    </xf>
    <xf numFmtId="0" fontId="125" fillId="4" borderId="12" xfId="3" applyFont="1" applyFill="1" applyBorder="1" applyAlignment="1">
      <alignment horizontal="center" vertical="center"/>
    </xf>
    <xf numFmtId="0" fontId="125" fillId="0" borderId="0" xfId="2" applyFont="1" applyAlignment="1">
      <alignment horizontal="center"/>
    </xf>
    <xf numFmtId="0" fontId="133" fillId="0" borderId="0" xfId="0" applyFont="1"/>
    <xf numFmtId="0" fontId="59" fillId="22" borderId="33" xfId="2" applyFont="1" applyFill="1" applyBorder="1" applyAlignment="1">
      <alignment horizontal="center" vertical="center" wrapText="1"/>
    </xf>
    <xf numFmtId="0" fontId="35" fillId="0" borderId="163" xfId="0" applyFont="1" applyBorder="1"/>
    <xf numFmtId="0" fontId="2" fillId="0" borderId="164" xfId="0" applyFont="1" applyBorder="1"/>
    <xf numFmtId="0" fontId="2" fillId="0" borderId="165" xfId="0" applyFont="1" applyBorder="1"/>
    <xf numFmtId="0" fontId="52" fillId="69" borderId="0" xfId="0" applyFont="1" applyFill="1" applyAlignment="1">
      <alignment horizontal="center" vertical="center"/>
    </xf>
    <xf numFmtId="0" fontId="35" fillId="70" borderId="164" xfId="0" applyFont="1" applyFill="1" applyBorder="1"/>
    <xf numFmtId="0" fontId="35" fillId="16" borderId="164" xfId="0" applyFont="1" applyFill="1" applyBorder="1"/>
    <xf numFmtId="0" fontId="35" fillId="17" borderId="164" xfId="0" applyFont="1" applyFill="1" applyBorder="1"/>
    <xf numFmtId="0" fontId="37" fillId="17" borderId="32" xfId="1" applyFont="1" applyFill="1" applyBorder="1" applyAlignment="1">
      <alignment horizontal="center" vertical="center" wrapText="1"/>
    </xf>
    <xf numFmtId="0" fontId="30" fillId="18" borderId="32" xfId="1" applyFont="1" applyFill="1" applyBorder="1" applyAlignment="1">
      <alignment horizontal="center" vertical="center" wrapText="1"/>
    </xf>
    <xf numFmtId="0" fontId="37" fillId="0" borderId="116" xfId="1" applyFont="1" applyBorder="1" applyAlignment="1">
      <alignment horizontal="center" vertical="center" wrapText="1"/>
    </xf>
    <xf numFmtId="0" fontId="37" fillId="0" borderId="32" xfId="1" applyFont="1" applyBorder="1" applyAlignment="1">
      <alignment horizontal="center" vertical="center" wrapText="1"/>
    </xf>
    <xf numFmtId="0" fontId="37" fillId="0" borderId="108" xfId="1" applyFont="1" applyBorder="1" applyAlignment="1">
      <alignment horizontal="center" vertical="center" wrapText="1"/>
    </xf>
    <xf numFmtId="0" fontId="35" fillId="0" borderId="32" xfId="2" applyFont="1" applyBorder="1" applyAlignment="1">
      <alignment horizontal="center" vertical="center"/>
    </xf>
    <xf numFmtId="0" fontId="77" fillId="10" borderId="138" xfId="3" applyFont="1" applyFill="1" applyBorder="1" applyAlignment="1">
      <alignment horizontal="left" vertical="center"/>
    </xf>
    <xf numFmtId="0" fontId="77" fillId="10" borderId="139" xfId="3" applyFont="1" applyFill="1" applyBorder="1" applyAlignment="1">
      <alignment horizontal="left" vertical="center"/>
    </xf>
    <xf numFmtId="0" fontId="77" fillId="10" borderId="137" xfId="3" applyFont="1" applyFill="1" applyBorder="1" applyAlignment="1">
      <alignment horizontal="left" vertical="center"/>
    </xf>
    <xf numFmtId="0" fontId="2" fillId="0" borderId="266" xfId="0" applyFont="1" applyBorder="1"/>
    <xf numFmtId="0" fontId="139" fillId="0" borderId="0" xfId="0" applyFont="1"/>
    <xf numFmtId="0" fontId="140" fillId="0" borderId="0" xfId="0" applyFont="1"/>
    <xf numFmtId="0" fontId="141" fillId="0" borderId="257" xfId="0" applyFont="1" applyBorder="1"/>
    <xf numFmtId="0" fontId="141" fillId="0" borderId="257" xfId="0" applyFont="1" applyBorder="1" applyAlignment="1">
      <alignment horizontal="center"/>
    </xf>
    <xf numFmtId="0" fontId="139" fillId="0" borderId="0" xfId="0" applyFont="1" applyAlignment="1">
      <alignment vertical="center"/>
    </xf>
    <xf numFmtId="0" fontId="34" fillId="0" borderId="163" xfId="0" applyFont="1" applyBorder="1"/>
    <xf numFmtId="0" fontId="147" fillId="0" borderId="0" xfId="0" applyFont="1" applyAlignment="1">
      <alignment vertical="center"/>
    </xf>
    <xf numFmtId="0" fontId="2" fillId="0" borderId="277" xfId="0" applyFont="1" applyBorder="1"/>
    <xf numFmtId="0" fontId="149" fillId="0" borderId="251" xfId="0" applyFont="1" applyBorder="1" applyAlignment="1">
      <alignment horizontal="center" vertical="center"/>
    </xf>
    <xf numFmtId="0" fontId="53" fillId="26" borderId="278" xfId="0" applyFont="1" applyFill="1" applyBorder="1" applyAlignment="1">
      <alignment vertical="center"/>
    </xf>
    <xf numFmtId="0" fontId="149" fillId="0" borderId="0" xfId="0" applyFont="1" applyAlignment="1">
      <alignment horizontal="center" vertical="center"/>
    </xf>
    <xf numFmtId="0" fontId="53" fillId="26" borderId="256" xfId="0" applyFont="1" applyFill="1" applyBorder="1" applyAlignment="1">
      <alignment vertical="center"/>
    </xf>
    <xf numFmtId="0" fontId="47" fillId="0" borderId="0" xfId="0" applyFont="1"/>
    <xf numFmtId="0" fontId="150" fillId="0" borderId="0" xfId="0" applyFont="1"/>
    <xf numFmtId="0" fontId="54" fillId="61" borderId="279" xfId="0" applyFont="1" applyFill="1" applyBorder="1" applyAlignment="1">
      <alignment horizontal="center"/>
    </xf>
    <xf numFmtId="0" fontId="47" fillId="0" borderId="29" xfId="0" applyFont="1" applyBorder="1" applyAlignment="1">
      <alignment vertical="center"/>
    </xf>
    <xf numFmtId="0" fontId="47" fillId="0" borderId="29" xfId="0" applyFont="1" applyBorder="1" applyAlignment="1">
      <alignment horizontal="center" vertical="center"/>
    </xf>
    <xf numFmtId="0" fontId="47" fillId="0" borderId="39" xfId="0" applyFont="1" applyBorder="1" applyAlignment="1">
      <alignment vertical="center"/>
    </xf>
    <xf numFmtId="0" fontId="58" fillId="75" borderId="38" xfId="0" applyFont="1" applyFill="1" applyBorder="1" applyAlignment="1">
      <alignment horizontal="center" vertical="center"/>
    </xf>
    <xf numFmtId="0" fontId="58" fillId="18" borderId="29" xfId="0" applyFont="1" applyFill="1" applyBorder="1" applyAlignment="1">
      <alignment horizontal="center" vertical="center"/>
    </xf>
    <xf numFmtId="0" fontId="152" fillId="70" borderId="0" xfId="0" applyFont="1" applyFill="1"/>
    <xf numFmtId="0" fontId="151" fillId="71" borderId="0" xfId="0" applyFont="1" applyFill="1" applyAlignment="1">
      <alignment vertical="center"/>
    </xf>
    <xf numFmtId="0" fontId="115" fillId="28" borderId="91" xfId="2" applyFont="1" applyFill="1" applyBorder="1" applyAlignment="1">
      <alignment vertical="center"/>
    </xf>
    <xf numFmtId="0" fontId="145" fillId="28" borderId="91" xfId="2" applyFont="1" applyFill="1" applyBorder="1" applyAlignment="1">
      <alignment vertical="center"/>
    </xf>
    <xf numFmtId="0" fontId="115" fillId="28" borderId="0" xfId="2" applyFont="1" applyFill="1" applyAlignment="1">
      <alignment vertical="center"/>
    </xf>
    <xf numFmtId="0" fontId="145" fillId="28" borderId="0" xfId="2" applyFont="1" applyFill="1" applyAlignment="1">
      <alignment vertical="center"/>
    </xf>
    <xf numFmtId="0" fontId="0" fillId="43" borderId="0" xfId="0" applyFill="1"/>
    <xf numFmtId="0" fontId="97" fillId="16" borderId="64" xfId="0" applyFont="1" applyFill="1" applyBorder="1" applyAlignment="1">
      <alignment vertical="center"/>
    </xf>
    <xf numFmtId="0" fontId="45" fillId="0" borderId="0" xfId="0" applyFont="1" applyAlignment="1">
      <alignment vertical="center"/>
    </xf>
    <xf numFmtId="0" fontId="153" fillId="0" borderId="281" xfId="0" applyFont="1" applyBorder="1" applyAlignment="1">
      <alignment horizontal="center"/>
    </xf>
    <xf numFmtId="0" fontId="154" fillId="0" borderId="281" xfId="0" applyFont="1" applyBorder="1" applyAlignment="1">
      <alignment horizontal="center"/>
    </xf>
    <xf numFmtId="0" fontId="115" fillId="28" borderId="0" xfId="2" applyFont="1" applyFill="1" applyAlignment="1">
      <alignment horizontal="center" vertical="center"/>
    </xf>
    <xf numFmtId="0" fontId="35" fillId="70" borderId="0" xfId="0" applyFont="1" applyFill="1"/>
    <xf numFmtId="0" fontId="2" fillId="0" borderId="0" xfId="0" applyFont="1"/>
    <xf numFmtId="0" fontId="73" fillId="73"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1" fillId="0" borderId="29" xfId="0" applyFont="1" applyBorder="1" applyAlignment="1">
      <alignment vertical="center"/>
    </xf>
    <xf numFmtId="0" fontId="61" fillId="0" borderId="29" xfId="0" applyFont="1" applyBorder="1" applyAlignment="1">
      <alignment horizontal="center" vertical="center"/>
    </xf>
    <xf numFmtId="4" fontId="75" fillId="0" borderId="29" xfId="0" applyNumberFormat="1" applyFont="1" applyBorder="1" applyAlignment="1">
      <alignment vertical="center"/>
    </xf>
    <xf numFmtId="0" fontId="45" fillId="26" borderId="29" xfId="0" applyFont="1" applyFill="1" applyBorder="1" applyAlignment="1">
      <alignment vertical="center"/>
    </xf>
    <xf numFmtId="0" fontId="45" fillId="26" borderId="65" xfId="0" applyFont="1" applyFill="1" applyBorder="1" applyAlignment="1">
      <alignment vertical="center"/>
    </xf>
    <xf numFmtId="0" fontId="0" fillId="0" borderId="0" xfId="0" applyAlignment="1">
      <alignment horizontal="center" vertical="center"/>
    </xf>
    <xf numFmtId="0" fontId="0" fillId="0" borderId="0" xfId="3" applyFont="1"/>
    <xf numFmtId="0" fontId="77" fillId="10" borderId="12" xfId="3" applyFont="1" applyFill="1" applyBorder="1" applyAlignment="1">
      <alignment vertical="center"/>
    </xf>
    <xf numFmtId="0" fontId="4" fillId="0" borderId="0" xfId="4" applyFont="1"/>
    <xf numFmtId="0" fontId="126" fillId="55" borderId="190" xfId="4" applyFont="1" applyFill="1" applyBorder="1" applyAlignment="1">
      <alignment vertical="center" wrapText="1"/>
    </xf>
    <xf numFmtId="0" fontId="127" fillId="54" borderId="190" xfId="4" applyFont="1" applyFill="1" applyBorder="1" applyAlignment="1">
      <alignment vertical="center" wrapText="1"/>
    </xf>
    <xf numFmtId="0" fontId="73" fillId="41" borderId="190" xfId="4" applyFont="1" applyFill="1" applyBorder="1" applyAlignment="1">
      <alignment horizontal="center" vertical="center" wrapText="1"/>
    </xf>
    <xf numFmtId="0" fontId="128" fillId="41" borderId="198" xfId="4" applyFont="1" applyFill="1" applyBorder="1" applyAlignment="1">
      <alignment horizontal="center" vertical="center" wrapText="1"/>
    </xf>
    <xf numFmtId="0" fontId="126" fillId="55" borderId="199" xfId="4" applyFont="1" applyFill="1" applyBorder="1" applyAlignment="1">
      <alignment vertical="center" wrapText="1"/>
    </xf>
    <xf numFmtId="0" fontId="8" fillId="0" borderId="0" xfId="1" applyFont="1" applyAlignment="1">
      <alignment horizontal="center" vertical="center"/>
    </xf>
    <xf numFmtId="0" fontId="37" fillId="0" borderId="64" xfId="1" applyFont="1" applyBorder="1" applyAlignment="1">
      <alignment horizontal="center" vertical="center" wrapText="1"/>
    </xf>
    <xf numFmtId="0" fontId="37" fillId="0" borderId="54" xfId="1" applyFont="1" applyBorder="1" applyAlignment="1">
      <alignment horizontal="center" vertical="center" wrapText="1"/>
    </xf>
    <xf numFmtId="0" fontId="37" fillId="0" borderId="29" xfId="1" applyFont="1" applyBorder="1" applyAlignment="1">
      <alignment horizontal="center" vertical="center"/>
    </xf>
    <xf numFmtId="0" fontId="8" fillId="0" borderId="0" xfId="1" applyFont="1" applyAlignment="1">
      <alignment vertical="center"/>
    </xf>
    <xf numFmtId="0" fontId="8" fillId="0" borderId="0" xfId="1" applyFont="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37" fillId="0" borderId="57" xfId="1" applyFont="1" applyBorder="1" applyAlignment="1">
      <alignment horizontal="center" vertical="center"/>
    </xf>
    <xf numFmtId="0" fontId="37" fillId="0" borderId="65" xfId="1" applyFont="1" applyBorder="1" applyAlignment="1">
      <alignment horizontal="center" vertical="center" wrapText="1"/>
    </xf>
    <xf numFmtId="0" fontId="37" fillId="0" borderId="55" xfId="1" applyFont="1" applyBorder="1" applyAlignment="1">
      <alignment horizontal="center" vertical="center" wrapText="1"/>
    </xf>
    <xf numFmtId="0" fontId="37" fillId="0" borderId="56" xfId="1" applyFont="1" applyBorder="1" applyAlignment="1">
      <alignment horizontal="center" vertical="center"/>
    </xf>
    <xf numFmtId="0" fontId="52" fillId="27" borderId="29" xfId="1" applyFont="1" applyFill="1" applyBorder="1" applyAlignment="1">
      <alignment horizontal="right" vertical="center" wrapText="1"/>
    </xf>
    <xf numFmtId="0" fontId="0" fillId="0" borderId="0" xfId="0"/>
    <xf numFmtId="0" fontId="64" fillId="0" borderId="29" xfId="0" applyFont="1" applyBorder="1"/>
    <xf numFmtId="0" fontId="52" fillId="23" borderId="39" xfId="2" applyFont="1" applyFill="1" applyBorder="1" applyAlignment="1">
      <alignment horizontal="center" vertical="center" wrapText="1"/>
    </xf>
    <xf numFmtId="0" fontId="0" fillId="0" borderId="0" xfId="2" applyFont="1"/>
    <xf numFmtId="0" fontId="45" fillId="4" borderId="102" xfId="3" applyFont="1" applyFill="1" applyBorder="1" applyAlignment="1">
      <alignment horizontal="center" vertical="center"/>
    </xf>
    <xf numFmtId="0" fontId="45" fillId="4" borderId="106" xfId="3" applyFont="1" applyFill="1" applyBorder="1" applyAlignment="1">
      <alignment horizontal="center" vertical="center"/>
    </xf>
    <xf numFmtId="0" fontId="45" fillId="4" borderId="101" xfId="3" applyFont="1" applyFill="1" applyBorder="1" applyAlignment="1">
      <alignment horizontal="center" vertical="center"/>
    </xf>
    <xf numFmtId="0" fontId="47" fillId="0" borderId="30" xfId="0" applyFont="1" applyBorder="1"/>
    <xf numFmtId="0" fontId="47" fillId="17" borderId="30" xfId="0" applyFont="1" applyFill="1" applyBorder="1"/>
    <xf numFmtId="0" fontId="45" fillId="0" borderId="30" xfId="0" applyFont="1" applyBorder="1"/>
    <xf numFmtId="0" fontId="45" fillId="0" borderId="129" xfId="0" applyFont="1" applyBorder="1" applyAlignment="1">
      <alignment vertical="center" wrapText="1"/>
    </xf>
    <xf numFmtId="0" fontId="45" fillId="0" borderId="129" xfId="0" applyFont="1" applyBorder="1"/>
    <xf numFmtId="0" fontId="63" fillId="22" borderId="264" xfId="0" applyFont="1" applyFill="1" applyBorder="1" applyAlignment="1">
      <alignment vertical="center" wrapText="1"/>
    </xf>
    <xf numFmtId="0" fontId="64" fillId="0" borderId="264" xfId="0" applyFont="1" applyBorder="1"/>
    <xf numFmtId="0" fontId="5" fillId="0" borderId="29" xfId="2" applyFont="1" applyBorder="1"/>
    <xf numFmtId="0" fontId="62" fillId="0" borderId="33" xfId="2" applyFont="1" applyBorder="1"/>
    <xf numFmtId="0" fontId="45" fillId="0" borderId="29" xfId="0" applyFont="1" applyBorder="1"/>
    <xf numFmtId="0" fontId="0" fillId="41" borderId="283" xfId="0" applyFill="1" applyBorder="1"/>
    <xf numFmtId="0" fontId="0" fillId="0" borderId="0" xfId="0" applyAlignment="1">
      <alignment horizontal="center"/>
    </xf>
    <xf numFmtId="0" fontId="53" fillId="26" borderId="252" xfId="0" applyFont="1" applyFill="1" applyBorder="1" applyAlignment="1">
      <alignment vertical="center"/>
    </xf>
    <xf numFmtId="0" fontId="149" fillId="0" borderId="289" xfId="0" applyFont="1" applyBorder="1" applyAlignment="1">
      <alignment horizontal="center" vertical="center"/>
    </xf>
    <xf numFmtId="0" fontId="34" fillId="0" borderId="273" xfId="0" applyFont="1" applyBorder="1"/>
    <xf numFmtId="0" fontId="101" fillId="37" borderId="63" xfId="0" applyFont="1" applyFill="1" applyBorder="1" applyAlignment="1">
      <alignment horizontal="center" vertical="center"/>
    </xf>
    <xf numFmtId="0" fontId="66" fillId="20" borderId="29" xfId="0" applyFont="1" applyFill="1" applyBorder="1" applyAlignment="1">
      <alignment horizontal="left" vertical="center"/>
    </xf>
    <xf numFmtId="0" fontId="45" fillId="0" borderId="138" xfId="0" applyFont="1" applyBorder="1"/>
    <xf numFmtId="0" fontId="28" fillId="20" borderId="168" xfId="0" applyFont="1" applyFill="1" applyBorder="1" applyAlignment="1">
      <alignment vertical="center"/>
    </xf>
    <xf numFmtId="0" fontId="28" fillId="20" borderId="32" xfId="0" applyFont="1" applyFill="1" applyBorder="1" applyAlignment="1">
      <alignment vertical="center"/>
    </xf>
    <xf numFmtId="0" fontId="28" fillId="20" borderId="29" xfId="0" applyFont="1" applyFill="1" applyBorder="1" applyAlignment="1">
      <alignment vertical="center"/>
    </xf>
    <xf numFmtId="0" fontId="45" fillId="0" borderId="0" xfId="0" applyFont="1"/>
    <xf numFmtId="0" fontId="156" fillId="28" borderId="0" xfId="2" applyFont="1" applyFill="1" applyAlignment="1">
      <alignment horizontal="left" vertical="center"/>
    </xf>
    <xf numFmtId="0" fontId="73" fillId="26" borderId="162" xfId="0" applyFont="1" applyFill="1" applyBorder="1" applyAlignment="1">
      <alignment vertical="center"/>
    </xf>
    <xf numFmtId="0" fontId="138" fillId="25" borderId="279" xfId="0" applyFont="1" applyFill="1" applyBorder="1" applyAlignment="1">
      <alignment horizontal="center" vertical="center" wrapText="1"/>
    </xf>
    <xf numFmtId="0" fontId="143" fillId="74" borderId="294" xfId="0" applyFont="1" applyFill="1" applyBorder="1" applyAlignment="1">
      <alignment horizontal="center" vertical="center" wrapText="1"/>
    </xf>
    <xf numFmtId="0" fontId="142" fillId="17" borderId="294" xfId="0" applyFont="1" applyFill="1" applyBorder="1" applyAlignment="1">
      <alignment vertical="center" wrapText="1"/>
    </xf>
    <xf numFmtId="0" fontId="142" fillId="16" borderId="294" xfId="0" applyFont="1" applyFill="1" applyBorder="1" applyAlignment="1">
      <alignment vertical="center" wrapText="1"/>
    </xf>
    <xf numFmtId="0" fontId="139" fillId="0" borderId="294" xfId="0" applyFont="1" applyBorder="1" applyAlignment="1">
      <alignment horizontal="center" vertical="center" wrapText="1"/>
    </xf>
    <xf numFmtId="0" fontId="141" fillId="28" borderId="294" xfId="0" applyFont="1" applyFill="1" applyBorder="1" applyAlignment="1">
      <alignment vertical="center" wrapText="1"/>
    </xf>
    <xf numFmtId="0" fontId="139" fillId="0" borderId="294" xfId="0" applyFont="1" applyBorder="1" applyAlignment="1">
      <alignment vertical="center" wrapText="1"/>
    </xf>
    <xf numFmtId="0" fontId="80" fillId="75" borderId="294" xfId="0" applyFont="1" applyFill="1" applyBorder="1" applyAlignment="1">
      <alignment horizontal="center" vertical="center" wrapText="1"/>
    </xf>
    <xf numFmtId="0" fontId="144" fillId="17" borderId="294" xfId="0" applyFont="1" applyFill="1" applyBorder="1" applyAlignment="1">
      <alignment horizontal="center" vertical="center" wrapText="1"/>
    </xf>
    <xf numFmtId="0" fontId="144" fillId="16" borderId="294" xfId="0" applyFont="1" applyFill="1" applyBorder="1" applyAlignment="1">
      <alignment horizontal="center" vertical="center" wrapText="1"/>
    </xf>
    <xf numFmtId="0" fontId="140" fillId="0" borderId="294" xfId="0" applyFont="1" applyBorder="1" applyAlignment="1">
      <alignment vertical="center" wrapText="1"/>
    </xf>
    <xf numFmtId="0" fontId="140" fillId="0" borderId="294" xfId="0" applyFont="1" applyBorder="1" applyAlignment="1">
      <alignment horizontal="center" vertical="center" wrapText="1"/>
    </xf>
    <xf numFmtId="0" fontId="80" fillId="75" borderId="295" xfId="0" applyFont="1" applyFill="1" applyBorder="1" applyAlignment="1">
      <alignment horizontal="center" vertical="center" wrapText="1"/>
    </xf>
    <xf numFmtId="0" fontId="144" fillId="17" borderId="295" xfId="0" applyFont="1" applyFill="1" applyBorder="1" applyAlignment="1">
      <alignment horizontal="center" vertical="center" wrapText="1"/>
    </xf>
    <xf numFmtId="0" fontId="144" fillId="16" borderId="295" xfId="0" applyFont="1" applyFill="1" applyBorder="1" applyAlignment="1">
      <alignment horizontal="center" vertical="center" wrapText="1"/>
    </xf>
    <xf numFmtId="0" fontId="140" fillId="0" borderId="295" xfId="0" applyFont="1" applyBorder="1" applyAlignment="1">
      <alignment vertical="center" wrapText="1"/>
    </xf>
    <xf numFmtId="0" fontId="140" fillId="0" borderId="295" xfId="0" applyFont="1" applyBorder="1" applyAlignment="1">
      <alignment horizontal="center" vertical="center" wrapText="1"/>
    </xf>
    <xf numFmtId="0" fontId="146" fillId="25" borderId="290" xfId="0" applyFont="1" applyFill="1" applyBorder="1" applyAlignment="1">
      <alignment horizontal="center" vertical="center" wrapText="1"/>
    </xf>
    <xf numFmtId="0" fontId="146" fillId="25" borderId="296" xfId="0" applyFont="1" applyFill="1" applyBorder="1" applyAlignment="1">
      <alignment horizontal="center" vertical="center" wrapText="1"/>
    </xf>
    <xf numFmtId="0" fontId="146" fillId="25" borderId="297" xfId="0" applyFont="1" applyFill="1" applyBorder="1" applyAlignment="1">
      <alignment horizontal="center" vertical="center" wrapText="1"/>
    </xf>
    <xf numFmtId="166" fontId="97" fillId="17" borderId="29" xfId="0" applyNumberFormat="1" applyFont="1" applyFill="1" applyBorder="1" applyAlignment="1">
      <alignment horizontal="center" vertical="center"/>
    </xf>
    <xf numFmtId="167" fontId="75" fillId="6" borderId="0" xfId="0" applyNumberFormat="1" applyFont="1" applyFill="1" applyAlignment="1">
      <alignment vertical="center"/>
    </xf>
    <xf numFmtId="167" fontId="75" fillId="0" borderId="0" xfId="0" applyNumberFormat="1" applyFont="1" applyAlignment="1">
      <alignment vertical="center"/>
    </xf>
    <xf numFmtId="167" fontId="48" fillId="3" borderId="0" xfId="0" applyNumberFormat="1" applyFont="1" applyFill="1" applyAlignment="1">
      <alignment vertical="center"/>
    </xf>
    <xf numFmtId="166" fontId="139" fillId="0" borderId="294" xfId="0" applyNumberFormat="1" applyFont="1" applyBorder="1" applyAlignment="1">
      <alignment vertical="center" wrapText="1"/>
    </xf>
    <xf numFmtId="167" fontId="139" fillId="0" borderId="294" xfId="0" applyNumberFormat="1" applyFont="1" applyBorder="1" applyAlignment="1">
      <alignment vertical="center" wrapText="1"/>
    </xf>
    <xf numFmtId="169" fontId="139" fillId="0" borderId="294" xfId="0" applyNumberFormat="1" applyFont="1" applyBorder="1" applyAlignment="1">
      <alignment vertical="center" wrapText="1"/>
    </xf>
    <xf numFmtId="166" fontId="140" fillId="0" borderId="295" xfId="0" applyNumberFormat="1" applyFont="1" applyBorder="1" applyAlignment="1">
      <alignment vertical="center" wrapText="1"/>
    </xf>
    <xf numFmtId="167" fontId="140" fillId="0" borderId="295" xfId="0" applyNumberFormat="1" applyFont="1" applyBorder="1" applyAlignment="1">
      <alignment vertical="center" wrapText="1"/>
    </xf>
    <xf numFmtId="166" fontId="140" fillId="0" borderId="294" xfId="0" applyNumberFormat="1" applyFont="1" applyBorder="1" applyAlignment="1">
      <alignment vertical="center" wrapText="1"/>
    </xf>
    <xf numFmtId="167" fontId="140" fillId="0" borderId="294" xfId="0" applyNumberFormat="1" applyFont="1" applyBorder="1" applyAlignment="1">
      <alignment vertical="center" wrapText="1"/>
    </xf>
    <xf numFmtId="169" fontId="47" fillId="0" borderId="29" xfId="0" applyNumberFormat="1" applyFont="1" applyBorder="1" applyAlignment="1">
      <alignment horizontal="center" vertical="center"/>
    </xf>
    <xf numFmtId="168" fontId="75" fillId="0" borderId="29" xfId="0" applyNumberFormat="1" applyFont="1" applyBorder="1" applyAlignment="1">
      <alignment vertical="center"/>
    </xf>
    <xf numFmtId="168" fontId="61" fillId="0" borderId="65" xfId="0" applyNumberFormat="1" applyFont="1" applyBorder="1" applyAlignment="1">
      <alignment vertical="center"/>
    </xf>
    <xf numFmtId="168" fontId="48" fillId="3" borderId="65" xfId="0" applyNumberFormat="1" applyFont="1" applyFill="1" applyBorder="1" applyAlignment="1">
      <alignment vertical="center"/>
    </xf>
    <xf numFmtId="168" fontId="54" fillId="35" borderId="65" xfId="0" applyNumberFormat="1" applyFont="1" applyFill="1" applyBorder="1" applyAlignment="1">
      <alignment vertical="center"/>
    </xf>
    <xf numFmtId="167" fontId="63" fillId="26" borderId="29" xfId="0" applyNumberFormat="1" applyFont="1" applyFill="1" applyBorder="1" applyAlignment="1">
      <alignment vertical="center"/>
    </xf>
    <xf numFmtId="168" fontId="63" fillId="26" borderId="65" xfId="0" applyNumberFormat="1" applyFont="1" applyFill="1" applyBorder="1" applyAlignment="1">
      <alignment vertical="center"/>
    </xf>
    <xf numFmtId="168" fontId="66" fillId="20" borderId="65" xfId="0" applyNumberFormat="1" applyFont="1" applyFill="1" applyBorder="1" applyAlignment="1">
      <alignment vertical="center"/>
    </xf>
    <xf numFmtId="168" fontId="88" fillId="0" borderId="91" xfId="0" applyNumberFormat="1" applyFont="1" applyBorder="1"/>
    <xf numFmtId="168" fontId="88" fillId="0" borderId="119" xfId="0" applyNumberFormat="1" applyFont="1" applyBorder="1"/>
    <xf numFmtId="168" fontId="61" fillId="0" borderId="159" xfId="0" applyNumberFormat="1" applyFont="1" applyBorder="1"/>
    <xf numFmtId="167" fontId="61" fillId="0" borderId="159" xfId="0" applyNumberFormat="1" applyFont="1" applyBorder="1"/>
    <xf numFmtId="168" fontId="48" fillId="3" borderId="159" xfId="0" applyNumberFormat="1" applyFont="1" applyFill="1" applyBorder="1"/>
    <xf numFmtId="167" fontId="48" fillId="3" borderId="159" xfId="0" applyNumberFormat="1" applyFont="1" applyFill="1" applyBorder="1"/>
    <xf numFmtId="168" fontId="54" fillId="20" borderId="161" xfId="0" applyNumberFormat="1" applyFont="1" applyFill="1" applyBorder="1" applyAlignment="1">
      <alignment vertical="center"/>
    </xf>
    <xf numFmtId="168" fontId="88" fillId="0" borderId="0" xfId="0" applyNumberFormat="1" applyFont="1" applyAlignment="1">
      <alignment vertical="center"/>
    </xf>
    <xf numFmtId="169" fontId="48" fillId="34" borderId="29" xfId="0" applyNumberFormat="1" applyFont="1" applyFill="1" applyBorder="1" applyAlignment="1">
      <alignment horizontal="center"/>
    </xf>
    <xf numFmtId="169" fontId="54" fillId="20" borderId="112" xfId="0" applyNumberFormat="1" applyFont="1" applyFill="1" applyBorder="1" applyAlignment="1">
      <alignment horizontal="center" vertical="center"/>
    </xf>
    <xf numFmtId="169" fontId="70" fillId="36" borderId="32" xfId="0" applyNumberFormat="1" applyFont="1" applyFill="1" applyBorder="1" applyAlignment="1">
      <alignment horizontal="center"/>
    </xf>
    <xf numFmtId="169" fontId="42" fillId="7" borderId="29" xfId="0" applyNumberFormat="1" applyFont="1" applyFill="1" applyBorder="1" applyAlignment="1">
      <alignment horizontal="center"/>
    </xf>
    <xf numFmtId="169" fontId="42" fillId="6" borderId="29" xfId="0" applyNumberFormat="1" applyFont="1" applyFill="1" applyBorder="1" applyAlignment="1">
      <alignment horizontal="center"/>
    </xf>
    <xf numFmtId="169" fontId="70" fillId="36" borderId="29" xfId="0" applyNumberFormat="1" applyFont="1" applyFill="1" applyBorder="1" applyAlignment="1">
      <alignment horizontal="center"/>
    </xf>
    <xf numFmtId="169" fontId="54" fillId="20" borderId="29" xfId="0" applyNumberFormat="1" applyFont="1" applyFill="1" applyBorder="1" applyAlignment="1">
      <alignment horizontal="center" vertical="center"/>
    </xf>
    <xf numFmtId="169" fontId="42" fillId="0" borderId="29" xfId="0" applyNumberFormat="1" applyFont="1" applyBorder="1" applyAlignment="1">
      <alignment horizontal="center"/>
    </xf>
    <xf numFmtId="169" fontId="43" fillId="20" borderId="29" xfId="0" applyNumberFormat="1" applyFont="1" applyFill="1" applyBorder="1" applyAlignment="1">
      <alignment horizontal="center" vertical="center"/>
    </xf>
    <xf numFmtId="169" fontId="44" fillId="20" borderId="29" xfId="0" applyNumberFormat="1" applyFont="1" applyFill="1" applyBorder="1" applyAlignment="1">
      <alignment horizontal="center" vertical="center"/>
    </xf>
    <xf numFmtId="169" fontId="42" fillId="7" borderId="33" xfId="0" applyNumberFormat="1" applyFont="1" applyFill="1" applyBorder="1" applyAlignment="1">
      <alignment horizontal="center"/>
    </xf>
    <xf numFmtId="169" fontId="42" fillId="7" borderId="149" xfId="0" applyNumberFormat="1" applyFont="1" applyFill="1" applyBorder="1" applyAlignment="1">
      <alignment horizontal="center"/>
    </xf>
    <xf numFmtId="169" fontId="42" fillId="7" borderId="153" xfId="0" applyNumberFormat="1" applyFont="1" applyFill="1" applyBorder="1" applyAlignment="1">
      <alignment horizontal="center"/>
    </xf>
    <xf numFmtId="166" fontId="0" fillId="11" borderId="12" xfId="3" applyNumberFormat="1" applyFont="1" applyFill="1" applyBorder="1" applyAlignment="1">
      <alignment horizontal="center" vertical="center"/>
    </xf>
    <xf numFmtId="166" fontId="22" fillId="12" borderId="12" xfId="3" applyNumberFormat="1" applyFont="1" applyFill="1" applyBorder="1" applyAlignment="1">
      <alignment vertical="center"/>
    </xf>
    <xf numFmtId="169" fontId="126" fillId="55" borderId="191" xfId="4" applyNumberFormat="1" applyFont="1" applyFill="1" applyBorder="1" applyAlignment="1">
      <alignment vertical="center" wrapText="1"/>
    </xf>
    <xf numFmtId="169" fontId="126" fillId="55" borderId="192" xfId="4" applyNumberFormat="1" applyFont="1" applyFill="1" applyBorder="1" applyAlignment="1">
      <alignment vertical="center" wrapText="1"/>
    </xf>
    <xf numFmtId="169" fontId="126" fillId="55" borderId="190" xfId="4" applyNumberFormat="1" applyFont="1" applyFill="1" applyBorder="1" applyAlignment="1">
      <alignment vertical="center" wrapText="1"/>
    </xf>
    <xf numFmtId="167" fontId="129" fillId="56" borderId="199" xfId="4" applyNumberFormat="1" applyFont="1" applyFill="1" applyBorder="1" applyAlignment="1">
      <alignment vertical="center" wrapText="1"/>
    </xf>
    <xf numFmtId="167" fontId="129" fillId="56" borderId="190" xfId="4" applyNumberFormat="1" applyFont="1" applyFill="1" applyBorder="1" applyAlignment="1">
      <alignment vertical="center" wrapText="1"/>
    </xf>
    <xf numFmtId="169" fontId="126" fillId="55" borderId="189" xfId="4" applyNumberFormat="1" applyFont="1" applyFill="1" applyBorder="1" applyAlignment="1">
      <alignment vertical="center" wrapText="1"/>
    </xf>
    <xf numFmtId="164" fontId="126" fillId="55" borderId="192" xfId="4" applyNumberFormat="1" applyFont="1" applyFill="1" applyBorder="1" applyAlignment="1">
      <alignment vertical="center" wrapText="1"/>
    </xf>
    <xf numFmtId="164" fontId="126" fillId="55" borderId="190" xfId="4" applyNumberFormat="1" applyFont="1" applyFill="1" applyBorder="1" applyAlignment="1">
      <alignment vertical="center" wrapText="1"/>
    </xf>
    <xf numFmtId="167" fontId="47" fillId="16" borderId="30" xfId="0" applyNumberFormat="1" applyFont="1" applyFill="1" applyBorder="1" applyAlignment="1">
      <alignment horizontal="center"/>
    </xf>
    <xf numFmtId="167" fontId="47" fillId="17" borderId="30" xfId="0" applyNumberFormat="1" applyFont="1" applyFill="1" applyBorder="1" applyAlignment="1">
      <alignment horizontal="center"/>
    </xf>
    <xf numFmtId="167" fontId="43" fillId="18" borderId="133" xfId="0" applyNumberFormat="1" applyFont="1" applyFill="1" applyBorder="1" applyAlignment="1">
      <alignment horizontal="center"/>
    </xf>
    <xf numFmtId="167" fontId="47" fillId="16" borderId="30" xfId="0" applyNumberFormat="1" applyFont="1" applyFill="1" applyBorder="1"/>
    <xf numFmtId="167" fontId="43" fillId="18" borderId="133" xfId="0" applyNumberFormat="1" applyFont="1" applyFill="1" applyBorder="1"/>
    <xf numFmtId="167" fontId="48" fillId="3" borderId="30" xfId="0" applyNumberFormat="1" applyFont="1" applyFill="1" applyBorder="1"/>
    <xf numFmtId="167" fontId="58" fillId="19" borderId="133" xfId="0" applyNumberFormat="1" applyFont="1" applyFill="1" applyBorder="1"/>
    <xf numFmtId="167" fontId="35" fillId="16" borderId="32" xfId="2" applyNumberFormat="1" applyFont="1" applyFill="1" applyBorder="1" applyAlignment="1">
      <alignment horizontal="center" vertical="center"/>
    </xf>
    <xf numFmtId="167" fontId="35" fillId="17" borderId="32" xfId="2" applyNumberFormat="1" applyFont="1" applyFill="1" applyBorder="1" applyAlignment="1">
      <alignment horizontal="center" vertical="center"/>
    </xf>
    <xf numFmtId="167" fontId="33" fillId="18" borderId="265" xfId="2" applyNumberFormat="1" applyFont="1" applyFill="1" applyBorder="1" applyAlignment="1">
      <alignment horizontal="center" vertical="center"/>
    </xf>
    <xf numFmtId="167" fontId="56" fillId="19" borderId="28" xfId="2" applyNumberFormat="1" applyFont="1" applyFill="1" applyBorder="1" applyAlignment="1">
      <alignment horizontal="center"/>
    </xf>
    <xf numFmtId="0" fontId="0" fillId="0" borderId="29" xfId="0" applyBorder="1"/>
    <xf numFmtId="0" fontId="0" fillId="0" borderId="32" xfId="0" applyBorder="1"/>
    <xf numFmtId="0" fontId="45" fillId="4" borderId="98" xfId="3" applyFont="1" applyFill="1" applyBorder="1" applyAlignment="1">
      <alignment horizontal="center" vertical="center"/>
    </xf>
    <xf numFmtId="0" fontId="0" fillId="0" borderId="33" xfId="0" applyBorder="1"/>
    <xf numFmtId="0" fontId="45" fillId="0" borderId="30" xfId="0" applyFont="1" applyBorder="1" applyAlignment="1">
      <alignment vertical="center" wrapText="1"/>
    </xf>
    <xf numFmtId="0" fontId="0" fillId="0" borderId="283" xfId="0" applyBorder="1"/>
    <xf numFmtId="0" fontId="5" fillId="0" borderId="29" xfId="2" applyFont="1" applyBorder="1" applyAlignment="1">
      <alignment horizontal="center" vertical="center" wrapText="1"/>
    </xf>
    <xf numFmtId="165" fontId="159" fillId="3" borderId="176" xfId="0" applyNumberFormat="1" applyFont="1" applyFill="1" applyBorder="1" applyAlignment="1">
      <alignment vertical="center"/>
    </xf>
    <xf numFmtId="165" fontId="159" fillId="3" borderId="65" xfId="0" applyNumberFormat="1" applyFont="1" applyFill="1" applyBorder="1" applyAlignment="1">
      <alignment vertical="center"/>
    </xf>
    <xf numFmtId="165" fontId="87" fillId="49" borderId="114" xfId="0" applyNumberFormat="1" applyFont="1" applyFill="1" applyBorder="1" applyAlignment="1">
      <alignment vertical="center"/>
    </xf>
    <xf numFmtId="165" fontId="37" fillId="28" borderId="174" xfId="0" applyNumberFormat="1" applyFont="1" applyFill="1" applyBorder="1" applyAlignment="1">
      <alignment vertical="center"/>
    </xf>
    <xf numFmtId="165" fontId="37" fillId="28" borderId="65" xfId="0" applyNumberFormat="1" applyFont="1" applyFill="1" applyBorder="1" applyAlignment="1">
      <alignment vertical="center"/>
    </xf>
    <xf numFmtId="165" fontId="157" fillId="16" borderId="65" xfId="0" applyNumberFormat="1" applyFont="1" applyFill="1" applyBorder="1" applyAlignment="1">
      <alignment vertical="center"/>
    </xf>
    <xf numFmtId="0" fontId="0" fillId="0" borderId="0" xfId="0" applyAlignment="1"/>
    <xf numFmtId="0" fontId="73" fillId="16" borderId="162" xfId="0" applyFont="1" applyFill="1" applyBorder="1" applyAlignment="1">
      <alignment vertical="center"/>
    </xf>
    <xf numFmtId="165" fontId="97" fillId="26" borderId="29" xfId="0" applyNumberFormat="1" applyFont="1" applyFill="1" applyBorder="1" applyAlignment="1">
      <alignment vertical="center"/>
    </xf>
    <xf numFmtId="165" fontId="98" fillId="26" borderId="29" xfId="0" applyNumberFormat="1" applyFont="1" applyFill="1" applyBorder="1" applyAlignment="1">
      <alignment vertical="center"/>
    </xf>
    <xf numFmtId="0" fontId="52" fillId="0" borderId="97" xfId="1" applyFont="1" applyBorder="1" applyAlignment="1">
      <alignment horizontal="left" vertical="center"/>
    </xf>
    <xf numFmtId="0" fontId="52" fillId="0" borderId="58" xfId="1" applyFont="1" applyBorder="1" applyAlignment="1">
      <alignment vertical="center"/>
    </xf>
    <xf numFmtId="0" fontId="54" fillId="25" borderId="33" xfId="0" applyFont="1" applyFill="1" applyBorder="1" applyAlignment="1">
      <alignment horizontal="center" vertical="center"/>
    </xf>
    <xf numFmtId="0" fontId="54" fillId="25" borderId="35" xfId="0" applyFont="1" applyFill="1" applyBorder="1" applyAlignment="1">
      <alignment horizontal="center" vertical="center"/>
    </xf>
    <xf numFmtId="0" fontId="45" fillId="4" borderId="319" xfId="3" applyFont="1" applyFill="1" applyBorder="1" applyAlignment="1">
      <alignment horizontal="center" vertical="center"/>
    </xf>
    <xf numFmtId="0" fontId="45" fillId="4" borderId="321" xfId="3" applyFont="1" applyFill="1" applyBorder="1" applyAlignment="1">
      <alignment horizontal="center" vertical="center"/>
    </xf>
    <xf numFmtId="0" fontId="113" fillId="42" borderId="321" xfId="3" applyFont="1" applyFill="1" applyBorder="1" applyAlignment="1">
      <alignment horizontal="center" vertical="center"/>
    </xf>
    <xf numFmtId="0" fontId="45" fillId="4" borderId="323" xfId="3" applyFont="1" applyFill="1" applyBorder="1" applyAlignment="1">
      <alignment horizontal="center" vertical="center"/>
    </xf>
    <xf numFmtId="0" fontId="66" fillId="25" borderId="40" xfId="0" applyFont="1" applyFill="1" applyBorder="1" applyAlignment="1">
      <alignment horizontal="center" vertical="center"/>
    </xf>
    <xf numFmtId="0" fontId="0" fillId="0" borderId="266" xfId="0" applyBorder="1" applyAlignment="1"/>
    <xf numFmtId="0" fontId="55" fillId="18" borderId="38" xfId="0" applyFont="1" applyFill="1" applyBorder="1" applyAlignment="1">
      <alignment horizontal="center" vertical="center"/>
    </xf>
    <xf numFmtId="0" fontId="37" fillId="0" borderId="29" xfId="0" applyFont="1" applyBorder="1"/>
    <xf numFmtId="0" fontId="37" fillId="16" borderId="29" xfId="0" applyFont="1" applyFill="1" applyBorder="1" applyAlignment="1">
      <alignment horizontal="center" vertical="center"/>
    </xf>
    <xf numFmtId="171" fontId="37" fillId="17" borderId="39" xfId="0" applyNumberFormat="1" applyFont="1" applyFill="1" applyBorder="1"/>
    <xf numFmtId="0" fontId="0" fillId="0" borderId="324" xfId="0" applyBorder="1"/>
    <xf numFmtId="0" fontId="20" fillId="0" borderId="0" xfId="0" applyFont="1" applyAlignment="1">
      <alignment horizontal="center" vertical="center"/>
    </xf>
    <xf numFmtId="0" fontId="22" fillId="10" borderId="318" xfId="3" applyFont="1" applyFill="1" applyBorder="1" applyAlignment="1">
      <alignment horizontal="left" vertical="center"/>
    </xf>
    <xf numFmtId="0" fontId="22" fillId="10" borderId="320" xfId="3" applyFont="1" applyFill="1" applyBorder="1" applyAlignment="1">
      <alignment horizontal="left" vertical="center"/>
    </xf>
    <xf numFmtId="0" fontId="82" fillId="10" borderId="318" xfId="3" applyFont="1" applyFill="1" applyBorder="1" applyAlignment="1">
      <alignment horizontal="left" vertical="center"/>
    </xf>
    <xf numFmtId="0" fontId="82" fillId="10" borderId="320" xfId="3" applyFont="1" applyFill="1" applyBorder="1" applyAlignment="1">
      <alignment horizontal="left" vertical="center"/>
    </xf>
    <xf numFmtId="0" fontId="149" fillId="42" borderId="321" xfId="3" applyFont="1" applyFill="1" applyBorder="1" applyAlignment="1">
      <alignment horizontal="center" vertical="center"/>
    </xf>
    <xf numFmtId="0" fontId="82" fillId="10" borderId="322" xfId="3" applyFont="1" applyFill="1" applyBorder="1" applyAlignment="1">
      <alignment horizontal="left" vertical="center"/>
    </xf>
    <xf numFmtId="0" fontId="0" fillId="0" borderId="326" xfId="0" applyBorder="1"/>
    <xf numFmtId="0" fontId="22" fillId="10" borderId="327" xfId="3" applyFont="1" applyFill="1" applyBorder="1" applyAlignment="1">
      <alignment horizontal="left" vertical="center"/>
    </xf>
    <xf numFmtId="0" fontId="45" fillId="4" borderId="328" xfId="3" applyFont="1" applyFill="1" applyBorder="1" applyAlignment="1">
      <alignment horizontal="center" vertical="center"/>
    </xf>
    <xf numFmtId="0" fontId="55" fillId="18" borderId="30" xfId="0" applyFont="1" applyFill="1" applyBorder="1" applyAlignment="1">
      <alignment horizontal="center"/>
    </xf>
    <xf numFmtId="0" fontId="37" fillId="0" borderId="30" xfId="0" applyFont="1" applyBorder="1"/>
    <xf numFmtId="0" fontId="37" fillId="16" borderId="30" xfId="0" applyFont="1" applyFill="1" applyBorder="1" applyAlignment="1">
      <alignment horizontal="center"/>
    </xf>
    <xf numFmtId="171" fontId="37" fillId="17" borderId="30" xfId="0" applyNumberFormat="1" applyFont="1" applyFill="1" applyBorder="1"/>
    <xf numFmtId="0" fontId="55" fillId="18" borderId="129" xfId="0" applyFont="1" applyFill="1" applyBorder="1" applyAlignment="1">
      <alignment horizontal="center"/>
    </xf>
    <xf numFmtId="0" fontId="37" fillId="0" borderId="129" xfId="0" applyFont="1" applyBorder="1"/>
    <xf numFmtId="0" fontId="37" fillId="16" borderId="129" xfId="0" applyFont="1" applyFill="1" applyBorder="1" applyAlignment="1">
      <alignment horizontal="center"/>
    </xf>
    <xf numFmtId="171" fontId="37" fillId="17" borderId="129" xfId="0" applyNumberFormat="1" applyFont="1" applyFill="1" applyBorder="1"/>
    <xf numFmtId="0" fontId="28" fillId="25" borderId="329" xfId="0" applyFont="1" applyFill="1" applyBorder="1" applyAlignment="1">
      <alignment horizontal="center" vertical="center"/>
    </xf>
    <xf numFmtId="0" fontId="41" fillId="25" borderId="26" xfId="0" applyFont="1" applyFill="1" applyBorder="1" applyAlignment="1">
      <alignment horizontal="center" vertical="center"/>
    </xf>
    <xf numFmtId="0" fontId="41" fillId="25" borderId="291" xfId="0" applyFont="1" applyFill="1" applyBorder="1" applyAlignment="1">
      <alignment horizontal="center" vertical="center"/>
    </xf>
    <xf numFmtId="0" fontId="20" fillId="0" borderId="266" xfId="0" applyFont="1" applyBorder="1" applyAlignment="1">
      <alignment horizontal="center" vertical="center"/>
    </xf>
    <xf numFmtId="0" fontId="40" fillId="25" borderId="330" xfId="0" applyFont="1" applyFill="1" applyBorder="1" applyAlignment="1">
      <alignment horizontal="center" vertical="center"/>
    </xf>
    <xf numFmtId="0" fontId="40" fillId="25" borderId="301" xfId="0" applyFont="1" applyFill="1" applyBorder="1" applyAlignment="1">
      <alignment horizontal="center" vertical="center"/>
    </xf>
    <xf numFmtId="0" fontId="40" fillId="25" borderId="331" xfId="0" applyFont="1" applyFill="1" applyBorder="1" applyAlignment="1">
      <alignment horizontal="center" vertical="center"/>
    </xf>
    <xf numFmtId="0" fontId="55" fillId="18" borderId="30" xfId="0" applyFont="1" applyFill="1" applyBorder="1" applyAlignment="1">
      <alignment horizontal="center" vertical="center"/>
    </xf>
    <xf numFmtId="0" fontId="161" fillId="0" borderId="58" xfId="1" applyFont="1" applyBorder="1" applyAlignment="1">
      <alignment horizontal="center" vertical="center"/>
    </xf>
    <xf numFmtId="0" fontId="0" fillId="0" borderId="0" xfId="0"/>
    <xf numFmtId="0" fontId="5" fillId="16" borderId="108" xfId="0" applyFont="1" applyFill="1" applyBorder="1" applyAlignment="1">
      <alignment horizontal="center" vertical="center"/>
    </xf>
    <xf numFmtId="0" fontId="0" fillId="0" borderId="32" xfId="0" applyBorder="1"/>
    <xf numFmtId="0" fontId="0" fillId="0" borderId="108" xfId="0" applyBorder="1"/>
    <xf numFmtId="0" fontId="97" fillId="16" borderId="64" xfId="0" applyFont="1" applyFill="1" applyBorder="1" applyAlignment="1">
      <alignment vertical="center"/>
    </xf>
    <xf numFmtId="0" fontId="0" fillId="0" borderId="29" xfId="0" applyBorder="1"/>
    <xf numFmtId="0" fontId="157" fillId="26" borderId="64" xfId="0" applyFont="1" applyFill="1" applyBorder="1" applyAlignment="1">
      <alignment horizontal="left" vertical="center"/>
    </xf>
    <xf numFmtId="0" fontId="158" fillId="0" borderId="29" xfId="0" applyFont="1" applyBorder="1"/>
    <xf numFmtId="0" fontId="32" fillId="20" borderId="0" xfId="0" applyFont="1" applyFill="1" applyAlignment="1">
      <alignment horizontal="center" vertical="center"/>
    </xf>
    <xf numFmtId="0" fontId="97" fillId="16" borderId="173" xfId="0" applyFont="1" applyFill="1" applyBorder="1" applyAlignment="1">
      <alignment vertical="center"/>
    </xf>
    <xf numFmtId="0" fontId="28" fillId="25" borderId="0" xfId="0" applyFont="1" applyFill="1" applyAlignment="1">
      <alignment horizontal="center"/>
    </xf>
    <xf numFmtId="0" fontId="5" fillId="16" borderId="175" xfId="0" applyFont="1" applyFill="1" applyBorder="1" applyAlignment="1">
      <alignment horizontal="center" vertical="center"/>
    </xf>
    <xf numFmtId="0" fontId="0" fillId="0" borderId="153" xfId="0" applyBorder="1"/>
    <xf numFmtId="0" fontId="85" fillId="52" borderId="91" xfId="0" applyFont="1" applyFill="1" applyBorder="1" applyAlignment="1">
      <alignment horizontal="center" vertical="center"/>
    </xf>
    <xf numFmtId="0" fontId="0" fillId="0" borderId="91" xfId="0" applyBorder="1"/>
    <xf numFmtId="0" fontId="66" fillId="25" borderId="100" xfId="2" applyFont="1" applyFill="1" applyBorder="1" applyAlignment="1">
      <alignment horizontal="center" vertical="center"/>
    </xf>
    <xf numFmtId="0" fontId="0" fillId="0" borderId="100" xfId="0" applyBorder="1"/>
    <xf numFmtId="0" fontId="115" fillId="28" borderId="0" xfId="2" applyFont="1" applyFill="1" applyAlignment="1">
      <alignment horizontal="center" vertical="center"/>
    </xf>
    <xf numFmtId="0" fontId="1" fillId="16" borderId="65" xfId="0" applyFont="1" applyFill="1" applyBorder="1" applyAlignment="1">
      <alignment horizontal="center" vertical="center"/>
    </xf>
    <xf numFmtId="0" fontId="0" fillId="0" borderId="65" xfId="0" applyBorder="1"/>
    <xf numFmtId="0" fontId="52" fillId="41" borderId="162" xfId="0" applyFont="1" applyFill="1" applyBorder="1" applyAlignment="1">
      <alignment horizontal="center" vertical="center"/>
    </xf>
    <xf numFmtId="0" fontId="0" fillId="0" borderId="165" xfId="0" applyBorder="1"/>
    <xf numFmtId="0" fontId="38" fillId="3" borderId="29" xfId="0" applyFont="1" applyFill="1" applyBorder="1" applyAlignment="1">
      <alignment horizontal="center" vertical="center"/>
    </xf>
    <xf numFmtId="0" fontId="116" fillId="28" borderId="0" xfId="0" applyFont="1" applyFill="1" applyAlignment="1">
      <alignment horizontal="center" vertical="center"/>
    </xf>
    <xf numFmtId="0" fontId="5" fillId="16" borderId="64" xfId="0" applyFont="1" applyFill="1" applyBorder="1" applyAlignment="1">
      <alignment vertical="center"/>
    </xf>
    <xf numFmtId="0" fontId="73" fillId="41" borderId="162" xfId="0" applyFont="1" applyFill="1" applyBorder="1" applyAlignment="1">
      <alignment horizontal="center" vertical="center"/>
    </xf>
    <xf numFmtId="0" fontId="82" fillId="0" borderId="165" xfId="0" applyFont="1" applyBorder="1" applyAlignment="1">
      <alignment horizontal="center"/>
    </xf>
    <xf numFmtId="0" fontId="38" fillId="3" borderId="153" xfId="0" applyFont="1" applyFill="1" applyBorder="1" applyAlignment="1">
      <alignment horizontal="center" vertical="center"/>
    </xf>
    <xf numFmtId="0" fontId="29" fillId="16" borderId="162" xfId="0" applyFont="1" applyFill="1" applyBorder="1" applyAlignment="1">
      <alignment horizontal="center" vertical="center"/>
    </xf>
    <xf numFmtId="0" fontId="0" fillId="0" borderId="164" xfId="0" applyBorder="1"/>
    <xf numFmtId="0" fontId="101" fillId="0" borderId="98" xfId="1" applyFont="1" applyBorder="1" applyAlignment="1">
      <alignment vertical="center"/>
    </xf>
    <xf numFmtId="0" fontId="149" fillId="0" borderId="98" xfId="0" applyFont="1" applyBorder="1" applyAlignment="1"/>
    <xf numFmtId="0" fontId="0" fillId="0" borderId="0" xfId="0" applyAlignment="1">
      <alignment horizontal="center"/>
    </xf>
    <xf numFmtId="0" fontId="87" fillId="49" borderId="105" xfId="0" applyFont="1" applyFill="1" applyBorder="1" applyAlignment="1">
      <alignment horizontal="center" vertical="center"/>
    </xf>
    <xf numFmtId="0" fontId="160" fillId="0" borderId="28" xfId="0" applyFont="1" applyBorder="1"/>
    <xf numFmtId="0" fontId="64" fillId="28" borderId="166" xfId="0" applyFont="1" applyFill="1" applyBorder="1" applyAlignment="1">
      <alignment horizontal="center" vertical="center"/>
    </xf>
    <xf numFmtId="0" fontId="0" fillId="0" borderId="166" xfId="0" applyBorder="1"/>
    <xf numFmtId="0" fontId="117" fillId="41" borderId="0" xfId="0" applyFont="1" applyFill="1" applyAlignment="1">
      <alignment horizontal="center" vertical="center"/>
    </xf>
    <xf numFmtId="0" fontId="5" fillId="16" borderId="205" xfId="0" applyFont="1" applyFill="1" applyBorder="1" applyAlignment="1">
      <alignment horizontal="center"/>
    </xf>
    <xf numFmtId="0" fontId="0" fillId="0" borderId="169" xfId="0" applyBorder="1"/>
    <xf numFmtId="0" fontId="0" fillId="0" borderId="170" xfId="0" applyBorder="1"/>
    <xf numFmtId="0" fontId="52" fillId="27" borderId="70" xfId="1" applyFont="1" applyFill="1" applyBorder="1" applyAlignment="1">
      <alignment horizontal="center" vertical="center"/>
    </xf>
    <xf numFmtId="0" fontId="0" fillId="0" borderId="1" xfId="0" applyBorder="1"/>
    <xf numFmtId="0" fontId="161" fillId="0" borderId="98" xfId="1" applyFont="1" applyBorder="1" applyAlignment="1">
      <alignment vertical="center"/>
    </xf>
    <xf numFmtId="0" fontId="52" fillId="27" borderId="71" xfId="1" applyFont="1" applyFill="1" applyBorder="1" applyAlignment="1">
      <alignment horizontal="center" vertical="center"/>
    </xf>
    <xf numFmtId="0" fontId="0" fillId="0" borderId="71" xfId="0" applyBorder="1"/>
    <xf numFmtId="0" fontId="66" fillId="25" borderId="316" xfId="2" applyFont="1" applyFill="1" applyBorder="1" applyAlignment="1">
      <alignment horizontal="center"/>
    </xf>
    <xf numFmtId="0" fontId="66" fillId="25" borderId="317" xfId="2" applyFont="1" applyFill="1" applyBorder="1" applyAlignment="1">
      <alignment horizontal="center"/>
    </xf>
    <xf numFmtId="0" fontId="32" fillId="25" borderId="0" xfId="0" applyFont="1" applyFill="1" applyAlignment="1">
      <alignment horizontal="center" vertical="center"/>
    </xf>
    <xf numFmtId="0" fontId="0" fillId="43" borderId="325" xfId="0" applyFill="1" applyBorder="1" applyAlignment="1">
      <alignment horizontal="center"/>
    </xf>
    <xf numFmtId="0" fontId="0" fillId="43" borderId="0" xfId="0" applyFill="1" applyAlignment="1">
      <alignment horizontal="center"/>
    </xf>
    <xf numFmtId="0" fontId="0" fillId="43" borderId="0" xfId="0" applyFill="1" applyBorder="1" applyAlignment="1">
      <alignment horizontal="center"/>
    </xf>
    <xf numFmtId="0" fontId="102" fillId="20" borderId="0" xfId="0" applyFont="1" applyFill="1" applyAlignment="1">
      <alignment horizontal="center" vertical="center"/>
    </xf>
    <xf numFmtId="0" fontId="76" fillId="0" borderId="0" xfId="0" applyFont="1" applyAlignment="1">
      <alignment vertical="center" wrapText="1"/>
    </xf>
    <xf numFmtId="0" fontId="114" fillId="28" borderId="91" xfId="2" applyFont="1" applyFill="1" applyBorder="1" applyAlignment="1">
      <alignment horizontal="center" vertical="center"/>
    </xf>
    <xf numFmtId="0" fontId="76" fillId="6" borderId="0" xfId="0" applyFont="1" applyFill="1" applyAlignment="1">
      <alignment vertical="center"/>
    </xf>
    <xf numFmtId="0" fontId="54" fillId="20" borderId="0" xfId="0" applyFont="1" applyFill="1" applyAlignment="1">
      <alignment horizontal="center" vertical="center"/>
    </xf>
    <xf numFmtId="0" fontId="76" fillId="0" borderId="0" xfId="0" applyFont="1" applyAlignment="1">
      <alignment vertical="center"/>
    </xf>
    <xf numFmtId="0" fontId="115" fillId="28" borderId="91" xfId="2" applyFont="1" applyFill="1" applyBorder="1" applyAlignment="1">
      <alignment horizontal="center" vertical="center"/>
    </xf>
    <xf numFmtId="0" fontId="94" fillId="52" borderId="60" xfId="0" applyFont="1" applyFill="1" applyBorder="1" applyAlignment="1">
      <alignment horizontal="center" vertical="center" wrapText="1"/>
    </xf>
    <xf numFmtId="0" fontId="0" fillId="0" borderId="60" xfId="0" applyBorder="1"/>
    <xf numFmtId="0" fontId="93" fillId="20" borderId="0" xfId="0" applyFont="1" applyFill="1" applyAlignment="1">
      <alignment horizontal="center" vertical="center"/>
    </xf>
    <xf numFmtId="0" fontId="45" fillId="0" borderId="0" xfId="0" applyFont="1" applyAlignment="1">
      <alignment vertical="center"/>
    </xf>
    <xf numFmtId="0" fontId="0" fillId="0" borderId="253" xfId="0" applyBorder="1" applyAlignment="1">
      <alignment horizontal="center"/>
    </xf>
    <xf numFmtId="0" fontId="0" fillId="0" borderId="253" xfId="0" applyBorder="1"/>
    <xf numFmtId="0" fontId="154" fillId="0" borderId="266" xfId="0" applyFont="1" applyBorder="1" applyAlignment="1">
      <alignment horizontal="center"/>
    </xf>
    <xf numFmtId="0" fontId="0" fillId="0" borderId="281" xfId="0" applyBorder="1"/>
    <xf numFmtId="0" fontId="0" fillId="0" borderId="282" xfId="0" applyBorder="1"/>
    <xf numFmtId="0" fontId="66" fillId="25" borderId="7" xfId="2" applyFont="1" applyFill="1" applyBorder="1" applyAlignment="1">
      <alignment horizontal="center"/>
    </xf>
    <xf numFmtId="0" fontId="0" fillId="0" borderId="31" xfId="0" applyBorder="1"/>
    <xf numFmtId="0" fontId="0" fillId="0" borderId="250" xfId="0" applyBorder="1"/>
    <xf numFmtId="0" fontId="153" fillId="0" borderId="266" xfId="0" applyFont="1" applyBorder="1" applyAlignment="1">
      <alignment horizontal="center"/>
    </xf>
    <xf numFmtId="0" fontId="45" fillId="4" borderId="280" xfId="3" applyFont="1" applyFill="1" applyBorder="1" applyAlignment="1">
      <alignment horizontal="center" vertical="center"/>
    </xf>
    <xf numFmtId="0" fontId="0" fillId="0" borderId="280" xfId="0" applyBorder="1"/>
    <xf numFmtId="0" fontId="0" fillId="0" borderId="249" xfId="0" applyBorder="1" applyAlignment="1">
      <alignment horizontal="center"/>
    </xf>
    <xf numFmtId="0" fontId="0" fillId="0" borderId="249" xfId="0" applyBorder="1"/>
    <xf numFmtId="0" fontId="113" fillId="42" borderId="157" xfId="3" applyFont="1" applyFill="1" applyBorder="1" applyAlignment="1">
      <alignment horizontal="center" vertical="center"/>
    </xf>
    <xf numFmtId="0" fontId="0" fillId="0" borderId="157" xfId="0" applyBorder="1"/>
    <xf numFmtId="0" fontId="45" fillId="4" borderId="150" xfId="3" applyFont="1" applyFill="1" applyBorder="1" applyAlignment="1">
      <alignment horizontal="center" vertical="center"/>
    </xf>
    <xf numFmtId="0" fontId="0" fillId="0" borderId="150" xfId="0" applyBorder="1"/>
    <xf numFmtId="0" fontId="45" fillId="4" borderId="157" xfId="3" applyFont="1" applyFill="1" applyBorder="1" applyAlignment="1">
      <alignment horizontal="center" vertical="center"/>
    </xf>
    <xf numFmtId="0" fontId="134" fillId="61" borderId="267" xfId="0" applyFont="1" applyFill="1" applyBorder="1" applyAlignment="1">
      <alignment horizontal="center" vertical="center"/>
    </xf>
    <xf numFmtId="0" fontId="0" fillId="0" borderId="293" xfId="0" applyBorder="1"/>
    <xf numFmtId="0" fontId="0" fillId="0" borderId="298" xfId="0" applyBorder="1"/>
    <xf numFmtId="0" fontId="41" fillId="62" borderId="254" xfId="0" applyFont="1" applyFill="1" applyBorder="1" applyAlignment="1">
      <alignment horizontal="center" vertical="center"/>
    </xf>
    <xf numFmtId="0" fontId="0" fillId="0" borderId="254" xfId="0" applyBorder="1"/>
    <xf numFmtId="0" fontId="137" fillId="0" borderId="270" xfId="0" applyFont="1" applyBorder="1"/>
    <xf numFmtId="0" fontId="0" fillId="0" borderId="255" xfId="0" applyBorder="1"/>
    <xf numFmtId="0" fontId="0" fillId="0" borderId="256" xfId="0" applyBorder="1"/>
    <xf numFmtId="0" fontId="135" fillId="64" borderId="0" xfId="0" applyFont="1" applyFill="1" applyAlignment="1">
      <alignment horizontal="center" vertical="center"/>
    </xf>
    <xf numFmtId="0" fontId="135" fillId="66" borderId="0" xfId="0" applyFont="1" applyFill="1" applyAlignment="1">
      <alignment horizontal="center" vertical="center"/>
    </xf>
    <xf numFmtId="0" fontId="2" fillId="0" borderId="0" xfId="0" applyFont="1" applyAlignment="1">
      <alignment horizontal="center"/>
    </xf>
    <xf numFmtId="0" fontId="40" fillId="61" borderId="0" xfId="0" applyFont="1" applyFill="1" applyAlignment="1">
      <alignment horizontal="center" vertical="center"/>
    </xf>
    <xf numFmtId="0" fontId="101" fillId="68" borderId="0" xfId="0" applyFont="1" applyFill="1" applyAlignment="1">
      <alignment horizontal="center" vertical="center"/>
    </xf>
    <xf numFmtId="0" fontId="41" fillId="64" borderId="0" xfId="0" applyFont="1" applyFill="1" applyAlignment="1">
      <alignment horizontal="center" vertical="center"/>
    </xf>
    <xf numFmtId="0" fontId="41" fillId="66" borderId="0" xfId="0" applyFont="1" applyFill="1" applyAlignment="1">
      <alignment horizontal="center" vertical="center"/>
    </xf>
    <xf numFmtId="0" fontId="137" fillId="0" borderId="268" xfId="0" applyFont="1" applyBorder="1"/>
    <xf numFmtId="0" fontId="0" fillId="0" borderId="269" xfId="0" applyBorder="1"/>
    <xf numFmtId="0" fontId="0" fillId="0" borderId="300" xfId="0" applyBorder="1"/>
    <xf numFmtId="0" fontId="114" fillId="28" borderId="0" xfId="2" applyFont="1" applyFill="1" applyAlignment="1">
      <alignment horizontal="center" vertical="center"/>
    </xf>
    <xf numFmtId="0" fontId="45" fillId="4" borderId="154" xfId="3" applyFont="1" applyFill="1" applyBorder="1" applyAlignment="1">
      <alignment horizontal="center" vertical="center"/>
    </xf>
    <xf numFmtId="0" fontId="0" fillId="0" borderId="154" xfId="0" applyBorder="1"/>
    <xf numFmtId="0" fontId="136" fillId="72" borderId="162" xfId="0" applyFont="1" applyFill="1" applyBorder="1" applyAlignment="1">
      <alignment vertical="center" wrapText="1"/>
    </xf>
    <xf numFmtId="0" fontId="0" fillId="0" borderId="206" xfId="0" applyBorder="1"/>
    <xf numFmtId="0" fontId="0" fillId="0" borderId="273" xfId="0" applyBorder="1"/>
    <xf numFmtId="0" fontId="0" fillId="0" borderId="274" xfId="0" applyBorder="1"/>
    <xf numFmtId="0" fontId="0" fillId="0" borderId="275" xfId="0" applyBorder="1"/>
    <xf numFmtId="0" fontId="0" fillId="0" borderId="258" xfId="0" applyBorder="1"/>
    <xf numFmtId="0" fontId="0" fillId="0" borderId="276" xfId="0" applyBorder="1"/>
    <xf numFmtId="0" fontId="2" fillId="43" borderId="249" xfId="0" applyFont="1" applyFill="1" applyBorder="1" applyAlignment="1">
      <alignment horizontal="center"/>
    </xf>
    <xf numFmtId="0" fontId="40" fillId="67" borderId="0" xfId="0" applyFont="1" applyFill="1" applyAlignment="1">
      <alignment horizontal="center" vertical="center"/>
    </xf>
    <xf numFmtId="0" fontId="40" fillId="61" borderId="278" xfId="0" applyFont="1" applyFill="1" applyBorder="1" applyAlignment="1">
      <alignment horizontal="center" vertical="center"/>
    </xf>
    <xf numFmtId="0" fontId="41" fillId="65" borderId="0" xfId="0" applyFont="1" applyFill="1" applyAlignment="1">
      <alignment horizontal="center" vertical="center"/>
    </xf>
    <xf numFmtId="0" fontId="137" fillId="0" borderId="271" xfId="0" applyFont="1" applyBorder="1"/>
    <xf numFmtId="0" fontId="0" fillId="0" borderId="272" xfId="0" applyBorder="1"/>
    <xf numFmtId="0" fontId="0" fillId="0" borderId="299" xfId="0" applyBorder="1"/>
    <xf numFmtId="0" fontId="2" fillId="0" borderId="266" xfId="0" applyFont="1" applyBorder="1" applyAlignment="1">
      <alignment horizontal="center"/>
    </xf>
    <xf numFmtId="0" fontId="135" fillId="65" borderId="0" xfId="0" applyFont="1" applyFill="1" applyAlignment="1">
      <alignment horizontal="center" vertical="center"/>
    </xf>
    <xf numFmtId="0" fontId="135" fillId="62" borderId="254" xfId="0" applyFont="1" applyFill="1" applyBorder="1" applyAlignment="1">
      <alignment horizontal="center" vertical="center"/>
    </xf>
    <xf numFmtId="0" fontId="66" fillId="25" borderId="288" xfId="2" applyFont="1" applyFill="1" applyBorder="1" applyAlignment="1">
      <alignment horizontal="center"/>
    </xf>
    <xf numFmtId="0" fontId="0" fillId="0" borderId="26" xfId="0" applyBorder="1"/>
    <xf numFmtId="0" fontId="0" fillId="0" borderId="302" xfId="0" applyBorder="1"/>
    <xf numFmtId="0" fontId="153" fillId="0" borderId="266" xfId="0" applyFont="1" applyBorder="1" applyAlignment="1">
      <alignment horizontal="center" vertical="center"/>
    </xf>
    <xf numFmtId="0" fontId="66" fillId="25" borderId="0" xfId="2" applyFont="1" applyFill="1" applyAlignment="1">
      <alignment horizontal="center"/>
    </xf>
    <xf numFmtId="0" fontId="0" fillId="0" borderId="0" xfId="0" applyAlignment="1">
      <alignment vertical="center"/>
    </xf>
    <xf numFmtId="0" fontId="139" fillId="0" borderId="0" xfId="0" applyFont="1"/>
    <xf numFmtId="0" fontId="0" fillId="0" borderId="0" xfId="0" applyAlignment="1">
      <alignment horizontal="center" vertical="center"/>
    </xf>
    <xf numFmtId="0" fontId="28" fillId="25" borderId="0" xfId="0" applyFont="1" applyFill="1" applyAlignment="1">
      <alignment horizontal="center" vertical="center"/>
    </xf>
    <xf numFmtId="0" fontId="2" fillId="0" borderId="0" xfId="0" applyFont="1"/>
    <xf numFmtId="0" fontId="145" fillId="28" borderId="91" xfId="2" applyFont="1" applyFill="1" applyBorder="1" applyAlignment="1">
      <alignment horizontal="center" vertical="center"/>
    </xf>
    <xf numFmtId="0" fontId="73" fillId="73" borderId="0" xfId="0" applyFont="1" applyFill="1" applyAlignment="1">
      <alignment horizontal="center" vertical="center"/>
    </xf>
    <xf numFmtId="0" fontId="132" fillId="0" borderId="0" xfId="0" applyFont="1" applyAlignment="1">
      <alignment horizontal="center" vertical="center"/>
    </xf>
    <xf numFmtId="0" fontId="92" fillId="25" borderId="290" xfId="0" applyFont="1" applyFill="1" applyBorder="1" applyAlignment="1">
      <alignment horizontal="center"/>
    </xf>
    <xf numFmtId="0" fontId="0" fillId="0" borderId="303" xfId="0" applyBorder="1"/>
    <xf numFmtId="0" fontId="32" fillId="76" borderId="0" xfId="0" applyFont="1" applyFill="1" applyAlignment="1">
      <alignment horizontal="center" vertical="center"/>
    </xf>
    <xf numFmtId="0" fontId="27" fillId="0" borderId="0" xfId="0" applyFont="1" applyAlignment="1">
      <alignment horizontal="center"/>
    </xf>
    <xf numFmtId="0" fontId="131" fillId="71" borderId="253" xfId="0" applyFont="1" applyFill="1" applyBorder="1" applyAlignment="1">
      <alignment horizontal="center"/>
    </xf>
    <xf numFmtId="0" fontId="27" fillId="0" borderId="253" xfId="0" applyFont="1" applyBorder="1" applyAlignment="1">
      <alignment horizontal="center"/>
    </xf>
    <xf numFmtId="0" fontId="32" fillId="61" borderId="0" xfId="0" applyFont="1" applyFill="1" applyAlignment="1">
      <alignment horizontal="center" vertical="center"/>
    </xf>
    <xf numFmtId="0" fontId="131" fillId="62" borderId="0" xfId="0" applyFont="1" applyFill="1"/>
    <xf numFmtId="0" fontId="148" fillId="0" borderId="0" xfId="0" applyFont="1" applyAlignment="1">
      <alignment horizontal="center" vertical="center"/>
    </xf>
    <xf numFmtId="0" fontId="32" fillId="28" borderId="0" xfId="0" applyFont="1" applyFill="1" applyAlignment="1">
      <alignment horizontal="center" vertical="center"/>
    </xf>
    <xf numFmtId="0" fontId="130" fillId="25" borderId="0" xfId="0" applyFont="1" applyFill="1" applyAlignment="1">
      <alignment horizontal="center"/>
    </xf>
    <xf numFmtId="0" fontId="27" fillId="63" borderId="0" xfId="0" applyFont="1" applyFill="1" applyAlignment="1">
      <alignment vertical="center" wrapText="1"/>
    </xf>
    <xf numFmtId="0" fontId="110" fillId="61"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6" fillId="20" borderId="108" xfId="0" applyFont="1" applyFill="1" applyBorder="1" applyAlignment="1">
      <alignment vertical="center"/>
    </xf>
    <xf numFmtId="0" fontId="61" fillId="0" borderId="29" xfId="0" applyFont="1" applyBorder="1" applyAlignment="1">
      <alignment vertical="center"/>
    </xf>
    <xf numFmtId="0" fontId="61" fillId="0" borderId="65" xfId="0" applyFont="1" applyBorder="1" applyAlignment="1">
      <alignment vertical="center"/>
    </xf>
    <xf numFmtId="0" fontId="111" fillId="28" borderId="91" xfId="2" applyFont="1" applyFill="1" applyBorder="1" applyAlignment="1">
      <alignment vertical="center"/>
    </xf>
    <xf numFmtId="0" fontId="66" fillId="20" borderId="29" xfId="0" applyFont="1" applyFill="1" applyBorder="1" applyAlignment="1">
      <alignment vertical="center"/>
    </xf>
    <xf numFmtId="0" fontId="155" fillId="3" borderId="207" xfId="0" applyFont="1" applyFill="1" applyBorder="1" applyAlignment="1">
      <alignment horizontal="center" vertical="center" wrapText="1"/>
    </xf>
    <xf numFmtId="0" fontId="0" fillId="0" borderId="99" xfId="0" applyBorder="1"/>
    <xf numFmtId="0" fontId="73" fillId="27" borderId="61" xfId="0" applyFont="1" applyFill="1" applyBorder="1" applyAlignment="1">
      <alignment horizontal="left" vertical="center"/>
    </xf>
    <xf numFmtId="0" fontId="0" fillId="0" borderId="62" xfId="0" applyBorder="1"/>
    <xf numFmtId="0" fontId="101" fillId="37" borderId="62" xfId="0" applyFont="1" applyFill="1" applyBorder="1" applyAlignment="1">
      <alignment horizontal="center" vertical="center"/>
    </xf>
    <xf numFmtId="0" fontId="54" fillId="35" borderId="29" xfId="0" applyFont="1" applyFill="1" applyBorder="1" applyAlignment="1">
      <alignment vertical="center"/>
    </xf>
    <xf numFmtId="0" fontId="66" fillId="25" borderId="207" xfId="2" applyFont="1" applyFill="1" applyBorder="1" applyAlignment="1">
      <alignment horizontal="center"/>
    </xf>
    <xf numFmtId="0" fontId="45" fillId="26" borderId="65" xfId="0" applyFont="1" applyFill="1" applyBorder="1" applyAlignment="1">
      <alignment vertical="center"/>
    </xf>
    <xf numFmtId="0" fontId="58" fillId="49" borderId="60" xfId="0" applyFont="1" applyFill="1" applyBorder="1" applyAlignment="1">
      <alignment horizontal="center" vertical="center" wrapText="1"/>
    </xf>
    <xf numFmtId="0" fontId="45" fillId="26" borderId="29" xfId="0" applyFont="1" applyFill="1" applyBorder="1" applyAlignment="1">
      <alignment vertical="center"/>
    </xf>
    <xf numFmtId="0" fontId="66" fillId="20" borderId="29" xfId="0" applyFont="1" applyFill="1" applyBorder="1" applyAlignment="1">
      <alignment horizontal="left" vertical="center"/>
    </xf>
    <xf numFmtId="0" fontId="64" fillId="20" borderId="304" xfId="0" applyFont="1" applyFill="1" applyBorder="1" applyAlignment="1">
      <alignment vertical="center"/>
    </xf>
    <xf numFmtId="168" fontId="61" fillId="0" borderId="209" xfId="0" applyNumberFormat="1" applyFont="1" applyBorder="1"/>
    <xf numFmtId="168" fontId="48" fillId="3" borderId="209" xfId="0" applyNumberFormat="1" applyFont="1" applyFill="1" applyBorder="1"/>
    <xf numFmtId="0" fontId="45" fillId="4" borderId="140" xfId="3" applyFont="1" applyFill="1" applyBorder="1" applyAlignment="1">
      <alignment horizontal="center" vertical="center"/>
    </xf>
    <xf numFmtId="0" fontId="95" fillId="34" borderId="140" xfId="0" applyFont="1" applyFill="1" applyBorder="1" applyAlignment="1">
      <alignment horizontal="center" vertical="center"/>
    </xf>
    <xf numFmtId="0" fontId="0" fillId="0" borderId="138" xfId="0" applyBorder="1"/>
    <xf numFmtId="0" fontId="110" fillId="20" borderId="208" xfId="0" applyFont="1" applyFill="1" applyBorder="1" applyAlignment="1">
      <alignment horizontal="center" vertical="center"/>
    </xf>
    <xf numFmtId="0" fontId="0" fillId="0" borderId="137" xfId="0" applyBorder="1"/>
    <xf numFmtId="0" fontId="92" fillId="20" borderId="209" xfId="0" applyFont="1" applyFill="1" applyBorder="1" applyAlignment="1">
      <alignment horizontal="center" vertical="center" wrapText="1"/>
    </xf>
    <xf numFmtId="0" fontId="45" fillId="0" borderId="209" xfId="0" applyFont="1" applyBorder="1"/>
    <xf numFmtId="0" fontId="113" fillId="42" borderId="140" xfId="3" applyFont="1" applyFill="1" applyBorder="1" applyAlignment="1">
      <alignment horizontal="center" vertical="center"/>
    </xf>
    <xf numFmtId="0" fontId="45" fillId="0" borderId="157" xfId="0" applyFont="1" applyBorder="1"/>
    <xf numFmtId="0" fontId="45" fillId="4" borderId="155" xfId="3" applyFont="1" applyFill="1" applyBorder="1" applyAlignment="1">
      <alignment horizontal="center" vertical="center"/>
    </xf>
    <xf numFmtId="168" fontId="45" fillId="0" borderId="157" xfId="0" applyNumberFormat="1" applyFont="1" applyBorder="1"/>
    <xf numFmtId="0" fontId="100" fillId="52" borderId="0" xfId="0" applyFont="1" applyFill="1" applyAlignment="1">
      <alignment horizontal="center" vertical="center" wrapText="1"/>
    </xf>
    <xf numFmtId="168" fontId="61" fillId="0" borderId="292" xfId="0" applyNumberFormat="1" applyFont="1" applyBorder="1"/>
    <xf numFmtId="0" fontId="42" fillId="0" borderId="0" xfId="0" applyFont="1" applyAlignment="1">
      <alignment horizontal="center"/>
    </xf>
    <xf numFmtId="0" fontId="42" fillId="7" borderId="154" xfId="0" applyFont="1" applyFill="1" applyBorder="1" applyAlignment="1">
      <alignment horizontal="center"/>
    </xf>
    <xf numFmtId="0" fontId="42" fillId="6" borderId="0" xfId="0" applyFont="1" applyFill="1" applyAlignment="1">
      <alignment horizontal="center"/>
    </xf>
    <xf numFmtId="0" fontId="42" fillId="7" borderId="150" xfId="0" applyFont="1" applyFill="1" applyBorder="1" applyAlignment="1">
      <alignment horizontal="center"/>
    </xf>
    <xf numFmtId="0" fontId="0" fillId="0" borderId="139" xfId="0" applyBorder="1"/>
    <xf numFmtId="0" fontId="42" fillId="7" borderId="146" xfId="0" applyFont="1" applyFill="1" applyBorder="1" applyAlignment="1">
      <alignment horizontal="center"/>
    </xf>
    <xf numFmtId="0" fontId="0" fillId="0" borderId="146" xfId="0" applyBorder="1"/>
    <xf numFmtId="0" fontId="42" fillId="7" borderId="0" xfId="0" applyFont="1" applyFill="1" applyAlignment="1">
      <alignment horizontal="center"/>
    </xf>
    <xf numFmtId="0" fontId="81" fillId="20" borderId="0" xfId="0" applyFont="1" applyFill="1" applyAlignment="1">
      <alignment horizontal="center"/>
    </xf>
    <xf numFmtId="0" fontId="70" fillId="36" borderId="0" xfId="0" applyFont="1" applyFill="1" applyAlignment="1">
      <alignment horizontal="center"/>
    </xf>
    <xf numFmtId="0" fontId="20" fillId="51" borderId="143" xfId="3" applyFont="1" applyFill="1" applyBorder="1" applyAlignment="1">
      <alignment horizontal="center" vertical="center"/>
    </xf>
    <xf numFmtId="0" fontId="0" fillId="0" borderId="142" xfId="0" applyBorder="1"/>
    <xf numFmtId="0" fontId="0" fillId="0" borderId="143" xfId="0" applyBorder="1"/>
    <xf numFmtId="0" fontId="66" fillId="25" borderId="140" xfId="0" applyFont="1" applyFill="1" applyBorder="1" applyAlignment="1">
      <alignment horizontal="center"/>
    </xf>
    <xf numFmtId="0" fontId="109" fillId="28" borderId="146" xfId="1" applyFont="1" applyFill="1" applyBorder="1" applyAlignment="1">
      <alignment horizontal="center" vertical="center"/>
    </xf>
    <xf numFmtId="0" fontId="20" fillId="51" borderId="145" xfId="3" applyFont="1" applyFill="1" applyBorder="1" applyAlignment="1">
      <alignment horizontal="center" vertical="center"/>
    </xf>
    <xf numFmtId="0" fontId="0" fillId="0" borderId="145" xfId="0" applyBorder="1"/>
    <xf numFmtId="0" fontId="0" fillId="0" borderId="146" xfId="0" applyBorder="1" applyAlignment="1">
      <alignment horizontal="center"/>
    </xf>
    <xf numFmtId="0" fontId="54" fillId="20" borderId="119" xfId="0" applyFont="1" applyFill="1" applyBorder="1" applyAlignment="1">
      <alignment horizontal="center" vertical="center"/>
    </xf>
    <xf numFmtId="0" fontId="0" fillId="0" borderId="119" xfId="0" applyBorder="1"/>
    <xf numFmtId="0" fontId="28" fillId="25" borderId="60" xfId="1" applyFont="1" applyFill="1" applyBorder="1" applyAlignment="1">
      <alignment horizontal="center" vertical="center"/>
    </xf>
    <xf numFmtId="0" fontId="73" fillId="37" borderId="62" xfId="1" applyFont="1" applyFill="1" applyBorder="1" applyAlignment="1">
      <alignment vertical="center" wrapText="1"/>
    </xf>
    <xf numFmtId="0" fontId="82" fillId="59" borderId="91" xfId="0" applyFont="1" applyFill="1" applyBorder="1" applyAlignment="1">
      <alignment horizontal="center" vertical="center" wrapText="1"/>
    </xf>
    <xf numFmtId="0" fontId="42" fillId="0" borderId="146" xfId="0" applyFont="1" applyBorder="1" applyAlignment="1">
      <alignment horizontal="center"/>
    </xf>
    <xf numFmtId="0" fontId="81" fillId="20" borderId="146" xfId="0" applyFont="1" applyFill="1" applyBorder="1" applyAlignment="1">
      <alignment horizontal="center"/>
    </xf>
    <xf numFmtId="0" fontId="42" fillId="6" borderId="146" xfId="0" applyFont="1" applyFill="1" applyBorder="1" applyAlignment="1">
      <alignment horizontal="center"/>
    </xf>
    <xf numFmtId="0" fontId="73" fillId="38" borderId="29" xfId="1" applyFont="1" applyFill="1" applyBorder="1" applyAlignment="1">
      <alignment vertical="center"/>
    </xf>
    <xf numFmtId="0" fontId="20" fillId="51" borderId="144" xfId="3" applyFont="1" applyFill="1" applyBorder="1" applyAlignment="1">
      <alignment horizontal="center" vertical="center"/>
    </xf>
    <xf numFmtId="0" fontId="0" fillId="0" borderId="144" xfId="0" applyBorder="1"/>
    <xf numFmtId="0" fontId="73" fillId="3" borderId="29" xfId="1" applyFont="1" applyFill="1" applyBorder="1" applyAlignment="1">
      <alignment horizontal="center" vertical="center" wrapText="1"/>
    </xf>
    <xf numFmtId="0" fontId="60" fillId="34" borderId="91" xfId="0" applyFont="1" applyFill="1" applyBorder="1" applyAlignment="1">
      <alignment horizontal="center"/>
    </xf>
    <xf numFmtId="0" fontId="79" fillId="3" borderId="130" xfId="0" applyFont="1" applyFill="1" applyBorder="1" applyAlignment="1">
      <alignment horizontal="center" vertical="center" wrapText="1"/>
    </xf>
    <xf numFmtId="0" fontId="0" fillId="0" borderId="130" xfId="0" applyBorder="1"/>
    <xf numFmtId="0" fontId="80" fillId="20" borderId="0" xfId="0" applyFont="1" applyFill="1" applyAlignment="1">
      <alignment horizontal="center"/>
    </xf>
    <xf numFmtId="0" fontId="104" fillId="28" borderId="146" xfId="1" applyFont="1" applyFill="1" applyBorder="1" applyAlignment="1">
      <alignment horizontal="center" vertical="top"/>
    </xf>
    <xf numFmtId="0" fontId="11" fillId="9" borderId="207" xfId="3" applyFont="1" applyFill="1" applyBorder="1" applyAlignment="1">
      <alignment horizontal="center" wrapText="1"/>
    </xf>
    <xf numFmtId="0" fontId="0" fillId="0" borderId="92" xfId="0" applyBorder="1"/>
    <xf numFmtId="0" fontId="0" fillId="0" borderId="0" xfId="3" applyFont="1"/>
    <xf numFmtId="0" fontId="22" fillId="4" borderId="18" xfId="3" applyFont="1" applyFill="1" applyBorder="1" applyAlignment="1">
      <alignment horizontal="center"/>
    </xf>
    <xf numFmtId="0" fontId="0" fillId="0" borderId="9" xfId="0" applyBorder="1"/>
    <xf numFmtId="0" fontId="0" fillId="0" borderId="10" xfId="0" applyBorder="1"/>
    <xf numFmtId="0" fontId="0" fillId="0" borderId="12" xfId="0" applyBorder="1"/>
    <xf numFmtId="0" fontId="0" fillId="0" borderId="13" xfId="0" applyBorder="1"/>
    <xf numFmtId="0" fontId="45" fillId="10" borderId="106" xfId="3" applyFont="1" applyFill="1" applyBorder="1" applyAlignment="1">
      <alignment horizontal="left" vertical="top" wrapText="1"/>
    </xf>
    <xf numFmtId="0" fontId="0" fillId="0" borderId="106" xfId="0" applyBorder="1"/>
    <xf numFmtId="0" fontId="24" fillId="14" borderId="120" xfId="3" applyFont="1" applyFill="1" applyBorder="1" applyAlignment="1">
      <alignment horizontal="center" vertical="center"/>
    </xf>
    <xf numFmtId="0" fontId="0" fillId="0" borderId="19" xfId="0" applyBorder="1"/>
    <xf numFmtId="0" fontId="0" fillId="0" borderId="124" xfId="0" applyBorder="1"/>
    <xf numFmtId="0" fontId="0" fillId="10" borderId="12" xfId="3" applyFont="1" applyFill="1" applyBorder="1" applyAlignment="1">
      <alignment horizontal="left" vertical="center"/>
    </xf>
    <xf numFmtId="0" fontId="77" fillId="40" borderId="21" xfId="3" applyFont="1" applyFill="1" applyBorder="1" applyAlignment="1">
      <alignment horizontal="center" vertical="center" wrapText="1"/>
    </xf>
    <xf numFmtId="0" fontId="0" fillId="0" borderId="20" xfId="0" applyBorder="1"/>
    <xf numFmtId="0" fontId="0" fillId="0" borderId="21" xfId="0" applyBorder="1"/>
    <xf numFmtId="10" fontId="23" fillId="11" borderId="12" xfId="3" applyNumberFormat="1" applyFont="1" applyFill="1" applyBorder="1" applyAlignment="1">
      <alignment vertical="center"/>
    </xf>
    <xf numFmtId="0" fontId="0" fillId="10" borderId="0" xfId="3" applyFont="1" applyFill="1" applyAlignment="1">
      <alignment horizontal="left" vertical="center"/>
    </xf>
    <xf numFmtId="0" fontId="77" fillId="10" borderId="120" xfId="3" applyFont="1" applyFill="1" applyBorder="1" applyAlignment="1">
      <alignment horizontal="center" vertical="center"/>
    </xf>
    <xf numFmtId="0" fontId="0" fillId="0" borderId="16" xfId="0" applyBorder="1"/>
    <xf numFmtId="0" fontId="0" fillId="0" borderId="18" xfId="0" applyBorder="1"/>
    <xf numFmtId="0" fontId="21" fillId="9" borderId="22" xfId="3" applyFont="1" applyFill="1" applyBorder="1" applyAlignment="1">
      <alignment horizontal="center" vertical="center"/>
    </xf>
    <xf numFmtId="0" fontId="26" fillId="10" borderId="22" xfId="3" applyFont="1" applyFill="1" applyBorder="1" applyAlignment="1">
      <alignment horizontal="left" vertical="top" wrapText="1"/>
    </xf>
    <xf numFmtId="0" fontId="0" fillId="0" borderId="11" xfId="0" applyBorder="1"/>
    <xf numFmtId="0" fontId="0" fillId="0" borderId="14" xfId="0" applyBorder="1"/>
    <xf numFmtId="0" fontId="0" fillId="0" borderId="23" xfId="3" applyFont="1" applyBorder="1" applyAlignment="1">
      <alignment horizontal="center" vertical="center"/>
    </xf>
    <xf numFmtId="0" fontId="22" fillId="4" borderId="24" xfId="3" applyFont="1" applyFill="1" applyBorder="1" applyAlignment="1">
      <alignment horizontal="center"/>
    </xf>
    <xf numFmtId="0" fontId="0" fillId="0" borderId="210" xfId="0" applyBorder="1"/>
    <xf numFmtId="0" fontId="0" fillId="0" borderId="211" xfId="0" applyBorder="1"/>
    <xf numFmtId="0" fontId="0" fillId="0" borderId="213" xfId="0" applyBorder="1"/>
    <xf numFmtId="0" fontId="0" fillId="0" borderId="214" xfId="0" applyBorder="1"/>
    <xf numFmtId="0" fontId="0" fillId="0" borderId="215" xfId="0" applyBorder="1"/>
    <xf numFmtId="0" fontId="0" fillId="0" borderId="132" xfId="3" applyFont="1" applyBorder="1" applyAlignment="1">
      <alignment vertical="center" wrapText="1"/>
    </xf>
    <xf numFmtId="0" fontId="0" fillId="0" borderId="132" xfId="0" applyBorder="1"/>
    <xf numFmtId="0" fontId="23" fillId="12" borderId="12" xfId="3" applyFont="1" applyFill="1" applyBorder="1" applyAlignment="1">
      <alignment vertical="center"/>
    </xf>
    <xf numFmtId="0" fontId="21" fillId="9" borderId="120" xfId="3" applyFont="1" applyFill="1" applyBorder="1" applyAlignment="1">
      <alignment horizontal="center" vertical="center"/>
    </xf>
    <xf numFmtId="0" fontId="0" fillId="0" borderId="24" xfId="3" applyFont="1" applyBorder="1" applyAlignment="1">
      <alignment horizontal="center" vertical="center"/>
    </xf>
    <xf numFmtId="0" fontId="25" fillId="0" borderId="22" xfId="3" applyFont="1" applyBorder="1"/>
    <xf numFmtId="0" fontId="18" fillId="9" borderId="125" xfId="3" applyFont="1" applyFill="1" applyBorder="1" applyAlignment="1">
      <alignment vertical="center"/>
    </xf>
    <xf numFmtId="0" fontId="18" fillId="9" borderId="216" xfId="3" applyFont="1" applyFill="1" applyBorder="1" applyAlignment="1">
      <alignment vertical="center"/>
    </xf>
    <xf numFmtId="0" fontId="77" fillId="10" borderId="124" xfId="3" applyFont="1" applyFill="1" applyBorder="1" applyAlignment="1">
      <alignment vertical="center"/>
    </xf>
    <xf numFmtId="0" fontId="22" fillId="4" borderId="25" xfId="3" applyFont="1" applyFill="1" applyBorder="1" applyAlignment="1">
      <alignment horizontal="center"/>
    </xf>
    <xf numFmtId="0" fontId="0" fillId="0" borderId="218" xfId="0" applyBorder="1"/>
    <xf numFmtId="0" fontId="0" fillId="0" borderId="219" xfId="0" applyBorder="1"/>
    <xf numFmtId="0" fontId="24" fillId="14" borderId="120" xfId="3" applyFont="1" applyFill="1" applyBorder="1" applyAlignment="1">
      <alignment horizontal="center" vertical="center" wrapText="1"/>
    </xf>
    <xf numFmtId="0" fontId="78" fillId="11" borderId="18" xfId="3" applyFont="1" applyFill="1" applyBorder="1" applyAlignment="1">
      <alignment horizontal="center" vertical="center" wrapText="1"/>
    </xf>
    <xf numFmtId="0" fontId="31" fillId="11" borderId="12" xfId="3" applyFont="1" applyFill="1" applyBorder="1" applyAlignment="1">
      <alignment horizontal="center" vertical="center" wrapText="1"/>
    </xf>
    <xf numFmtId="0" fontId="0" fillId="0" borderId="131" xfId="3" applyFont="1" applyBorder="1" applyAlignment="1">
      <alignment vertical="center" wrapText="1"/>
    </xf>
    <xf numFmtId="0" fontId="0" fillId="0" borderId="222" xfId="0" applyBorder="1"/>
    <xf numFmtId="0" fontId="0" fillId="0" borderId="131" xfId="0" applyBorder="1"/>
    <xf numFmtId="0" fontId="77" fillId="10" borderId="23" xfId="3" applyFont="1" applyFill="1" applyBorder="1" applyAlignment="1">
      <alignment horizontal="center" vertical="center"/>
    </xf>
    <xf numFmtId="0" fontId="77" fillId="10" borderId="24" xfId="3" applyFont="1" applyFill="1" applyBorder="1" applyAlignment="1">
      <alignment horizontal="center" vertical="center"/>
    </xf>
    <xf numFmtId="0" fontId="0" fillId="0" borderId="15" xfId="0" applyBorder="1"/>
    <xf numFmtId="0" fontId="0" fillId="0" borderId="217" xfId="0" applyBorder="1"/>
    <xf numFmtId="0" fontId="23" fillId="11" borderId="12" xfId="3" applyFont="1" applyFill="1" applyBorder="1" applyAlignment="1">
      <alignment vertical="center"/>
    </xf>
    <xf numFmtId="0" fontId="78" fillId="11" borderId="17" xfId="3" applyFont="1" applyFill="1" applyBorder="1" applyAlignment="1">
      <alignment horizontal="center" vertical="center" wrapText="1"/>
    </xf>
    <xf numFmtId="0" fontId="0" fillId="0" borderId="17" xfId="0" applyBorder="1"/>
    <xf numFmtId="0" fontId="0" fillId="0" borderId="120" xfId="3" applyFont="1" applyBorder="1" applyAlignment="1">
      <alignment horizontal="center" vertical="center"/>
    </xf>
    <xf numFmtId="0" fontId="24" fillId="14" borderId="22" xfId="3" applyFont="1" applyFill="1" applyBorder="1" applyAlignment="1">
      <alignment horizontal="center" vertical="center"/>
    </xf>
    <xf numFmtId="0" fontId="45" fillId="4" borderId="13" xfId="3" applyFont="1" applyFill="1" applyBorder="1" applyAlignment="1">
      <alignment horizontal="center" vertical="center"/>
    </xf>
    <xf numFmtId="0" fontId="18" fillId="9" borderId="127" xfId="3" applyFont="1" applyFill="1" applyBorder="1" applyAlignment="1">
      <alignment vertical="center"/>
    </xf>
    <xf numFmtId="0" fontId="23" fillId="11" borderId="0" xfId="3" applyFont="1" applyFill="1" applyAlignment="1">
      <alignment vertical="center"/>
    </xf>
    <xf numFmtId="0" fontId="18" fillId="9" borderId="120" xfId="3" applyFont="1" applyFill="1" applyBorder="1" applyAlignment="1">
      <alignment vertical="center"/>
    </xf>
    <xf numFmtId="0" fontId="45" fillId="10" borderId="221" xfId="3" applyFont="1" applyFill="1" applyBorder="1" applyAlignment="1">
      <alignment vertical="top" wrapText="1"/>
    </xf>
    <xf numFmtId="0" fontId="77" fillId="10" borderId="16" xfId="3" applyFont="1" applyFill="1" applyBorder="1" applyAlignment="1">
      <alignment vertical="center"/>
    </xf>
    <xf numFmtId="0" fontId="25" fillId="0" borderId="120" xfId="3" applyFont="1" applyBorder="1"/>
    <xf numFmtId="0" fontId="0" fillId="0" borderId="101" xfId="3" applyFont="1" applyBorder="1" applyAlignment="1">
      <alignment horizontal="center"/>
    </xf>
    <xf numFmtId="0" fontId="0" fillId="0" borderId="101" xfId="0" applyBorder="1"/>
    <xf numFmtId="0" fontId="77" fillId="10" borderId="16" xfId="3" applyFont="1" applyFill="1" applyBorder="1" applyAlignment="1">
      <alignment horizontal="left" vertical="center"/>
    </xf>
    <xf numFmtId="0" fontId="0" fillId="0" borderId="224" xfId="3" applyFont="1" applyBorder="1" applyAlignment="1">
      <alignment horizontal="center"/>
    </xf>
    <xf numFmtId="0" fontId="0" fillId="0" borderId="135" xfId="0" applyBorder="1"/>
    <xf numFmtId="0" fontId="105" fillId="44" borderId="92" xfId="3" applyFont="1" applyFill="1" applyBorder="1" applyAlignment="1">
      <alignment horizontal="center" vertical="center" wrapText="1"/>
    </xf>
    <xf numFmtId="0" fontId="18" fillId="9" borderId="126" xfId="3" applyFont="1" applyFill="1" applyBorder="1" applyAlignment="1">
      <alignment vertical="center"/>
    </xf>
    <xf numFmtId="0" fontId="77" fillId="10" borderId="12" xfId="3" applyFont="1" applyFill="1" applyBorder="1" applyAlignment="1">
      <alignment vertical="center"/>
    </xf>
    <xf numFmtId="0" fontId="31" fillId="11" borderId="0" xfId="3" applyFont="1" applyFill="1" applyAlignment="1">
      <alignment horizontal="center" vertical="center" wrapText="1"/>
    </xf>
    <xf numFmtId="0" fontId="18" fillId="9" borderId="123" xfId="3" applyFont="1" applyFill="1" applyBorder="1" applyAlignment="1">
      <alignment vertical="center"/>
    </xf>
    <xf numFmtId="0" fontId="0" fillId="0" borderId="223" xfId="0" applyBorder="1"/>
    <xf numFmtId="0" fontId="45" fillId="4" borderId="122" xfId="3" applyFont="1" applyFill="1" applyBorder="1" applyAlignment="1">
      <alignment horizontal="center" vertical="center"/>
    </xf>
    <xf numFmtId="0" fontId="0" fillId="0" borderId="122" xfId="0" applyBorder="1"/>
    <xf numFmtId="0" fontId="31" fillId="11" borderId="15" xfId="3" applyFont="1" applyFill="1" applyBorder="1" applyAlignment="1">
      <alignment horizontal="center" vertical="center" wrapText="1"/>
    </xf>
    <xf numFmtId="0" fontId="109" fillId="44" borderId="92" xfId="3" applyFont="1" applyFill="1" applyBorder="1" applyAlignment="1">
      <alignment horizontal="center" vertical="center" wrapText="1"/>
    </xf>
    <xf numFmtId="0" fontId="45" fillId="10" borderId="220" xfId="3" applyFont="1" applyFill="1" applyBorder="1" applyAlignment="1">
      <alignment horizontal="left" vertical="top" wrapText="1"/>
    </xf>
    <xf numFmtId="0" fontId="77" fillId="10" borderId="92" xfId="3" applyFont="1" applyFill="1" applyBorder="1" applyAlignment="1">
      <alignment vertical="center"/>
    </xf>
    <xf numFmtId="0" fontId="106" fillId="55" borderId="0" xfId="4" applyFont="1" applyFill="1" applyAlignment="1">
      <alignment horizontal="center" vertical="center" wrapText="1"/>
    </xf>
    <xf numFmtId="0" fontId="4" fillId="0" borderId="0" xfId="4" applyFont="1"/>
    <xf numFmtId="0" fontId="124" fillId="57" borderId="190" xfId="4" applyFont="1" applyFill="1" applyBorder="1" applyAlignment="1">
      <alignment horizontal="center" vertical="center" wrapText="1"/>
    </xf>
    <xf numFmtId="0" fontId="0" fillId="0" borderId="192" xfId="0" applyBorder="1"/>
    <xf numFmtId="0" fontId="126" fillId="55" borderId="190" xfId="4" applyFont="1" applyFill="1" applyBorder="1" applyAlignment="1">
      <alignment vertical="center" wrapText="1"/>
    </xf>
    <xf numFmtId="0" fontId="0" fillId="0" borderId="191" xfId="0" applyBorder="1"/>
    <xf numFmtId="0" fontId="127" fillId="54" borderId="182" xfId="4" applyFont="1" applyFill="1" applyBorder="1" applyAlignment="1">
      <alignment horizontal="left" vertical="center" wrapText="1"/>
    </xf>
    <xf numFmtId="0" fontId="40" fillId="25" borderId="187" xfId="4" applyFont="1" applyFill="1" applyBorder="1" applyAlignment="1">
      <alignment horizontal="left" vertical="center"/>
    </xf>
    <xf numFmtId="0" fontId="0" fillId="0" borderId="187" xfId="0" applyBorder="1"/>
    <xf numFmtId="0" fontId="127" fillId="54" borderId="225" xfId="4" applyFont="1" applyFill="1" applyBorder="1" applyAlignment="1">
      <alignment vertical="center" wrapText="1"/>
    </xf>
    <xf numFmtId="0" fontId="0" fillId="0" borderId="189" xfId="0" applyBorder="1"/>
    <xf numFmtId="0" fontId="126" fillId="54" borderId="190" xfId="4" applyFont="1" applyFill="1" applyBorder="1" applyAlignment="1">
      <alignment vertical="center" wrapText="1"/>
    </xf>
    <xf numFmtId="0" fontId="0" fillId="0" borderId="193" xfId="0" applyBorder="1"/>
    <xf numFmtId="0" fontId="0" fillId="0" borderId="194" xfId="0" applyBorder="1"/>
    <xf numFmtId="0" fontId="0" fillId="0" borderId="195" xfId="0" applyBorder="1"/>
    <xf numFmtId="0" fontId="0" fillId="0" borderId="196" xfId="0" applyBorder="1"/>
    <xf numFmtId="0" fontId="0" fillId="0" borderId="197" xfId="0" applyBorder="1"/>
    <xf numFmtId="0" fontId="127" fillId="54" borderId="180" xfId="4" applyFont="1" applyFill="1" applyBorder="1" applyAlignment="1">
      <alignment horizontal="left" vertical="center" wrapText="1"/>
    </xf>
    <xf numFmtId="0" fontId="0" fillId="0" borderId="188" xfId="0" applyBorder="1"/>
    <xf numFmtId="0" fontId="126" fillId="55" borderId="190" xfId="4" applyFont="1" applyFill="1" applyBorder="1" applyAlignment="1">
      <alignment horizontal="center" vertical="center" wrapText="1"/>
    </xf>
    <xf numFmtId="0" fontId="127" fillId="54" borderId="225" xfId="4" applyFont="1" applyFill="1" applyBorder="1" applyAlignment="1">
      <alignment horizontal="left" vertical="center" wrapText="1"/>
    </xf>
    <xf numFmtId="0" fontId="126" fillId="55" borderId="190" xfId="4" applyFont="1" applyFill="1" applyBorder="1" applyAlignment="1">
      <alignment horizontal="left" vertical="center" wrapText="1"/>
    </xf>
    <xf numFmtId="0" fontId="123" fillId="28" borderId="225" xfId="4" applyFont="1" applyFill="1" applyBorder="1" applyAlignment="1">
      <alignment horizontal="center" vertical="center"/>
    </xf>
    <xf numFmtId="0" fontId="0" fillId="0" borderId="200" xfId="0" applyBorder="1"/>
    <xf numFmtId="0" fontId="0" fillId="0" borderId="202" xfId="0" applyBorder="1"/>
    <xf numFmtId="0" fontId="0" fillId="0" borderId="203" xfId="0" applyBorder="1"/>
    <xf numFmtId="0" fontId="0" fillId="0" borderId="204" xfId="0" applyBorder="1"/>
    <xf numFmtId="0" fontId="127" fillId="54" borderId="182" xfId="4" applyFont="1" applyFill="1" applyBorder="1" applyAlignment="1">
      <alignment vertical="center" wrapText="1"/>
    </xf>
    <xf numFmtId="0" fontId="127" fillId="54" borderId="190" xfId="4" applyFont="1" applyFill="1" applyBorder="1" applyAlignment="1">
      <alignment vertical="center" wrapText="1"/>
    </xf>
    <xf numFmtId="0" fontId="40" fillId="25" borderId="0" xfId="4" applyFont="1" applyFill="1" applyAlignment="1">
      <alignment horizontal="center" vertical="center"/>
    </xf>
    <xf numFmtId="0" fontId="126" fillId="55" borderId="229" xfId="4" applyFont="1" applyFill="1" applyBorder="1" applyAlignment="1">
      <alignment horizontal="center" vertical="center"/>
    </xf>
    <xf numFmtId="0" fontId="0" fillId="0" borderId="186" xfId="0" applyBorder="1"/>
    <xf numFmtId="0" fontId="127" fillId="55" borderId="190" xfId="4" applyFont="1" applyFill="1" applyBorder="1" applyAlignment="1">
      <alignment horizontal="center" wrapText="1"/>
    </xf>
    <xf numFmtId="0" fontId="73" fillId="41" borderId="190" xfId="4" applyFont="1" applyFill="1" applyBorder="1" applyAlignment="1">
      <alignment horizontal="center" vertical="center" wrapText="1"/>
    </xf>
    <xf numFmtId="0" fontId="122" fillId="28" borderId="225" xfId="4" applyFont="1" applyFill="1" applyBorder="1" applyAlignment="1">
      <alignment horizontal="center" vertical="center" wrapText="1"/>
    </xf>
    <xf numFmtId="0" fontId="127" fillId="54" borderId="190" xfId="4" applyFont="1" applyFill="1" applyBorder="1" applyAlignment="1">
      <alignment horizontal="left" vertical="center" wrapText="1"/>
    </xf>
    <xf numFmtId="0" fontId="128" fillId="41" borderId="198" xfId="4" applyFont="1" applyFill="1" applyBorder="1" applyAlignment="1">
      <alignment horizontal="center" vertical="center" wrapText="1"/>
    </xf>
    <xf numFmtId="0" fontId="0" fillId="0" borderId="198" xfId="0" applyBorder="1"/>
    <xf numFmtId="0" fontId="126" fillId="55" borderId="227" xfId="4" applyFont="1" applyFill="1" applyBorder="1" applyAlignment="1">
      <alignment horizontal="center" vertical="center"/>
    </xf>
    <xf numFmtId="0" fontId="0" fillId="0" borderId="181" xfId="0" applyBorder="1"/>
    <xf numFmtId="0" fontId="118" fillId="28" borderId="184" xfId="4" applyFont="1" applyFill="1" applyBorder="1" applyAlignment="1">
      <alignment horizontal="center" vertical="center"/>
    </xf>
    <xf numFmtId="0" fontId="0" fillId="0" borderId="184" xfId="0" applyBorder="1"/>
    <xf numFmtId="0" fontId="3" fillId="0" borderId="190" xfId="4" applyFont="1" applyBorder="1" applyAlignment="1">
      <alignment horizontal="center"/>
    </xf>
    <xf numFmtId="0" fontId="118" fillId="25" borderId="0" xfId="4" applyFont="1" applyFill="1" applyAlignment="1">
      <alignment horizontal="center" vertical="center"/>
    </xf>
    <xf numFmtId="0" fontId="40" fillId="25" borderId="226" xfId="4" applyFont="1" applyFill="1" applyBorder="1" applyAlignment="1">
      <alignment horizontal="center" vertical="center"/>
    </xf>
    <xf numFmtId="0" fontId="0" fillId="0" borderId="177" xfId="0" applyBorder="1"/>
    <xf numFmtId="0" fontId="0" fillId="0" borderId="178" xfId="0" applyBorder="1"/>
    <xf numFmtId="0" fontId="126" fillId="55" borderId="199" xfId="4" applyFont="1" applyFill="1" applyBorder="1" applyAlignment="1">
      <alignment vertical="center" wrapText="1"/>
    </xf>
    <xf numFmtId="0" fontId="0" fillId="0" borderId="230" xfId="0" applyBorder="1"/>
    <xf numFmtId="0" fontId="0" fillId="0" borderId="231" xfId="0" applyBorder="1"/>
    <xf numFmtId="0" fontId="3" fillId="0" borderId="201" xfId="4" applyFont="1" applyBorder="1"/>
    <xf numFmtId="0" fontId="0" fillId="0" borderId="201" xfId="0" applyBorder="1"/>
    <xf numFmtId="0" fontId="126" fillId="55" borderId="225" xfId="4" applyFont="1" applyFill="1" applyBorder="1" applyAlignment="1">
      <alignment vertical="center" wrapText="1"/>
    </xf>
    <xf numFmtId="0" fontId="126" fillId="55" borderId="228" xfId="4" applyFont="1" applyFill="1" applyBorder="1" applyAlignment="1">
      <alignment horizontal="center" vertical="center"/>
    </xf>
    <xf numFmtId="0" fontId="0" fillId="0" borderId="183" xfId="0" applyBorder="1"/>
    <xf numFmtId="169" fontId="126" fillId="55" borderId="190" xfId="4" applyNumberFormat="1" applyFont="1" applyFill="1" applyBorder="1" applyAlignment="1">
      <alignment vertical="center" wrapText="1"/>
    </xf>
    <xf numFmtId="0" fontId="126" fillId="55" borderId="225" xfId="4" applyFont="1" applyFill="1" applyBorder="1" applyAlignment="1">
      <alignment horizontal="center" vertical="center" wrapText="1"/>
    </xf>
    <xf numFmtId="0" fontId="104" fillId="28" borderId="0" xfId="1" applyFont="1" applyFill="1" applyAlignment="1">
      <alignment horizontal="center" vertical="top"/>
    </xf>
    <xf numFmtId="0" fontId="8" fillId="0" borderId="0" xfId="1" applyFont="1" applyAlignment="1">
      <alignment horizontal="center" vertical="center"/>
    </xf>
    <xf numFmtId="0" fontId="77" fillId="11" borderId="65" xfId="3" applyFont="1" applyFill="1" applyBorder="1" applyAlignment="1">
      <alignment vertical="center"/>
    </xf>
    <xf numFmtId="0" fontId="37" fillId="0" borderId="56" xfId="1" applyFont="1" applyBorder="1" applyAlignment="1">
      <alignment horizontal="left" vertical="center"/>
    </xf>
    <xf numFmtId="0" fontId="0" fillId="0" borderId="56" xfId="0" applyBorder="1"/>
    <xf numFmtId="0" fontId="59" fillId="3" borderId="67" xfId="1" applyFont="1" applyFill="1" applyBorder="1" applyAlignment="1">
      <alignment horizontal="center" vertical="center"/>
    </xf>
    <xf numFmtId="0" fontId="0" fillId="0" borderId="94" xfId="0" applyBorder="1"/>
    <xf numFmtId="0" fontId="37" fillId="0" borderId="64" xfId="1" applyFont="1" applyBorder="1" applyAlignment="1">
      <alignment horizontal="center" vertical="center" wrapText="1"/>
    </xf>
    <xf numFmtId="0" fontId="52" fillId="27" borderId="29" xfId="1" applyFont="1" applyFill="1" applyBorder="1" applyAlignment="1">
      <alignment horizontal="left" vertical="center" wrapText="1"/>
    </xf>
    <xf numFmtId="0" fontId="34" fillId="0" borderId="58" xfId="1" applyFont="1" applyBorder="1" applyAlignment="1">
      <alignment horizontal="left" vertical="center"/>
    </xf>
    <xf numFmtId="0" fontId="0" fillId="0" borderId="58" xfId="0" applyBorder="1"/>
    <xf numFmtId="0" fontId="37" fillId="0" borderId="54" xfId="1" applyFont="1" applyBorder="1" applyAlignment="1">
      <alignment horizontal="center" vertical="center" wrapText="1"/>
    </xf>
    <xf numFmtId="0" fontId="0" fillId="0" borderId="54" xfId="0" applyBorder="1"/>
    <xf numFmtId="166" fontId="37" fillId="4" borderId="65" xfId="1" applyNumberFormat="1" applyFont="1" applyFill="1" applyBorder="1" applyAlignment="1">
      <alignment vertical="center" wrapText="1"/>
    </xf>
    <xf numFmtId="0" fontId="57" fillId="23" borderId="80" xfId="1" applyFont="1" applyFill="1" applyBorder="1" applyAlignment="1">
      <alignment horizontal="center" vertical="center"/>
    </xf>
    <xf numFmtId="0" fontId="0" fillId="0" borderId="53" xfId="0" applyBorder="1"/>
    <xf numFmtId="0" fontId="0" fillId="0" borderId="80" xfId="0" applyBorder="1"/>
    <xf numFmtId="0" fontId="37" fillId="0" borderId="29" xfId="1" applyFont="1" applyBorder="1" applyAlignment="1">
      <alignment horizontal="center" vertical="center"/>
    </xf>
    <xf numFmtId="0" fontId="41" fillId="21" borderId="66" xfId="1" applyFont="1" applyFill="1" applyBorder="1" applyAlignment="1">
      <alignment horizontal="center" vertical="center"/>
    </xf>
    <xf numFmtId="0" fontId="8" fillId="0" borderId="0" xfId="1" applyFont="1" applyAlignment="1">
      <alignment vertical="center"/>
    </xf>
    <xf numFmtId="0" fontId="0" fillId="0" borderId="212" xfId="0" applyBorder="1"/>
    <xf numFmtId="0" fontId="37" fillId="0" borderId="64" xfId="1" applyFont="1" applyBorder="1" applyAlignment="1">
      <alignment horizontal="left" vertical="center" wrapText="1"/>
    </xf>
    <xf numFmtId="0" fontId="37" fillId="0" borderId="84" xfId="1" applyFont="1" applyBorder="1" applyAlignment="1">
      <alignment horizontal="left" vertical="center"/>
    </xf>
    <xf numFmtId="0" fontId="0" fillId="0" borderId="57" xfId="0" applyBorder="1"/>
    <xf numFmtId="0" fontId="37" fillId="0" borderId="29" xfId="1" applyFont="1" applyBorder="1" applyAlignment="1">
      <alignment horizontal="left" vertical="center"/>
    </xf>
    <xf numFmtId="0" fontId="37" fillId="0" borderId="86" xfId="1" applyFont="1" applyBorder="1" applyAlignment="1">
      <alignment horizontal="center" vertical="center" wrapText="1"/>
    </xf>
    <xf numFmtId="0" fontId="0" fillId="0" borderId="241" xfId="0" applyBorder="1"/>
    <xf numFmtId="0" fontId="0" fillId="0" borderId="242" xfId="0" applyBorder="1"/>
    <xf numFmtId="0" fontId="8" fillId="0" borderId="0" xfId="1" applyFont="1" applyAlignment="1">
      <alignment horizontal="left" vertical="center"/>
    </xf>
    <xf numFmtId="0" fontId="37" fillId="16" borderId="29" xfId="1" applyFont="1" applyFill="1" applyBorder="1" applyAlignment="1">
      <alignment horizontal="left" vertical="center" wrapText="1"/>
    </xf>
    <xf numFmtId="0" fontId="37" fillId="0" borderId="64" xfId="1" applyFont="1" applyBorder="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0" fillId="0" borderId="3" xfId="0" applyBorder="1"/>
    <xf numFmtId="0" fontId="0" fillId="0" borderId="8" xfId="0" applyBorder="1"/>
    <xf numFmtId="0" fontId="73" fillId="27" borderId="64" xfId="1" applyFont="1" applyFill="1" applyBorder="1" applyAlignment="1">
      <alignment horizontal="left" vertical="center"/>
    </xf>
    <xf numFmtId="0" fontId="59" fillId="8" borderId="96" xfId="1" applyFont="1" applyFill="1" applyBorder="1" applyAlignment="1">
      <alignment horizontal="center" vertical="center"/>
    </xf>
    <xf numFmtId="0" fontId="0" fillId="0" borderId="59" xfId="0" applyBorder="1"/>
    <xf numFmtId="0" fontId="0" fillId="0" borderId="96" xfId="0" applyBorder="1"/>
    <xf numFmtId="0" fontId="36" fillId="3" borderId="65" xfId="1" applyFont="1" applyFill="1" applyBorder="1" applyAlignment="1">
      <alignment horizontal="center" vertical="center" wrapText="1"/>
    </xf>
    <xf numFmtId="0" fontId="37" fillId="0" borderId="57" xfId="1" applyFont="1" applyBorder="1" applyAlignment="1">
      <alignment horizontal="center" vertical="center"/>
    </xf>
    <xf numFmtId="0" fontId="57" fillId="3" borderId="233" xfId="1" applyFont="1" applyFill="1" applyBorder="1" applyAlignment="1">
      <alignment horizontal="center" vertical="center" wrapText="1"/>
    </xf>
    <xf numFmtId="0" fontId="0" fillId="0" borderId="44" xfId="0" applyBorder="1"/>
    <xf numFmtId="0" fontId="0" fillId="0" borderId="73" xfId="0" applyBorder="1"/>
    <xf numFmtId="0" fontId="59" fillId="3" borderId="6" xfId="1" applyFont="1" applyFill="1" applyBorder="1" applyAlignment="1">
      <alignment horizontal="center" vertical="center" wrapText="1"/>
    </xf>
    <xf numFmtId="0" fontId="52" fillId="23" borderId="29" xfId="1" applyFont="1" applyFill="1" applyBorder="1" applyAlignment="1">
      <alignment horizontal="center" vertical="center"/>
    </xf>
    <xf numFmtId="0" fontId="45" fillId="4" borderId="98" xfId="3" applyFont="1" applyFill="1" applyBorder="1" applyAlignment="1">
      <alignment horizontal="center" vertical="center"/>
    </xf>
    <xf numFmtId="0" fontId="0" fillId="0" borderId="98" xfId="0" applyBorder="1"/>
    <xf numFmtId="0" fontId="57" fillId="3" borderId="234" xfId="1" applyFont="1" applyFill="1" applyBorder="1" applyAlignment="1">
      <alignment horizontal="center" vertical="center"/>
    </xf>
    <xf numFmtId="0" fontId="59" fillId="8" borderId="95" xfId="1" applyFont="1" applyFill="1" applyBorder="1" applyAlignment="1">
      <alignment horizontal="center" vertical="center"/>
    </xf>
    <xf numFmtId="0" fontId="52" fillId="3" borderId="29" xfId="1" applyFont="1" applyFill="1" applyBorder="1" applyAlignment="1">
      <alignment vertical="center"/>
    </xf>
    <xf numFmtId="0" fontId="57" fillId="3" borderId="234" xfId="1" applyFont="1" applyFill="1" applyBorder="1" applyAlignment="1">
      <alignment horizontal="center" vertical="center" wrapText="1"/>
    </xf>
    <xf numFmtId="0" fontId="56" fillId="25" borderId="119" xfId="1" applyFont="1" applyFill="1" applyBorder="1" applyAlignment="1">
      <alignment horizontal="center" vertical="center"/>
    </xf>
    <xf numFmtId="0" fontId="37" fillId="16" borderId="32" xfId="1" applyFont="1" applyFill="1" applyBorder="1" applyAlignment="1">
      <alignment horizontal="left" vertical="center" wrapText="1"/>
    </xf>
    <xf numFmtId="0" fontId="37" fillId="0" borderId="82" xfId="1" applyFont="1" applyBorder="1" applyAlignment="1">
      <alignment horizontal="left" vertical="center"/>
    </xf>
    <xf numFmtId="0" fontId="37" fillId="0" borderId="87" xfId="1" applyFont="1" applyBorder="1" applyAlignment="1">
      <alignment horizontal="center" vertical="center" wrapText="1"/>
    </xf>
    <xf numFmtId="0" fontId="0" fillId="0" borderId="243" xfId="0" applyBorder="1"/>
    <xf numFmtId="0" fontId="0" fillId="0" borderId="244" xfId="0" applyBorder="1"/>
    <xf numFmtId="0" fontId="37" fillId="0" borderId="65" xfId="1" applyFont="1" applyBorder="1" applyAlignment="1">
      <alignment horizontal="center" vertical="center" wrapText="1"/>
    </xf>
    <xf numFmtId="0" fontId="59" fillId="3" borderId="6" xfId="1" applyFont="1" applyFill="1" applyBorder="1" applyAlignment="1">
      <alignment horizontal="center" vertical="center"/>
    </xf>
    <xf numFmtId="0" fontId="0" fillId="0" borderId="52" xfId="0" applyBorder="1"/>
    <xf numFmtId="0" fontId="71" fillId="31" borderId="236" xfId="1" applyFont="1" applyFill="1" applyBorder="1" applyAlignment="1">
      <alignment horizontal="center" vertical="center"/>
    </xf>
    <xf numFmtId="0" fontId="0" fillId="0" borderId="45" xfId="0" applyBorder="1"/>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71" fillId="31" borderId="232" xfId="1" applyFont="1" applyFill="1" applyBorder="1" applyAlignment="1">
      <alignment horizontal="center" vertical="center"/>
    </xf>
    <xf numFmtId="0" fontId="0" fillId="0" borderId="93" xfId="0" applyBorder="1"/>
    <xf numFmtId="0" fontId="72" fillId="0" borderId="3" xfId="1" applyFont="1" applyBorder="1" applyAlignment="1">
      <alignment horizontal="center" vertical="center"/>
    </xf>
    <xf numFmtId="0" fontId="66" fillId="25" borderId="100" xfId="2" applyFont="1" applyFill="1" applyBorder="1" applyAlignment="1">
      <alignment horizontal="center"/>
    </xf>
    <xf numFmtId="0" fontId="57" fillId="34" borderId="79" xfId="1" applyFont="1" applyFill="1" applyBorder="1" applyAlignment="1">
      <alignment horizontal="center" vertical="center"/>
    </xf>
    <xf numFmtId="0" fontId="41" fillId="21" borderId="69" xfId="1" applyFont="1" applyFill="1" applyBorder="1" applyAlignment="1">
      <alignment horizontal="center" vertical="center"/>
    </xf>
    <xf numFmtId="0" fontId="72" fillId="0" borderId="8" xfId="1" applyFont="1" applyBorder="1" applyAlignment="1">
      <alignment horizontal="center" vertical="center"/>
    </xf>
    <xf numFmtId="0" fontId="37" fillId="0" borderId="55" xfId="1" applyFont="1" applyBorder="1" applyAlignment="1">
      <alignment horizontal="center" vertical="center" wrapText="1"/>
    </xf>
    <xf numFmtId="0" fontId="0" fillId="0" borderId="55" xfId="0" applyBorder="1"/>
    <xf numFmtId="0" fontId="41" fillId="21" borderId="4" xfId="1" applyFont="1" applyFill="1" applyBorder="1" applyAlignment="1">
      <alignment horizontal="center" vertical="center"/>
    </xf>
    <xf numFmtId="0" fontId="0" fillId="0" borderId="238" xfId="0" applyBorder="1"/>
    <xf numFmtId="0" fontId="0" fillId="0" borderId="240" xfId="0" applyBorder="1"/>
    <xf numFmtId="166" fontId="37" fillId="4" borderId="75" xfId="1" applyNumberFormat="1" applyFont="1" applyFill="1" applyBorder="1" applyAlignment="1">
      <alignment vertical="center" wrapText="1"/>
    </xf>
    <xf numFmtId="0" fontId="0" fillId="0" borderId="75" xfId="0" applyBorder="1"/>
    <xf numFmtId="0" fontId="52" fillId="27" borderId="29" xfId="1" applyFont="1" applyFill="1" applyBorder="1" applyAlignment="1">
      <alignment horizontal="right" vertical="center"/>
    </xf>
    <xf numFmtId="0" fontId="77" fillId="11" borderId="100" xfId="3" applyFont="1" applyFill="1" applyBorder="1" applyAlignment="1">
      <alignment horizontal="left" vertical="center"/>
    </xf>
    <xf numFmtId="0" fontId="37" fillId="0" borderId="98" xfId="1" applyFont="1" applyBorder="1" applyAlignment="1">
      <alignment horizontal="center" vertical="center"/>
    </xf>
    <xf numFmtId="0" fontId="57" fillId="3" borderId="235" xfId="1" applyFont="1" applyFill="1" applyBorder="1" applyAlignment="1">
      <alignment horizontal="center" vertical="center"/>
    </xf>
    <xf numFmtId="0" fontId="0" fillId="0" borderId="72" xfId="0" applyBorder="1"/>
    <xf numFmtId="0" fontId="59" fillId="3" borderId="68" xfId="1" applyFont="1" applyFill="1" applyBorder="1" applyAlignment="1">
      <alignment horizontal="center" vertical="center" wrapText="1"/>
    </xf>
    <xf numFmtId="0" fontId="0" fillId="0" borderId="305" xfId="0" applyBorder="1"/>
    <xf numFmtId="0" fontId="72" fillId="0" borderId="94" xfId="1" applyFont="1" applyBorder="1" applyAlignment="1">
      <alignment horizontal="center" vertical="center"/>
    </xf>
    <xf numFmtId="0" fontId="56" fillId="20" borderId="78" xfId="1" applyFont="1" applyFill="1" applyBorder="1" applyAlignment="1">
      <alignment horizontal="center" vertical="center"/>
    </xf>
    <xf numFmtId="0" fontId="0" fillId="0" borderId="247" xfId="0" applyBorder="1"/>
    <xf numFmtId="0" fontId="0" fillId="0" borderId="248" xfId="0" applyBorder="1"/>
    <xf numFmtId="0" fontId="57" fillId="3" borderId="69" xfId="1" applyFont="1" applyFill="1" applyBorder="1" applyAlignment="1">
      <alignment horizontal="center" vertical="center"/>
    </xf>
    <xf numFmtId="0" fontId="37" fillId="0" borderId="56" xfId="1" applyFont="1" applyBorder="1" applyAlignment="1">
      <alignment horizontal="center" vertical="center"/>
    </xf>
    <xf numFmtId="0" fontId="41" fillId="21" borderId="2" xfId="1" applyFont="1" applyFill="1" applyBorder="1" applyAlignment="1">
      <alignment horizontal="center" vertical="center"/>
    </xf>
    <xf numFmtId="0" fontId="0" fillId="0" borderId="239" xfId="0" applyBorder="1"/>
    <xf numFmtId="0" fontId="103" fillId="3" borderId="234" xfId="1" applyFont="1" applyFill="1" applyBorder="1" applyAlignment="1">
      <alignment horizontal="center" vertical="center"/>
    </xf>
    <xf numFmtId="0" fontId="69" fillId="20" borderId="92" xfId="1" applyFont="1" applyFill="1" applyBorder="1" applyAlignment="1">
      <alignment horizontal="center" vertical="center" wrapText="1"/>
    </xf>
    <xf numFmtId="0" fontId="52" fillId="3" borderId="29" xfId="1" applyFont="1" applyFill="1" applyBorder="1" applyAlignment="1">
      <alignment horizontal="center" vertical="center" wrapText="1"/>
    </xf>
    <xf numFmtId="0" fontId="73" fillId="27" borderId="61" xfId="1" applyFont="1" applyFill="1" applyBorder="1" applyAlignment="1">
      <alignment horizontal="left" vertical="center" wrapText="1"/>
    </xf>
    <xf numFmtId="0" fontId="37" fillId="0" borderId="88" xfId="1" applyFont="1" applyBorder="1" applyAlignment="1">
      <alignment horizontal="center" vertical="center" wrapText="1"/>
    </xf>
    <xf numFmtId="0" fontId="0" fillId="0" borderId="245" xfId="0" applyBorder="1"/>
    <xf numFmtId="0" fontId="0" fillId="0" borderId="246" xfId="0" applyBorder="1"/>
    <xf numFmtId="0" fontId="57" fillId="34" borderId="82" xfId="1" applyFont="1" applyFill="1" applyBorder="1" applyAlignment="1">
      <alignment horizontal="center" vertical="center" wrapText="1"/>
    </xf>
    <xf numFmtId="0" fontId="41" fillId="21" borderId="89" xfId="1" applyFont="1" applyFill="1" applyBorder="1" applyAlignment="1">
      <alignment horizontal="center" vertical="center"/>
    </xf>
    <xf numFmtId="0" fontId="52" fillId="27" borderId="29" xfId="1" applyFont="1" applyFill="1" applyBorder="1" applyAlignment="1">
      <alignment horizontal="right" vertical="center" wrapText="1"/>
    </xf>
    <xf numFmtId="0" fontId="108" fillId="28" borderId="0" xfId="1" applyFont="1" applyFill="1" applyAlignment="1">
      <alignment horizontal="center" vertical="center"/>
    </xf>
    <xf numFmtId="0" fontId="41" fillId="21" borderId="90" xfId="1" applyFont="1" applyFill="1" applyBorder="1" applyAlignment="1">
      <alignment horizontal="center" vertical="center"/>
    </xf>
    <xf numFmtId="0" fontId="37" fillId="0" borderId="57" xfId="1" applyFont="1" applyBorder="1" applyAlignment="1">
      <alignment horizontal="left" vertical="center"/>
    </xf>
    <xf numFmtId="0" fontId="37" fillId="0" borderId="82" xfId="1" applyFont="1" applyBorder="1" applyAlignment="1">
      <alignment horizontal="center" vertical="center" wrapText="1"/>
    </xf>
    <xf numFmtId="0" fontId="45" fillId="4" borderId="119" xfId="3" applyFont="1" applyFill="1" applyBorder="1" applyAlignment="1">
      <alignment horizontal="center" vertical="center"/>
    </xf>
    <xf numFmtId="0" fontId="57" fillId="34" borderId="83" xfId="1" applyFont="1" applyFill="1" applyBorder="1" applyAlignment="1">
      <alignment horizontal="center" vertical="center" wrapText="1"/>
    </xf>
    <xf numFmtId="0" fontId="0" fillId="0" borderId="83" xfId="0" applyBorder="1"/>
    <xf numFmtId="0" fontId="56" fillId="20" borderId="69" xfId="1" applyFont="1" applyFill="1" applyBorder="1" applyAlignment="1">
      <alignment horizontal="center" vertical="center"/>
    </xf>
    <xf numFmtId="0" fontId="37" fillId="0" borderId="83" xfId="1" applyFont="1" applyBorder="1" applyAlignment="1">
      <alignment horizontal="center" vertical="center" wrapText="1"/>
    </xf>
    <xf numFmtId="166" fontId="37" fillId="4" borderId="77" xfId="1" applyNumberFormat="1" applyFont="1" applyFill="1" applyBorder="1" applyAlignment="1">
      <alignment vertical="center" wrapText="1"/>
    </xf>
    <xf numFmtId="0" fontId="0" fillId="0" borderId="77" xfId="0" applyBorder="1"/>
    <xf numFmtId="0" fontId="37" fillId="0" borderId="84" xfId="1" applyFont="1" applyBorder="1" applyAlignment="1">
      <alignment horizontal="center" vertical="center" wrapText="1"/>
    </xf>
    <xf numFmtId="0" fontId="34" fillId="0" borderId="98" xfId="1" applyFont="1" applyBorder="1" applyAlignment="1">
      <alignment horizontal="center" vertical="center"/>
    </xf>
    <xf numFmtId="0" fontId="71" fillId="31" borderId="237" xfId="1" applyFont="1" applyFill="1" applyBorder="1" applyAlignment="1">
      <alignment horizontal="center" vertical="center"/>
    </xf>
    <xf numFmtId="0" fontId="37" fillId="0" borderId="85" xfId="1" applyFont="1" applyBorder="1" applyAlignment="1">
      <alignment horizontal="center" vertical="center" wrapText="1"/>
    </xf>
    <xf numFmtId="0" fontId="0" fillId="0" borderId="85" xfId="0" applyBorder="1"/>
    <xf numFmtId="0" fontId="52" fillId="23" borderId="65" xfId="2" applyFont="1" applyFill="1" applyBorder="1" applyAlignment="1">
      <alignment horizontal="center" vertical="center" wrapText="1"/>
    </xf>
    <xf numFmtId="0" fontId="0" fillId="0" borderId="39" xfId="0" applyBorder="1"/>
    <xf numFmtId="167" fontId="46" fillId="16" borderId="263" xfId="0" applyNumberFormat="1" applyFont="1" applyFill="1" applyBorder="1" applyAlignment="1">
      <alignment horizontal="center" vertical="center" wrapText="1"/>
    </xf>
    <xf numFmtId="0" fontId="63" fillId="30" borderId="7" xfId="0" applyFont="1" applyFill="1" applyBorder="1" applyAlignment="1">
      <alignment horizontal="center" vertical="center" wrapText="1"/>
    </xf>
    <xf numFmtId="0" fontId="0" fillId="0" borderId="7" xfId="0" applyBorder="1"/>
    <xf numFmtId="0" fontId="45" fillId="0" borderId="30" xfId="0" applyFont="1" applyBorder="1" applyAlignment="1">
      <alignment horizontal="center" vertical="center" wrapText="1"/>
    </xf>
    <xf numFmtId="0" fontId="0" fillId="28" borderId="0" xfId="0" applyFill="1" applyAlignment="1">
      <alignment horizontal="center"/>
    </xf>
    <xf numFmtId="0" fontId="54" fillId="21" borderId="0" xfId="0" applyFont="1" applyFill="1" applyBorder="1" applyAlignment="1">
      <alignment horizontal="center" vertical="center" wrapText="1"/>
    </xf>
    <xf numFmtId="0" fontId="67" fillId="0" borderId="30" xfId="0" applyFont="1" applyBorder="1" applyAlignment="1">
      <alignment horizontal="left" vertical="center"/>
    </xf>
    <xf numFmtId="0" fontId="0" fillId="0" borderId="129" xfId="0" applyBorder="1"/>
    <xf numFmtId="0" fontId="45" fillId="0" borderId="306" xfId="0" applyFont="1" applyBorder="1" applyAlignment="1">
      <alignment horizontal="center" vertical="center" wrapText="1"/>
    </xf>
    <xf numFmtId="0" fontId="0" fillId="0" borderId="287" xfId="0" applyBorder="1"/>
    <xf numFmtId="168" fontId="45" fillId="0" borderId="306" xfId="0" applyNumberFormat="1" applyFont="1" applyBorder="1" applyAlignment="1">
      <alignment horizontal="center" vertical="center" wrapText="1"/>
    </xf>
    <xf numFmtId="0" fontId="45" fillId="16" borderId="29" xfId="0" applyFont="1" applyFill="1" applyBorder="1" applyAlignment="1">
      <alignment horizontal="center" vertical="center" wrapText="1"/>
    </xf>
    <xf numFmtId="0" fontId="53" fillId="30" borderId="32" xfId="0" applyFont="1" applyFill="1" applyBorder="1" applyAlignment="1">
      <alignment horizontal="center" vertical="center" wrapText="1"/>
    </xf>
    <xf numFmtId="168" fontId="47" fillId="0" borderId="129" xfId="0" applyNumberFormat="1" applyFont="1" applyBorder="1" applyAlignment="1">
      <alignment horizontal="center" vertical="center" wrapText="1"/>
    </xf>
    <xf numFmtId="0" fontId="0" fillId="0" borderId="37" xfId="0" applyBorder="1"/>
    <xf numFmtId="0" fontId="45" fillId="17" borderId="29" xfId="0" applyFont="1" applyFill="1" applyBorder="1" applyAlignment="1">
      <alignment horizontal="center" vertical="center" wrapText="1"/>
    </xf>
    <xf numFmtId="0" fontId="48" fillId="34" borderId="112" xfId="0" applyFont="1" applyFill="1" applyBorder="1" applyAlignment="1">
      <alignment horizontal="center" vertical="center" wrapText="1"/>
    </xf>
    <xf numFmtId="0" fontId="48" fillId="34" borderId="113" xfId="0" applyFont="1" applyFill="1" applyBorder="1" applyAlignment="1">
      <alignment horizontal="center" vertical="center" wrapText="1"/>
    </xf>
    <xf numFmtId="167" fontId="37" fillId="16" borderId="112" xfId="2" applyNumberFormat="1" applyFont="1" applyFill="1" applyBorder="1" applyAlignment="1">
      <alignment horizontal="center" vertical="center" wrapText="1"/>
    </xf>
    <xf numFmtId="0" fontId="45" fillId="0" borderId="91" xfId="0" applyFont="1" applyBorder="1" applyAlignment="1">
      <alignment horizontal="center" vertical="center" wrapText="1"/>
    </xf>
    <xf numFmtId="0" fontId="0" fillId="0" borderId="264" xfId="0" applyBorder="1"/>
    <xf numFmtId="0" fontId="0" fillId="16" borderId="32" xfId="0" applyFill="1" applyBorder="1"/>
    <xf numFmtId="0" fontId="0" fillId="0" borderId="33" xfId="0" applyBorder="1"/>
    <xf numFmtId="0" fontId="0" fillId="0" borderId="35" xfId="0" applyBorder="1"/>
    <xf numFmtId="0" fontId="0" fillId="0" borderId="43" xfId="0" applyBorder="1"/>
    <xf numFmtId="0" fontId="0" fillId="0" borderId="136" xfId="0" applyBorder="1"/>
    <xf numFmtId="0" fontId="63" fillId="22" borderId="264" xfId="0" applyFont="1" applyFill="1" applyBorder="1" applyAlignment="1">
      <alignment horizontal="center" vertical="center" wrapText="1"/>
    </xf>
    <xf numFmtId="168" fontId="47" fillId="0" borderId="36" xfId="0" applyNumberFormat="1" applyFont="1" applyBorder="1" applyAlignment="1">
      <alignment vertical="center" wrapText="1"/>
    </xf>
    <xf numFmtId="0" fontId="45" fillId="0" borderId="30" xfId="0" applyFont="1" applyBorder="1" applyAlignment="1">
      <alignment vertical="center" wrapText="1"/>
    </xf>
    <xf numFmtId="0" fontId="52" fillId="3" borderId="39" xfId="2" applyFont="1" applyFill="1" applyBorder="1" applyAlignment="1">
      <alignment horizontal="center" vertical="center" wrapText="1"/>
    </xf>
    <xf numFmtId="0" fontId="45" fillId="0" borderId="29" xfId="0" applyFont="1" applyBorder="1" applyAlignment="1">
      <alignment vertical="center" wrapText="1"/>
    </xf>
    <xf numFmtId="0" fontId="45" fillId="16" borderId="29" xfId="0" applyFont="1" applyFill="1" applyBorder="1" applyAlignment="1">
      <alignment vertical="center" wrapText="1"/>
    </xf>
    <xf numFmtId="0" fontId="52" fillId="27" borderId="29" xfId="2" applyFont="1" applyFill="1" applyBorder="1" applyAlignment="1">
      <alignment vertical="center" wrapText="1"/>
    </xf>
    <xf numFmtId="0" fontId="67" fillId="0" borderId="30" xfId="0" applyFont="1" applyBorder="1" applyAlignment="1">
      <alignment horizontal="center" vertical="center" wrapText="1"/>
    </xf>
    <xf numFmtId="0" fontId="0" fillId="0" borderId="36" xfId="0" applyBorder="1"/>
    <xf numFmtId="168" fontId="47" fillId="0" borderId="40" xfId="0" applyNumberFormat="1" applyFont="1" applyBorder="1" applyAlignment="1">
      <alignment vertical="center" wrapText="1"/>
    </xf>
    <xf numFmtId="168" fontId="52" fillId="23" borderId="65" xfId="2" applyNumberFormat="1" applyFont="1" applyFill="1" applyBorder="1" applyAlignment="1">
      <alignment horizontal="center" vertical="center" wrapText="1"/>
    </xf>
    <xf numFmtId="0" fontId="45" fillId="0" borderId="306" xfId="0" applyFont="1" applyBorder="1" applyAlignment="1">
      <alignment vertical="center" wrapText="1"/>
    </xf>
    <xf numFmtId="0" fontId="0" fillId="0" borderId="285" xfId="0" applyBorder="1"/>
    <xf numFmtId="0" fontId="52" fillId="3" borderId="39" xfId="2" applyFont="1" applyFill="1" applyBorder="1" applyAlignment="1">
      <alignment vertical="center" wrapText="1"/>
    </xf>
    <xf numFmtId="168" fontId="50" fillId="16" borderId="108" xfId="0" applyNumberFormat="1" applyFont="1" applyFill="1" applyBorder="1" applyAlignment="1">
      <alignment horizontal="center" vertical="center" wrapText="1"/>
    </xf>
    <xf numFmtId="168" fontId="50" fillId="16" borderId="112" xfId="0" applyNumberFormat="1" applyFont="1" applyFill="1" applyBorder="1" applyAlignment="1">
      <alignment horizontal="center" vertical="center" wrapText="1"/>
    </xf>
    <xf numFmtId="0" fontId="0" fillId="0" borderId="112" xfId="0" applyBorder="1"/>
    <xf numFmtId="0" fontId="63" fillId="22" borderId="258" xfId="0" applyFont="1" applyFill="1" applyBorder="1" applyAlignment="1">
      <alignment horizontal="center" vertical="center" wrapText="1"/>
    </xf>
    <xf numFmtId="0" fontId="67" fillId="0" borderId="308" xfId="0" applyFont="1" applyBorder="1" applyAlignment="1">
      <alignment horizontal="center" vertical="center" wrapText="1"/>
    </xf>
    <xf numFmtId="0" fontId="0" fillId="0" borderId="40" xfId="0" applyBorder="1"/>
    <xf numFmtId="0" fontId="63" fillId="30" borderId="262" xfId="0" applyFont="1" applyFill="1" applyBorder="1" applyAlignment="1">
      <alignment horizontal="center" vertical="center" wrapText="1"/>
    </xf>
    <xf numFmtId="0" fontId="0" fillId="0" borderId="34" xfId="0" applyBorder="1"/>
    <xf numFmtId="0" fontId="60" fillId="3" borderId="260" xfId="0" applyFont="1" applyFill="1" applyBorder="1" applyAlignment="1">
      <alignment horizontal="center" vertical="center" wrapText="1"/>
    </xf>
    <xf numFmtId="0" fontId="0" fillId="0" borderId="260" xfId="0" applyBorder="1"/>
    <xf numFmtId="0" fontId="51" fillId="0" borderId="91" xfId="0" applyFont="1" applyBorder="1" applyAlignment="1">
      <alignment horizontal="center" vertical="center" wrapText="1"/>
    </xf>
    <xf numFmtId="0" fontId="32" fillId="20" borderId="92" xfId="0" applyFont="1" applyFill="1" applyBorder="1" applyAlignment="1">
      <alignment horizontal="center" vertical="center" wrapText="1"/>
    </xf>
    <xf numFmtId="168" fontId="65" fillId="3" borderId="91" xfId="0" applyNumberFormat="1" applyFont="1" applyFill="1" applyBorder="1" applyAlignment="1">
      <alignment horizontal="right" vertical="center" wrapText="1"/>
    </xf>
    <xf numFmtId="0" fontId="45" fillId="0" borderId="91" xfId="0" applyFont="1" applyBorder="1" applyAlignment="1">
      <alignment vertical="center" wrapText="1"/>
    </xf>
    <xf numFmtId="168" fontId="45" fillId="0" borderId="30" xfId="0" applyNumberFormat="1" applyFont="1" applyBorder="1" applyAlignment="1">
      <alignment horizontal="center" vertical="center" wrapText="1"/>
    </xf>
    <xf numFmtId="168" fontId="65" fillId="3" borderId="29" xfId="0" applyNumberFormat="1" applyFont="1" applyFill="1" applyBorder="1" applyAlignment="1">
      <alignment horizontal="right" vertical="center" wrapText="1"/>
    </xf>
    <xf numFmtId="167" fontId="46" fillId="16" borderId="164" xfId="0" applyNumberFormat="1" applyFont="1" applyFill="1" applyBorder="1" applyAlignment="1">
      <alignment horizontal="center" vertical="center" wrapText="1"/>
    </xf>
    <xf numFmtId="0" fontId="45" fillId="4" borderId="100" xfId="3" applyFont="1" applyFill="1" applyBorder="1" applyAlignment="1">
      <alignment horizontal="center" vertical="center"/>
    </xf>
    <xf numFmtId="0" fontId="60" fillId="58" borderId="91" xfId="0" applyFont="1" applyFill="1" applyBorder="1" applyAlignment="1">
      <alignment horizontal="center" vertical="center" wrapText="1"/>
    </xf>
    <xf numFmtId="168" fontId="45" fillId="0" borderId="306" xfId="0" applyNumberFormat="1" applyFont="1" applyBorder="1" applyAlignment="1">
      <alignment vertical="center" wrapText="1"/>
    </xf>
    <xf numFmtId="0" fontId="67" fillId="0" borderId="312" xfId="0" applyFont="1" applyBorder="1" applyAlignment="1">
      <alignment horizontal="center" vertical="center" wrapText="1"/>
    </xf>
    <xf numFmtId="0" fontId="0" fillId="0" borderId="118" xfId="0" applyBorder="1"/>
    <xf numFmtId="0" fontId="0" fillId="17" borderId="32" xfId="0" applyFill="1" applyBorder="1"/>
    <xf numFmtId="168" fontId="45" fillId="0" borderId="307" xfId="0" applyNumberFormat="1" applyFont="1" applyBorder="1" applyAlignment="1">
      <alignment horizontal="center" vertical="center" wrapText="1"/>
    </xf>
    <xf numFmtId="0" fontId="48" fillId="15" borderId="315" xfId="0" applyFont="1" applyFill="1" applyBorder="1" applyAlignment="1">
      <alignment horizontal="center" vertical="center" wrapText="1"/>
    </xf>
    <xf numFmtId="0" fontId="0" fillId="0" borderId="0" xfId="0" applyBorder="1"/>
    <xf numFmtId="0" fontId="0" fillId="0" borderId="314" xfId="0" applyBorder="1"/>
    <xf numFmtId="0" fontId="48" fillId="15" borderId="311" xfId="0" applyFont="1" applyFill="1" applyBorder="1" applyAlignment="1">
      <alignment horizontal="center" vertical="center" wrapText="1"/>
    </xf>
    <xf numFmtId="168" fontId="48" fillId="3" borderId="307" xfId="0" applyNumberFormat="1" applyFont="1" applyFill="1" applyBorder="1" applyAlignment="1">
      <alignment vertical="center" wrapText="1"/>
    </xf>
    <xf numFmtId="168" fontId="47" fillId="0" borderId="40" xfId="0" applyNumberFormat="1" applyFont="1" applyBorder="1" applyAlignment="1">
      <alignment horizontal="center" vertical="center" wrapText="1"/>
    </xf>
    <xf numFmtId="168" fontId="45" fillId="0" borderId="30" xfId="0" applyNumberFormat="1" applyFont="1" applyBorder="1" applyAlignment="1">
      <alignment vertical="center" wrapText="1"/>
    </xf>
    <xf numFmtId="0" fontId="60" fillId="3" borderId="261" xfId="0" applyFont="1" applyFill="1" applyBorder="1" applyAlignment="1">
      <alignment horizontal="center" vertical="center" wrapText="1"/>
    </xf>
    <xf numFmtId="0" fontId="56" fillId="25" borderId="207" xfId="1" applyFont="1" applyFill="1" applyBorder="1" applyAlignment="1">
      <alignment horizontal="center" vertical="center"/>
    </xf>
    <xf numFmtId="0" fontId="63" fillId="22" borderId="259" xfId="0" applyFont="1" applyFill="1" applyBorder="1" applyAlignment="1">
      <alignment horizontal="center" vertical="center" wrapText="1"/>
    </xf>
    <xf numFmtId="0" fontId="89" fillId="14" borderId="310" xfId="3" applyFont="1" applyFill="1" applyBorder="1" applyAlignment="1">
      <alignment horizontal="center" vertical="center"/>
    </xf>
    <xf numFmtId="0" fontId="45" fillId="0" borderId="117" xfId="0" applyFont="1" applyBorder="1" applyAlignment="1">
      <alignment vertical="center" wrapText="1"/>
    </xf>
    <xf numFmtId="0" fontId="53" fillId="30" borderId="108" xfId="0" applyFont="1" applyFill="1" applyBorder="1" applyAlignment="1">
      <alignment horizontal="center" vertical="center" wrapText="1"/>
    </xf>
    <xf numFmtId="0" fontId="88" fillId="24" borderId="309" xfId="0" applyFont="1" applyFill="1" applyBorder="1" applyAlignment="1">
      <alignment horizontal="center" vertical="center" wrapText="1"/>
    </xf>
    <xf numFmtId="0" fontId="45" fillId="0" borderId="307" xfId="0" applyFont="1" applyBorder="1" applyAlignment="1">
      <alignment horizontal="center" vertical="center" wrapText="1"/>
    </xf>
    <xf numFmtId="0" fontId="45" fillId="17" borderId="29" xfId="0" applyFont="1" applyFill="1" applyBorder="1" applyAlignment="1">
      <alignment vertical="center" wrapText="1"/>
    </xf>
    <xf numFmtId="0" fontId="28" fillId="20" borderId="216" xfId="2" applyFont="1" applyFill="1" applyBorder="1" applyAlignment="1">
      <alignment horizontal="center" vertical="center" wrapText="1"/>
    </xf>
    <xf numFmtId="0" fontId="0" fillId="0" borderId="0" xfId="2" applyFont="1"/>
    <xf numFmtId="0" fontId="52" fillId="23" borderId="39" xfId="2" applyFont="1" applyFill="1" applyBorder="1" applyAlignment="1">
      <alignment horizontal="center" vertical="center" wrapText="1"/>
    </xf>
    <xf numFmtId="0" fontId="48" fillId="15" borderId="91" xfId="0" applyFont="1" applyFill="1" applyBorder="1" applyAlignment="1">
      <alignment horizontal="center" vertical="center" wrapText="1"/>
    </xf>
    <xf numFmtId="167" fontId="39" fillId="3" borderId="115" xfId="2" applyNumberFormat="1" applyFont="1" applyFill="1" applyBorder="1" applyAlignment="1">
      <alignment horizontal="center" vertical="center" wrapText="1"/>
    </xf>
    <xf numFmtId="0" fontId="0" fillId="0" borderId="41" xfId="0" applyBorder="1"/>
    <xf numFmtId="167" fontId="55" fillId="16" borderId="91" xfId="2" applyNumberFormat="1" applyFont="1" applyFill="1" applyBorder="1" applyAlignment="1">
      <alignment horizontal="center" vertical="center" wrapText="1"/>
    </xf>
    <xf numFmtId="0" fontId="52" fillId="0" borderId="29" xfId="2" applyFont="1" applyBorder="1" applyAlignment="1">
      <alignment horizontal="left" vertical="center"/>
    </xf>
    <xf numFmtId="0" fontId="5" fillId="0" borderId="29" xfId="2" applyFont="1" applyBorder="1" applyAlignment="1">
      <alignment horizontal="center" vertical="center" wrapText="1"/>
    </xf>
    <xf numFmtId="0" fontId="32" fillId="50" borderId="32" xfId="2" applyFont="1" applyFill="1" applyBorder="1" applyAlignment="1">
      <alignment horizontal="center" vertical="center" wrapText="1"/>
    </xf>
    <xf numFmtId="0" fontId="59" fillId="15" borderId="91" xfId="2" applyFont="1" applyFill="1" applyBorder="1" applyAlignment="1">
      <alignment horizontal="center" vertical="center" wrapText="1"/>
    </xf>
    <xf numFmtId="167" fontId="34" fillId="16" borderId="33" xfId="2" applyNumberFormat="1" applyFont="1" applyFill="1" applyBorder="1" applyAlignment="1">
      <alignment horizontal="center" vertical="center" wrapText="1"/>
    </xf>
    <xf numFmtId="0" fontId="68" fillId="0" borderId="119" xfId="2" applyFont="1" applyBorder="1" applyAlignment="1">
      <alignment horizontal="center" vertical="center" wrapText="1"/>
    </xf>
    <xf numFmtId="0" fontId="5" fillId="0" borderId="216" xfId="2" applyFont="1" applyBorder="1" applyAlignment="1">
      <alignment horizontal="center" vertical="center" wrapText="1"/>
    </xf>
    <xf numFmtId="0" fontId="5" fillId="0" borderId="29" xfId="2" applyFont="1" applyBorder="1" applyAlignment="1">
      <alignment vertical="center" wrapText="1"/>
    </xf>
    <xf numFmtId="0" fontId="59" fillId="22" borderId="32" xfId="2" applyFont="1" applyFill="1" applyBorder="1" applyAlignment="1">
      <alignment horizontal="center" vertical="center" wrapText="1"/>
    </xf>
    <xf numFmtId="168" fontId="35" fillId="0" borderId="91" xfId="2" applyNumberFormat="1" applyFont="1" applyBorder="1" applyAlignment="1">
      <alignment horizontal="center" vertical="center" wrapText="1"/>
    </xf>
    <xf numFmtId="0" fontId="5" fillId="16" borderId="29" xfId="2" applyFont="1" applyFill="1" applyBorder="1" applyAlignment="1">
      <alignment vertical="center" wrapText="1"/>
    </xf>
    <xf numFmtId="0" fontId="59" fillId="22" borderId="108" xfId="2" applyFont="1" applyFill="1" applyBorder="1" applyAlignment="1">
      <alignment horizontal="center" vertical="center" wrapText="1"/>
    </xf>
    <xf numFmtId="0" fontId="5" fillId="17" borderId="29" xfId="2" applyFont="1" applyFill="1" applyBorder="1" applyAlignment="1">
      <alignment horizontal="center" vertical="center" wrapText="1"/>
    </xf>
    <xf numFmtId="0" fontId="68" fillId="0" borderId="91" xfId="2" applyFont="1" applyBorder="1" applyAlignment="1">
      <alignment horizontal="center" vertical="center" wrapText="1"/>
    </xf>
    <xf numFmtId="0" fontId="0" fillId="0" borderId="283" xfId="0" applyBorder="1"/>
    <xf numFmtId="0" fontId="52" fillId="30" borderId="32" xfId="2" applyFont="1" applyFill="1" applyBorder="1" applyAlignment="1">
      <alignment horizontal="center" vertical="center" wrapText="1"/>
    </xf>
    <xf numFmtId="0" fontId="52" fillId="27" borderId="38" xfId="2" applyFont="1" applyFill="1" applyBorder="1" applyAlignment="1">
      <alignment horizontal="left" vertical="center" wrapText="1"/>
    </xf>
    <xf numFmtId="0" fontId="5" fillId="17" borderId="29" xfId="2" applyFont="1" applyFill="1" applyBorder="1" applyAlignment="1">
      <alignment vertical="center" wrapText="1"/>
    </xf>
    <xf numFmtId="0" fontId="52" fillId="0" borderId="29" xfId="2" applyFont="1" applyBorder="1" applyAlignment="1">
      <alignment horizontal="center" vertical="center" wrapText="1"/>
    </xf>
    <xf numFmtId="0" fontId="5" fillId="0" borderId="65" xfId="2" applyFont="1" applyBorder="1" applyAlignment="1">
      <alignment vertical="center" wrapText="1"/>
    </xf>
    <xf numFmtId="0" fontId="45" fillId="4" borderId="102" xfId="3" applyFont="1" applyFill="1" applyBorder="1" applyAlignment="1">
      <alignment horizontal="center" vertical="center"/>
    </xf>
    <xf numFmtId="0" fontId="0" fillId="0" borderId="102" xfId="0" applyBorder="1"/>
    <xf numFmtId="0" fontId="45" fillId="4" borderId="106" xfId="3" applyFont="1" applyFill="1" applyBorder="1" applyAlignment="1">
      <alignment horizontal="center" vertical="center"/>
    </xf>
    <xf numFmtId="0" fontId="57" fillId="3" borderId="1" xfId="2" applyFont="1" applyFill="1" applyBorder="1" applyAlignment="1">
      <alignment horizontal="center" vertical="center" wrapText="1"/>
    </xf>
    <xf numFmtId="0" fontId="52" fillId="30" borderId="31" xfId="2" applyFont="1" applyFill="1" applyBorder="1" applyAlignment="1">
      <alignment horizontal="center" vertical="center" wrapText="1"/>
    </xf>
    <xf numFmtId="0" fontId="32" fillId="20" borderId="0" xfId="2" applyFont="1" applyFill="1" applyAlignment="1">
      <alignment horizontal="center" vertical="center" wrapText="1"/>
    </xf>
    <xf numFmtId="0" fontId="0" fillId="0" borderId="313" xfId="0" applyBorder="1"/>
    <xf numFmtId="0" fontId="52" fillId="0" borderId="112" xfId="2" applyFont="1" applyBorder="1" applyAlignment="1">
      <alignment horizontal="left" vertical="center"/>
    </xf>
    <xf numFmtId="168" fontId="5" fillId="0" borderId="65" xfId="2" applyNumberFormat="1" applyFont="1" applyBorder="1" applyAlignment="1">
      <alignment vertical="center" wrapText="1"/>
    </xf>
    <xf numFmtId="168" fontId="5" fillId="0" borderId="29" xfId="2" applyNumberFormat="1" applyFont="1" applyBorder="1" applyAlignment="1">
      <alignment vertical="center" wrapText="1"/>
    </xf>
    <xf numFmtId="0" fontId="38" fillId="3" borderId="33" xfId="2" applyFont="1" applyFill="1" applyBorder="1" applyAlignment="1">
      <alignment horizontal="center" vertical="center" wrapText="1"/>
    </xf>
    <xf numFmtId="168" fontId="52" fillId="23" borderId="39" xfId="2" applyNumberFormat="1" applyFont="1" applyFill="1" applyBorder="1" applyAlignment="1">
      <alignment horizontal="center" vertical="center" wrapText="1"/>
    </xf>
    <xf numFmtId="0" fontId="59" fillId="22" borderId="29" xfId="2" applyFont="1" applyFill="1" applyBorder="1" applyAlignment="1">
      <alignment horizontal="center" vertical="center" wrapText="1"/>
    </xf>
    <xf numFmtId="0" fontId="5" fillId="0" borderId="286" xfId="2" applyFont="1" applyBorder="1" applyAlignment="1">
      <alignment vertical="center" wrapText="1"/>
    </xf>
    <xf numFmtId="0" fontId="52" fillId="30" borderId="259" xfId="2" applyFont="1" applyFill="1" applyBorder="1" applyAlignment="1">
      <alignment horizontal="center" vertical="center" wrapText="1"/>
    </xf>
    <xf numFmtId="0" fontId="52" fillId="58" borderId="91" xfId="2" applyFont="1" applyFill="1" applyBorder="1" applyAlignment="1">
      <alignment horizontal="center" vertical="center" wrapText="1"/>
    </xf>
    <xf numFmtId="0" fontId="0" fillId="0" borderId="284" xfId="2" applyFont="1" applyBorder="1"/>
    <xf numFmtId="168" fontId="38" fillId="3" borderId="117" xfId="2" applyNumberFormat="1" applyFont="1" applyFill="1" applyBorder="1" applyAlignment="1">
      <alignment horizontal="center" vertical="center" wrapText="1"/>
    </xf>
    <xf numFmtId="167" fontId="39" fillId="3" borderId="41" xfId="2" applyNumberFormat="1" applyFont="1" applyFill="1" applyBorder="1" applyAlignment="1">
      <alignment horizontal="center" vertical="center" wrapText="1"/>
    </xf>
    <xf numFmtId="168" fontId="57" fillId="3" borderId="91" xfId="2" applyNumberFormat="1" applyFont="1" applyFill="1" applyBorder="1" applyAlignment="1">
      <alignment horizontal="center" vertical="center" wrapText="1"/>
    </xf>
    <xf numFmtId="0" fontId="52" fillId="0" borderId="112" xfId="2" applyFont="1" applyBorder="1" applyAlignment="1">
      <alignment horizontal="center" vertical="center" wrapText="1"/>
    </xf>
    <xf numFmtId="0" fontId="5" fillId="0" borderId="285" xfId="2" applyFont="1" applyBorder="1" applyAlignment="1">
      <alignment vertical="center" wrapText="1"/>
    </xf>
    <xf numFmtId="0" fontId="45" fillId="4" borderId="101" xfId="3" applyFont="1" applyFill="1" applyBorder="1" applyAlignment="1">
      <alignment horizontal="center" vertical="center"/>
    </xf>
    <xf numFmtId="0" fontId="38" fillId="3" borderId="283" xfId="2" applyFont="1" applyFill="1" applyBorder="1" applyAlignment="1">
      <alignment horizontal="center" vertical="center" wrapText="1"/>
    </xf>
    <xf numFmtId="0" fontId="91" fillId="14" borderId="22" xfId="3" applyFont="1" applyFill="1" applyBorder="1" applyAlignment="1">
      <alignment horizontal="center" vertical="center"/>
    </xf>
    <xf numFmtId="0" fontId="28" fillId="20" borderId="41" xfId="2" applyFont="1" applyFill="1" applyBorder="1" applyAlignment="1">
      <alignment horizontal="left" vertical="center" wrapText="1"/>
    </xf>
    <xf numFmtId="0" fontId="52" fillId="30" borderId="108" xfId="2" applyFont="1" applyFill="1" applyBorder="1" applyAlignment="1">
      <alignment horizontal="center" vertical="center" wrapText="1"/>
    </xf>
    <xf numFmtId="0" fontId="57" fillId="3" borderId="91" xfId="2" applyFont="1" applyFill="1" applyBorder="1" applyAlignment="1">
      <alignment horizontal="center" vertical="center" wrapText="1"/>
    </xf>
    <xf numFmtId="168" fontId="35" fillId="0" borderId="166" xfId="2" applyNumberFormat="1" applyFont="1" applyBorder="1" applyAlignment="1">
      <alignment horizontal="center" vertical="center" wrapText="1"/>
    </xf>
    <xf numFmtId="0" fontId="125" fillId="0" borderId="0" xfId="0" applyFont="1" applyAlignment="1">
      <alignment horizontal="right" vertical="center"/>
    </xf>
    <xf numFmtId="0" fontId="125" fillId="0" borderId="0" xfId="0" applyFont="1" applyAlignment="1">
      <alignment horizontal="right"/>
    </xf>
    <xf numFmtId="0" fontId="125" fillId="28" borderId="0" xfId="0" applyFont="1" applyFill="1" applyAlignment="1">
      <alignment horizontal="right"/>
    </xf>
    <xf numFmtId="0" fontId="125" fillId="60" borderId="0" xfId="0" applyFont="1" applyFill="1" applyAlignment="1">
      <alignment horizontal="right" vertical="center"/>
    </xf>
    <xf numFmtId="0" fontId="122" fillId="0" borderId="0" xfId="0" applyFont="1" applyAlignment="1">
      <alignment horizontal="right"/>
    </xf>
    <xf numFmtId="0" fontId="138" fillId="35" borderId="38" xfId="0" applyFont="1" applyFill="1" applyBorder="1" applyAlignment="1">
      <alignment vertical="center"/>
    </xf>
    <xf numFmtId="0" fontId="139" fillId="0" borderId="29" xfId="0" applyFont="1" applyBorder="1" applyAlignment="1">
      <alignment vertical="center"/>
    </xf>
    <xf numFmtId="0" fontId="139" fillId="0" borderId="39" xfId="0" applyFont="1" applyBorder="1" applyAlignment="1">
      <alignment vertical="center"/>
    </xf>
    <xf numFmtId="0" fontId="141" fillId="0" borderId="38" xfId="0" applyFont="1" applyBorder="1" applyAlignment="1">
      <alignment vertical="center"/>
    </xf>
    <xf numFmtId="0" fontId="141" fillId="0" borderId="29" xfId="0" applyFont="1" applyBorder="1" applyAlignment="1">
      <alignment vertical="center"/>
    </xf>
    <xf numFmtId="0" fontId="141" fillId="0" borderId="29" xfId="0" applyFont="1" applyBorder="1" applyAlignment="1">
      <alignment horizontal="center" vertical="center"/>
    </xf>
    <xf numFmtId="0" fontId="139" fillId="0" borderId="29" xfId="0" applyFont="1" applyBorder="1" applyAlignment="1">
      <alignment vertical="center"/>
    </xf>
    <xf numFmtId="0" fontId="139" fillId="0" borderId="39" xfId="0" applyFont="1" applyBorder="1" applyAlignment="1">
      <alignment vertical="center"/>
    </xf>
    <xf numFmtId="0" fontId="139" fillId="25" borderId="29" xfId="0" applyFont="1" applyFill="1" applyBorder="1" applyAlignment="1">
      <alignment vertical="center"/>
    </xf>
    <xf numFmtId="0" fontId="139" fillId="25" borderId="39" xfId="0" applyFont="1" applyFill="1" applyBorder="1" applyAlignment="1">
      <alignment vertical="center"/>
    </xf>
    <xf numFmtId="0" fontId="162" fillId="0" borderId="0" xfId="0" applyFont="1" applyAlignment="1">
      <alignment horizontal="right"/>
    </xf>
    <xf numFmtId="0" fontId="125" fillId="0" borderId="91" xfId="0" applyFont="1" applyBorder="1" applyAlignment="1">
      <alignment horizontal="right"/>
    </xf>
    <xf numFmtId="0" fontId="125" fillId="0" borderId="293" xfId="0" applyFont="1" applyBorder="1" applyAlignment="1">
      <alignment horizontal="right"/>
    </xf>
    <xf numFmtId="0" fontId="125" fillId="4" borderId="0" xfId="3" applyFont="1" applyFill="1" applyAlignment="1">
      <alignment horizontal="right" vertical="center"/>
    </xf>
    <xf numFmtId="0" fontId="122" fillId="0" borderId="0" xfId="4" applyFont="1" applyAlignment="1">
      <alignment horizontal="right" vertical="center"/>
    </xf>
    <xf numFmtId="0" fontId="125" fillId="4" borderId="12" xfId="3" applyFont="1" applyFill="1" applyBorder="1" applyAlignment="1">
      <alignment horizontal="right" vertical="center"/>
    </xf>
    <xf numFmtId="0" fontId="40" fillId="21" borderId="332" xfId="2" applyFont="1" applyFill="1" applyBorder="1" applyAlignment="1">
      <alignment horizontal="center" vertical="center" wrapText="1"/>
    </xf>
    <xf numFmtId="0" fontId="0" fillId="0" borderId="33" xfId="2" applyFont="1" applyBorder="1"/>
    <xf numFmtId="0" fontId="57" fillId="3" borderId="333" xfId="2" applyFont="1" applyFill="1" applyBorder="1" applyAlignment="1">
      <alignment horizontal="center" vertical="center" wrapText="1"/>
    </xf>
    <xf numFmtId="0" fontId="0" fillId="0" borderId="0" xfId="2" applyFont="1" applyBorder="1"/>
    <xf numFmtId="167" fontId="55" fillId="16" borderId="40" xfId="2" applyNumberFormat="1" applyFont="1" applyFill="1" applyBorder="1" applyAlignment="1">
      <alignment horizontal="center" vertical="center" wrapText="1"/>
    </xf>
    <xf numFmtId="167" fontId="55" fillId="16" borderId="0" xfId="2" applyNumberFormat="1" applyFont="1" applyFill="1" applyBorder="1" applyAlignment="1">
      <alignment horizontal="center" vertical="center" wrapText="1"/>
    </xf>
    <xf numFmtId="0" fontId="28" fillId="20" borderId="334" xfId="2" applyFont="1" applyFill="1" applyBorder="1" applyAlignment="1">
      <alignment horizontal="left" vertical="center" wrapText="1"/>
    </xf>
    <xf numFmtId="0" fontId="0" fillId="0" borderId="335" xfId="0" applyBorder="1"/>
    <xf numFmtId="0" fontId="52" fillId="30" borderId="336" xfId="2" applyFont="1" applyFill="1" applyBorder="1" applyAlignment="1">
      <alignment horizontal="center" vertical="center" wrapText="1"/>
    </xf>
    <xf numFmtId="0" fontId="0" fillId="0" borderId="336" xfId="0" applyBorder="1"/>
    <xf numFmtId="0" fontId="0" fillId="0" borderId="337" xfId="0" applyBorder="1"/>
    <xf numFmtId="0" fontId="35" fillId="0" borderId="36" xfId="2" applyFont="1" applyBorder="1" applyAlignment="1">
      <alignment horizontal="left" vertical="center" wrapText="1"/>
    </xf>
    <xf numFmtId="0" fontId="0" fillId="0" borderId="338" xfId="0" applyBorder="1"/>
    <xf numFmtId="0" fontId="35" fillId="0" borderId="38" xfId="2" applyFont="1" applyBorder="1" applyAlignment="1">
      <alignment horizontal="left" vertical="center" wrapText="1"/>
    </xf>
    <xf numFmtId="0" fontId="35" fillId="0" borderId="339" xfId="2" applyFont="1" applyBorder="1" applyAlignment="1">
      <alignment horizontal="left" vertical="center" wrapText="1"/>
    </xf>
    <xf numFmtId="167" fontId="35" fillId="17" borderId="0" xfId="2" applyNumberFormat="1" applyFont="1" applyFill="1" applyBorder="1" applyAlignment="1">
      <alignment horizontal="center" vertical="center"/>
    </xf>
    <xf numFmtId="0" fontId="38" fillId="3" borderId="340" xfId="2" applyFont="1" applyFill="1" applyBorder="1" applyAlignment="1">
      <alignment horizontal="center" vertical="center" wrapText="1"/>
    </xf>
    <xf numFmtId="0" fontId="40" fillId="21" borderId="308" xfId="2" applyFont="1" applyFill="1" applyBorder="1" applyAlignment="1">
      <alignment horizontal="center" vertical="center" wrapText="1"/>
    </xf>
    <xf numFmtId="0" fontId="52" fillId="30" borderId="36" xfId="2" applyFont="1" applyFill="1" applyBorder="1" applyAlignment="1">
      <alignment horizontal="center" vertical="center" wrapText="1"/>
    </xf>
    <xf numFmtId="0" fontId="0" fillId="0" borderId="341" xfId="0" applyBorder="1"/>
    <xf numFmtId="0" fontId="0" fillId="0" borderId="342" xfId="0" applyBorder="1"/>
    <xf numFmtId="0" fontId="5" fillId="0" borderId="343" xfId="2" applyFont="1" applyBorder="1" applyAlignment="1">
      <alignment vertical="center" wrapText="1"/>
    </xf>
    <xf numFmtId="0" fontId="5" fillId="0" borderId="38" xfId="2" applyFont="1" applyBorder="1" applyAlignment="1">
      <alignment vertical="center" wrapText="1"/>
    </xf>
    <xf numFmtId="0" fontId="52" fillId="15" borderId="38" xfId="2" applyFont="1" applyFill="1" applyBorder="1" applyAlignment="1">
      <alignment horizontal="center" vertical="center" wrapText="1"/>
    </xf>
    <xf numFmtId="0" fontId="59" fillId="22" borderId="38" xfId="2" applyFont="1" applyFill="1" applyBorder="1" applyAlignment="1">
      <alignment horizontal="center" vertical="center" wrapText="1"/>
    </xf>
    <xf numFmtId="0" fontId="28" fillId="20" borderId="40" xfId="2" applyFont="1" applyFill="1" applyBorder="1" applyAlignment="1">
      <alignment horizontal="center" vertical="center" wrapText="1"/>
    </xf>
    <xf numFmtId="0" fontId="59" fillId="15" borderId="40" xfId="2" applyFont="1" applyFill="1" applyBorder="1" applyAlignment="1">
      <alignment horizontal="center" vertical="center" wrapText="1"/>
    </xf>
    <xf numFmtId="168" fontId="34" fillId="16" borderId="0" xfId="2" applyNumberFormat="1" applyFont="1" applyFill="1" applyBorder="1" applyAlignment="1">
      <alignment horizontal="center" vertical="center" wrapText="1"/>
    </xf>
    <xf numFmtId="0" fontId="59" fillId="15" borderId="0" xfId="2" applyFont="1" applyFill="1" applyBorder="1" applyAlignment="1">
      <alignment horizontal="center" vertical="center" wrapText="1"/>
    </xf>
    <xf numFmtId="167" fontId="34" fillId="16" borderId="35" xfId="2" applyNumberFormat="1" applyFont="1" applyFill="1" applyBorder="1" applyAlignment="1">
      <alignment horizontal="center" vertical="center" wrapText="1"/>
    </xf>
    <xf numFmtId="0" fontId="39" fillId="3" borderId="310" xfId="2" applyFont="1" applyFill="1" applyBorder="1" applyAlignment="1">
      <alignment horizontal="center" vertical="center" wrapText="1"/>
    </xf>
    <xf numFmtId="0" fontId="5" fillId="0" borderId="310" xfId="2" applyFont="1" applyBorder="1" applyAlignment="1">
      <alignment horizontal="center" vertical="center" wrapText="1"/>
    </xf>
    <xf numFmtId="0" fontId="28" fillId="20" borderId="308" xfId="2" applyFont="1" applyFill="1" applyBorder="1" applyAlignment="1">
      <alignment horizontal="center" vertical="center" wrapText="1"/>
    </xf>
    <xf numFmtId="0" fontId="5" fillId="0" borderId="308" xfId="2" applyFont="1" applyBorder="1" applyAlignment="1">
      <alignment horizontal="center" vertical="center" wrapText="1"/>
    </xf>
    <xf numFmtId="0" fontId="91" fillId="14" borderId="344" xfId="3" applyFont="1" applyFill="1" applyBorder="1" applyAlignment="1">
      <alignment horizontal="center" vertical="center"/>
    </xf>
    <xf numFmtId="0" fontId="0" fillId="0" borderId="345" xfId="0" applyBorder="1"/>
    <xf numFmtId="0" fontId="0" fillId="0" borderId="346" xfId="0" applyBorder="1"/>
    <xf numFmtId="0" fontId="0" fillId="0" borderId="347" xfId="0" applyBorder="1"/>
    <xf numFmtId="0" fontId="0" fillId="0" borderId="348" xfId="0" applyBorder="1"/>
    <xf numFmtId="0" fontId="40" fillId="21" borderId="40" xfId="2" applyFont="1" applyFill="1" applyBorder="1" applyAlignment="1">
      <alignment horizontal="center" vertical="center" wrapText="1"/>
    </xf>
    <xf numFmtId="0" fontId="0" fillId="0" borderId="43" xfId="2" applyFont="1" applyBorder="1"/>
    <xf numFmtId="0" fontId="48" fillId="15" borderId="40" xfId="0" applyFont="1" applyFill="1" applyBorder="1" applyAlignment="1">
      <alignment horizontal="center" vertical="center" wrapText="1"/>
    </xf>
    <xf numFmtId="0" fontId="48" fillId="15" borderId="0" xfId="0" applyFont="1" applyFill="1" applyBorder="1" applyAlignment="1">
      <alignment horizontal="center" vertical="center" wrapText="1"/>
    </xf>
    <xf numFmtId="0" fontId="52" fillId="0" borderId="38" xfId="2" applyFont="1" applyBorder="1" applyAlignment="1">
      <alignment horizontal="left" vertical="center"/>
    </xf>
    <xf numFmtId="0" fontId="52" fillId="0" borderId="349" xfId="2" applyFont="1" applyBorder="1" applyAlignment="1">
      <alignment horizontal="left" vertical="center"/>
    </xf>
    <xf numFmtId="0" fontId="56" fillId="25" borderId="332" xfId="1" applyFont="1" applyFill="1" applyBorder="1" applyAlignment="1">
      <alignment horizontal="center" vertical="center"/>
    </xf>
    <xf numFmtId="0" fontId="53" fillId="29" borderId="350" xfId="0" applyFont="1" applyFill="1" applyBorder="1" applyAlignment="1">
      <alignment horizontal="left" vertical="center" wrapText="1"/>
    </xf>
    <xf numFmtId="0" fontId="53" fillId="23" borderId="37" xfId="0" applyFont="1" applyFill="1" applyBorder="1" applyAlignment="1">
      <alignment horizontal="center" vertical="center" wrapText="1"/>
    </xf>
    <xf numFmtId="0" fontId="53" fillId="29" borderId="38" xfId="0" applyFont="1" applyFill="1" applyBorder="1" applyAlignment="1">
      <alignment horizontal="left" vertical="center" wrapText="1"/>
    </xf>
    <xf numFmtId="0" fontId="54" fillId="21" borderId="312" xfId="0" applyFont="1" applyFill="1" applyBorder="1" applyAlignment="1">
      <alignment horizontal="center" vertical="center" wrapText="1"/>
    </xf>
    <xf numFmtId="0" fontId="45" fillId="0" borderId="351" xfId="0" applyFont="1" applyBorder="1" applyAlignment="1">
      <alignment horizontal="center" vertical="center" wrapText="1"/>
    </xf>
    <xf numFmtId="0" fontId="0" fillId="0" borderId="352" xfId="0" applyBorder="1"/>
    <xf numFmtId="0" fontId="54" fillId="21" borderId="353" xfId="0" applyFont="1" applyFill="1" applyBorder="1" applyAlignment="1">
      <alignment horizontal="center" vertical="center" wrapText="1"/>
    </xf>
    <xf numFmtId="0" fontId="0" fillId="0" borderId="354" xfId="0" applyBorder="1"/>
    <xf numFmtId="0" fontId="60" fillId="3" borderId="355" xfId="0" applyFont="1" applyFill="1" applyBorder="1" applyAlignment="1">
      <alignment horizontal="center" vertical="center" wrapText="1"/>
    </xf>
    <xf numFmtId="0" fontId="0" fillId="0" borderId="356" xfId="0" applyBorder="1"/>
    <xf numFmtId="167" fontId="46" fillId="16" borderId="357" xfId="0" applyNumberFormat="1" applyFont="1" applyFill="1" applyBorder="1" applyAlignment="1">
      <alignment horizontal="center" vertical="center" wrapText="1"/>
    </xf>
    <xf numFmtId="0" fontId="0" fillId="0" borderId="358" xfId="0" applyBorder="1"/>
    <xf numFmtId="0" fontId="63" fillId="30" borderId="359" xfId="0" applyFont="1" applyFill="1" applyBorder="1" applyAlignment="1">
      <alignment horizontal="center" vertical="center" wrapText="1"/>
    </xf>
    <xf numFmtId="0" fontId="47" fillId="0" borderId="30" xfId="0" applyFont="1" applyBorder="1" applyAlignment="1">
      <alignment horizontal="left" vertical="center" wrapText="1"/>
    </xf>
    <xf numFmtId="0" fontId="47" fillId="0" borderId="30" xfId="0" applyFont="1" applyBorder="1" applyAlignment="1">
      <alignment vertical="center" wrapText="1"/>
    </xf>
    <xf numFmtId="0" fontId="48" fillId="3" borderId="30" xfId="0" applyFont="1" applyFill="1" applyBorder="1" applyAlignment="1">
      <alignment horizontal="center" vertical="center" wrapText="1"/>
    </xf>
    <xf numFmtId="0" fontId="54" fillId="21" borderId="308" xfId="0" applyFont="1" applyFill="1" applyBorder="1" applyAlignment="1">
      <alignment horizontal="center" vertical="center" wrapText="1"/>
    </xf>
    <xf numFmtId="0" fontId="53" fillId="30" borderId="36" xfId="0" applyFont="1" applyFill="1" applyBorder="1" applyAlignment="1">
      <alignment horizontal="center" vertical="center" wrapText="1"/>
    </xf>
    <xf numFmtId="0" fontId="45" fillId="0" borderId="38" xfId="0" applyFont="1" applyBorder="1" applyAlignment="1">
      <alignment vertical="center" wrapText="1"/>
    </xf>
    <xf numFmtId="0" fontId="45" fillId="0" borderId="38" xfId="0" applyFont="1" applyBorder="1" applyAlignment="1">
      <alignment horizontal="center" vertical="center" wrapText="1"/>
    </xf>
    <xf numFmtId="0" fontId="54" fillId="21" borderId="40" xfId="0" applyFont="1" applyFill="1" applyBorder="1" applyAlignment="1">
      <alignment horizontal="center" vertical="center" wrapText="1"/>
    </xf>
    <xf numFmtId="0" fontId="54" fillId="21" borderId="43" xfId="0" applyFont="1" applyFill="1" applyBorder="1" applyAlignment="1">
      <alignment horizontal="center" vertical="center" wrapText="1"/>
    </xf>
    <xf numFmtId="0" fontId="60" fillId="58" borderId="38" xfId="0" applyFont="1" applyFill="1" applyBorder="1" applyAlignment="1">
      <alignment horizontal="center" vertical="center" wrapText="1"/>
    </xf>
    <xf numFmtId="0" fontId="63" fillId="22" borderId="341" xfId="0" applyFont="1" applyFill="1" applyBorder="1" applyAlignment="1">
      <alignment horizontal="center" vertical="center" wrapText="1"/>
    </xf>
    <xf numFmtId="0" fontId="65" fillId="3" borderId="38" xfId="0" applyFont="1" applyFill="1" applyBorder="1" applyAlignment="1">
      <alignment horizontal="center" vertical="center" wrapText="1"/>
    </xf>
    <xf numFmtId="0" fontId="65" fillId="3" borderId="0" xfId="0" applyFont="1" applyFill="1" applyBorder="1" applyAlignment="1">
      <alignment horizontal="center" vertical="center" wrapText="1"/>
    </xf>
    <xf numFmtId="0" fontId="66" fillId="20" borderId="36" xfId="0" applyFont="1" applyFill="1" applyBorder="1" applyAlignment="1">
      <alignment horizontal="center" vertical="center" wrapText="1"/>
    </xf>
    <xf numFmtId="0" fontId="48" fillId="34" borderId="349" xfId="0" applyFont="1" applyFill="1" applyBorder="1" applyAlignment="1">
      <alignment horizontal="center" vertical="center" wrapText="1"/>
    </xf>
    <xf numFmtId="167" fontId="37" fillId="16" borderId="360" xfId="2" applyNumberFormat="1" applyFont="1" applyFill="1" applyBorder="1" applyAlignment="1">
      <alignment horizontal="center" vertical="center" wrapText="1"/>
    </xf>
    <xf numFmtId="0" fontId="48" fillId="3" borderId="361" xfId="0" applyFont="1" applyFill="1" applyBorder="1" applyAlignment="1">
      <alignment horizontal="center" vertical="center" wrapText="1"/>
    </xf>
    <xf numFmtId="0" fontId="45" fillId="0" borderId="308" xfId="0" applyFont="1" applyBorder="1" applyAlignment="1">
      <alignment horizontal="center" vertical="center" wrapText="1"/>
    </xf>
    <xf numFmtId="0" fontId="66" fillId="20" borderId="362" xfId="0" applyFont="1" applyFill="1" applyBorder="1" applyAlignment="1">
      <alignment horizontal="center" vertical="center" wrapText="1"/>
    </xf>
    <xf numFmtId="0" fontId="45" fillId="0" borderId="363" xfId="0" applyFont="1" applyBorder="1" applyAlignment="1">
      <alignment horizontal="center" vertical="center" wrapText="1"/>
    </xf>
    <xf numFmtId="0" fontId="0" fillId="0" borderId="364" xfId="0" applyBorder="1"/>
    <xf numFmtId="0" fontId="45" fillId="0" borderId="310" xfId="0" applyFont="1" applyBorder="1" applyAlignment="1">
      <alignment horizontal="center" vertical="center" wrapText="1"/>
    </xf>
    <xf numFmtId="0" fontId="66" fillId="20" borderId="310" xfId="0" applyFont="1" applyFill="1" applyBorder="1" applyAlignment="1">
      <alignment horizontal="center" vertical="center" wrapText="1"/>
    </xf>
    <xf numFmtId="0" fontId="89" fillId="14" borderId="30" xfId="3" applyFont="1" applyFill="1" applyBorder="1" applyAlignment="1">
      <alignment horizontal="center" vertical="center"/>
    </xf>
    <xf numFmtId="0" fontId="88" fillId="24" borderId="365" xfId="0" applyFont="1" applyFill="1" applyBorder="1" applyAlignment="1">
      <alignment horizontal="center" vertical="center" wrapText="1"/>
    </xf>
    <xf numFmtId="0" fontId="51" fillId="0" borderId="40" xfId="0" applyFont="1" applyBorder="1" applyAlignment="1">
      <alignment horizontal="center" vertical="center" wrapText="1"/>
    </xf>
    <xf numFmtId="0" fontId="54" fillId="21" borderId="366" xfId="0" applyFont="1" applyFill="1" applyBorder="1" applyAlignment="1">
      <alignment horizontal="center" vertical="center" wrapText="1"/>
    </xf>
    <xf numFmtId="0" fontId="0" fillId="0" borderId="367" xfId="0" applyBorder="1"/>
    <xf numFmtId="0" fontId="48" fillId="15" borderId="368" xfId="0" applyFont="1" applyFill="1" applyBorder="1" applyAlignment="1">
      <alignment horizontal="center" vertical="center" wrapText="1"/>
    </xf>
    <xf numFmtId="0" fontId="77" fillId="10" borderId="103" xfId="3" applyFont="1" applyFill="1" applyBorder="1" applyAlignment="1">
      <alignment vertical="center"/>
    </xf>
    <xf numFmtId="0" fontId="77" fillId="10" borderId="97" xfId="3" applyFont="1" applyFill="1" applyBorder="1" applyAlignment="1">
      <alignment vertical="center"/>
    </xf>
    <xf numFmtId="0" fontId="77" fillId="10" borderId="369" xfId="3" applyFont="1" applyFill="1" applyBorder="1" applyAlignment="1">
      <alignment vertical="center"/>
    </xf>
  </cellXfs>
  <cellStyles count="5">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mruColors>
      <color rgb="FFC9A227"/>
      <color rgb="FF17365D"/>
      <color rgb="FFE2F0D9"/>
      <color rgb="FFFFF2CC"/>
      <color rgb="FFEAF0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1" Type="http://schemas.openxmlformats.org/officeDocument/2006/relationships/styles" Target="styles.xml"/><Relationship Id="rId20" Type="http://schemas.openxmlformats.org/officeDocument/2006/relationships/theme" Target="theme/theme1.xml"/><Relationship Id="rId5" Type="http://schemas.openxmlformats.org/officeDocument/2006/relationships/worksheet" Target="worksheets/sheet5.xml"/><Relationship Id="rId23" Type="http://schemas.openxmlformats.org/officeDocument/2006/relationships/calcChain" Target="calcChain.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c:rich>
      </c:tx>
      <c:overlay val="0"/>
      <c:spPr>
        <a:noFill/>
        <a:ln w="0">
          <a:noFill/>
          <a:prstDash val="solid"/>
        </a:ln>
      </c:spPr>
    </c:title>
    <c:autoTitleDeleted val="0"/>
    <c:plotArea>
      <c:layout/>
      <c:barChart>
        <c:barDir val="col"/>
        <c:grouping val="clustered"/>
        <c:varyColors val="0"/>
        <c:ser>
          <c:idx val="0"/>
          <c:order val="0"/>
          <c:tx>
            <c:strRef>
              <c:f>Resumen!$C$11</c:f>
              <c:strCache>
                <c:ptCount val="1"/>
                <c:pt idx="0">
                  <c:v>Valor (COP)</c:v>
                </c:pt>
              </c:strCache>
            </c:strRef>
          </c:tx>
          <c:spPr>
            <a:solidFill>
              <a:srgbClr val="4F81BD"/>
            </a:solidFill>
            <a:ln w="0">
              <a:noFill/>
              <a:prstDash val="solid"/>
            </a:ln>
          </c:spPr>
          <c:invertIfNegative val="0"/>
          <c:dLbls>
            <c:spPr>
              <a:noFill/>
              <a:ln>
                <a:noFill/>
                <a:prstDash val="solid"/>
              </a:ln>
            </c:spPr>
            <c:txPr>
              <a:bodyPr wrap="square"/>
              <a:lstStyle/>
              <a:p>
                <a:pPr>
                  <a:defRPr sz="1000" b="0" strike="noStrike" spc="-1">
                    <a:solidFill>
                      <a:srgbClr val="000000"/>
                    </a:solidFill>
                    <a:latin typeface="Arial"/>
                  </a:defRPr>
                </a:pPr>
                <a:endParaRPr lang="es-CO"/>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Resumen!$A$12:$A$25</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Resumen!$C$12:$C$25</c:f>
              <c:numCache>
                <c:formatCode>"$ "#,##0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8AC9-483E-B8CE-7F4A17B2D9E6}"/>
            </c:ext>
          </c:extLst>
        </c:ser>
        <c:dLbls>
          <c:showLegendKey val="0"/>
          <c:showVal val="0"/>
          <c:showCatName val="0"/>
          <c:showSerName val="0"/>
          <c:showPercent val="0"/>
          <c:showBubbleSize val="0"/>
        </c:dLbls>
        <c:gapWidth val="150"/>
        <c:axId val="50050775"/>
        <c:axId val="41416401"/>
      </c:barChart>
      <c:catAx>
        <c:axId val="50050775"/>
        <c:scaling>
          <c:orientation val="minMax"/>
        </c:scaling>
        <c:delete val="0"/>
        <c:axPos val="b"/>
        <c:title>
          <c:tx>
            <c:rich>
              <a:bodyPr rot="0"/>
              <a:lstStyle/>
              <a:p>
                <a:pPr>
                  <a:defRPr lang="es-CO" sz="1000" b="1" strike="noStrike" spc="-1">
                    <a:solidFill>
                      <a:srgbClr val="000000"/>
                    </a:solidFill>
                    <a:latin typeface="Calibri"/>
                  </a:defRPr>
                </a:pPr>
                <a:r>
                  <a:rPr lang="es-CO" sz="1000" b="1" strike="noStrike" spc="-1">
                    <a:solidFill>
                      <a:srgbClr val="000000"/>
                    </a:solidFill>
                    <a:latin typeface="Calibri"/>
                  </a:rPr>
                  <a:t>Capítulo</a:t>
                </a:r>
              </a:p>
            </c:rich>
          </c:tx>
          <c:overlay val="0"/>
          <c:spPr>
            <a:noFill/>
            <a:ln w="0">
              <a:noFill/>
              <a:prstDash val="solid"/>
            </a:ln>
          </c:spPr>
        </c:title>
        <c:numFmt formatCode="General"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41416401"/>
        <c:crosses val="autoZero"/>
        <c:auto val="1"/>
        <c:lblAlgn val="ctr"/>
        <c:lblOffset val="100"/>
        <c:noMultiLvlLbl val="0"/>
      </c:catAx>
      <c:valAx>
        <c:axId val="41416401"/>
        <c:scaling>
          <c:orientation val="minMax"/>
        </c:scaling>
        <c:delete val="0"/>
        <c:axPos val="l"/>
        <c:majorGridlines>
          <c:spPr>
            <a:ln w="9360">
              <a:solidFill>
                <a:srgbClr val="878787"/>
              </a:solidFill>
              <a:prstDash val="solid"/>
              <a:round/>
            </a:ln>
          </c:spPr>
        </c:majorGridlines>
        <c:title>
          <c:tx>
            <c:rich>
              <a:bodyPr rot="-5400000"/>
              <a:lstStyle/>
              <a:p>
                <a:pPr>
                  <a:defRPr lang="es-CO" sz="1000" b="1" strike="noStrike" spc="-1">
                    <a:solidFill>
                      <a:srgbClr val="000000"/>
                    </a:solidFill>
                    <a:latin typeface="Calibri"/>
                  </a:defRPr>
                </a:pPr>
                <a:r>
                  <a:rPr lang="es-CO" sz="1000" b="1" strike="noStrike" spc="-1">
                    <a:solidFill>
                      <a:srgbClr val="000000"/>
                    </a:solidFill>
                    <a:latin typeface="Calibri"/>
                  </a:rPr>
                  <a:t>COP</a:t>
                </a:r>
              </a:p>
            </c:rich>
          </c:tx>
          <c:overlay val="0"/>
          <c:spPr>
            <a:noFill/>
            <a:ln w="0">
              <a:noFill/>
              <a:prstDash val="solid"/>
            </a:ln>
          </c:spPr>
        </c:title>
        <c:numFmt formatCode="&quot;$ &quot;#,##0"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50050775"/>
        <c:crosses val="autoZero"/>
        <c:crossBetween val="between"/>
      </c:valAx>
    </c:plotArea>
    <c:legend>
      <c:legendPos val="r"/>
      <c:overlay val="0"/>
      <c:spPr>
        <a:noFill/>
        <a:ln w="0">
          <a:noFill/>
          <a:prstDash val="solid"/>
        </a:ln>
      </c:spPr>
      <c:txPr>
        <a:bodyPr/>
        <a:lstStyle/>
        <a:p>
          <a:pPr>
            <a:defRPr sz="1000" b="0" strike="noStrike" spc="-1">
              <a:solidFill>
                <a:srgbClr val="000000"/>
              </a:solidFill>
              <a:latin typeface="Calibri"/>
            </a:defRPr>
          </a:pPr>
          <a:endParaRPr lang="es-CO"/>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69253</xdr:colOff>
      <xdr:row>6</xdr:row>
      <xdr:rowOff>174506</xdr:rowOff>
    </xdr:to>
    <xdr:pic>
      <xdr:nvPicPr>
        <xdr:cNvPr id="14" name="Imagen 2">
          <a:extLst>
            <a:ext uri="{FF2B5EF4-FFF2-40B4-BE49-F238E27FC236}">
              <a16:creationId xmlns:a16="http://schemas.microsoft.com/office/drawing/2014/main" id="{00000000-0008-0000-0100-00000E000000}"/>
            </a:ext>
          </a:extLst>
        </xdr:cNvPr>
        <xdr:cNvPicPr/>
      </xdr:nvPicPr>
      <xdr:blipFill>
        <a:blip xmlns:r="http://schemas.openxmlformats.org/officeDocument/2006/relationships" r:embed="rId1"/>
        <a:stretch>
          <a:fillRect/>
        </a:stretch>
      </xdr:blipFill>
      <xdr:spPr>
        <a:xfrm>
          <a:off x="0" y="0"/>
          <a:ext cx="2952000" cy="136800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x14ac:dyDescent="0.3"/>
  <cols>
    <col min="1" max="1" width="42" style="334" customWidth="1"/>
    <col min="2" max="2" width="20.77734375" style="334" customWidth="1"/>
    <col min="3" max="3" width="50.77734375" style="334" customWidth="1"/>
    <col min="4" max="5" width="15.77734375" style="334" customWidth="1"/>
  </cols>
  <sheetData>
    <row r="1" spans="1:5" ht="25.5" customHeight="1" x14ac:dyDescent="0.3">
      <c r="A1" s="4"/>
      <c r="B1" s="557" t="s">
        <v>44</v>
      </c>
      <c r="C1" s="505"/>
      <c r="D1" s="505"/>
      <c r="E1" s="505"/>
    </row>
    <row r="2" spans="1:5" ht="4.95" customHeight="1" x14ac:dyDescent="0.3">
      <c r="A2" s="5"/>
      <c r="B2" s="564"/>
      <c r="C2" s="565"/>
      <c r="D2" s="565"/>
      <c r="E2" s="565"/>
    </row>
    <row r="3" spans="1:5" ht="18" customHeight="1" x14ac:dyDescent="0.3">
      <c r="A3" s="5"/>
      <c r="B3" s="198"/>
      <c r="C3" s="199"/>
      <c r="D3" s="520" t="s">
        <v>1</v>
      </c>
      <c r="E3" s="521"/>
    </row>
    <row r="4" spans="1:5" ht="15" customHeight="1" x14ac:dyDescent="0.3">
      <c r="A4" s="5"/>
      <c r="B4" s="563" t="s">
        <v>6</v>
      </c>
      <c r="C4" s="519"/>
      <c r="D4" s="100" t="s">
        <v>2</v>
      </c>
      <c r="E4" s="340" t="s">
        <v>45</v>
      </c>
    </row>
    <row r="5" spans="1:5" ht="15" customHeight="1" x14ac:dyDescent="0.3">
      <c r="A5" s="5"/>
      <c r="B5" s="559" t="s">
        <v>8</v>
      </c>
      <c r="C5" s="519"/>
      <c r="D5" s="100" t="s">
        <v>9</v>
      </c>
      <c r="E5" s="338">
        <v>1</v>
      </c>
    </row>
    <row r="6" spans="1:5" ht="15" customHeight="1" x14ac:dyDescent="0.3">
      <c r="A6" s="5"/>
      <c r="B6" s="200"/>
      <c r="C6" s="201"/>
      <c r="D6" s="100" t="s">
        <v>10</v>
      </c>
      <c r="E6" s="178" t="s">
        <v>11</v>
      </c>
    </row>
    <row r="7" spans="1:5" ht="15" customHeight="1" x14ac:dyDescent="0.3">
      <c r="B7" s="200"/>
      <c r="C7" s="201"/>
      <c r="D7" s="101" t="s">
        <v>12</v>
      </c>
      <c r="E7" s="339" t="s">
        <v>13</v>
      </c>
    </row>
    <row r="8" spans="1:5" ht="15" customHeight="1" x14ac:dyDescent="0.3">
      <c r="A8" s="566" t="s">
        <v>46</v>
      </c>
      <c r="B8" s="505"/>
      <c r="C8" s="505"/>
      <c r="D8" s="505"/>
      <c r="E8" s="505"/>
    </row>
    <row r="9" spans="1:5" ht="15" customHeight="1" x14ac:dyDescent="0.3">
      <c r="A9" s="104" t="s">
        <v>47</v>
      </c>
      <c r="B9" s="105"/>
      <c r="C9" s="560" t="s">
        <v>48</v>
      </c>
      <c r="D9" s="505"/>
      <c r="E9" s="505"/>
    </row>
    <row r="10" spans="1:5" ht="15" customHeight="1" x14ac:dyDescent="0.3">
      <c r="A10" s="106" t="s">
        <v>49</v>
      </c>
      <c r="B10" s="107"/>
      <c r="C10" s="562" t="s">
        <v>50</v>
      </c>
      <c r="D10" s="505"/>
      <c r="E10" s="505"/>
    </row>
    <row r="11" spans="1:5" ht="15" customHeight="1" x14ac:dyDescent="0.3">
      <c r="A11" s="104" t="s">
        <v>51</v>
      </c>
      <c r="B11" s="105"/>
      <c r="C11" s="560" t="s">
        <v>52</v>
      </c>
      <c r="D11" s="505"/>
      <c r="E11" s="505"/>
    </row>
    <row r="12" spans="1:5" ht="15" customHeight="1" x14ac:dyDescent="0.3">
      <c r="A12" s="106" t="s">
        <v>53</v>
      </c>
      <c r="B12" s="107"/>
      <c r="C12" s="562" t="s">
        <v>52</v>
      </c>
      <c r="D12" s="505"/>
      <c r="E12" s="505"/>
    </row>
    <row r="13" spans="1:5" ht="15" customHeight="1" x14ac:dyDescent="0.3">
      <c r="A13" s="104" t="s">
        <v>54</v>
      </c>
      <c r="B13" s="108">
        <f>B9*B12</f>
        <v>0</v>
      </c>
      <c r="C13" s="560" t="s">
        <v>52</v>
      </c>
      <c r="D13" s="505"/>
      <c r="E13" s="505"/>
    </row>
    <row r="14" spans="1:5" ht="15" customHeight="1" x14ac:dyDescent="0.3">
      <c r="A14" s="106" t="s">
        <v>55</v>
      </c>
      <c r="B14" s="107"/>
      <c r="C14" s="562" t="s">
        <v>52</v>
      </c>
      <c r="D14" s="505"/>
      <c r="E14" s="505"/>
    </row>
    <row r="15" spans="1:5" ht="15" customHeight="1" x14ac:dyDescent="0.3">
      <c r="A15" s="104" t="s">
        <v>56</v>
      </c>
      <c r="B15" s="105"/>
      <c r="C15" s="560" t="s">
        <v>52</v>
      </c>
      <c r="D15" s="505"/>
      <c r="E15" s="505"/>
    </row>
    <row r="16" spans="1:5" ht="15" customHeight="1" x14ac:dyDescent="0.3">
      <c r="A16" s="106" t="s">
        <v>57</v>
      </c>
      <c r="B16" s="109">
        <f>B13+B14+B15</f>
        <v>0</v>
      </c>
      <c r="C16" s="562" t="s">
        <v>52</v>
      </c>
      <c r="D16" s="505"/>
      <c r="E16" s="505"/>
    </row>
    <row r="17" spans="1:5" ht="15" customHeight="1" x14ac:dyDescent="0.3">
      <c r="A17" s="104" t="s">
        <v>58</v>
      </c>
      <c r="B17" s="105"/>
      <c r="C17" s="560" t="s">
        <v>59</v>
      </c>
      <c r="D17" s="505"/>
      <c r="E17" s="505"/>
    </row>
    <row r="18" spans="1:5" ht="15" customHeight="1" x14ac:dyDescent="0.3">
      <c r="A18" s="106" t="s">
        <v>60</v>
      </c>
      <c r="B18" s="107"/>
      <c r="C18" s="562" t="s">
        <v>52</v>
      </c>
      <c r="D18" s="505"/>
      <c r="E18" s="505"/>
    </row>
    <row r="19" spans="1:5" ht="15" customHeight="1" x14ac:dyDescent="0.3">
      <c r="A19" s="104" t="s">
        <v>61</v>
      </c>
      <c r="B19" s="105"/>
      <c r="C19" s="560" t="s">
        <v>59</v>
      </c>
      <c r="D19" s="505"/>
      <c r="E19" s="505"/>
    </row>
    <row r="20" spans="1:5" ht="15" customHeight="1" x14ac:dyDescent="0.3">
      <c r="A20" s="106" t="s">
        <v>62</v>
      </c>
      <c r="B20" s="107"/>
      <c r="C20" s="562" t="s">
        <v>59</v>
      </c>
      <c r="D20" s="505"/>
      <c r="E20" s="505"/>
    </row>
    <row r="21" spans="1:5" ht="15" customHeight="1" x14ac:dyDescent="0.3">
      <c r="A21" s="104" t="s">
        <v>63</v>
      </c>
      <c r="B21" s="105"/>
      <c r="C21" s="560" t="s">
        <v>64</v>
      </c>
      <c r="D21" s="505"/>
      <c r="E21" s="505"/>
    </row>
    <row r="22" spans="1:5" x14ac:dyDescent="0.3">
      <c r="A22" s="298"/>
      <c r="B22" s="298"/>
      <c r="C22" s="567"/>
      <c r="D22" s="505"/>
      <c r="E22" s="505"/>
    </row>
    <row r="23" spans="1:5" ht="15" customHeight="1" x14ac:dyDescent="0.3">
      <c r="A23" s="561" t="s">
        <v>65</v>
      </c>
      <c r="B23" s="505"/>
      <c r="C23" s="505"/>
      <c r="D23" s="505"/>
      <c r="E23" s="505"/>
    </row>
    <row r="24" spans="1:5" ht="15" customHeight="1" x14ac:dyDescent="0.3">
      <c r="A24" s="104" t="s">
        <v>66</v>
      </c>
      <c r="B24" s="386">
        <v>0.1</v>
      </c>
      <c r="C24" s="560" t="s">
        <v>67</v>
      </c>
      <c r="D24" s="505"/>
      <c r="E24" s="505"/>
    </row>
    <row r="25" spans="1:5" ht="15" customHeight="1" x14ac:dyDescent="0.3">
      <c r="A25" s="106" t="s">
        <v>68</v>
      </c>
      <c r="B25" s="387">
        <v>0.04</v>
      </c>
      <c r="C25" s="562" t="s">
        <v>67</v>
      </c>
      <c r="D25" s="505"/>
      <c r="E25" s="505"/>
    </row>
    <row r="26" spans="1:5" ht="15" customHeight="1" x14ac:dyDescent="0.3">
      <c r="A26" s="104" t="s">
        <v>69</v>
      </c>
      <c r="B26" s="386">
        <v>0.12</v>
      </c>
      <c r="C26" s="560" t="s">
        <v>67</v>
      </c>
      <c r="D26" s="505"/>
      <c r="E26" s="505"/>
    </row>
    <row r="27" spans="1:5" ht="15" customHeight="1" x14ac:dyDescent="0.3">
      <c r="A27" s="106" t="s">
        <v>70</v>
      </c>
      <c r="B27" s="387">
        <v>0.19</v>
      </c>
      <c r="C27" s="562" t="s">
        <v>71</v>
      </c>
      <c r="D27" s="505"/>
      <c r="E27" s="505"/>
    </row>
    <row r="28" spans="1:5" x14ac:dyDescent="0.3">
      <c r="A28" s="298"/>
      <c r="B28" s="298"/>
      <c r="C28" s="567"/>
      <c r="D28" s="505"/>
      <c r="E28" s="505"/>
    </row>
    <row r="29" spans="1:5" ht="15" customHeight="1" x14ac:dyDescent="0.3">
      <c r="A29" s="110" t="s">
        <v>72</v>
      </c>
      <c r="B29" s="388">
        <f>B24+B25+B26</f>
        <v>0.26</v>
      </c>
      <c r="C29" s="567"/>
      <c r="D29" s="505"/>
      <c r="E29" s="505"/>
    </row>
    <row r="30" spans="1:5" x14ac:dyDescent="0.3">
      <c r="A30" s="298"/>
      <c r="B30" s="298"/>
      <c r="C30" s="567"/>
      <c r="D30" s="505"/>
      <c r="E30" s="505"/>
    </row>
    <row r="31" spans="1:5" ht="15" customHeight="1" x14ac:dyDescent="0.3">
      <c r="A31" s="561" t="s">
        <v>73</v>
      </c>
      <c r="B31" s="505"/>
      <c r="C31" s="505"/>
      <c r="D31" s="505"/>
      <c r="E31" s="505"/>
    </row>
    <row r="32" spans="1:5" s="227" customFormat="1" ht="15" customHeight="1" x14ac:dyDescent="0.3">
      <c r="A32" s="228" t="s">
        <v>43</v>
      </c>
      <c r="B32" s="226"/>
      <c r="C32" s="226"/>
      <c r="D32" s="226"/>
      <c r="E32" s="1125" t="str">
        <f>E4</f>
        <v>RYR-FT-001</v>
      </c>
    </row>
    <row r="33" spans="1:5" ht="25.5" customHeight="1" x14ac:dyDescent="0.3">
      <c r="A33" s="558" t="s">
        <v>74</v>
      </c>
      <c r="B33" s="505"/>
      <c r="C33" s="505"/>
      <c r="D33" s="505"/>
      <c r="E33" s="505"/>
    </row>
    <row r="34" spans="1:5" ht="25.5" customHeight="1" x14ac:dyDescent="0.3">
      <c r="A34" s="558" t="s">
        <v>75</v>
      </c>
      <c r="B34" s="505"/>
      <c r="C34" s="505"/>
      <c r="D34" s="505"/>
      <c r="E34" s="505"/>
    </row>
    <row r="35" spans="1:5" ht="25.5" customHeight="1" x14ac:dyDescent="0.3">
      <c r="A35" s="558" t="s">
        <v>76</v>
      </c>
      <c r="B35" s="505"/>
      <c r="C35" s="505"/>
      <c r="D35" s="505"/>
      <c r="E35" s="505"/>
    </row>
    <row r="36" spans="1:5" ht="25.5" customHeight="1" x14ac:dyDescent="0.3">
      <c r="A36" s="558" t="s">
        <v>77</v>
      </c>
      <c r="B36" s="505"/>
      <c r="C36" s="505"/>
      <c r="D36" s="505"/>
      <c r="E36" s="505"/>
    </row>
    <row r="37" spans="1:5" ht="25.5" customHeight="1" x14ac:dyDescent="0.3">
      <c r="A37" s="558" t="s">
        <v>78</v>
      </c>
      <c r="B37" s="505"/>
      <c r="C37" s="505"/>
      <c r="D37" s="505"/>
      <c r="E37" s="505"/>
    </row>
    <row r="38" spans="1:5" ht="25.5" customHeight="1" x14ac:dyDescent="0.3">
      <c r="A38" s="558" t="s">
        <v>79</v>
      </c>
      <c r="B38" s="505"/>
      <c r="C38" s="505"/>
      <c r="D38" s="505"/>
      <c r="E38" s="505"/>
    </row>
    <row r="39" spans="1:5" ht="25.5" customHeight="1" x14ac:dyDescent="0.3">
      <c r="A39" s="558" t="s">
        <v>80</v>
      </c>
      <c r="B39" s="505"/>
      <c r="C39" s="505"/>
      <c r="D39" s="505"/>
      <c r="E39" s="505"/>
    </row>
    <row r="40" spans="1:5" ht="25.5" customHeight="1" x14ac:dyDescent="0.3">
      <c r="A40" s="558" t="s">
        <v>81</v>
      </c>
      <c r="B40" s="505"/>
      <c r="C40" s="505"/>
      <c r="D40" s="505"/>
      <c r="E40" s="505"/>
    </row>
    <row r="41" spans="1:5" ht="25.5" customHeight="1" x14ac:dyDescent="0.3">
      <c r="A41" s="558" t="s">
        <v>82</v>
      </c>
      <c r="B41" s="505"/>
      <c r="C41" s="505"/>
      <c r="D41" s="505"/>
      <c r="E41" s="505"/>
    </row>
    <row r="42" spans="1:5" ht="25.5" customHeight="1" x14ac:dyDescent="0.3">
      <c r="A42" s="558" t="s">
        <v>83</v>
      </c>
      <c r="B42" s="505"/>
      <c r="C42" s="505"/>
      <c r="D42" s="505"/>
      <c r="E42" s="505"/>
    </row>
  </sheetData>
  <mergeCells count="39">
    <mergeCell ref="C11:E11"/>
    <mergeCell ref="C27:E27"/>
    <mergeCell ref="C16:E16"/>
    <mergeCell ref="A39:E39"/>
    <mergeCell ref="A34:E34"/>
    <mergeCell ref="C29:E29"/>
    <mergeCell ref="C22:E22"/>
    <mergeCell ref="A42:E42"/>
    <mergeCell ref="A33:E33"/>
    <mergeCell ref="C18:E18"/>
    <mergeCell ref="A23:E23"/>
    <mergeCell ref="B2:E2"/>
    <mergeCell ref="A8:E8"/>
    <mergeCell ref="C30:E30"/>
    <mergeCell ref="D3:E3"/>
    <mergeCell ref="C15:E15"/>
    <mergeCell ref="C24:E24"/>
    <mergeCell ref="A35:E35"/>
    <mergeCell ref="C14:E14"/>
    <mergeCell ref="A40:E40"/>
    <mergeCell ref="A41:E41"/>
    <mergeCell ref="C17:E17"/>
    <mergeCell ref="A37:E37"/>
    <mergeCell ref="B1:E1"/>
    <mergeCell ref="A38:E38"/>
    <mergeCell ref="B5:C5"/>
    <mergeCell ref="C26:E26"/>
    <mergeCell ref="A31:E31"/>
    <mergeCell ref="C20:E20"/>
    <mergeCell ref="B4:C4"/>
    <mergeCell ref="C25:E25"/>
    <mergeCell ref="C10:E10"/>
    <mergeCell ref="C28:E28"/>
    <mergeCell ref="C13:E13"/>
    <mergeCell ref="C19:E19"/>
    <mergeCell ref="C9:E9"/>
    <mergeCell ref="A36:E36"/>
    <mergeCell ref="C21:E21"/>
    <mergeCell ref="C12:E12"/>
  </mergeCells>
  <pageMargins left="0.75" right="0.75" top="1" bottom="1"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19</vt:i4>
      </vt:variant>
      <vt:variant>
        <vt:lpstr>Rangos con nombre</vt:lpstr>
      </vt:variant>
      <vt:variant>
        <vt:i4>12</vt:i4>
      </vt:variant>
    </vt:vector>
  </HeadingPairs>
  <TitlesOfParts>
    <vt:vector size="31" baseType="lpstr">
      <vt:lpstr>Apu's</vt:lpstr>
      <vt:lpstr>Catalogo Materiales</vt:lpstr>
      <vt:lpstr>Catalogo Mano de Obra</vt:lpstr>
      <vt:lpstr>Catalogo Equipos y Herramientas</vt:lpstr>
      <vt:lpstr>Ficha Técnica del Proyecto</vt:lpstr>
      <vt:lpstr>Cantidades de Obra</vt:lpstr>
      <vt:lpstr>Dashboard</vt:lpstr>
      <vt:lpstr>Cálculo Detallado</vt:lpstr>
      <vt:lpstr>Catalogo de Actividades</vt:lpstr>
      <vt:lpstr>Planos</vt:lpstr>
      <vt:lpstr>Instructivo</vt:lpstr>
      <vt:lpstr>Presupuesto </vt:lpstr>
      <vt:lpstr>Resumen</vt:lpstr>
      <vt:lpstr>Cronograma </vt:lpstr>
      <vt:lpstr>Memoria de Cálculo</vt:lpstr>
      <vt:lpstr>Acta de Obra</vt:lpstr>
      <vt:lpstr>Informe Diario</vt:lpstr>
      <vt:lpstr>Informe Semanal</vt:lpstr>
      <vt:lpstr>Informe Mensual</vt:lpstr>
      <vt:lpstr>'Acta de Obra'!Área_de_impresión</vt:lpstr>
      <vt:lpstr>'Apu''s'!Área_de_impresión</vt:lpstr>
      <vt:lpstr>'Informe Diario'!Área_de_impresión</vt:lpstr>
      <vt:lpstr>'Informe Mensual'!Área_de_impresión</vt:lpstr>
      <vt:lpstr>'Informe Semanal'!Área_de_impresión</vt:lpstr>
      <vt:lpstr>'Memoria de Cálculo'!Área_de_impresión</vt:lpstr>
      <vt:lpstr>'Acta de Obra'!Títulos_a_imprimir</vt:lpstr>
      <vt:lpstr>'Cronograma '!Títulos_a_imprimir</vt:lpstr>
      <vt:lpstr>'Informe Diario'!Títulos_a_imprimir</vt:lpstr>
      <vt:lpstr>'Informe Mensual'!Títulos_a_imprimir</vt:lpstr>
      <vt:lpstr>'Informe Semanal'!Títulos_a_imprimir</vt:lpstr>
      <vt:lpstr>'Presupuesto '!Títulos_a_imprimir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Hugo Fernando Hurtado Ruiz</cp:lastModifiedBy>
  <cp:revision>1</cp:revision>
  <cp:lastPrinted>2026-09-14T01:27:33Z</cp:lastPrinted>
  <dcterms:created xsi:type="dcterms:W3CDTF">2026-08-07T19:45:20Z</dcterms:created>
  <dcterms:modified xsi:type="dcterms:W3CDTF">2026-09-16T19:13:21Z</dcterms:modified>
  <dc:language>en-US</dc:language>
</cp:coreProperties>
</file>