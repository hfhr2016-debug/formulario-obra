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aquinaria y Equi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&quot;$&quot;#,##0;[Red]\-&quot;$&quot;#,##0"/>
    <numFmt numFmtId="165" formatCode="0.0%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Calibri"/>
      <family val="2"/>
      <color rgb="FF000000"/>
      <sz val="10"/>
    </font>
    <font>
      <name val="Arial"/>
      <family val="2"/>
      <b val="1"/>
      <color rgb="FF000000"/>
      <sz val="14"/>
    </font>
    <font>
      <name val="Calibri"/>
      <family val="2"/>
      <i val="1"/>
      <color rgb="FF000000"/>
      <sz val="14"/>
    </font>
    <font>
      <name val="Arial"/>
      <family val="2"/>
      <b val="1"/>
      <color rgb="FFFFFFFF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F243E"/>
      <sz val="10"/>
    </font>
    <font>
      <name val="Calibri"/>
      <family val="2"/>
      <b val="1"/>
      <color rgb="FFFFFFFF"/>
      <sz val="10"/>
    </font>
    <font>
      <name val="Calibri"/>
      <family val="2"/>
      <b val="1"/>
      <i val="1"/>
      <color rgb="FF000000"/>
      <sz val="10"/>
    </font>
    <font>
      <name val="Calibri"/>
      <family val="2"/>
      <b val="1"/>
      <sz val="10"/>
    </font>
    <font>
      <name val="Calibri"/>
      <color rgb="FF000000"/>
      <sz val="10"/>
    </font>
    <font>
      <name val="Calibri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A233"/>
      </patternFill>
    </fill>
    <fill>
      <patternFill patternType="solid">
        <fgColor rgb="FFDCE6F1"/>
      </patternFill>
    </fill>
    <fill>
      <patternFill patternType="solid">
        <fgColor rgb="FF92D050"/>
      </patternFill>
    </fill>
    <fill>
      <patternFill patternType="solid">
        <fgColor rgb="FFFAFAFA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A233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 wrapText="1"/>
    </xf>
    <xf numFmtId="165" fontId="2" fillId="5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left" vertical="center" wrapText="1"/>
    </xf>
    <xf numFmtId="0" fontId="0" fillId="0" borderId="7" pivotButton="0" quotePrefix="0" xfId="0"/>
    <xf numFmtId="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4" fontId="2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2" fillId="7" borderId="1" applyAlignment="1" pivotButton="0" quotePrefix="0" xfId="0">
      <alignment horizontal="left" vertical="center" wrapText="1"/>
    </xf>
    <xf numFmtId="0" fontId="6" fillId="4" borderId="9" applyAlignment="1" pivotButton="0" quotePrefix="0" xfId="0">
      <alignment vertical="center" wrapText="1"/>
    </xf>
    <xf numFmtId="0" fontId="6" fillId="4" borderId="10" applyAlignment="1" pivotButton="0" quotePrefix="0" xfId="0">
      <alignment vertical="center" wrapText="1"/>
    </xf>
    <xf numFmtId="0" fontId="6" fillId="4" borderId="11" applyAlignment="1" pivotButton="0" quotePrefix="0" xfId="0">
      <alignment vertical="center" wrapText="1"/>
    </xf>
    <xf numFmtId="0" fontId="0" fillId="7" borderId="9" pivotButton="0" quotePrefix="0" xfId="0"/>
    <xf numFmtId="0" fontId="0" fillId="7" borderId="10" pivotButton="0" quotePrefix="0" xfId="0"/>
    <xf numFmtId="0" fontId="0" fillId="7" borderId="11" pivotButton="0" quotePrefix="0" xfId="0"/>
    <xf numFmtId="164" fontId="2" fillId="4" borderId="9" applyAlignment="1" pivotButton="0" quotePrefix="0" xfId="0">
      <alignment horizontal="center" vertical="center" wrapText="1"/>
    </xf>
    <xf numFmtId="164" fontId="2" fillId="4" borderId="10" applyAlignment="1" pivotButton="0" quotePrefix="0" xfId="0">
      <alignment horizontal="center" vertical="center" wrapText="1"/>
    </xf>
    <xf numFmtId="164" fontId="2" fillId="4" borderId="11" applyAlignment="1" pivotButton="0" quotePrefix="0" xfId="0">
      <alignment horizontal="center" vertical="center" wrapText="1"/>
    </xf>
    <xf numFmtId="0" fontId="2" fillId="6" borderId="1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6" borderId="4" applyAlignment="1" pivotButton="0" quotePrefix="0" xfId="0">
      <alignment horizontal="left" vertical="top" wrapText="1"/>
    </xf>
    <xf numFmtId="0" fontId="2" fillId="6" borderId="3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6" borderId="5" applyAlignment="1" pivotButton="0" quotePrefix="0" xfId="0">
      <alignment horizontal="left" vertical="top" wrapText="1"/>
    </xf>
    <xf numFmtId="0" fontId="2" fillId="6" borderId="6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left" vertical="top" wrapText="1"/>
    </xf>
    <xf numFmtId="0" fontId="2" fillId="6" borderId="8" applyAlignment="1" pivotButton="0" quotePrefix="0" xfId="0">
      <alignment horizontal="left" vertical="top" wrapText="1"/>
    </xf>
    <xf numFmtId="165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4" fontId="2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5" fontId="6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0" fillId="9" borderId="0" applyAlignment="1" pivotButton="0" quotePrefix="0" xfId="0">
      <alignment horizontal="center"/>
    </xf>
    <xf numFmtId="14" fontId="2" fillId="0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2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164" fontId="12" fillId="0" borderId="1" applyAlignment="1" applyProtection="1" pivotButton="0" quotePrefix="0" xfId="0">
      <alignment horizontal="right" vertical="center" wrapText="1"/>
      <protection locked="0" hidden="0"/>
    </xf>
    <xf numFmtId="4" fontId="12" fillId="0" borderId="1" applyAlignment="1" applyProtection="1" pivotButton="0" quotePrefix="0" xfId="0">
      <alignment horizontal="center" vertical="center" wrapText="1"/>
      <protection locked="0" hidden="0"/>
    </xf>
    <xf numFmtId="164" fontId="2" fillId="4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164" fontId="13" fillId="0" borderId="1" applyAlignment="1" pivotButton="0" quotePrefix="0" xfId="0">
      <alignment horizontal="right" vertical="center" wrapText="1"/>
    </xf>
    <xf numFmtId="165" fontId="12" fillId="0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3420000" cy="1620000"/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420000" cy="162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1"/>
  </sheetPr>
  <dimension ref="A1:N41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7.77734375" customWidth="1" style="34" min="1" max="1"/>
    <col width="28" customWidth="1" style="34" min="2" max="2"/>
    <col width="16" customWidth="1" style="34" min="3" max="3"/>
    <col width="14" customWidth="1" style="34" min="4" max="4"/>
    <col width="30.77734375" customWidth="1" style="34" min="5" max="6"/>
    <col width="12" customWidth="1" style="34" min="7" max="7"/>
    <col width="20.77734375" customWidth="1" style="34" min="8" max="8"/>
    <col width="15.77734375" customWidth="1" style="34" min="9" max="9"/>
    <col width="25.77734375" customWidth="1" style="34" min="10" max="10"/>
    <col width="20.77734375" customWidth="1" style="34" min="11" max="11"/>
    <col width="25.77734375" customWidth="1" style="34" min="12" max="12"/>
    <col width="20.77734375" customWidth="1" style="34" min="13" max="13"/>
    <col width="35.77734375" customWidth="1" style="34" min="14" max="14"/>
  </cols>
  <sheetData>
    <row r="1" ht="40.05" customHeight="1" s="34">
      <c r="A1" s="76" t="n"/>
      <c r="D1" s="42" t="inlineStr">
        <is>
          <t>CONTROL DE COSTOS DE MAQUINARIA Y EQUIPOS</t>
        </is>
      </c>
    </row>
    <row r="2" ht="4.95" customHeight="1" s="34">
      <c r="D2" s="26" t="n"/>
    </row>
    <row r="3" ht="14.4" customHeight="1" s="34">
      <c r="D3" s="33" t="n"/>
      <c r="L3" s="38" t="inlineStr">
        <is>
          <t>CONTROL DOCUMENTAL</t>
        </is>
      </c>
      <c r="M3" s="90" t="n"/>
      <c r="N3" s="84" t="n"/>
    </row>
    <row r="4" ht="15" customHeight="1" s="34">
      <c r="D4" s="37" t="inlineStr">
        <is>
          <t>REFORMAS Y REMODELACIONES</t>
        </is>
      </c>
      <c r="L4" s="22" t="inlineStr">
        <is>
          <t>Código</t>
        </is>
      </c>
      <c r="M4" s="84" t="n"/>
      <c r="N4" s="2" t="inlineStr">
        <is>
          <t>RYR-CP-007</t>
        </is>
      </c>
    </row>
    <row r="5" ht="14.4" customHeight="1" s="34">
      <c r="D5" s="39" t="inlineStr">
        <is>
          <t>DISEÑAMOS, RENOVAMOS Y CONSTRUIMOS ESPACIOS QUE INSPIRAN.</t>
        </is>
      </c>
      <c r="L5" s="22" t="inlineStr">
        <is>
          <t>Versión</t>
        </is>
      </c>
      <c r="M5" s="84" t="n"/>
      <c r="N5" s="2" t="inlineStr">
        <is>
          <t>1</t>
        </is>
      </c>
    </row>
    <row r="6" ht="20.4" customHeight="1" s="34">
      <c r="D6" s="33" t="n"/>
      <c r="L6" s="22" t="inlineStr">
        <is>
          <t>Fecha de Emisión</t>
        </is>
      </c>
      <c r="M6" s="84" t="n"/>
      <c r="N6" s="2" t="inlineStr">
        <is>
          <t>08/10/2026</t>
        </is>
      </c>
    </row>
    <row r="7" ht="18" customHeight="1" s="34">
      <c r="A7" s="52" t="n"/>
      <c r="B7" s="52" t="n"/>
      <c r="C7" s="52" t="n"/>
      <c r="D7" s="33" t="n"/>
      <c r="L7" s="22" t="inlineStr">
        <is>
          <t>Página</t>
        </is>
      </c>
      <c r="M7" s="84" t="n"/>
      <c r="N7" s="2" t="inlineStr">
        <is>
          <t>1 de 1</t>
        </is>
      </c>
    </row>
    <row r="8">
      <c r="A8" s="28" t="inlineStr">
        <is>
          <t>Costo de cada equipo propio o alquilado: tarifa, uso, combustible y operador</t>
        </is>
      </c>
      <c r="B8" s="90" t="n"/>
      <c r="C8" s="90" t="n"/>
      <c r="D8" s="90" t="n"/>
      <c r="E8" s="90" t="n"/>
      <c r="F8" s="90" t="n"/>
      <c r="G8" s="90" t="n"/>
      <c r="H8" s="90" t="n"/>
      <c r="I8" s="90" t="n"/>
      <c r="J8" s="90" t="n"/>
      <c r="K8" s="90" t="n"/>
      <c r="L8" s="90" t="n"/>
      <c r="M8" s="90" t="n"/>
      <c r="N8" s="84" t="n"/>
    </row>
    <row r="9" ht="15" customHeight="1" s="34">
      <c r="A9" s="40" t="inlineStr">
        <is>
          <t>1. DATOS GENERALES</t>
        </is>
      </c>
      <c r="B9" s="90" t="n"/>
      <c r="C9" s="90" t="n"/>
      <c r="D9" s="90" t="n"/>
      <c r="E9" s="90" t="n"/>
      <c r="F9" s="90" t="n"/>
      <c r="G9" s="90" t="n"/>
      <c r="H9" s="90" t="n"/>
      <c r="I9" s="90" t="n"/>
      <c r="J9" s="90" t="n"/>
      <c r="K9" s="90" t="n"/>
      <c r="L9" s="90" t="n"/>
      <c r="M9" s="90" t="n"/>
      <c r="N9" s="84" t="n"/>
    </row>
    <row r="10" ht="18" customHeight="1" s="34">
      <c r="A10" s="22" t="inlineStr">
        <is>
          <t>Proyecto / Obra</t>
        </is>
      </c>
      <c r="B10" s="90" t="n"/>
      <c r="C10" s="84" t="n"/>
      <c r="D10" s="91" t="n"/>
      <c r="E10" s="92" t="n"/>
      <c r="F10" s="92" t="n"/>
      <c r="G10" s="93" t="n"/>
      <c r="H10" s="22" t="inlineStr">
        <is>
          <t>Tipo de proyecto</t>
        </is>
      </c>
      <c r="I10" s="90" t="n"/>
      <c r="J10" s="84" t="n"/>
      <c r="K10" s="91" t="n"/>
      <c r="L10" s="92" t="n"/>
      <c r="M10" s="92" t="n"/>
      <c r="N10" s="93" t="n"/>
    </row>
    <row r="11" ht="18" customHeight="1" s="34">
      <c r="A11" s="22" t="inlineStr">
        <is>
          <t>Contrato N°</t>
        </is>
      </c>
      <c r="B11" s="90" t="n"/>
      <c r="C11" s="84" t="n"/>
      <c r="D11" s="91" t="n"/>
      <c r="E11" s="92" t="n"/>
      <c r="F11" s="92" t="n"/>
      <c r="G11" s="93" t="n"/>
      <c r="H11" s="22" t="inlineStr">
        <is>
          <t>Contratante</t>
        </is>
      </c>
      <c r="I11" s="90" t="n"/>
      <c r="J11" s="84" t="n"/>
      <c r="K11" s="91" t="n"/>
      <c r="L11" s="92" t="n"/>
      <c r="M11" s="92" t="n"/>
      <c r="N11" s="93" t="n"/>
    </row>
    <row r="12" ht="18" customHeight="1" s="34">
      <c r="A12" s="22" t="inlineStr">
        <is>
          <t>Mes / periodo de control</t>
        </is>
      </c>
      <c r="B12" s="90" t="n"/>
      <c r="C12" s="84" t="n"/>
      <c r="D12" s="91" t="n"/>
      <c r="E12" s="92" t="n"/>
      <c r="F12" s="92" t="n"/>
      <c r="G12" s="93" t="n"/>
      <c r="H12" s="22" t="inlineStr">
        <is>
          <t>Responsable del control</t>
        </is>
      </c>
      <c r="I12" s="90" t="n"/>
      <c r="J12" s="84" t="n"/>
      <c r="K12" s="91" t="n"/>
      <c r="L12" s="92" t="n"/>
      <c r="M12" s="92" t="n"/>
      <c r="N12" s="93" t="n"/>
    </row>
    <row r="13" ht="15" customHeight="1" s="34">
      <c r="A13" s="40" t="inlineStr">
        <is>
          <t>2. USO Y COSTO POR EQUIPO</t>
        </is>
      </c>
      <c r="B13" s="90" t="n"/>
      <c r="C13" s="90" t="n"/>
      <c r="D13" s="90" t="n"/>
      <c r="E13" s="90" t="n"/>
      <c r="F13" s="90" t="n"/>
      <c r="G13" s="90" t="n"/>
      <c r="H13" s="90" t="n"/>
      <c r="I13" s="90" t="n"/>
      <c r="J13" s="90" t="n"/>
      <c r="K13" s="90" t="n"/>
      <c r="L13" s="90" t="n"/>
      <c r="M13" s="90" t="n"/>
      <c r="N13" s="84" t="n"/>
    </row>
    <row r="14" ht="52.05" customHeight="1" s="34">
      <c r="A14" s="83" t="inlineStr">
        <is>
          <t>No.</t>
        </is>
      </c>
      <c r="B14" s="83" t="inlineStr">
        <is>
          <t>Equipo o maquinaria</t>
        </is>
      </c>
      <c r="C14" s="83" t="inlineStr">
        <is>
          <t>Placa o código</t>
        </is>
      </c>
      <c r="D14" s="83" t="inlineStr">
        <is>
          <t>Propiedad</t>
        </is>
      </c>
      <c r="E14" s="83" t="inlineStr">
        <is>
          <t>Proveedor (si es alquilado)</t>
        </is>
      </c>
      <c r="F14" s="83" t="inlineStr">
        <is>
          <t>Capítulo del presupuesto</t>
        </is>
      </c>
      <c r="G14" s="83" t="inlineStr">
        <is>
          <t>Unidad de cobro</t>
        </is>
      </c>
      <c r="H14" s="83" t="inlineStr">
        <is>
          <t>Tarifa por unidad</t>
        </is>
      </c>
      <c r="I14" s="83" t="inlineStr">
        <is>
          <t>Cantidad usada</t>
        </is>
      </c>
      <c r="J14" s="83" t="inlineStr">
        <is>
          <t>Valor del equipo</t>
        </is>
      </c>
      <c r="K14" s="83" t="inlineStr">
        <is>
          <t>Combustible</t>
        </is>
      </c>
      <c r="L14" s="83" t="inlineStr">
        <is>
          <t>Operador y otros</t>
        </is>
      </c>
      <c r="M14" s="83" t="inlineStr">
        <is>
          <t>Costo total</t>
        </is>
      </c>
      <c r="N14" s="83" t="inlineStr">
        <is>
          <t>Observaciones</t>
        </is>
      </c>
    </row>
    <row r="15" ht="22.05" customHeight="1" s="34">
      <c r="A15" s="94" t="n">
        <v>1</v>
      </c>
      <c r="B15" s="91" t="n"/>
      <c r="C15" s="91" t="n"/>
      <c r="D15" s="95" t="n"/>
      <c r="E15" s="91" t="n"/>
      <c r="F15" s="91" t="n"/>
      <c r="G15" s="95" t="n"/>
      <c r="H15" s="96" t="n"/>
      <c r="I15" s="97" t="n"/>
      <c r="J15" s="98">
        <f>IF(OR(H15="",I15=""),"",H15*I15)</f>
        <v/>
      </c>
      <c r="K15" s="96" t="n"/>
      <c r="L15" s="96" t="n"/>
      <c r="M15" s="98">
        <f>IF(J15="","",J15+N(K15)+N(L15))</f>
        <v/>
      </c>
      <c r="N15" s="91" t="n"/>
    </row>
    <row r="16" ht="22.05" customHeight="1" s="34">
      <c r="A16" s="94" t="n">
        <v>2</v>
      </c>
      <c r="B16" s="91" t="n"/>
      <c r="C16" s="91" t="n"/>
      <c r="D16" s="95" t="n"/>
      <c r="E16" s="91" t="n"/>
      <c r="F16" s="91" t="n"/>
      <c r="G16" s="95" t="n"/>
      <c r="H16" s="96" t="n"/>
      <c r="I16" s="97" t="n"/>
      <c r="J16" s="98">
        <f>IF(OR(H16="",I16=""),"",H16*I16)</f>
        <v/>
      </c>
      <c r="K16" s="96" t="n"/>
      <c r="L16" s="96" t="n"/>
      <c r="M16" s="98">
        <f>IF(J16="","",J16+N(K16)+N(L16))</f>
        <v/>
      </c>
      <c r="N16" s="91" t="n"/>
    </row>
    <row r="17" ht="22.05" customHeight="1" s="34">
      <c r="A17" s="94" t="n">
        <v>3</v>
      </c>
      <c r="B17" s="91" t="n"/>
      <c r="C17" s="91" t="n"/>
      <c r="D17" s="95" t="n"/>
      <c r="E17" s="91" t="n"/>
      <c r="F17" s="91" t="n"/>
      <c r="G17" s="95" t="n"/>
      <c r="H17" s="96" t="n"/>
      <c r="I17" s="97" t="n"/>
      <c r="J17" s="98">
        <f>IF(OR(H17="",I17=""),"",H17*I17)</f>
        <v/>
      </c>
      <c r="K17" s="96" t="n"/>
      <c r="L17" s="96" t="n"/>
      <c r="M17" s="98">
        <f>IF(J17="","",J17+N(K17)+N(L17))</f>
        <v/>
      </c>
      <c r="N17" s="91" t="n"/>
    </row>
    <row r="18" ht="22.05" customHeight="1" s="34">
      <c r="A18" s="94" t="n">
        <v>4</v>
      </c>
      <c r="B18" s="91" t="n"/>
      <c r="C18" s="91" t="n"/>
      <c r="D18" s="95" t="n"/>
      <c r="E18" s="91" t="n"/>
      <c r="F18" s="91" t="n"/>
      <c r="G18" s="95" t="n"/>
      <c r="H18" s="96" t="n"/>
      <c r="I18" s="97" t="n"/>
      <c r="J18" s="98">
        <f>IF(OR(H18="",I18=""),"",H18*I18)</f>
        <v/>
      </c>
      <c r="K18" s="96" t="n"/>
      <c r="L18" s="96" t="n"/>
      <c r="M18" s="98">
        <f>IF(J18="","",J18+N(K18)+N(L18))</f>
        <v/>
      </c>
      <c r="N18" s="91" t="n"/>
    </row>
    <row r="19" ht="22.05" customHeight="1" s="34">
      <c r="A19" s="94" t="n">
        <v>5</v>
      </c>
      <c r="B19" s="91" t="n"/>
      <c r="C19" s="91" t="n"/>
      <c r="D19" s="95" t="n"/>
      <c r="E19" s="91" t="n"/>
      <c r="F19" s="91" t="n"/>
      <c r="G19" s="95" t="n"/>
      <c r="H19" s="96" t="n"/>
      <c r="I19" s="97" t="n"/>
      <c r="J19" s="98">
        <f>IF(OR(H19="",I19=""),"",H19*I19)</f>
        <v/>
      </c>
      <c r="K19" s="96" t="n"/>
      <c r="L19" s="96" t="n"/>
      <c r="M19" s="98">
        <f>IF(J19="","",J19+N(K19)+N(L19))</f>
        <v/>
      </c>
      <c r="N19" s="91" t="n"/>
    </row>
    <row r="20" ht="22.05" customHeight="1" s="34">
      <c r="A20" s="94" t="n">
        <v>6</v>
      </c>
      <c r="B20" s="91" t="n"/>
      <c r="C20" s="91" t="n"/>
      <c r="D20" s="95" t="n"/>
      <c r="E20" s="91" t="n"/>
      <c r="F20" s="91" t="n"/>
      <c r="G20" s="95" t="n"/>
      <c r="H20" s="96" t="n"/>
      <c r="I20" s="97" t="n"/>
      <c r="J20" s="98">
        <f>IF(OR(H20="",I20=""),"",H20*I20)</f>
        <v/>
      </c>
      <c r="K20" s="96" t="n"/>
      <c r="L20" s="96" t="n"/>
      <c r="M20" s="98">
        <f>IF(J20="","",J20+N(K20)+N(L20))</f>
        <v/>
      </c>
      <c r="N20" s="91" t="n"/>
    </row>
    <row r="21" ht="22.05" customHeight="1" s="34">
      <c r="A21" s="94" t="n">
        <v>7</v>
      </c>
      <c r="B21" s="91" t="n"/>
      <c r="C21" s="91" t="n"/>
      <c r="D21" s="95" t="n"/>
      <c r="E21" s="91" t="n"/>
      <c r="F21" s="91" t="n"/>
      <c r="G21" s="95" t="n"/>
      <c r="H21" s="96" t="n"/>
      <c r="I21" s="97" t="n"/>
      <c r="J21" s="98">
        <f>IF(OR(H21="",I21=""),"",H21*I21)</f>
        <v/>
      </c>
      <c r="K21" s="96" t="n"/>
      <c r="L21" s="96" t="n"/>
      <c r="M21" s="98">
        <f>IF(J21="","",J21+N(K21)+N(L21))</f>
        <v/>
      </c>
      <c r="N21" s="91" t="n"/>
    </row>
    <row r="22" ht="22.05" customHeight="1" s="34">
      <c r="A22" s="94" t="n">
        <v>8</v>
      </c>
      <c r="B22" s="91" t="n"/>
      <c r="C22" s="91" t="n"/>
      <c r="D22" s="95" t="n"/>
      <c r="E22" s="91" t="n"/>
      <c r="F22" s="91" t="n"/>
      <c r="G22" s="95" t="n"/>
      <c r="H22" s="96" t="n"/>
      <c r="I22" s="97" t="n"/>
      <c r="J22" s="98">
        <f>IF(OR(H22="",I22=""),"",H22*I22)</f>
        <v/>
      </c>
      <c r="K22" s="96" t="n"/>
      <c r="L22" s="96" t="n"/>
      <c r="M22" s="98">
        <f>IF(J22="","",J22+N(K22)+N(L22))</f>
        <v/>
      </c>
      <c r="N22" s="91" t="n"/>
    </row>
    <row r="23" ht="22.05" customHeight="1" s="34">
      <c r="A23" s="94" t="n">
        <v>9</v>
      </c>
      <c r="B23" s="91" t="n"/>
      <c r="C23" s="91" t="n"/>
      <c r="D23" s="95" t="n"/>
      <c r="E23" s="91" t="n"/>
      <c r="F23" s="91" t="n"/>
      <c r="G23" s="95" t="n"/>
      <c r="H23" s="96" t="n"/>
      <c r="I23" s="97" t="n"/>
      <c r="J23" s="98">
        <f>IF(OR(H23="",I23=""),"",H23*I23)</f>
        <v/>
      </c>
      <c r="K23" s="96" t="n"/>
      <c r="L23" s="96" t="n"/>
      <c r="M23" s="98">
        <f>IF(J23="","",J23+N(K23)+N(L23))</f>
        <v/>
      </c>
      <c r="N23" s="91" t="n"/>
    </row>
    <row r="24" ht="22.05" customHeight="1" s="34">
      <c r="A24" s="94" t="n">
        <v>10</v>
      </c>
      <c r="B24" s="91" t="n"/>
      <c r="C24" s="91" t="n"/>
      <c r="D24" s="95" t="n"/>
      <c r="E24" s="91" t="n"/>
      <c r="F24" s="91" t="n"/>
      <c r="G24" s="95" t="n"/>
      <c r="H24" s="96" t="n"/>
      <c r="I24" s="97" t="n"/>
      <c r="J24" s="98">
        <f>IF(OR(H24="",I24=""),"",H24*I24)</f>
        <v/>
      </c>
      <c r="K24" s="96" t="n"/>
      <c r="L24" s="96" t="n"/>
      <c r="M24" s="98">
        <f>IF(J24="","",J24+N(K24)+N(L24))</f>
        <v/>
      </c>
      <c r="N24" s="91" t="n"/>
    </row>
    <row r="25" ht="22.05" customHeight="1" s="34">
      <c r="A25" s="94" t="n">
        <v>11</v>
      </c>
      <c r="B25" s="91" t="n"/>
      <c r="C25" s="91" t="n"/>
      <c r="D25" s="95" t="n"/>
      <c r="E25" s="91" t="n"/>
      <c r="F25" s="91" t="n"/>
      <c r="G25" s="95" t="n"/>
      <c r="H25" s="96" t="n"/>
      <c r="I25" s="97" t="n"/>
      <c r="J25" s="98">
        <f>IF(OR(H25="",I25=""),"",H25*I25)</f>
        <v/>
      </c>
      <c r="K25" s="96" t="n"/>
      <c r="L25" s="96" t="n"/>
      <c r="M25" s="98">
        <f>IF(J25="","",J25+N(K25)+N(L25))</f>
        <v/>
      </c>
      <c r="N25" s="91" t="n"/>
    </row>
    <row r="26" ht="22.05" customHeight="1" s="34">
      <c r="A26" s="94" t="n">
        <v>12</v>
      </c>
      <c r="B26" s="91" t="n"/>
      <c r="C26" s="91" t="n"/>
      <c r="D26" s="95" t="n"/>
      <c r="E26" s="91" t="n"/>
      <c r="F26" s="91" t="n"/>
      <c r="G26" s="95" t="n"/>
      <c r="H26" s="96" t="n"/>
      <c r="I26" s="97" t="n"/>
      <c r="J26" s="98">
        <f>IF(OR(H26="",I26=""),"",H26*I26)</f>
        <v/>
      </c>
      <c r="K26" s="96" t="n"/>
      <c r="L26" s="96" t="n"/>
      <c r="M26" s="98">
        <f>IF(J26="","",J26+N(K26)+N(L26))</f>
        <v/>
      </c>
      <c r="N26" s="91" t="n"/>
    </row>
    <row r="27" ht="22.05" customHeight="1" s="34">
      <c r="A27" s="94" t="n">
        <v>13</v>
      </c>
      <c r="B27" s="91" t="n"/>
      <c r="C27" s="91" t="n"/>
      <c r="D27" s="95" t="n"/>
      <c r="E27" s="91" t="n"/>
      <c r="F27" s="91" t="n"/>
      <c r="G27" s="95" t="n"/>
      <c r="H27" s="96" t="n"/>
      <c r="I27" s="97" t="n"/>
      <c r="J27" s="98">
        <f>IF(OR(H27="",I27=""),"",H27*I27)</f>
        <v/>
      </c>
      <c r="K27" s="96" t="n"/>
      <c r="L27" s="96" t="n"/>
      <c r="M27" s="98">
        <f>IF(J27="","",J27+N(K27)+N(L27))</f>
        <v/>
      </c>
      <c r="N27" s="91" t="n"/>
    </row>
    <row r="28" ht="22.05" customHeight="1" s="34">
      <c r="A28" s="94" t="n">
        <v>14</v>
      </c>
      <c r="B28" s="91" t="n"/>
      <c r="C28" s="91" t="n"/>
      <c r="D28" s="95" t="n"/>
      <c r="E28" s="91" t="n"/>
      <c r="F28" s="91" t="n"/>
      <c r="G28" s="95" t="n"/>
      <c r="H28" s="96" t="n"/>
      <c r="I28" s="97" t="n"/>
      <c r="J28" s="98">
        <f>IF(OR(H28="",I28=""),"",H28*I28)</f>
        <v/>
      </c>
      <c r="K28" s="96" t="n"/>
      <c r="L28" s="96" t="n"/>
      <c r="M28" s="98">
        <f>IF(J28="","",J28+N(K28)+N(L28))</f>
        <v/>
      </c>
      <c r="N28" s="91" t="n"/>
    </row>
    <row r="29">
      <c r="A29" s="36" t="inlineStr">
        <is>
          <t>TOTAL DEL PERIODO</t>
        </is>
      </c>
      <c r="B29" s="90" t="n"/>
      <c r="C29" s="90" t="n"/>
      <c r="D29" s="90" t="n"/>
      <c r="E29" s="90" t="n"/>
      <c r="F29" s="90" t="n"/>
      <c r="G29" s="90" t="n"/>
      <c r="H29" s="90" t="n"/>
      <c r="I29" s="84" t="n"/>
      <c r="J29" s="99">
        <f>SUM(J15:J28)</f>
        <v/>
      </c>
      <c r="K29" s="99">
        <f>SUM(K15:K28)</f>
        <v/>
      </c>
      <c r="L29" s="99">
        <f>SUM(L15:L28)</f>
        <v/>
      </c>
      <c r="M29" s="99">
        <f>SUM(M15:M28)</f>
        <v/>
      </c>
      <c r="N29" s="35" t="n"/>
    </row>
    <row r="30"/>
    <row r="31" ht="15" customHeight="1" s="34">
      <c r="A31" s="40" t="inlineStr">
        <is>
          <t>3. RESUMEN POR PROPIEDAD</t>
        </is>
      </c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  <c r="N31" s="84" t="n"/>
    </row>
    <row r="32" ht="29" customHeight="1" s="34">
      <c r="B32" s="31" t="inlineStr">
        <is>
          <t>Propiedad</t>
        </is>
      </c>
      <c r="C32" s="84" t="n"/>
      <c r="D32" s="31" t="inlineStr">
        <is>
          <t>Costo total</t>
        </is>
      </c>
      <c r="E32" s="31" t="inlineStr">
        <is>
          <t>% del total</t>
        </is>
      </c>
      <c r="G32" s="100" t="inlineStr">
        <is>
          <t>El «valor del equipo» es tarifa × cantidad usada. Para un equipo propio, use la tarifa interna de la empresa (depreciación, mantenimiento y seguros).
El combustible y el operador se registran aparte para ver cuánto cuesta realmente cada máquina.</t>
        </is>
      </c>
      <c r="H32" s="47" t="n"/>
      <c r="I32" s="47" t="n"/>
      <c r="J32" s="47" t="n"/>
      <c r="K32" s="47" t="n"/>
      <c r="L32" s="47" t="n"/>
      <c r="M32" s="47" t="n"/>
      <c r="N32" s="48" t="n"/>
    </row>
    <row r="33" ht="18" customHeight="1" s="34">
      <c r="A33" s="91" t="n"/>
      <c r="B33" s="22" t="inlineStr">
        <is>
          <t>Propio</t>
        </is>
      </c>
      <c r="C33" s="84" t="n"/>
      <c r="D33" s="101">
        <f>SUMIF($D$15:$D$28,B33,$M$15:$M$28)</f>
        <v/>
      </c>
      <c r="E33" s="102">
        <f>IF($M$29=0,"",D33/$M$29)</f>
        <v/>
      </c>
      <c r="G33" s="49" t="n"/>
      <c r="N33" s="50" t="n"/>
    </row>
    <row r="34" ht="18" customHeight="1" s="34">
      <c r="A34" s="91" t="n"/>
      <c r="B34" s="22" t="inlineStr">
        <is>
          <t>Alquilado</t>
        </is>
      </c>
      <c r="C34" s="84" t="n"/>
      <c r="D34" s="101">
        <f>SUMIF($D$15:$D$28,B34,$M$15:$M$28)</f>
        <v/>
      </c>
      <c r="E34" s="102">
        <f>IF($M$29=0,"",D34/$M$29)</f>
        <v/>
      </c>
      <c r="G34" s="49" t="n"/>
      <c r="N34" s="50" t="n"/>
    </row>
    <row r="35" ht="18" customHeight="1" s="34">
      <c r="A35" s="36" t="inlineStr">
        <is>
          <t>TOTAL</t>
        </is>
      </c>
      <c r="B35" s="90" t="n"/>
      <c r="C35" s="84" t="n"/>
      <c r="D35" s="99">
        <f>SUM(D33:D34)</f>
        <v/>
      </c>
      <c r="E35" s="103">
        <f>IF(D35=0,"",1)</f>
        <v/>
      </c>
      <c r="G35" s="51" t="n"/>
      <c r="H35" s="52" t="n"/>
      <c r="I35" s="52" t="n"/>
      <c r="J35" s="52" t="n"/>
      <c r="K35" s="52" t="n"/>
      <c r="L35" s="52" t="n"/>
      <c r="M35" s="52" t="n"/>
      <c r="N35" s="53" t="n"/>
    </row>
    <row r="36"/>
    <row r="37" ht="15" customHeight="1" s="34">
      <c r="A37" s="40" t="inlineStr">
        <is>
          <t>FIRMAS</t>
        </is>
      </c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84" t="n"/>
    </row>
    <row r="38">
      <c r="A38" s="28" t="inlineStr">
        <is>
          <t>ELABORÓ — RESIDENTE / ALMACENISTA</t>
        </is>
      </c>
      <c r="B38" s="90" t="n"/>
      <c r="C38" s="90" t="n"/>
      <c r="D38" s="90" t="n"/>
      <c r="E38" s="90" t="n"/>
      <c r="F38" s="90" t="n"/>
      <c r="G38" s="84" t="n"/>
      <c r="H38" s="28" t="inlineStr">
        <is>
          <t>REVISÓ — DIRECTOR DE OBRA</t>
        </is>
      </c>
      <c r="I38" s="90" t="n"/>
      <c r="J38" s="90" t="n"/>
      <c r="K38" s="90" t="n"/>
      <c r="L38" s="90" t="n"/>
      <c r="M38" s="90" t="n"/>
      <c r="N38" s="84" t="n"/>
    </row>
    <row r="39" ht="15" customHeight="1" s="34">
      <c r="A39" s="22" t="inlineStr">
        <is>
          <t>Firma:</t>
        </is>
      </c>
      <c r="B39" s="90" t="n"/>
      <c r="C39" s="84" t="n"/>
      <c r="D39" s="91" t="n"/>
      <c r="E39" s="92" t="n"/>
      <c r="F39" s="92" t="n"/>
      <c r="G39" s="93" t="n"/>
      <c r="H39" s="22" t="inlineStr">
        <is>
          <t>Firma:</t>
        </is>
      </c>
      <c r="I39" s="90" t="n"/>
      <c r="J39" s="84" t="n"/>
      <c r="K39" s="91" t="n"/>
      <c r="L39" s="92" t="n"/>
      <c r="M39" s="92" t="n"/>
      <c r="N39" s="93" t="n"/>
    </row>
    <row r="40" ht="15" customHeight="1" s="34">
      <c r="A40" s="22" t="inlineStr">
        <is>
          <t>Nombre:</t>
        </is>
      </c>
      <c r="B40" s="90" t="n"/>
      <c r="C40" s="84" t="n"/>
      <c r="D40" s="91" t="n"/>
      <c r="E40" s="92" t="n"/>
      <c r="F40" s="92" t="n"/>
      <c r="G40" s="93" t="n"/>
      <c r="H40" s="22" t="inlineStr">
        <is>
          <t>Nombre:</t>
        </is>
      </c>
      <c r="I40" s="90" t="n"/>
      <c r="J40" s="84" t="n"/>
      <c r="K40" s="91" t="n"/>
      <c r="L40" s="92" t="n"/>
      <c r="M40" s="92" t="n"/>
      <c r="N40" s="93" t="n"/>
    </row>
    <row r="41" ht="15" customHeight="1" s="34">
      <c r="A41" s="22" t="inlineStr">
        <is>
          <t>Cargo:</t>
        </is>
      </c>
      <c r="B41" s="90" t="n"/>
      <c r="C41" s="84" t="n"/>
      <c r="D41" s="91" t="n"/>
      <c r="E41" s="92" t="n"/>
      <c r="F41" s="92" t="n"/>
      <c r="G41" s="93" t="n"/>
      <c r="H41" s="22" t="inlineStr">
        <is>
          <t>Cargo:</t>
        </is>
      </c>
      <c r="I41" s="90" t="n"/>
      <c r="J41" s="84" t="n"/>
      <c r="K41" s="91" t="n"/>
      <c r="L41" s="92" t="n"/>
      <c r="M41" s="92" t="n"/>
      <c r="N41" s="9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0">
    <mergeCell ref="A9:N9"/>
    <mergeCell ref="A41:C41"/>
    <mergeCell ref="A31:N31"/>
    <mergeCell ref="L7:M7"/>
    <mergeCell ref="D12:G12"/>
    <mergeCell ref="D39:G39"/>
    <mergeCell ref="K39:N39"/>
    <mergeCell ref="A1:C7"/>
    <mergeCell ref="D1:N1"/>
    <mergeCell ref="A38:G38"/>
    <mergeCell ref="A12:C12"/>
    <mergeCell ref="K10:N10"/>
    <mergeCell ref="H11:J11"/>
    <mergeCell ref="D6:K6"/>
    <mergeCell ref="H39:J39"/>
    <mergeCell ref="D2:N2"/>
    <mergeCell ref="H12:J12"/>
    <mergeCell ref="H38:N38"/>
    <mergeCell ref="L5:M5"/>
    <mergeCell ref="A35:C35"/>
    <mergeCell ref="A37:N37"/>
    <mergeCell ref="D10:G10"/>
    <mergeCell ref="G32:N35"/>
    <mergeCell ref="A29:I29"/>
    <mergeCell ref="D40:G40"/>
    <mergeCell ref="A10:C10"/>
    <mergeCell ref="L4:M4"/>
    <mergeCell ref="D7:K7"/>
    <mergeCell ref="B34:C34"/>
    <mergeCell ref="K11:N11"/>
    <mergeCell ref="A40:C40"/>
    <mergeCell ref="A39:C39"/>
    <mergeCell ref="D11:G11"/>
    <mergeCell ref="K41:N41"/>
    <mergeCell ref="D4:K4"/>
    <mergeCell ref="D41:G41"/>
    <mergeCell ref="A8:N8"/>
    <mergeCell ref="H10:J10"/>
    <mergeCell ref="K40:N40"/>
    <mergeCell ref="A11:C11"/>
    <mergeCell ref="B33:C33"/>
    <mergeCell ref="L6:M6"/>
    <mergeCell ref="D3:K3"/>
    <mergeCell ref="H41:J41"/>
    <mergeCell ref="K12:N12"/>
    <mergeCell ref="H40:J40"/>
    <mergeCell ref="B32:C32"/>
    <mergeCell ref="D5:K5"/>
    <mergeCell ref="L3:N3"/>
    <mergeCell ref="A13:N13"/>
  </mergeCells>
  <pageMargins left="0.4" right="0.4" top="0.4" bottom="0.6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2026-10-09T05:18:12Z</dcterms:created>
  <dcterms:modified xmlns:dcterms="http://purl.org/dc/terms/" xmlns:xsi="http://www.w3.org/2001/XMLSchema-instance" xsi:type="dcterms:W3CDTF">2026-10-10T05:18:06Z</dcterms:modified>
  <cp:lastModifiedBy>Hugo Fernando Hurtado Ruiz</cp:lastModifiedBy>
</cp:coreProperties>
</file>