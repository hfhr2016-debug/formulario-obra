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7" autoFilterDateGrouping="1"/>
  </bookViews>
  <sheets>
    <sheet xmlns:r="http://schemas.openxmlformats.org/officeDocument/2006/relationships" name="Flujo de Caja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5" formatCode="&quot;$&quot;#,##0;[Red]\-&quot;$&quot;#,##0"/>
    <numFmt numFmtId="166" formatCode="0.0%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Calibri"/>
      <family val="2"/>
      <color rgb="FF000000"/>
      <sz val="10"/>
    </font>
    <font>
      <name val="Arial"/>
      <family val="2"/>
      <b val="1"/>
      <color rgb="FF000000"/>
      <sz val="14"/>
    </font>
    <font>
      <name val="Calibri"/>
      <family val="2"/>
      <i val="1"/>
      <color rgb="FF000000"/>
      <sz val="14"/>
    </font>
    <font>
      <name val="Arial"/>
      <family val="2"/>
      <b val="1"/>
      <color rgb="FFFFFFFF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F243E"/>
      <sz val="10"/>
    </font>
    <font>
      <name val="Calibri"/>
      <family val="2"/>
      <b val="1"/>
      <color rgb="FFFFFFFF"/>
      <sz val="10"/>
    </font>
    <font>
      <name val="Calibri"/>
      <family val="2"/>
      <b val="1"/>
      <i val="1"/>
      <color rgb="FF000000"/>
      <sz val="10"/>
    </font>
    <font>
      <name val="Calibri"/>
      <family val="2"/>
      <b val="1"/>
      <sz val="10"/>
    </font>
    <font>
      <name val="Arial"/>
      <family val="2"/>
      <b val="1"/>
      <sz val="12"/>
    </font>
    <font>
      <name val="Calibri"/>
      <family val="2"/>
      <i val="1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A233"/>
      </patternFill>
    </fill>
    <fill>
      <patternFill patternType="solid">
        <fgColor rgb="FFDCE6F1"/>
      </patternFill>
    </fill>
    <fill>
      <patternFill patternType="solid">
        <fgColor rgb="FF92D050"/>
      </patternFill>
    </fill>
    <fill>
      <patternFill patternType="solid">
        <fgColor rgb="FFFAFAFA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A233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right" vertical="center" wrapText="1"/>
    </xf>
    <xf numFmtId="166" fontId="2" fillId="5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right" vertical="center" wrapText="1"/>
    </xf>
    <xf numFmtId="0" fontId="0" fillId="0" borderId="7" pivotButton="0" quotePrefix="0" xfId="0"/>
    <xf numFmtId="4" fontId="2" fillId="0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5" fontId="2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5" fontId="2" fillId="7" borderId="1" applyAlignment="1" pivotButton="0" quotePrefix="0" xfId="0">
      <alignment horizontal="left" vertical="center" wrapText="1"/>
    </xf>
    <xf numFmtId="0" fontId="6" fillId="4" borderId="9" applyAlignment="1" pivotButton="0" quotePrefix="0" xfId="0">
      <alignment vertical="center" wrapText="1"/>
    </xf>
    <xf numFmtId="0" fontId="6" fillId="4" borderId="10" applyAlignment="1" pivotButton="0" quotePrefix="0" xfId="0">
      <alignment vertical="center" wrapText="1"/>
    </xf>
    <xf numFmtId="0" fontId="6" fillId="4" borderId="11" applyAlignment="1" pivotButton="0" quotePrefix="0" xfId="0">
      <alignment vertical="center" wrapText="1"/>
    </xf>
    <xf numFmtId="0" fontId="0" fillId="7" borderId="9" pivotButton="0" quotePrefix="0" xfId="0"/>
    <xf numFmtId="0" fontId="0" fillId="7" borderId="10" pivotButton="0" quotePrefix="0" xfId="0"/>
    <xf numFmtId="0" fontId="0" fillId="7" borderId="11" pivotButton="0" quotePrefix="0" xfId="0"/>
    <xf numFmtId="165" fontId="2" fillId="4" borderId="9" applyAlignment="1" pivotButton="0" quotePrefix="0" xfId="0">
      <alignment horizontal="center" vertical="center" wrapText="1"/>
    </xf>
    <xf numFmtId="165" fontId="2" fillId="4" borderId="10" applyAlignment="1" pivotButton="0" quotePrefix="0" xfId="0">
      <alignment horizontal="center" vertical="center" wrapText="1"/>
    </xf>
    <xf numFmtId="165" fontId="2" fillId="4" borderId="11" applyAlignment="1" pivotButton="0" quotePrefix="0" xfId="0">
      <alignment horizontal="center" vertical="center" wrapText="1"/>
    </xf>
    <xf numFmtId="0" fontId="2" fillId="6" borderId="1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6" borderId="4" applyAlignment="1" pivotButton="0" quotePrefix="0" xfId="0">
      <alignment horizontal="left" vertical="top" wrapText="1"/>
    </xf>
    <xf numFmtId="0" fontId="2" fillId="6" borderId="3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6" borderId="5" applyAlignment="1" pivotButton="0" quotePrefix="0" xfId="0">
      <alignment horizontal="left" vertical="top" wrapText="1"/>
    </xf>
    <xf numFmtId="0" fontId="2" fillId="6" borderId="6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left" vertical="top" wrapText="1"/>
    </xf>
    <xf numFmtId="0" fontId="2" fillId="6" borderId="8" applyAlignment="1" pivotButton="0" quotePrefix="0" xfId="0">
      <alignment horizontal="left" vertical="top" wrapText="1"/>
    </xf>
    <xf numFmtId="166" fontId="2" fillId="8" borderId="1" applyAlignment="1" pivotButton="0" quotePrefix="0" xfId="0">
      <alignment horizontal="left" vertical="center" wrapText="1"/>
    </xf>
    <xf numFmtId="165" fontId="2" fillId="8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4" fontId="2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6" fontId="6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right" vertical="center" wrapText="1"/>
    </xf>
    <xf numFmtId="0" fontId="0" fillId="9" borderId="0" applyAlignment="1" pivotButton="0" quotePrefix="0" xfId="0">
      <alignment horizontal="center"/>
    </xf>
    <xf numFmtId="14" fontId="2" fillId="0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right" vertical="center" wrapText="1"/>
    </xf>
    <xf numFmtId="166" fontId="6" fillId="4" borderId="1" applyAlignment="1" pivotButton="0" quotePrefix="0" xfId="0">
      <alignment horizontal="right" vertical="center" wrapText="1"/>
    </xf>
    <xf numFmtId="0" fontId="0" fillId="0" borderId="10" pivotButton="0" quotePrefix="0" xfId="0"/>
    <xf numFmtId="166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0" fillId="9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 wrapText="1"/>
    </xf>
  </cellXfs>
  <cellStyles count="1">
    <cellStyle name="Normal" xfId="0" builtinId="0"/>
  </cellStyles>
  <dxfs count="3"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3265</xdr:rowOff>
    </xdr:from>
    <xdr:ext cx="3420000" cy="1620000"/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3265"/>
          <a:ext cx="3420000" cy="162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1"/>
  </sheetPr>
  <dimension ref="A1:M41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7.77734375" customWidth="1" style="37" min="1" max="1"/>
    <col width="20" customWidth="1" style="37" min="2" max="2"/>
    <col width="25.77734375" customWidth="1" style="37" min="3" max="3"/>
    <col width="22.77734375" customWidth="1" style="37" min="4" max="7"/>
    <col width="25.77734375" customWidth="1" style="37" min="8" max="11"/>
    <col width="17" customWidth="1" style="37" min="12" max="12"/>
    <col width="30.77734375" customWidth="1" style="37" min="13" max="13"/>
  </cols>
  <sheetData>
    <row r="1" ht="40.05" customHeight="1" s="37">
      <c r="D1" s="45" t="inlineStr">
        <is>
          <t>FLUJO DE CAJA DE LA OBRA</t>
        </is>
      </c>
    </row>
    <row r="2" ht="4.95" customHeight="1" s="37">
      <c r="D2" s="29" t="n"/>
    </row>
    <row r="3" ht="14.4" customHeight="1" s="37">
      <c r="A3" s="27" t="n"/>
      <c r="B3" s="51" t="n"/>
      <c r="D3" s="36" t="n"/>
      <c r="K3" s="41" t="inlineStr">
        <is>
          <t>CONTROL DOCUMENTAL</t>
        </is>
      </c>
      <c r="L3" s="100" t="n"/>
      <c r="M3" s="87" t="n"/>
    </row>
    <row r="4" ht="15" customHeight="1" s="37">
      <c r="A4" s="52" t="n"/>
      <c r="B4" s="53" t="n"/>
      <c r="D4" s="40" t="inlineStr">
        <is>
          <t>REFORMAS Y REMODELACIONES</t>
        </is>
      </c>
      <c r="K4" s="25" t="inlineStr">
        <is>
          <t>Código</t>
        </is>
      </c>
      <c r="L4" s="87" t="n"/>
      <c r="M4" s="3" t="inlineStr">
        <is>
          <t>RYR-CP-009</t>
        </is>
      </c>
    </row>
    <row r="5" ht="14.4" customHeight="1" s="37">
      <c r="A5" s="52" t="n"/>
      <c r="B5" s="53" t="n"/>
      <c r="D5" s="42" t="inlineStr">
        <is>
          <t>DISEÑAMOS, RENOVAMOS Y CONSTRUIMOS ESPACIOS QUE INSPIRAN.</t>
        </is>
      </c>
      <c r="K5" s="25" t="inlineStr">
        <is>
          <t>Versión</t>
        </is>
      </c>
      <c r="L5" s="87" t="n"/>
      <c r="M5" s="3" t="inlineStr">
        <is>
          <t>1</t>
        </is>
      </c>
    </row>
    <row r="6" ht="20.4" customHeight="1" s="37">
      <c r="A6" s="52" t="n"/>
      <c r="B6" s="53" t="n"/>
      <c r="D6" s="36" t="n"/>
      <c r="K6" s="25" t="inlineStr">
        <is>
          <t>Fecha de Emisión</t>
        </is>
      </c>
      <c r="L6" s="87" t="n"/>
      <c r="M6" s="3" t="inlineStr">
        <is>
          <t>08/10/2026</t>
        </is>
      </c>
    </row>
    <row r="7" ht="18" customHeight="1" s="37">
      <c r="A7" s="54" t="n"/>
      <c r="B7" s="56" t="n"/>
      <c r="D7" s="36" t="n"/>
      <c r="K7" s="25" t="inlineStr">
        <is>
          <t>Página</t>
        </is>
      </c>
      <c r="L7" s="87" t="n"/>
      <c r="M7" s="3" t="inlineStr">
        <is>
          <t>1 de 1</t>
        </is>
      </c>
    </row>
    <row r="8">
      <c r="A8" s="31" t="inlineStr">
        <is>
          <t>Ingresos y egresos por mes, proyectados y reales · Anticipa los meses en que la obra se queda sin caja</t>
        </is>
      </c>
      <c r="B8" s="100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87" t="n"/>
    </row>
    <row r="9" ht="15" customHeight="1" s="37">
      <c r="A9" s="43" t="inlineStr">
        <is>
          <t>1. DATOS GENERALES</t>
        </is>
      </c>
      <c r="B9" s="100" t="n"/>
      <c r="C9" s="100" t="n"/>
      <c r="D9" s="100" t="n"/>
      <c r="E9" s="100" t="n"/>
      <c r="F9" s="100" t="n"/>
      <c r="G9" s="100" t="n"/>
      <c r="H9" s="100" t="n"/>
      <c r="I9" s="100" t="n"/>
      <c r="J9" s="100" t="n"/>
      <c r="K9" s="100" t="n"/>
      <c r="L9" s="100" t="n"/>
      <c r="M9" s="87" t="n"/>
    </row>
    <row r="10" ht="18" customHeight="1" s="37">
      <c r="A10" s="25" t="inlineStr">
        <is>
          <t>Proyecto / Obra</t>
        </is>
      </c>
      <c r="B10" s="100" t="n"/>
      <c r="C10" s="87" t="n"/>
      <c r="D10" s="27" t="n"/>
      <c r="E10" s="100" t="n"/>
      <c r="F10" s="87" t="n"/>
      <c r="G10" s="25" t="inlineStr">
        <is>
          <t>Tipo de proyecto</t>
        </is>
      </c>
      <c r="H10" s="100" t="n"/>
      <c r="I10" s="87" t="n"/>
      <c r="J10" s="27" t="n"/>
      <c r="K10" s="100" t="n"/>
      <c r="L10" s="100" t="n"/>
      <c r="M10" s="87" t="n"/>
    </row>
    <row r="11" ht="18" customHeight="1" s="37">
      <c r="A11" s="25" t="inlineStr">
        <is>
          <t>Contrato N°</t>
        </is>
      </c>
      <c r="B11" s="100" t="n"/>
      <c r="C11" s="87" t="n"/>
      <c r="D11" s="27" t="n"/>
      <c r="E11" s="100" t="n"/>
      <c r="F11" s="87" t="n"/>
      <c r="G11" s="25" t="inlineStr">
        <is>
          <t>Contratante</t>
        </is>
      </c>
      <c r="H11" s="100" t="n"/>
      <c r="I11" s="87" t="n"/>
      <c r="J11" s="27" t="n"/>
      <c r="K11" s="100" t="n"/>
      <c r="L11" s="100" t="n"/>
      <c r="M11" s="87" t="n"/>
    </row>
    <row r="12" ht="18" customHeight="1" s="37">
      <c r="A12" s="25" t="inlineStr">
        <is>
          <t>Fecha de corte</t>
        </is>
      </c>
      <c r="B12" s="100" t="n"/>
      <c r="C12" s="87" t="n"/>
      <c r="D12" s="27" t="n"/>
      <c r="E12" s="100" t="n"/>
      <c r="F12" s="87" t="n"/>
      <c r="G12" s="25" t="inlineStr">
        <is>
          <t>Responsable del control</t>
        </is>
      </c>
      <c r="H12" s="100" t="n"/>
      <c r="I12" s="87" t="n"/>
      <c r="J12" s="27" t="n"/>
      <c r="K12" s="100" t="n"/>
      <c r="L12" s="100" t="n"/>
      <c r="M12" s="87" t="n"/>
    </row>
    <row r="13" ht="15" customHeight="1" s="37">
      <c r="A13" s="43" t="inlineStr">
        <is>
          <t>2. FLUJO DE CAJA MENSUAL</t>
        </is>
      </c>
      <c r="B13" s="100" t="n"/>
      <c r="C13" s="100" t="n"/>
      <c r="D13" s="100" t="n"/>
      <c r="E13" s="100" t="n"/>
      <c r="F13" s="100" t="n"/>
      <c r="G13" s="100" t="n"/>
      <c r="H13" s="100" t="n"/>
      <c r="I13" s="100" t="n"/>
      <c r="J13" s="100" t="n"/>
      <c r="K13" s="100" t="n"/>
      <c r="L13" s="100" t="n"/>
      <c r="M13" s="87" t="n"/>
    </row>
    <row r="14" ht="40.05" customHeight="1" s="37">
      <c r="A14" s="86" t="inlineStr">
        <is>
          <t>No.</t>
        </is>
      </c>
      <c r="B14" s="86" t="inlineStr">
        <is>
          <t>Mes o periodo</t>
        </is>
      </c>
      <c r="C14" s="86" t="inlineStr">
        <is>
          <t>Saldo inicial</t>
        </is>
      </c>
      <c r="D14" s="86" t="inlineStr">
        <is>
          <t>Ingresos proyectados</t>
        </is>
      </c>
      <c r="E14" s="86" t="inlineStr">
        <is>
          <t>Ingresos reales</t>
        </is>
      </c>
      <c r="F14" s="86" t="inlineStr">
        <is>
          <t>Egresos proyectados</t>
        </is>
      </c>
      <c r="G14" s="86" t="inlineStr">
        <is>
          <t>Egresos reales</t>
        </is>
      </c>
      <c r="H14" s="86" t="inlineStr">
        <is>
          <t>Flujo neto proyectado</t>
        </is>
      </c>
      <c r="I14" s="86" t="inlineStr">
        <is>
          <t>Flujo neto real</t>
        </is>
      </c>
      <c r="J14" s="86" t="inlineStr">
        <is>
          <t>Saldo final proyectado</t>
        </is>
      </c>
      <c r="K14" s="86" t="inlineStr">
        <is>
          <t>Saldo final real</t>
        </is>
      </c>
      <c r="L14" s="86" t="inlineStr">
        <is>
          <t>Desviación del saldo</t>
        </is>
      </c>
      <c r="M14" s="86" t="inlineStr">
        <is>
          <t>Estado</t>
        </is>
      </c>
    </row>
    <row r="15" ht="22.05" customHeight="1" s="37">
      <c r="A15" s="6" t="n">
        <v>1</v>
      </c>
      <c r="B15" s="6" t="n"/>
      <c r="C15" s="9">
        <f>IF(K14&lt;&gt;"",K14,IF(J14&lt;&gt;"",J14,""))</f>
        <v/>
      </c>
      <c r="D15" s="8" t="n"/>
      <c r="E15" s="8" t="n"/>
      <c r="F15" s="8" t="n"/>
      <c r="G15" s="8" t="n"/>
      <c r="H15" s="9">
        <f>IF(AND(D15="",F15=""),"",N(D15)-N(F15))</f>
        <v/>
      </c>
      <c r="I15" s="9">
        <f>IF(AND(E15="",G15=""),"",N(E15)-N(G15))</f>
        <v/>
      </c>
      <c r="J15" s="9">
        <f>IF(AND(D15="",F15=""),"",N(C15)+N(D15)-N(F15))</f>
        <v/>
      </c>
      <c r="K15" s="9">
        <f>IF(I15="","",N(C15)+I15)</f>
        <v/>
      </c>
      <c r="L15" s="9">
        <f>IF(OR(J15="",K15=""),"",K15-J15)</f>
        <v/>
      </c>
      <c r="M15" s="81">
        <f>IF(AND(J15="",K15=""),"",IF(IF(K15&lt;&gt;"",K15,J15)&lt;0,"DÉFICIT","OK"))</f>
        <v/>
      </c>
    </row>
    <row r="16" ht="22.05" customHeight="1" s="37">
      <c r="A16" s="6" t="n">
        <v>2</v>
      </c>
      <c r="B16" s="6" t="n"/>
      <c r="C16" s="9">
        <f>IF(K15&lt;&gt;"",K15,IF(J15&lt;&gt;"",J15,""))</f>
        <v/>
      </c>
      <c r="D16" s="8" t="n"/>
      <c r="E16" s="8" t="n"/>
      <c r="F16" s="8" t="n"/>
      <c r="G16" s="8" t="n"/>
      <c r="H16" s="9">
        <f>IF(AND(D16="",F16=""),"",N(D16)-N(F16))</f>
        <v/>
      </c>
      <c r="I16" s="9">
        <f>IF(AND(E16="",G16=""),"",N(E16)-N(G16))</f>
        <v/>
      </c>
      <c r="J16" s="9">
        <f>IF(AND(D16="",F16=""),"",IF(J15="",N(C16),J15)+N(D16)-N(F16))</f>
        <v/>
      </c>
      <c r="K16" s="9">
        <f>IF(I16="","",IF(K15&lt;&gt;"",K15,IF(J15&lt;&gt;"",J15,N(C16)))+I16)</f>
        <v/>
      </c>
      <c r="L16" s="9">
        <f>IF(OR(J16="",K16=""),"",K16-J16)</f>
        <v/>
      </c>
      <c r="M16" s="81">
        <f>IF(AND(J16="",K16=""),"",IF(IF(K16&lt;&gt;"",K16,J16)&lt;0,"DÉFICIT","OK"))</f>
        <v/>
      </c>
    </row>
    <row r="17" ht="22.05" customHeight="1" s="37">
      <c r="A17" s="6" t="n">
        <v>3</v>
      </c>
      <c r="B17" s="6" t="n"/>
      <c r="C17" s="9">
        <f>IF(K16&lt;&gt;"",K16,IF(J16&lt;&gt;"",J16,""))</f>
        <v/>
      </c>
      <c r="D17" s="8" t="n"/>
      <c r="E17" s="8" t="n"/>
      <c r="F17" s="8" t="n"/>
      <c r="G17" s="8" t="n"/>
      <c r="H17" s="9">
        <f>IF(AND(D17="",F17=""),"",N(D17)-N(F17))</f>
        <v/>
      </c>
      <c r="I17" s="9">
        <f>IF(AND(E17="",G17=""),"",N(E17)-N(G17))</f>
        <v/>
      </c>
      <c r="J17" s="9">
        <f>IF(AND(D17="",F17=""),"",IF(J16="",N(C17),J16)+N(D17)-N(F17))</f>
        <v/>
      </c>
      <c r="K17" s="9">
        <f>IF(I17="","",IF(K16&lt;&gt;"",K16,IF(J16&lt;&gt;"",J16,N(C17)))+I17)</f>
        <v/>
      </c>
      <c r="L17" s="9">
        <f>IF(OR(J17="",K17=""),"",K17-J17)</f>
        <v/>
      </c>
      <c r="M17" s="81">
        <f>IF(AND(J17="",K17=""),"",IF(IF(K17&lt;&gt;"",K17,J17)&lt;0,"DÉFICIT","OK"))</f>
        <v/>
      </c>
    </row>
    <row r="18" ht="22.05" customHeight="1" s="37">
      <c r="A18" s="6" t="n">
        <v>4</v>
      </c>
      <c r="B18" s="6" t="n"/>
      <c r="C18" s="9">
        <f>IF(K17&lt;&gt;"",K17,IF(J17&lt;&gt;"",J17,""))</f>
        <v/>
      </c>
      <c r="D18" s="8" t="n"/>
      <c r="E18" s="8" t="n"/>
      <c r="F18" s="8" t="n"/>
      <c r="G18" s="8" t="n"/>
      <c r="H18" s="9">
        <f>IF(AND(D18="",F18=""),"",N(D18)-N(F18))</f>
        <v/>
      </c>
      <c r="I18" s="9">
        <f>IF(AND(E18="",G18=""),"",N(E18)-N(G18))</f>
        <v/>
      </c>
      <c r="J18" s="9">
        <f>IF(AND(D18="",F18=""),"",IF(J17="",N(C18),J17)+N(D18)-N(F18))</f>
        <v/>
      </c>
      <c r="K18" s="9">
        <f>IF(I18="","",IF(K17&lt;&gt;"",K17,IF(J17&lt;&gt;"",J17,N(C18)))+I18)</f>
        <v/>
      </c>
      <c r="L18" s="9">
        <f>IF(OR(J18="",K18=""),"",K18-J18)</f>
        <v/>
      </c>
      <c r="M18" s="81">
        <f>IF(AND(J18="",K18=""),"",IF(IF(K18&lt;&gt;"",K18,J18)&lt;0,"DÉFICIT","OK"))</f>
        <v/>
      </c>
    </row>
    <row r="19" ht="22.05" customHeight="1" s="37">
      <c r="A19" s="6" t="n">
        <v>5</v>
      </c>
      <c r="B19" s="6" t="n"/>
      <c r="C19" s="9">
        <f>IF(K18&lt;&gt;"",K18,IF(J18&lt;&gt;"",J18,""))</f>
        <v/>
      </c>
      <c r="D19" s="8" t="n"/>
      <c r="E19" s="8" t="n"/>
      <c r="F19" s="8" t="n"/>
      <c r="G19" s="8" t="n"/>
      <c r="H19" s="9">
        <f>IF(AND(D19="",F19=""),"",N(D19)-N(F19))</f>
        <v/>
      </c>
      <c r="I19" s="9">
        <f>IF(AND(E19="",G19=""),"",N(E19)-N(G19))</f>
        <v/>
      </c>
      <c r="J19" s="9">
        <f>IF(AND(D19="",F19=""),"",IF(J18="",N(C19),J18)+N(D19)-N(F19))</f>
        <v/>
      </c>
      <c r="K19" s="9">
        <f>IF(I19="","",IF(K18&lt;&gt;"",K18,IF(J18&lt;&gt;"",J18,N(C19)))+I19)</f>
        <v/>
      </c>
      <c r="L19" s="9">
        <f>IF(OR(J19="",K19=""),"",K19-J19)</f>
        <v/>
      </c>
      <c r="M19" s="81">
        <f>IF(AND(J19="",K19=""),"",IF(IF(K19&lt;&gt;"",K19,J19)&lt;0,"DÉFICIT","OK"))</f>
        <v/>
      </c>
    </row>
    <row r="20" ht="22.05" customHeight="1" s="37">
      <c r="A20" s="6" t="n">
        <v>6</v>
      </c>
      <c r="B20" s="6" t="n"/>
      <c r="C20" s="9">
        <f>IF(K19&lt;&gt;"",K19,IF(J19&lt;&gt;"",J19,""))</f>
        <v/>
      </c>
      <c r="D20" s="8" t="n"/>
      <c r="E20" s="8" t="n"/>
      <c r="F20" s="8" t="n"/>
      <c r="G20" s="8" t="n"/>
      <c r="H20" s="9">
        <f>IF(AND(D20="",F20=""),"",N(D20)-N(F20))</f>
        <v/>
      </c>
      <c r="I20" s="9">
        <f>IF(AND(E20="",G20=""),"",N(E20)-N(G20))</f>
        <v/>
      </c>
      <c r="J20" s="9">
        <f>IF(AND(D20="",F20=""),"",IF(J19="",N(C20),J19)+N(D20)-N(F20))</f>
        <v/>
      </c>
      <c r="K20" s="9">
        <f>IF(I20="","",IF(K19&lt;&gt;"",K19,IF(J19&lt;&gt;"",J19,N(C20)))+I20)</f>
        <v/>
      </c>
      <c r="L20" s="9">
        <f>IF(OR(J20="",K20=""),"",K20-J20)</f>
        <v/>
      </c>
      <c r="M20" s="81">
        <f>IF(AND(J20="",K20=""),"",IF(IF(K20&lt;&gt;"",K20,J20)&lt;0,"DÉFICIT","OK"))</f>
        <v/>
      </c>
    </row>
    <row r="21" ht="22.05" customHeight="1" s="37">
      <c r="A21" s="6" t="n">
        <v>7</v>
      </c>
      <c r="B21" s="6" t="n"/>
      <c r="C21" s="9">
        <f>IF(K20&lt;&gt;"",K20,IF(J20&lt;&gt;"",J20,""))</f>
        <v/>
      </c>
      <c r="D21" s="8" t="n"/>
      <c r="E21" s="8" t="n"/>
      <c r="F21" s="8" t="n"/>
      <c r="G21" s="8" t="n"/>
      <c r="H21" s="9">
        <f>IF(AND(D21="",F21=""),"",N(D21)-N(F21))</f>
        <v/>
      </c>
      <c r="I21" s="9">
        <f>IF(AND(E21="",G21=""),"",N(E21)-N(G21))</f>
        <v/>
      </c>
      <c r="J21" s="9">
        <f>IF(AND(D21="",F21=""),"",IF(J20="",N(C21),J20)+N(D21)-N(F21))</f>
        <v/>
      </c>
      <c r="K21" s="9">
        <f>IF(I21="","",IF(K20&lt;&gt;"",K20,IF(J20&lt;&gt;"",J20,N(C21)))+I21)</f>
        <v/>
      </c>
      <c r="L21" s="9">
        <f>IF(OR(J21="",K21=""),"",K21-J21)</f>
        <v/>
      </c>
      <c r="M21" s="81">
        <f>IF(AND(J21="",K21=""),"",IF(IF(K21&lt;&gt;"",K21,J21)&lt;0,"DÉFICIT","OK"))</f>
        <v/>
      </c>
    </row>
    <row r="22" ht="22.05" customHeight="1" s="37">
      <c r="A22" s="6" t="n">
        <v>8</v>
      </c>
      <c r="B22" s="6" t="n"/>
      <c r="C22" s="9">
        <f>IF(K21&lt;&gt;"",K21,IF(J21&lt;&gt;"",J21,""))</f>
        <v/>
      </c>
      <c r="D22" s="8" t="n"/>
      <c r="E22" s="8" t="n"/>
      <c r="F22" s="8" t="n"/>
      <c r="G22" s="8" t="n"/>
      <c r="H22" s="9">
        <f>IF(AND(D22="",F22=""),"",N(D22)-N(F22))</f>
        <v/>
      </c>
      <c r="I22" s="9">
        <f>IF(AND(E22="",G22=""),"",N(E22)-N(G22))</f>
        <v/>
      </c>
      <c r="J22" s="9">
        <f>IF(AND(D22="",F22=""),"",IF(J21="",N(C22),J21)+N(D22)-N(F22))</f>
        <v/>
      </c>
      <c r="K22" s="9">
        <f>IF(I22="","",IF(K21&lt;&gt;"",K21,IF(J21&lt;&gt;"",J21,N(C22)))+I22)</f>
        <v/>
      </c>
      <c r="L22" s="9">
        <f>IF(OR(J22="",K22=""),"",K22-J22)</f>
        <v/>
      </c>
      <c r="M22" s="81">
        <f>IF(AND(J22="",K22=""),"",IF(IF(K22&lt;&gt;"",K22,J22)&lt;0,"DÉFICIT","OK"))</f>
        <v/>
      </c>
    </row>
    <row r="23" ht="22.05" customHeight="1" s="37">
      <c r="A23" s="6" t="n">
        <v>9</v>
      </c>
      <c r="B23" s="6" t="n"/>
      <c r="C23" s="9">
        <f>IF(K22&lt;&gt;"",K22,IF(J22&lt;&gt;"",J22,""))</f>
        <v/>
      </c>
      <c r="D23" s="8" t="n"/>
      <c r="E23" s="8" t="n"/>
      <c r="F23" s="8" t="n"/>
      <c r="G23" s="8" t="n"/>
      <c r="H23" s="9">
        <f>IF(AND(D23="",F23=""),"",N(D23)-N(F23))</f>
        <v/>
      </c>
      <c r="I23" s="9">
        <f>IF(AND(E23="",G23=""),"",N(E23)-N(G23))</f>
        <v/>
      </c>
      <c r="J23" s="9">
        <f>IF(AND(D23="",F23=""),"",IF(J22="",N(C23),J22)+N(D23)-N(F23))</f>
        <v/>
      </c>
      <c r="K23" s="9">
        <f>IF(I23="","",IF(K22&lt;&gt;"",K22,IF(J22&lt;&gt;"",J22,N(C23)))+I23)</f>
        <v/>
      </c>
      <c r="L23" s="9">
        <f>IF(OR(J23="",K23=""),"",K23-J23)</f>
        <v/>
      </c>
      <c r="M23" s="81">
        <f>IF(AND(J23="",K23=""),"",IF(IF(K23&lt;&gt;"",K23,J23)&lt;0,"DÉFICIT","OK"))</f>
        <v/>
      </c>
    </row>
    <row r="24" ht="22.05" customHeight="1" s="37">
      <c r="A24" s="6" t="n">
        <v>10</v>
      </c>
      <c r="B24" s="6" t="n"/>
      <c r="C24" s="9">
        <f>IF(K23&lt;&gt;"",K23,IF(J23&lt;&gt;"",J23,""))</f>
        <v/>
      </c>
      <c r="D24" s="8" t="n"/>
      <c r="E24" s="8" t="n"/>
      <c r="F24" s="8" t="n"/>
      <c r="G24" s="8" t="n"/>
      <c r="H24" s="9">
        <f>IF(AND(D24="",F24=""),"",N(D24)-N(F24))</f>
        <v/>
      </c>
      <c r="I24" s="9">
        <f>IF(AND(E24="",G24=""),"",N(E24)-N(G24))</f>
        <v/>
      </c>
      <c r="J24" s="9">
        <f>IF(AND(D24="",F24=""),"",IF(J23="",N(C24),J23)+N(D24)-N(F24))</f>
        <v/>
      </c>
      <c r="K24" s="9">
        <f>IF(I24="","",IF(K23&lt;&gt;"",K23,IF(J23&lt;&gt;"",J23,N(C24)))+I24)</f>
        <v/>
      </c>
      <c r="L24" s="9">
        <f>IF(OR(J24="",K24=""),"",K24-J24)</f>
        <v/>
      </c>
      <c r="M24" s="81">
        <f>IF(AND(J24="",K24=""),"",IF(IF(K24&lt;&gt;"",K24,J24)&lt;0,"DÉFICIT","OK"))</f>
        <v/>
      </c>
    </row>
    <row r="25" ht="22.05" customHeight="1" s="37">
      <c r="A25" s="6" t="n">
        <v>11</v>
      </c>
      <c r="B25" s="6" t="n"/>
      <c r="C25" s="9">
        <f>IF(K24&lt;&gt;"",K24,IF(J24&lt;&gt;"",J24,""))</f>
        <v/>
      </c>
      <c r="D25" s="8" t="n"/>
      <c r="E25" s="8" t="n"/>
      <c r="F25" s="8" t="n"/>
      <c r="G25" s="8" t="n"/>
      <c r="H25" s="9">
        <f>IF(AND(D25="",F25=""),"",N(D25)-N(F25))</f>
        <v/>
      </c>
      <c r="I25" s="9">
        <f>IF(AND(E25="",G25=""),"",N(E25)-N(G25))</f>
        <v/>
      </c>
      <c r="J25" s="9">
        <f>IF(AND(D25="",F25=""),"",IF(J24="",N(C25),J24)+N(D25)-N(F25))</f>
        <v/>
      </c>
      <c r="K25" s="9">
        <f>IF(I25="","",IF(K24&lt;&gt;"",K24,IF(J24&lt;&gt;"",J24,N(C25)))+I25)</f>
        <v/>
      </c>
      <c r="L25" s="9">
        <f>IF(OR(J25="",K25=""),"",K25-J25)</f>
        <v/>
      </c>
      <c r="M25" s="81">
        <f>IF(AND(J25="",K25=""),"",IF(IF(K25&lt;&gt;"",K25,J25)&lt;0,"DÉFICIT","OK"))</f>
        <v/>
      </c>
    </row>
    <row r="26" ht="22.05" customHeight="1" s="37">
      <c r="A26" s="6" t="n">
        <v>12</v>
      </c>
      <c r="B26" s="6" t="n"/>
      <c r="C26" s="9">
        <f>IF(K25&lt;&gt;"",K25,IF(J25&lt;&gt;"",J25,""))</f>
        <v/>
      </c>
      <c r="D26" s="8" t="n"/>
      <c r="E26" s="8" t="n"/>
      <c r="F26" s="8" t="n"/>
      <c r="G26" s="8" t="n"/>
      <c r="H26" s="9">
        <f>IF(AND(D26="",F26=""),"",N(D26)-N(F26))</f>
        <v/>
      </c>
      <c r="I26" s="9">
        <f>IF(AND(E26="",G26=""),"",N(E26)-N(G26))</f>
        <v/>
      </c>
      <c r="J26" s="9">
        <f>IF(AND(D26="",F26=""),"",IF(J25="",N(C26),J25)+N(D26)-N(F26))</f>
        <v/>
      </c>
      <c r="K26" s="9">
        <f>IF(I26="","",IF(K25&lt;&gt;"",K25,IF(J25&lt;&gt;"",J25,N(C26)))+I26)</f>
        <v/>
      </c>
      <c r="L26" s="9">
        <f>IF(OR(J26="",K26=""),"",K26-J26)</f>
        <v/>
      </c>
      <c r="M26" s="81">
        <f>IF(AND(J26="",K26=""),"",IF(IF(K26&lt;&gt;"",K26,J26)&lt;0,"DÉFICIT","OK"))</f>
        <v/>
      </c>
    </row>
    <row r="27">
      <c r="A27" s="39" t="inlineStr">
        <is>
          <t>TOTAL</t>
        </is>
      </c>
      <c r="B27" s="87" t="n"/>
      <c r="C27" s="38" t="n"/>
      <c r="D27" s="89">
        <f>SUM(D15:D26)</f>
        <v/>
      </c>
      <c r="E27" s="89">
        <f>SUM(E15:E26)</f>
        <v/>
      </c>
      <c r="F27" s="89">
        <f>SUM(F15:F26)</f>
        <v/>
      </c>
      <c r="G27" s="89">
        <f>SUM(G15:G26)</f>
        <v/>
      </c>
      <c r="H27" s="89">
        <f>SUM(H15:H26)</f>
        <v/>
      </c>
      <c r="I27" s="89">
        <f>SUM(I15:I26)</f>
        <v/>
      </c>
      <c r="J27" s="38" t="n"/>
      <c r="K27" s="38" t="n"/>
      <c r="L27" s="38" t="n"/>
      <c r="M27" s="38" t="n"/>
    </row>
    <row r="28"/>
    <row r="29" ht="15" customHeight="1" s="37">
      <c r="A29" s="43" t="inlineStr">
        <is>
          <t>3. RESUMEN</t>
        </is>
      </c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0" t="n"/>
      <c r="M29" s="87" t="n"/>
    </row>
    <row r="30" ht="18" customHeight="1" s="37">
      <c r="A30" s="25" t="inlineStr">
        <is>
          <t>Ingresos proyectados del periodo</t>
        </is>
      </c>
      <c r="B30" s="100" t="n"/>
      <c r="C30" s="100" t="n"/>
      <c r="D30" s="100" t="n"/>
      <c r="E30" s="87" t="n"/>
      <c r="F30" s="44">
        <f>D27</f>
        <v/>
      </c>
      <c r="G30" s="87" t="n"/>
      <c r="I30" s="27" t="inlineStr">
        <is>
          <t>Cómo leerlo:
  El saldo inicial se escribe solo en el primer mes; los siguientes lo arrastran.
  Los ingresos son lo que la obra cobra (anticipo, actas, otros); los egresos son lo que paga (materiales, mano de obra, subcontratos, equipos, administración).
  DÉFICIT = el saldo del mes queda por debajo de cero: hay que conseguir recursos o mover pagos.
  Mientras un mes no tenga datos reales, el estado se calcula con lo proyectado.</t>
        </is>
      </c>
      <c r="J30" s="50" t="n"/>
      <c r="K30" s="50" t="n"/>
      <c r="L30" s="50" t="n"/>
      <c r="M30" s="51" t="n"/>
    </row>
    <row r="31" ht="18" customHeight="1" s="37">
      <c r="A31" s="25" t="inlineStr">
        <is>
          <t>Egresos proyectados del periodo</t>
        </is>
      </c>
      <c r="B31" s="100" t="n"/>
      <c r="C31" s="100" t="n"/>
      <c r="D31" s="100" t="n"/>
      <c r="E31" s="87" t="n"/>
      <c r="F31" s="44">
        <f>F27</f>
        <v/>
      </c>
      <c r="G31" s="87" t="n"/>
      <c r="I31" s="52" t="n"/>
      <c r="M31" s="53" t="n"/>
    </row>
    <row r="32" ht="18" customHeight="1" s="37">
      <c r="A32" s="25" t="inlineStr">
        <is>
          <t>Menor saldo proyectado (mes más crítico)</t>
        </is>
      </c>
      <c r="B32" s="100" t="n"/>
      <c r="C32" s="100" t="n"/>
      <c r="D32" s="100" t="n"/>
      <c r="E32" s="87" t="n"/>
      <c r="F32" s="44">
        <f>IF(COUNT(J15:J26)=0,"",MIN(J15:J26))</f>
        <v/>
      </c>
      <c r="G32" s="87" t="n"/>
      <c r="I32" s="52" t="n"/>
      <c r="M32" s="53" t="n"/>
    </row>
    <row r="33" ht="18" customHeight="1" s="37">
      <c r="A33" s="25" t="inlineStr">
        <is>
          <t>Mes más crítico</t>
        </is>
      </c>
      <c r="B33" s="100" t="n"/>
      <c r="C33" s="100" t="n"/>
      <c r="D33" s="100" t="n"/>
      <c r="E33" s="87" t="n"/>
      <c r="F33" s="93">
        <f>IF(COUNT(J15:J26)=0,"",INDEX(B15:B26,MATCH(MIN(J15:J26),J15:J26,0)))</f>
        <v/>
      </c>
      <c r="G33" s="87" t="n"/>
      <c r="I33" s="52" t="n"/>
      <c r="M33" s="53" t="n"/>
    </row>
    <row r="34" ht="18" customHeight="1" s="37">
      <c r="A34" s="25" t="inlineStr">
        <is>
          <t>Financiación que se necesita (si el saldo baja de 0)</t>
        </is>
      </c>
      <c r="B34" s="100" t="n"/>
      <c r="C34" s="100" t="n"/>
      <c r="D34" s="100" t="n"/>
      <c r="E34" s="87" t="n"/>
      <c r="F34" s="44">
        <f>IF(COUNT(J15:J26)=0,"",MAX(0,-MIN(J15:J26)))</f>
        <v/>
      </c>
      <c r="G34" s="87" t="n"/>
      <c r="I34" s="52" t="n"/>
      <c r="M34" s="53" t="n"/>
    </row>
    <row r="35" ht="18" customHeight="1" s="37">
      <c r="A35" s="25" t="inlineStr">
        <is>
          <t>Cumplimiento del recaudo (ingresos reales / proyectados de los meses ya cerrados)</t>
        </is>
      </c>
      <c r="B35" s="100" t="n"/>
      <c r="C35" s="100" t="n"/>
      <c r="D35" s="100" t="n"/>
      <c r="E35" s="87" t="n"/>
      <c r="F35" s="83">
        <f>IF(SUMIFS(D15:D26,E15:E26,"&lt;&gt;")=0,"",E27/SUMIFS(D15:D26,E15:E26,"&lt;&gt;"))</f>
        <v/>
      </c>
      <c r="G35" s="87" t="n"/>
      <c r="I35" s="54" t="n"/>
      <c r="J35" s="55" t="n"/>
      <c r="K35" s="55" t="n"/>
      <c r="L35" s="55" t="n"/>
      <c r="M35" s="56" t="n"/>
    </row>
    <row r="36"/>
    <row r="37" ht="15" customHeight="1" s="37">
      <c r="A37" s="43" t="inlineStr">
        <is>
          <t>FIRMAS</t>
        </is>
      </c>
      <c r="B37" s="100" t="n"/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87" t="n"/>
    </row>
    <row r="38">
      <c r="A38" s="31" t="inlineStr">
        <is>
          <t>ELABORÓ — ADMINISTRACIÓN</t>
        </is>
      </c>
      <c r="B38" s="100" t="n"/>
      <c r="C38" s="100" t="n"/>
      <c r="D38" s="100" t="n"/>
      <c r="E38" s="100" t="n"/>
      <c r="F38" s="87" t="n"/>
      <c r="G38" s="31" t="inlineStr">
        <is>
          <t>REVISÓ — GERENCIA</t>
        </is>
      </c>
      <c r="H38" s="100" t="n"/>
      <c r="I38" s="100" t="n"/>
      <c r="J38" s="100" t="n"/>
      <c r="K38" s="100" t="n"/>
      <c r="L38" s="100" t="n"/>
      <c r="M38" s="87" t="n"/>
    </row>
    <row r="39" ht="15" customHeight="1" s="37">
      <c r="A39" s="25" t="inlineStr">
        <is>
          <t>Firma:</t>
        </is>
      </c>
      <c r="B39" s="100" t="n"/>
      <c r="C39" s="87" t="n"/>
      <c r="D39" s="27" t="n"/>
      <c r="E39" s="100" t="n"/>
      <c r="F39" s="87" t="n"/>
      <c r="G39" s="25" t="inlineStr">
        <is>
          <t>Firma:</t>
        </is>
      </c>
      <c r="H39" s="100" t="n"/>
      <c r="I39" s="87" t="n"/>
      <c r="J39" s="27" t="n"/>
      <c r="K39" s="100" t="n"/>
      <c r="L39" s="100" t="n"/>
      <c r="M39" s="87" t="n"/>
    </row>
    <row r="40" ht="15" customHeight="1" s="37">
      <c r="A40" s="25" t="inlineStr">
        <is>
          <t>Nombre:</t>
        </is>
      </c>
      <c r="B40" s="100" t="n"/>
      <c r="C40" s="87" t="n"/>
      <c r="D40" s="27" t="n"/>
      <c r="E40" s="100" t="n"/>
      <c r="F40" s="87" t="n"/>
      <c r="G40" s="25" t="inlineStr">
        <is>
          <t>Nombre:</t>
        </is>
      </c>
      <c r="H40" s="100" t="n"/>
      <c r="I40" s="87" t="n"/>
      <c r="J40" s="27" t="n"/>
      <c r="K40" s="100" t="n"/>
      <c r="L40" s="100" t="n"/>
      <c r="M40" s="87" t="n"/>
    </row>
    <row r="41" ht="15" customHeight="1" s="37">
      <c r="A41" s="25" t="inlineStr">
        <is>
          <t>Cargo:</t>
        </is>
      </c>
      <c r="B41" s="100" t="n"/>
      <c r="C41" s="87" t="n"/>
      <c r="D41" s="27" t="n"/>
      <c r="E41" s="100" t="n"/>
      <c r="F41" s="87" t="n"/>
      <c r="G41" s="25" t="inlineStr">
        <is>
          <t>Cargo:</t>
        </is>
      </c>
      <c r="H41" s="100" t="n"/>
      <c r="I41" s="87" t="n"/>
      <c r="J41" s="27" t="n"/>
      <c r="K41" s="100" t="n"/>
      <c r="L41" s="100" t="n"/>
      <c r="M41" s="87" t="n"/>
    </row>
  </sheetData>
  <mergeCells count="58">
    <mergeCell ref="A30:E30"/>
    <mergeCell ref="A34:E34"/>
    <mergeCell ref="A41:C41"/>
    <mergeCell ref="D11:F11"/>
    <mergeCell ref="G10:I10"/>
    <mergeCell ref="D4:J4"/>
    <mergeCell ref="D41:F41"/>
    <mergeCell ref="A8:M8"/>
    <mergeCell ref="D3:J3"/>
    <mergeCell ref="F34:G34"/>
    <mergeCell ref="J12:M12"/>
    <mergeCell ref="K5:L5"/>
    <mergeCell ref="A29:M29"/>
    <mergeCell ref="A12:C12"/>
    <mergeCell ref="D5:J5"/>
    <mergeCell ref="A13:M13"/>
    <mergeCell ref="F30:G30"/>
    <mergeCell ref="J39:M39"/>
    <mergeCell ref="A9:M9"/>
    <mergeCell ref="F33:G33"/>
    <mergeCell ref="D12:F12"/>
    <mergeCell ref="D1:M1"/>
    <mergeCell ref="F32:G32"/>
    <mergeCell ref="D39:F39"/>
    <mergeCell ref="A27:B27"/>
    <mergeCell ref="F35:G35"/>
    <mergeCell ref="A38:F38"/>
    <mergeCell ref="A10:C10"/>
    <mergeCell ref="J10:M10"/>
    <mergeCell ref="A3:B7"/>
    <mergeCell ref="G41:I41"/>
    <mergeCell ref="J40:M40"/>
    <mergeCell ref="A33:E33"/>
    <mergeCell ref="A40:C40"/>
    <mergeCell ref="G40:I40"/>
    <mergeCell ref="F31:G31"/>
    <mergeCell ref="D6:J6"/>
    <mergeCell ref="K6:L6"/>
    <mergeCell ref="A32:E32"/>
    <mergeCell ref="A39:C39"/>
    <mergeCell ref="G38:M38"/>
    <mergeCell ref="G12:I12"/>
    <mergeCell ref="K3:M3"/>
    <mergeCell ref="D2:M2"/>
    <mergeCell ref="G11:I11"/>
    <mergeCell ref="D10:F10"/>
    <mergeCell ref="A35:E35"/>
    <mergeCell ref="I30:M35"/>
    <mergeCell ref="A11:C11"/>
    <mergeCell ref="K7:L7"/>
    <mergeCell ref="A37:M37"/>
    <mergeCell ref="D7:J7"/>
    <mergeCell ref="D40:F40"/>
    <mergeCell ref="G39:I39"/>
    <mergeCell ref="J11:M11"/>
    <mergeCell ref="A31:E31"/>
    <mergeCell ref="K4:L4"/>
    <mergeCell ref="J41:M41"/>
  </mergeCells>
  <pageMargins left="0.4" right="0.4" top="0.4" bottom="0.6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2026-10-09T05:18:12Z</dcterms:created>
  <dcterms:modified xmlns:dcterms="http://purl.org/dc/terms/" xmlns:xsi="http://www.w3.org/2001/XMLSchema-instance" xsi:type="dcterms:W3CDTF">2026-10-09T06:58:55Z</dcterms:modified>
  <cp:lastModifiedBy>Hugo Fernando Hurtado Ruiz</cp:lastModifiedBy>
</cp:coreProperties>
</file>