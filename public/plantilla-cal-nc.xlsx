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No Conformidade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447675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42235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N36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11" customWidth="1" style="67" min="2" max="2"/>
    <col width="16" customWidth="1" style="67" min="3" max="3"/>
    <col width="20" customWidth="1" style="67" min="4" max="4"/>
    <col width="28" customWidth="1" style="67" min="5" max="5"/>
    <col width="22" customWidth="1" style="67" min="6" max="6"/>
    <col width="26" customWidth="1" style="67" min="7" max="7"/>
    <col width="12" customWidth="1" style="67" min="8" max="8"/>
    <col width="15" customWidth="1" style="67" min="9" max="9"/>
    <col width="16" customWidth="1" style="67" min="10" max="10"/>
    <col width="11" customWidth="1" style="67" min="11" max="13"/>
    <col width="22" customWidth="1" style="67" min="14" max="14"/>
    <col width="8.88671875" customWidth="1" style="67" min="15" max="16384"/>
  </cols>
  <sheetData>
    <row r="1" ht="40.05" customHeight="1" s="67">
      <c r="D1" s="38" t="inlineStr">
        <is>
          <t>REGISTRO DE NO CONFORMIDADES Y ACCIONES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</row>
    <row r="4" ht="15" customHeight="1" s="67">
      <c r="L4" s="120" t="inlineStr">
        <is>
          <t>CONTROL DOCUMENTAL</t>
        </is>
      </c>
      <c r="M4" s="31" t="n"/>
      <c r="N4" s="32" t="n"/>
    </row>
    <row r="5" ht="15" customHeight="1" s="67">
      <c r="D5" s="27" t="inlineStr">
        <is>
          <t>REFORMAS Y REMODELACIONES</t>
        </is>
      </c>
      <c r="K5" s="29" t="n"/>
      <c r="L5" s="1" t="inlineStr">
        <is>
          <t>Código</t>
        </is>
      </c>
      <c r="M5" s="94" t="inlineStr">
        <is>
          <t>RYR-CA-013</t>
        </is>
      </c>
      <c r="N5" s="32" t="n"/>
    </row>
    <row r="6" ht="15" customHeight="1" s="67">
      <c r="D6" s="37" t="inlineStr">
        <is>
          <t>DISEÑAMOS, RENOVAMOS Y CONSTRUIMOS ESPACIOS QUE INSPIRAN.</t>
        </is>
      </c>
      <c r="K6" s="29" t="n"/>
      <c r="L6" s="1" t="inlineStr">
        <is>
          <t>Versión</t>
        </is>
      </c>
      <c r="M6" s="94" t="n">
        <v>1</v>
      </c>
      <c r="N6" s="32" t="n"/>
    </row>
    <row r="7" ht="15" customHeight="1" s="67">
      <c r="D7" s="68" t="n"/>
      <c r="E7" s="68" t="n"/>
      <c r="F7" s="68" t="n"/>
      <c r="G7" s="68" t="n"/>
      <c r="H7" s="68" t="n"/>
      <c r="I7" s="68" t="n"/>
      <c r="J7" s="68" t="n"/>
      <c r="K7" s="4" t="n"/>
      <c r="L7" s="1" t="inlineStr">
        <is>
          <t>Fecha de Emisión</t>
        </is>
      </c>
      <c r="M7" s="94" t="inlineStr">
        <is>
          <t>09/10/2026</t>
        </is>
      </c>
      <c r="N7" s="32" t="n"/>
    </row>
    <row r="8" ht="15" customHeight="1" s="67">
      <c r="D8" s="68" t="n"/>
      <c r="E8" s="68" t="n"/>
      <c r="F8" s="68" t="n"/>
      <c r="G8" s="68" t="n"/>
      <c r="H8" s="68" t="n"/>
      <c r="I8" s="68" t="n"/>
      <c r="J8" s="68" t="n"/>
      <c r="K8" s="4" t="n"/>
      <c r="L8" s="1" t="inlineStr">
        <is>
          <t>Página</t>
        </is>
      </c>
      <c r="M8" s="94" t="inlineStr">
        <is>
          <t>1 de 1</t>
        </is>
      </c>
      <c r="N8" s="32" t="n"/>
    </row>
    <row r="9" ht="15" customHeight="1" s="67">
      <c r="A9" s="121" t="inlineStr">
        <is>
          <t>Todo lo que no cumple lo especificado se registra, se corrige y se verifica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7" t="n"/>
    </row>
    <row r="11" ht="21" customHeight="1" s="67">
      <c r="A11" s="122" t="inlineStr">
        <is>
          <t>Proyecto / Obra</t>
        </is>
      </c>
      <c r="B11" s="31" t="n"/>
      <c r="C11" s="32" t="n"/>
      <c r="D11" s="161" t="n"/>
      <c r="E11" s="162" t="n"/>
      <c r="F11" s="162" t="n"/>
      <c r="G11" s="163" t="n"/>
      <c r="H11" s="122" t="inlineStr">
        <is>
          <t>Contrato N°</t>
        </is>
      </c>
      <c r="I11" s="32" t="n"/>
      <c r="J11" s="169" t="n"/>
      <c r="K11" s="122" t="inlineStr">
        <is>
          <t>Ubicación</t>
        </is>
      </c>
      <c r="L11" s="32" t="n"/>
      <c r="M11" s="161" t="n"/>
      <c r="N11" s="163" t="n"/>
    </row>
    <row r="12" ht="21" customHeight="1" s="67">
      <c r="A12" s="122" t="inlineStr">
        <is>
          <t>Contratista / Empresa</t>
        </is>
      </c>
      <c r="B12" s="31" t="n"/>
      <c r="C12" s="32" t="n"/>
      <c r="D12" s="161" t="n"/>
      <c r="E12" s="162" t="n"/>
      <c r="F12" s="162" t="n"/>
      <c r="G12" s="163" t="n"/>
      <c r="H12" s="122" t="inlineStr">
        <is>
          <t>Responsable del seguimiento</t>
        </is>
      </c>
      <c r="I12" s="32" t="n"/>
      <c r="J12" s="161" t="n"/>
      <c r="K12" s="162" t="n"/>
      <c r="L12" s="162" t="n"/>
      <c r="M12" s="162" t="n"/>
      <c r="N12" s="163" t="n"/>
    </row>
    <row r="13" ht="21" customHeight="1" s="67">
      <c r="A13" s="122" t="inlineStr">
        <is>
          <t>Fecha de corte</t>
        </is>
      </c>
      <c r="B13" s="31" t="n"/>
      <c r="C13" s="32" t="n"/>
      <c r="D13" s="176" t="n"/>
      <c r="E13" s="22" t="inlineStr">
        <is>
          <t>Periodo</t>
        </is>
      </c>
      <c r="F13" s="169" t="n"/>
      <c r="G13" s="22" t="inlineStr">
        <is>
          <t>Hoja N°</t>
        </is>
      </c>
      <c r="H13" s="169" t="n"/>
    </row>
    <row r="14" ht="16.5" customHeight="1" s="67">
      <c r="A14" s="15" t="inlineStr">
        <is>
          <t>2. REGISTRO Y SEGUIMIENTO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7" t="n"/>
    </row>
    <row r="15" ht="40.05" customHeight="1" s="67">
      <c r="A15" s="42" t="inlineStr">
        <is>
          <t>No.</t>
        </is>
      </c>
      <c r="B15" s="42" t="inlineStr">
        <is>
          <t>Fecha</t>
        </is>
      </c>
      <c r="C15" s="42" t="inlineStr">
        <is>
          <t>Origen</t>
        </is>
      </c>
      <c r="D15" s="42" t="inlineStr">
        <is>
          <t>Actividad o ubicación</t>
        </is>
      </c>
      <c r="E15" s="42" t="inlineStr">
        <is>
          <t>Descripción de la no conformidad</t>
        </is>
      </c>
      <c r="F15" s="42" t="inlineStr">
        <is>
          <t>Causa identificada</t>
        </is>
      </c>
      <c r="G15" s="42" t="inlineStr">
        <is>
          <t>Acción a ejecutar</t>
        </is>
      </c>
      <c r="H15" s="42" t="inlineStr">
        <is>
          <t>Gravedad</t>
        </is>
      </c>
      <c r="I15" s="42" t="inlineStr">
        <is>
          <t>Tipo de acción</t>
        </is>
      </c>
      <c r="J15" s="42" t="inlineStr">
        <is>
          <t>Responsable</t>
        </is>
      </c>
      <c r="K15" s="42" t="inlineStr">
        <is>
          <t>Fecha límite</t>
        </is>
      </c>
      <c r="L15" s="42" t="inlineStr">
        <is>
          <t>Estado</t>
        </is>
      </c>
      <c r="M15" s="42" t="inlineStr">
        <is>
          <t>Fecha de cierre</t>
        </is>
      </c>
      <c r="N15" s="42" t="inlineStr">
        <is>
          <t>Verificación de eficacia y evidencia</t>
        </is>
      </c>
    </row>
    <row r="16" ht="40.05" customHeight="1" s="67">
      <c r="A16" s="125" t="n">
        <v>1</v>
      </c>
      <c r="B16" s="178" t="n"/>
      <c r="C16" s="179" t="n"/>
      <c r="D16" s="170" t="n"/>
      <c r="E16" s="170" t="n"/>
      <c r="F16" s="170" t="n"/>
      <c r="G16" s="170" t="n"/>
      <c r="H16" s="180" t="n"/>
      <c r="I16" s="179" t="n"/>
      <c r="J16" s="170" t="n"/>
      <c r="K16" s="178" t="n"/>
      <c r="L16" s="173" t="n"/>
      <c r="M16" s="178" t="n"/>
      <c r="N16" s="170" t="n"/>
    </row>
    <row r="17" ht="40.05" customHeight="1" s="67">
      <c r="A17" s="125" t="n">
        <v>2</v>
      </c>
      <c r="B17" s="178" t="n"/>
      <c r="C17" s="179" t="n"/>
      <c r="D17" s="170" t="n"/>
      <c r="E17" s="170" t="n"/>
      <c r="F17" s="170" t="n"/>
      <c r="G17" s="170" t="n"/>
      <c r="H17" s="180" t="n"/>
      <c r="I17" s="179" t="n"/>
      <c r="J17" s="170" t="n"/>
      <c r="K17" s="178" t="n"/>
      <c r="L17" s="173" t="n"/>
      <c r="M17" s="178" t="n"/>
      <c r="N17" s="170" t="n"/>
    </row>
    <row r="18" ht="40.05" customHeight="1" s="67">
      <c r="A18" s="125" t="n">
        <v>3</v>
      </c>
      <c r="B18" s="178" t="n"/>
      <c r="C18" s="179" t="n"/>
      <c r="D18" s="170" t="n"/>
      <c r="E18" s="170" t="n"/>
      <c r="F18" s="170" t="n"/>
      <c r="G18" s="170" t="n"/>
      <c r="H18" s="180" t="n"/>
      <c r="I18" s="179" t="n"/>
      <c r="J18" s="170" t="n"/>
      <c r="K18" s="178" t="n"/>
      <c r="L18" s="173" t="n"/>
      <c r="M18" s="178" t="n"/>
      <c r="N18" s="170" t="n"/>
    </row>
    <row r="19" ht="40.05" customHeight="1" s="67">
      <c r="A19" s="125" t="n">
        <v>4</v>
      </c>
      <c r="B19" s="178" t="n"/>
      <c r="C19" s="179" t="n"/>
      <c r="D19" s="170" t="n"/>
      <c r="E19" s="170" t="n"/>
      <c r="F19" s="170" t="n"/>
      <c r="G19" s="170" t="n"/>
      <c r="H19" s="180" t="n"/>
      <c r="I19" s="179" t="n"/>
      <c r="J19" s="170" t="n"/>
      <c r="K19" s="178" t="n"/>
      <c r="L19" s="173" t="n"/>
      <c r="M19" s="178" t="n"/>
      <c r="N19" s="170" t="n"/>
    </row>
    <row r="20" ht="40.05" customHeight="1" s="67">
      <c r="A20" s="125" t="n">
        <v>5</v>
      </c>
      <c r="B20" s="178" t="n"/>
      <c r="C20" s="179" t="n"/>
      <c r="D20" s="170" t="n"/>
      <c r="E20" s="170" t="n"/>
      <c r="F20" s="170" t="n"/>
      <c r="G20" s="170" t="n"/>
      <c r="H20" s="180" t="n"/>
      <c r="I20" s="179" t="n"/>
      <c r="J20" s="170" t="n"/>
      <c r="K20" s="178" t="n"/>
      <c r="L20" s="173" t="n"/>
      <c r="M20" s="178" t="n"/>
      <c r="N20" s="170" t="n"/>
    </row>
    <row r="21" ht="40.05" customHeight="1" s="67">
      <c r="A21" s="125" t="n">
        <v>6</v>
      </c>
      <c r="B21" s="178" t="n"/>
      <c r="C21" s="179" t="n"/>
      <c r="D21" s="170" t="n"/>
      <c r="E21" s="170" t="n"/>
      <c r="F21" s="170" t="n"/>
      <c r="G21" s="170" t="n"/>
      <c r="H21" s="180" t="n"/>
      <c r="I21" s="179" t="n"/>
      <c r="J21" s="170" t="n"/>
      <c r="K21" s="178" t="n"/>
      <c r="L21" s="173" t="n"/>
      <c r="M21" s="178" t="n"/>
      <c r="N21" s="170" t="n"/>
    </row>
    <row r="22" ht="40.05" customHeight="1" s="67">
      <c r="A22" s="125" t="n">
        <v>7</v>
      </c>
      <c r="B22" s="178" t="n"/>
      <c r="C22" s="179" t="n"/>
      <c r="D22" s="170" t="n"/>
      <c r="E22" s="170" t="n"/>
      <c r="F22" s="170" t="n"/>
      <c r="G22" s="170" t="n"/>
      <c r="H22" s="180" t="n"/>
      <c r="I22" s="179" t="n"/>
      <c r="J22" s="170" t="n"/>
      <c r="K22" s="178" t="n"/>
      <c r="L22" s="173" t="n"/>
      <c r="M22" s="178" t="n"/>
      <c r="N22" s="170" t="n"/>
    </row>
    <row r="23" ht="40.05" customHeight="1" s="67">
      <c r="A23" s="125" t="n">
        <v>8</v>
      </c>
      <c r="B23" s="178" t="n"/>
      <c r="C23" s="179" t="n"/>
      <c r="D23" s="170" t="n"/>
      <c r="E23" s="170" t="n"/>
      <c r="F23" s="170" t="n"/>
      <c r="G23" s="170" t="n"/>
      <c r="H23" s="180" t="n"/>
      <c r="I23" s="179" t="n"/>
      <c r="J23" s="170" t="n"/>
      <c r="K23" s="178" t="n"/>
      <c r="L23" s="173" t="n"/>
      <c r="M23" s="178" t="n"/>
      <c r="N23" s="170" t="n"/>
    </row>
    <row r="24" ht="40.05" customHeight="1" s="67">
      <c r="A24" s="125" t="n">
        <v>9</v>
      </c>
      <c r="B24" s="178" t="n"/>
      <c r="C24" s="179" t="n"/>
      <c r="D24" s="170" t="n"/>
      <c r="E24" s="170" t="n"/>
      <c r="F24" s="170" t="n"/>
      <c r="G24" s="170" t="n"/>
      <c r="H24" s="180" t="n"/>
      <c r="I24" s="179" t="n"/>
      <c r="J24" s="170" t="n"/>
      <c r="K24" s="178" t="n"/>
      <c r="L24" s="173" t="n"/>
      <c r="M24" s="178" t="n"/>
      <c r="N24" s="170" t="n"/>
    </row>
    <row r="25" ht="40.05" customHeight="1" s="67">
      <c r="A25" s="125" t="n">
        <v>10</v>
      </c>
      <c r="B25" s="178" t="n"/>
      <c r="C25" s="179" t="n"/>
      <c r="D25" s="170" t="n"/>
      <c r="E25" s="170" t="n"/>
      <c r="F25" s="170" t="n"/>
      <c r="G25" s="170" t="n"/>
      <c r="H25" s="180" t="n"/>
      <c r="I25" s="179" t="n"/>
      <c r="J25" s="170" t="n"/>
      <c r="K25" s="178" t="n"/>
      <c r="L25" s="173" t="n"/>
      <c r="M25" s="178" t="n"/>
      <c r="N25" s="170" t="n"/>
    </row>
    <row r="26" ht="40.05" customHeight="1" s="67">
      <c r="A26" s="125" t="n">
        <v>11</v>
      </c>
      <c r="B26" s="178" t="n"/>
      <c r="C26" s="179" t="n"/>
      <c r="D26" s="170" t="n"/>
      <c r="E26" s="170" t="n"/>
      <c r="F26" s="170" t="n"/>
      <c r="G26" s="170" t="n"/>
      <c r="H26" s="180" t="n"/>
      <c r="I26" s="179" t="n"/>
      <c r="J26" s="170" t="n"/>
      <c r="K26" s="178" t="n"/>
      <c r="L26" s="173" t="n"/>
      <c r="M26" s="178" t="n"/>
      <c r="N26" s="170" t="n"/>
    </row>
    <row r="27" ht="40.05" customHeight="1" s="67">
      <c r="A27" s="125" t="n">
        <v>12</v>
      </c>
      <c r="B27" s="178" t="n"/>
      <c r="C27" s="179" t="n"/>
      <c r="D27" s="170" t="n"/>
      <c r="E27" s="170" t="n"/>
      <c r="F27" s="170" t="n"/>
      <c r="G27" s="170" t="n"/>
      <c r="H27" s="180" t="n"/>
      <c r="I27" s="179" t="n"/>
      <c r="J27" s="170" t="n"/>
      <c r="K27" s="178" t="n"/>
      <c r="L27" s="173" t="n"/>
      <c r="M27" s="178" t="n"/>
      <c r="N27" s="170" t="n"/>
    </row>
    <row r="28" ht="19.95" customHeight="1" s="67">
      <c r="A28" s="124" t="inlineStr">
        <is>
          <t>Total registradas</t>
        </is>
      </c>
      <c r="B28" s="31" t="n"/>
      <c r="C28" s="32" t="n"/>
      <c r="D28" s="42" t="inlineStr">
        <is>
          <t>Abiertas</t>
        </is>
      </c>
      <c r="E28" s="42" t="inlineStr">
        <is>
          <t>En proceso</t>
        </is>
      </c>
      <c r="F28" s="42" t="inlineStr">
        <is>
          <t>Cerradas</t>
        </is>
      </c>
      <c r="G28" s="42" t="inlineStr">
        <is>
          <t>Vencidas</t>
        </is>
      </c>
      <c r="H28" s="124" t="inlineStr">
        <is>
          <t>Críticas abiertas</t>
        </is>
      </c>
      <c r="I28" s="32" t="n"/>
      <c r="J28" s="124" t="inlineStr">
        <is>
          <t>% de cierre</t>
        </is>
      </c>
      <c r="K28" s="32" t="n"/>
    </row>
    <row r="29" ht="22.05" customHeight="1" s="67">
      <c r="A29" s="135">
        <f>COUNTA(E16:E27)</f>
        <v/>
      </c>
      <c r="B29" s="31" t="n"/>
      <c r="C29" s="32" t="n"/>
      <c r="D29" s="133">
        <f>COUNTIF(L16:L27,"Abierta")</f>
        <v/>
      </c>
      <c r="E29" s="133">
        <f>COUNTIF(L16:L27,"En proceso")</f>
        <v/>
      </c>
      <c r="F29" s="133">
        <f>COUNTIF(L16:L27,"Cerrada")</f>
        <v/>
      </c>
      <c r="G29" s="133">
        <f>SUMPRODUCT((K16:K27&lt;&gt;"")*(L16:L27&lt;&gt;"Cerrada")*(K16:K27&lt;TODAY()))</f>
        <v/>
      </c>
      <c r="H29" s="135">
        <f>COUNTIFS(H16:H27,"Crítica",L16:L27,"&lt;&gt;Cerrada")</f>
        <v/>
      </c>
      <c r="I29" s="32" t="n"/>
      <c r="J29" s="140">
        <f>IF(A29=0,"",F29/A29)</f>
        <v/>
      </c>
      <c r="K29" s="32" t="n"/>
    </row>
    <row r="30" ht="34.05" customHeight="1" s="67">
      <c r="A30" s="87" t="inlineStr">
        <is>
          <t>Gravedad: LEVE = no afecta la función ni la seguridad (se corrige en el mismo frente) · MAYOR = afecta la función, la durabilidad o el acabado y exige acción correctiva · CRÍTICA = compromete la seguridad o la estabilidad: se detiene la actividad hasta decidir. Una no conformidad se cierra con evidencia; la eficacia se verifica cuando la causa no se repite.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2" t="n"/>
    </row>
    <row r="31" ht="16.5" customHeight="1" s="67">
      <c r="A31" s="15" t="inlineStr">
        <is>
          <t>3. FIRMAS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7" t="n"/>
    </row>
    <row r="32" ht="18" customHeight="1" s="67">
      <c r="A32" s="130" t="inlineStr">
        <is>
          <t>ELABORÓ — INSPECTOR / INGENIERO DE CALIDAD</t>
        </is>
      </c>
      <c r="B32" s="31" t="n"/>
      <c r="C32" s="31" t="n"/>
      <c r="D32" s="31" t="n"/>
      <c r="E32" s="32" t="n"/>
      <c r="F32" s="130" t="inlineStr">
        <is>
          <t>REVISÓ — RESIDENTE DE OBRA</t>
        </is>
      </c>
      <c r="G32" s="31" t="n"/>
      <c r="H32" s="31" t="n"/>
      <c r="I32" s="31" t="n"/>
      <c r="J32" s="32" t="n"/>
      <c r="K32" s="130" t="inlineStr">
        <is>
          <t>Vo.Bo. — INTERVENTORÍA / GERENCIA</t>
        </is>
      </c>
      <c r="L32" s="31" t="n"/>
      <c r="M32" s="31" t="n"/>
      <c r="N32" s="32" t="n"/>
    </row>
    <row r="33" ht="42" customHeight="1" s="67">
      <c r="A33" s="18" t="inlineStr">
        <is>
          <t>Firma:</t>
        </is>
      </c>
      <c r="B33" s="17" t="n"/>
      <c r="C33" s="170" t="n"/>
      <c r="D33" s="171" t="n"/>
      <c r="E33" s="172" t="n"/>
      <c r="F33" s="18" t="inlineStr">
        <is>
          <t>Firma:</t>
        </is>
      </c>
      <c r="G33" s="17" t="n"/>
      <c r="H33" s="170" t="n"/>
      <c r="I33" s="171" t="n"/>
      <c r="J33" s="172" t="n"/>
      <c r="K33" s="18" t="inlineStr">
        <is>
          <t>Firma:</t>
        </is>
      </c>
      <c r="L33" s="17" t="n"/>
      <c r="M33" s="170" t="n"/>
      <c r="N33" s="172" t="n"/>
    </row>
    <row r="34" ht="21" customHeight="1" s="67">
      <c r="A34" s="18" t="inlineStr">
        <is>
          <t>Nombre:</t>
        </is>
      </c>
      <c r="B34" s="17" t="n"/>
      <c r="C34" s="170" t="n"/>
      <c r="D34" s="171" t="n"/>
      <c r="E34" s="172" t="n"/>
      <c r="F34" s="18" t="inlineStr">
        <is>
          <t>Nombre:</t>
        </is>
      </c>
      <c r="G34" s="17" t="n"/>
      <c r="H34" s="170" t="n"/>
      <c r="I34" s="171" t="n"/>
      <c r="J34" s="172" t="n"/>
      <c r="K34" s="18" t="inlineStr">
        <is>
          <t>Nombre:</t>
        </is>
      </c>
      <c r="L34" s="17" t="n"/>
      <c r="M34" s="170" t="n"/>
      <c r="N34" s="172" t="n"/>
    </row>
    <row r="35" ht="21" customHeight="1" s="67">
      <c r="A35" s="18" t="inlineStr">
        <is>
          <t>Cargo:</t>
        </is>
      </c>
      <c r="B35" s="17" t="n"/>
      <c r="C35" s="170" t="n"/>
      <c r="D35" s="171" t="n"/>
      <c r="E35" s="172" t="n"/>
      <c r="F35" s="18" t="inlineStr">
        <is>
          <t>Cargo:</t>
        </is>
      </c>
      <c r="G35" s="17" t="n"/>
      <c r="H35" s="170" t="n"/>
      <c r="I35" s="171" t="n"/>
      <c r="J35" s="172" t="n"/>
      <c r="K35" s="18" t="inlineStr">
        <is>
          <t>Cargo:</t>
        </is>
      </c>
      <c r="L35" s="17" t="n"/>
      <c r="M35" s="170" t="n"/>
      <c r="N35" s="172" t="n"/>
    </row>
    <row r="36">
      <c r="A36" s="2" t="inlineStr">
        <is>
          <t>REV. 09/10/2026</t>
        </is>
      </c>
      <c r="H36" s="33">
        <f>M5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2">
    <mergeCell ref="A9:N9"/>
    <mergeCell ref="A31:N31"/>
    <mergeCell ref="K34:L34"/>
    <mergeCell ref="J29:K29"/>
    <mergeCell ref="M34:N34"/>
    <mergeCell ref="D12:G12"/>
    <mergeCell ref="H29:I29"/>
    <mergeCell ref="A30:N30"/>
    <mergeCell ref="F34:G34"/>
    <mergeCell ref="K33:L33"/>
    <mergeCell ref="M5:N5"/>
    <mergeCell ref="J28:K28"/>
    <mergeCell ref="L4:N4"/>
    <mergeCell ref="A12:C12"/>
    <mergeCell ref="K35:L35"/>
    <mergeCell ref="K11:L11"/>
    <mergeCell ref="M35:N35"/>
    <mergeCell ref="M11:N11"/>
    <mergeCell ref="D6:K6"/>
    <mergeCell ref="F33:G33"/>
    <mergeCell ref="A29:C29"/>
    <mergeCell ref="F32:J32"/>
    <mergeCell ref="F35:G35"/>
    <mergeCell ref="H33:J33"/>
    <mergeCell ref="A28:C28"/>
    <mergeCell ref="M7:N7"/>
    <mergeCell ref="A13:C13"/>
    <mergeCell ref="H11:I11"/>
    <mergeCell ref="M6:N6"/>
    <mergeCell ref="A33:B33"/>
    <mergeCell ref="D1:N2"/>
    <mergeCell ref="M33:N33"/>
    <mergeCell ref="H35:J35"/>
    <mergeCell ref="A32:E32"/>
    <mergeCell ref="H28:I28"/>
    <mergeCell ref="K32:N32"/>
    <mergeCell ref="D11:G11"/>
    <mergeCell ref="C34:E34"/>
    <mergeCell ref="A14:N14"/>
    <mergeCell ref="M8:N8"/>
    <mergeCell ref="A35:B35"/>
    <mergeCell ref="D3:N3"/>
    <mergeCell ref="C33:E33"/>
    <mergeCell ref="H12:I12"/>
    <mergeCell ref="H36:N36"/>
    <mergeCell ref="A11:C11"/>
    <mergeCell ref="J12:N12"/>
    <mergeCell ref="H34:J34"/>
    <mergeCell ref="D5:K5"/>
    <mergeCell ref="A10:N10"/>
    <mergeCell ref="C35:E35"/>
    <mergeCell ref="A34:B34"/>
  </mergeCells>
  <pageMargins left="0.4" right="0.4" top="0.4" bottom="0.7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2026-10-10T14:16:09Z</dcterms:modified>
  <cp:lastModifiedBy>Hugo Fernando Hurtado Ruiz</cp:lastModifiedBy>
</cp:coreProperties>
</file>