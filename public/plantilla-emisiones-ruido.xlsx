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misiones y Ruid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hh:mm"/>
    <numFmt numFmtId="166" formatCode="#,##0.0"/>
    <numFmt numFmtId="167" formatCode="0.0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  <font>
      <name val="Calibri"/>
      <sz val="10"/>
    </font>
    <font>
      <name val="Calibri"/>
      <b val="1"/>
      <sz val="10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99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4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4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165" fontId="20" fillId="0" borderId="14" applyAlignment="1" pivotButton="0" quotePrefix="0" xfId="3">
      <alignment horizontal="center" vertical="center"/>
    </xf>
    <xf numFmtId="166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166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165" fontId="7" fillId="0" borderId="7" applyAlignment="1" pivotButton="0" quotePrefix="0" xfId="3">
      <alignment horizontal="center" vertical="center" wrapText="1"/>
    </xf>
    <xf numFmtId="167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  <xf numFmtId="0" fontId="4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14" applyAlignment="1" pivotButton="0" quotePrefix="0" xfId="3">
      <alignment horizontal="center" vertical="center"/>
    </xf>
    <xf numFmtId="0" fontId="40" fillId="0" borderId="14" applyAlignment="1" pivotButton="0" quotePrefix="0" xfId="3">
      <alignment horizontal="left" vertical="center" wrapText="1"/>
    </xf>
    <xf numFmtId="0" fontId="40" fillId="0" borderId="14" applyAlignment="1" applyProtection="1" pivotButton="0" quotePrefix="0" xfId="3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0" fontId="40" fillId="0" borderId="14" applyAlignment="1" applyProtection="1" pivotButton="0" quotePrefix="0" xfId="3">
      <alignment horizontal="left" vertical="center" wrapText="1"/>
      <protection locked="0" hidden="0"/>
    </xf>
    <xf numFmtId="165" fontId="40" fillId="0" borderId="14" applyAlignment="1" applyProtection="1" pivotButton="0" quotePrefix="0" xfId="3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166" fontId="40" fillId="0" borderId="14" applyAlignment="1" applyProtection="1" pivotButton="0" quotePrefix="0" xfId="3">
      <alignment horizontal="center" vertical="center"/>
      <protection locked="0" hidden="0"/>
    </xf>
    <xf numFmtId="167" fontId="40" fillId="0" borderId="14" applyAlignment="1" applyProtection="1" pivotButton="0" quotePrefix="0" xfId="3">
      <alignment horizontal="center" vertical="center"/>
      <protection locked="0" hidden="0"/>
    </xf>
    <xf numFmtId="0" fontId="41" fillId="0" borderId="14" applyAlignment="1" pivotButton="0" quotePrefix="0" xfId="3">
      <alignment horizontal="center" vertical="center"/>
    </xf>
    <xf numFmtId="164" fontId="40" fillId="0" borderId="14" applyAlignment="1" applyProtection="1" pivotButton="0" quotePrefix="0" xfId="3">
      <alignment horizontal="center" vertical="center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1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360" t="inlineStr">
        <is>
          <t>CONTROL DE EMISIONES ATMOSFÉRICAS Y RUIDO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RYR-AM-006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Material particulado, humedecimiento y niveles de ruido · Res. 0627 de 2006 · Res. 0909 de 2008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DEL CONTROL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89" t="n"/>
      <c r="C11" s="383" t="n"/>
      <c r="D11" s="384" t="n"/>
      <c r="E11" s="384" t="n"/>
      <c r="F11" s="384" t="n"/>
      <c r="G11" s="384" t="n"/>
      <c r="H11" s="384" t="n"/>
      <c r="I11" s="384" t="n"/>
      <c r="J11" s="384" t="n"/>
      <c r="K11" s="384" t="n"/>
      <c r="L11" s="385" t="n"/>
    </row>
    <row r="12" ht="21" customHeight="1" s="127">
      <c r="A12" s="365" t="inlineStr">
        <is>
          <t>Contratista / Empresa</t>
        </is>
      </c>
      <c r="B12" s="89" t="n"/>
      <c r="C12" s="383" t="n"/>
      <c r="D12" s="384" t="n"/>
      <c r="E12" s="384" t="n"/>
      <c r="F12" s="384" t="n"/>
      <c r="G12" s="385" t="n"/>
      <c r="H12" s="365" t="inlineStr">
        <is>
          <t>Ubicación</t>
        </is>
      </c>
      <c r="I12" s="89" t="n"/>
      <c r="J12" s="383" t="n"/>
      <c r="K12" s="384" t="n"/>
      <c r="L12" s="385" t="n"/>
    </row>
    <row r="13" ht="21" customHeight="1" s="127">
      <c r="A13" s="365" t="inlineStr">
        <is>
          <t>Fecha</t>
        </is>
      </c>
      <c r="B13" s="89" t="n"/>
      <c r="C13" s="386" t="n"/>
      <c r="D13" s="385" t="n"/>
      <c r="E13" s="365" t="inlineStr">
        <is>
          <t>Responsable del control</t>
        </is>
      </c>
      <c r="F13" s="89" t="n"/>
      <c r="G13" s="383" t="n"/>
      <c r="H13" s="384" t="n"/>
      <c r="I13" s="384" t="n"/>
      <c r="J13" s="384" t="n"/>
      <c r="K13" s="384" t="n"/>
      <c r="L13" s="385" t="n"/>
    </row>
    <row r="14" ht="21" customHeight="1" s="127">
      <c r="A14" s="365" t="inlineStr">
        <is>
          <t>Sector del predio (ruido)</t>
        </is>
      </c>
      <c r="B14" s="89" t="n"/>
      <c r="C14" s="383" t="n"/>
      <c r="D14" s="384" t="n"/>
      <c r="E14" s="384" t="n"/>
      <c r="F14" s="384" t="n"/>
      <c r="G14" s="385" t="n"/>
      <c r="H14" s="365" t="inlineStr">
        <is>
          <t>Condición del clima</t>
        </is>
      </c>
      <c r="I14" s="89" t="n"/>
      <c r="J14" s="387" t="n"/>
      <c r="K14" s="384" t="n"/>
      <c r="L14" s="385" t="n"/>
    </row>
    <row r="15" ht="16.5" customHeight="1" s="127">
      <c r="A15" s="364" t="inlineStr">
        <is>
          <t>2. VERIFICACIÓN DE MEDIDAS DE CONTROL</t>
        </is>
      </c>
      <c r="B15" s="98" t="n"/>
      <c r="C15" s="98" t="n"/>
      <c r="D15" s="98" t="n"/>
      <c r="E15" s="98" t="n"/>
      <c r="F15" s="98" t="n"/>
      <c r="G15" s="98" t="n"/>
      <c r="H15" s="98" t="n"/>
      <c r="I15" s="98" t="n"/>
      <c r="J15" s="98" t="n"/>
      <c r="K15" s="98" t="n"/>
      <c r="L15" s="97" t="n"/>
    </row>
    <row r="16" ht="19" customHeight="1" s="127">
      <c r="A16" s="367" t="inlineStr">
        <is>
          <t>No.</t>
        </is>
      </c>
      <c r="B16" s="367" t="inlineStr">
        <is>
          <t>Medida a verificar</t>
        </is>
      </c>
      <c r="C16" s="347" t="n"/>
      <c r="D16" s="347" t="n"/>
      <c r="E16" s="347" t="n"/>
      <c r="F16" s="347" t="n"/>
      <c r="G16" s="347" t="n"/>
      <c r="H16" s="348" t="n"/>
      <c r="I16" s="367" t="inlineStr">
        <is>
          <t>¿Cumple?</t>
        </is>
      </c>
      <c r="J16" s="348" t="n"/>
      <c r="K16" s="367" t="inlineStr">
        <is>
          <t>Observación</t>
        </is>
      </c>
      <c r="L16" s="348" t="n"/>
    </row>
    <row r="17" ht="17" customHeight="1" s="127">
      <c r="A17" s="388" t="n">
        <v>1</v>
      </c>
      <c r="B17" s="389" t="inlineStr">
        <is>
          <t>Humedecimiento de vías internas y zonas de movimiento de tierras</t>
        </is>
      </c>
      <c r="C17" s="98" t="n"/>
      <c r="D17" s="98" t="n"/>
      <c r="E17" s="98" t="n"/>
      <c r="F17" s="98" t="n"/>
      <c r="G17" s="98" t="n"/>
      <c r="H17" s="97" t="n"/>
      <c r="I17" s="390" t="n"/>
      <c r="J17" s="391" t="n"/>
      <c r="K17" s="392" t="n"/>
      <c r="L17" s="391" t="n"/>
    </row>
    <row r="18" ht="17" customHeight="1" s="127">
      <c r="A18" s="388" t="n">
        <v>2</v>
      </c>
      <c r="B18" s="389" t="inlineStr">
        <is>
          <t>Volquetas con carpa o cubiertas al salir de la obra</t>
        </is>
      </c>
      <c r="C18" s="98" t="n"/>
      <c r="D18" s="98" t="n"/>
      <c r="E18" s="98" t="n"/>
      <c r="F18" s="98" t="n"/>
      <c r="G18" s="98" t="n"/>
      <c r="H18" s="97" t="n"/>
      <c r="I18" s="390" t="n"/>
      <c r="J18" s="391" t="n"/>
      <c r="K18" s="392" t="n"/>
      <c r="L18" s="391" t="n"/>
    </row>
    <row r="19" ht="17" customHeight="1" s="127">
      <c r="A19" s="388" t="n">
        <v>3</v>
      </c>
      <c r="B19" s="389" t="inlineStr">
        <is>
          <t>Acopios de material cubiertos o humedecidos</t>
        </is>
      </c>
      <c r="C19" s="98" t="n"/>
      <c r="D19" s="98" t="n"/>
      <c r="E19" s="98" t="n"/>
      <c r="F19" s="98" t="n"/>
      <c r="G19" s="98" t="n"/>
      <c r="H19" s="97" t="n"/>
      <c r="I19" s="390" t="n"/>
      <c r="J19" s="391" t="n"/>
      <c r="K19" s="392" t="n"/>
      <c r="L19" s="391" t="n"/>
    </row>
    <row r="20" ht="17" customHeight="1" s="127">
      <c r="A20" s="388" t="n">
        <v>4</v>
      </c>
      <c r="B20" s="389" t="inlineStr">
        <is>
          <t>Cerramiento o polisombra perimetral en buen estado</t>
        </is>
      </c>
      <c r="C20" s="98" t="n"/>
      <c r="D20" s="98" t="n"/>
      <c r="E20" s="98" t="n"/>
      <c r="F20" s="98" t="n"/>
      <c r="G20" s="98" t="n"/>
      <c r="H20" s="97" t="n"/>
      <c r="I20" s="390" t="n"/>
      <c r="J20" s="391" t="n"/>
      <c r="K20" s="392" t="n"/>
      <c r="L20" s="391" t="n"/>
    </row>
    <row r="21" ht="17" customHeight="1" s="127">
      <c r="A21" s="388" t="n">
        <v>5</v>
      </c>
      <c r="B21" s="389" t="inlineStr">
        <is>
          <t>Lavado de llantas de vehículos a la salida de la obra</t>
        </is>
      </c>
      <c r="C21" s="98" t="n"/>
      <c r="D21" s="98" t="n"/>
      <c r="E21" s="98" t="n"/>
      <c r="F21" s="98" t="n"/>
      <c r="G21" s="98" t="n"/>
      <c r="H21" s="97" t="n"/>
      <c r="I21" s="390" t="n"/>
      <c r="J21" s="391" t="n"/>
      <c r="K21" s="392" t="n"/>
      <c r="L21" s="391" t="n"/>
    </row>
    <row r="22" ht="17" customHeight="1" s="127">
      <c r="A22" s="388" t="n">
        <v>6</v>
      </c>
      <c r="B22" s="389" t="inlineStr">
        <is>
          <t>Velocidad máxima en obra respetada</t>
        </is>
      </c>
      <c r="C22" s="98" t="n"/>
      <c r="D22" s="98" t="n"/>
      <c r="E22" s="98" t="n"/>
      <c r="F22" s="98" t="n"/>
      <c r="G22" s="98" t="n"/>
      <c r="H22" s="97" t="n"/>
      <c r="I22" s="390" t="n"/>
      <c r="J22" s="391" t="n"/>
      <c r="K22" s="392" t="n"/>
      <c r="L22" s="391" t="n"/>
    </row>
    <row r="23" ht="17" customHeight="1" s="127">
      <c r="A23" s="388" t="n">
        <v>7</v>
      </c>
      <c r="B23" s="389" t="inlineStr">
        <is>
          <t>Sin quema de residuos ni materiales</t>
        </is>
      </c>
      <c r="C23" s="98" t="n"/>
      <c r="D23" s="98" t="n"/>
      <c r="E23" s="98" t="n"/>
      <c r="F23" s="98" t="n"/>
      <c r="G23" s="98" t="n"/>
      <c r="H23" s="97" t="n"/>
      <c r="I23" s="390" t="n"/>
      <c r="J23" s="391" t="n"/>
      <c r="K23" s="392" t="n"/>
      <c r="L23" s="391" t="n"/>
    </row>
    <row r="24" ht="17" customHeight="1" s="127">
      <c r="A24" s="388" t="n">
        <v>8</v>
      </c>
      <c r="B24" s="389" t="inlineStr">
        <is>
          <t>Maquinaria y equipos sin humo visible ni fugas</t>
        </is>
      </c>
      <c r="C24" s="98" t="n"/>
      <c r="D24" s="98" t="n"/>
      <c r="E24" s="98" t="n"/>
      <c r="F24" s="98" t="n"/>
      <c r="G24" s="98" t="n"/>
      <c r="H24" s="97" t="n"/>
      <c r="I24" s="390" t="n"/>
      <c r="J24" s="391" t="n"/>
      <c r="K24" s="392" t="n"/>
      <c r="L24" s="391" t="n"/>
    </row>
    <row r="25" ht="17" customHeight="1" s="127">
      <c r="A25" s="388" t="n">
        <v>9</v>
      </c>
      <c r="B25" s="389" t="inlineStr">
        <is>
          <t>Corte de materiales con humedecimiento o extracción</t>
        </is>
      </c>
      <c r="C25" s="98" t="n"/>
      <c r="D25" s="98" t="n"/>
      <c r="E25" s="98" t="n"/>
      <c r="F25" s="98" t="n"/>
      <c r="G25" s="98" t="n"/>
      <c r="H25" s="97" t="n"/>
      <c r="I25" s="390" t="n"/>
      <c r="J25" s="391" t="n"/>
      <c r="K25" s="392" t="n"/>
      <c r="L25" s="391" t="n"/>
    </row>
    <row r="26" ht="17" customHeight="1" s="127">
      <c r="A26" s="388" t="n">
        <v>10</v>
      </c>
      <c r="B26" s="389" t="inlineStr">
        <is>
          <t>Equipos de bajo ruido o con silenciador en buen estado</t>
        </is>
      </c>
      <c r="C26" s="98" t="n"/>
      <c r="D26" s="98" t="n"/>
      <c r="E26" s="98" t="n"/>
      <c r="F26" s="98" t="n"/>
      <c r="G26" s="98" t="n"/>
      <c r="H26" s="97" t="n"/>
      <c r="I26" s="390" t="n"/>
      <c r="J26" s="391" t="n"/>
      <c r="K26" s="392" t="n"/>
      <c r="L26" s="391" t="n"/>
    </row>
    <row r="27" ht="17" customHeight="1" s="127">
      <c r="A27" s="388" t="n">
        <v>11</v>
      </c>
      <c r="B27" s="389" t="inlineStr">
        <is>
          <t>Actividades ruidosas dentro del horario permitido</t>
        </is>
      </c>
      <c r="C27" s="98" t="n"/>
      <c r="D27" s="98" t="n"/>
      <c r="E27" s="98" t="n"/>
      <c r="F27" s="98" t="n"/>
      <c r="G27" s="98" t="n"/>
      <c r="H27" s="97" t="n"/>
      <c r="I27" s="390" t="n"/>
      <c r="J27" s="391" t="n"/>
      <c r="K27" s="392" t="n"/>
      <c r="L27" s="391" t="n"/>
    </row>
    <row r="28" ht="16.5" customHeight="1" s="127">
      <c r="A28" s="364" t="inlineStr">
        <is>
          <t>3. REGISTRO DE HUMEDECIMIENTO DE VÍAS Y ZONAS</t>
        </is>
      </c>
      <c r="B28" s="98" t="n"/>
      <c r="C28" s="98" t="n"/>
      <c r="D28" s="98" t="n"/>
      <c r="E28" s="98" t="n"/>
      <c r="F28" s="98" t="n"/>
      <c r="G28" s="98" t="n"/>
      <c r="H28" s="98" t="n"/>
      <c r="I28" s="98" t="n"/>
      <c r="J28" s="98" t="n"/>
      <c r="K28" s="98" t="n"/>
      <c r="L28" s="97" t="n"/>
    </row>
    <row r="29" ht="24" customHeight="1" s="127">
      <c r="A29" s="367" t="inlineStr">
        <is>
          <t>No.</t>
        </is>
      </c>
      <c r="B29" s="367" t="inlineStr">
        <is>
          <t>Hora</t>
        </is>
      </c>
      <c r="C29" s="367" t="inlineStr">
        <is>
          <t>Zona o tramo</t>
        </is>
      </c>
      <c r="D29" s="347" t="n"/>
      <c r="E29" s="348" t="n"/>
      <c r="F29" s="367" t="inlineStr">
        <is>
          <t>Método</t>
        </is>
      </c>
      <c r="G29" s="348" t="n"/>
      <c r="H29" s="367" t="inlineStr">
        <is>
          <t>Agua usada (m³)</t>
        </is>
      </c>
      <c r="I29" s="367" t="inlineStr">
        <is>
          <t>Responsable</t>
        </is>
      </c>
      <c r="J29" s="348" t="n"/>
      <c r="K29" s="367" t="inlineStr">
        <is>
          <t>Observaciones</t>
        </is>
      </c>
      <c r="L29" s="348" t="n"/>
    </row>
    <row r="30" ht="19" customHeight="1" s="127">
      <c r="A30" s="388" t="n">
        <v>1</v>
      </c>
      <c r="B30" s="393" t="n"/>
      <c r="C30" s="392" t="n"/>
      <c r="D30" s="394" t="n"/>
      <c r="E30" s="391" t="n"/>
      <c r="F30" s="390" t="n"/>
      <c r="G30" s="391" t="n"/>
      <c r="H30" s="395" t="n"/>
      <c r="I30" s="392" t="n"/>
      <c r="J30" s="391" t="n"/>
      <c r="K30" s="392" t="n"/>
      <c r="L30" s="391" t="n"/>
    </row>
    <row r="31" ht="19" customHeight="1" s="127">
      <c r="A31" s="388" t="n">
        <v>2</v>
      </c>
      <c r="B31" s="393" t="n"/>
      <c r="C31" s="392" t="n"/>
      <c r="D31" s="394" t="n"/>
      <c r="E31" s="391" t="n"/>
      <c r="F31" s="390" t="n"/>
      <c r="G31" s="391" t="n"/>
      <c r="H31" s="395" t="n"/>
      <c r="I31" s="392" t="n"/>
      <c r="J31" s="391" t="n"/>
      <c r="K31" s="392" t="n"/>
      <c r="L31" s="391" t="n"/>
    </row>
    <row r="32" ht="19" customHeight="1" s="127">
      <c r="A32" s="388" t="n">
        <v>3</v>
      </c>
      <c r="B32" s="393" t="n"/>
      <c r="C32" s="392" t="n"/>
      <c r="D32" s="394" t="n"/>
      <c r="E32" s="391" t="n"/>
      <c r="F32" s="390" t="n"/>
      <c r="G32" s="391" t="n"/>
      <c r="H32" s="395" t="n"/>
      <c r="I32" s="392" t="n"/>
      <c r="J32" s="391" t="n"/>
      <c r="K32" s="392" t="n"/>
      <c r="L32" s="391" t="n"/>
    </row>
    <row r="33" ht="19" customHeight="1" s="127">
      <c r="A33" s="388" t="n">
        <v>4</v>
      </c>
      <c r="B33" s="393" t="n"/>
      <c r="C33" s="392" t="n"/>
      <c r="D33" s="394" t="n"/>
      <c r="E33" s="391" t="n"/>
      <c r="F33" s="390" t="n"/>
      <c r="G33" s="391" t="n"/>
      <c r="H33" s="395" t="n"/>
      <c r="I33" s="392" t="n"/>
      <c r="J33" s="391" t="n"/>
      <c r="K33" s="392" t="n"/>
      <c r="L33" s="391" t="n"/>
    </row>
    <row r="34" ht="16.5" customHeight="1" s="127">
      <c r="A34" s="364" t="inlineStr">
        <is>
          <t>4. MEDICIÓN DE RUIDO (dB(A))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7" t="n"/>
    </row>
    <row r="35" ht="30" customHeight="1" s="127">
      <c r="A35" s="367" t="inlineStr">
        <is>
          <t>No.</t>
        </is>
      </c>
      <c r="B35" s="367" t="inlineStr">
        <is>
          <t>Punto de medición</t>
        </is>
      </c>
      <c r="C35" s="348" t="n"/>
      <c r="D35" s="367" t="inlineStr">
        <is>
          <t>Hora</t>
        </is>
      </c>
      <c r="E35" s="367" t="inlineStr">
        <is>
          <t>Fuente o actividad</t>
        </is>
      </c>
      <c r="F35" s="348" t="n"/>
      <c r="G35" s="367" t="inlineStr">
        <is>
          <t>Jornada</t>
        </is>
      </c>
      <c r="H35" s="348" t="n"/>
      <c r="I35" s="367" t="inlineStr">
        <is>
          <t>Nivel medido dB(A)</t>
        </is>
      </c>
      <c r="J35" s="367" t="inlineStr">
        <is>
          <t>Límite dB(A)</t>
        </is>
      </c>
      <c r="K35" s="367" t="inlineStr">
        <is>
          <t>¿Cumple?</t>
        </is>
      </c>
      <c r="L35" s="348" t="n"/>
    </row>
    <row r="36" ht="20" customHeight="1" s="127">
      <c r="A36" s="388" t="n">
        <v>1</v>
      </c>
      <c r="B36" s="392" t="n"/>
      <c r="C36" s="391" t="n"/>
      <c r="D36" s="393" t="n"/>
      <c r="E36" s="392" t="n"/>
      <c r="F36" s="391" t="n"/>
      <c r="G36" s="390" t="n"/>
      <c r="H36" s="391" t="n"/>
      <c r="I36" s="396" t="n"/>
      <c r="J36" s="388">
        <f>IF(OR($C$14="",G36=""),"",IF(LEFT($C$14,1)="A",IF(LEFT(G36,1)="D",55,50),IF(LEFT($C$14,1)="B",IF(LEFT(G36,1)="D",65,55),IF(LEFT($C$14,1)="D",IF(LEFT(G36,1)="D",55,50),IF(ISNUMBER(SEARCH("Industrial",$C$14)),75,IF(LEFT(G36,1)="D",70,60))))))</f>
        <v/>
      </c>
      <c r="K36" s="397">
        <f>IF(OR(I36="",J36=""),"",IF(I36&lt;=J36,"Cumple","No cumple"))</f>
        <v/>
      </c>
      <c r="L36" s="97" t="n"/>
    </row>
    <row r="37" ht="20" customHeight="1" s="127">
      <c r="A37" s="388" t="n">
        <v>2</v>
      </c>
      <c r="B37" s="392" t="n"/>
      <c r="C37" s="391" t="n"/>
      <c r="D37" s="393" t="n"/>
      <c r="E37" s="392" t="n"/>
      <c r="F37" s="391" t="n"/>
      <c r="G37" s="390" t="n"/>
      <c r="H37" s="391" t="n"/>
      <c r="I37" s="396" t="n"/>
      <c r="J37" s="388">
        <f>IF(OR($C$14="",G37=""),"",IF(LEFT($C$14,1)="A",IF(LEFT(G37,1)="D",55,50),IF(LEFT($C$14,1)="B",IF(LEFT(G37,1)="D",65,55),IF(LEFT($C$14,1)="D",IF(LEFT(G37,1)="D",55,50),IF(ISNUMBER(SEARCH("Industrial",$C$14)),75,IF(LEFT(G37,1)="D",70,60))))))</f>
        <v/>
      </c>
      <c r="K37" s="397">
        <f>IF(OR(I37="",J37=""),"",IF(I37&lt;=J37,"Cumple","No cumple"))</f>
        <v/>
      </c>
      <c r="L37" s="97" t="n"/>
    </row>
    <row r="38" ht="20" customHeight="1" s="127">
      <c r="A38" s="388" t="n">
        <v>3</v>
      </c>
      <c r="B38" s="392" t="n"/>
      <c r="C38" s="391" t="n"/>
      <c r="D38" s="393" t="n"/>
      <c r="E38" s="392" t="n"/>
      <c r="F38" s="391" t="n"/>
      <c r="G38" s="390" t="n"/>
      <c r="H38" s="391" t="n"/>
      <c r="I38" s="396" t="n"/>
      <c r="J38" s="388">
        <f>IF(OR($C$14="",G38=""),"",IF(LEFT($C$14,1)="A",IF(LEFT(G38,1)="D",55,50),IF(LEFT($C$14,1)="B",IF(LEFT(G38,1)="D",65,55),IF(LEFT($C$14,1)="D",IF(LEFT(G38,1)="D",55,50),IF(ISNUMBER(SEARCH("Industrial",$C$14)),75,IF(LEFT(G38,1)="D",70,60))))))</f>
        <v/>
      </c>
      <c r="K38" s="397">
        <f>IF(OR(I38="",J38=""),"",IF(I38&lt;=J38,"Cumple","No cumple"))</f>
        <v/>
      </c>
      <c r="L38" s="97" t="n"/>
    </row>
    <row r="39" ht="20" customHeight="1" s="127">
      <c r="A39" s="388" t="n">
        <v>4</v>
      </c>
      <c r="B39" s="392" t="n"/>
      <c r="C39" s="391" t="n"/>
      <c r="D39" s="393" t="n"/>
      <c r="E39" s="392" t="n"/>
      <c r="F39" s="391" t="n"/>
      <c r="G39" s="390" t="n"/>
      <c r="H39" s="391" t="n"/>
      <c r="I39" s="396" t="n"/>
      <c r="J39" s="388">
        <f>IF(OR($C$14="",G39=""),"",IF(LEFT($C$14,1)="A",IF(LEFT(G39,1)="D",55,50),IF(LEFT($C$14,1)="B",IF(LEFT(G39,1)="D",65,55),IF(LEFT($C$14,1)="D",IF(LEFT(G39,1)="D",55,50),IF(ISNUMBER(SEARCH("Industrial",$C$14)),75,IF(LEFT(G39,1)="D",70,60))))))</f>
        <v/>
      </c>
      <c r="K39" s="397">
        <f>IF(OR(I39="",J39=""),"",IF(I39&lt;=J39,"Cumple","No cumple"))</f>
        <v/>
      </c>
      <c r="L39" s="97" t="n"/>
    </row>
    <row r="40" ht="26" customHeight="1" s="127">
      <c r="A40" s="369" t="inlineStr">
        <is>
          <t>El límite se calcula según el sector del predio y la jornada (Res. 0627 de 2006): A 55/50 · B 65/55 · C comercial 70/60 · C industrial 75/75 · D 55/50 dB(A), día/noche. Verifique si la autoridad local fijó otro valor.</t>
        </is>
      </c>
      <c r="B40" s="93" t="n"/>
      <c r="C40" s="93" t="n"/>
      <c r="D40" s="93" t="n"/>
      <c r="E40" s="93" t="n"/>
      <c r="F40" s="93" t="n"/>
      <c r="G40" s="93" t="n"/>
      <c r="H40" s="93" t="n"/>
      <c r="I40" s="93" t="n"/>
      <c r="J40" s="93" t="n"/>
      <c r="K40" s="93" t="n"/>
      <c r="L40" s="89" t="n"/>
    </row>
    <row r="41" ht="16.5" customHeight="1" s="127">
      <c r="A41" s="364" t="inlineStr">
        <is>
          <t>5. HALLAZGOS Y ACCIONES</t>
        </is>
      </c>
      <c r="B41" s="98" t="n"/>
      <c r="C41" s="98" t="n"/>
      <c r="D41" s="98" t="n"/>
      <c r="E41" s="98" t="n"/>
      <c r="F41" s="98" t="n"/>
      <c r="G41" s="98" t="n"/>
      <c r="H41" s="98" t="n"/>
      <c r="I41" s="98" t="n"/>
      <c r="J41" s="98" t="n"/>
      <c r="K41" s="98" t="n"/>
      <c r="L41" s="97" t="n"/>
    </row>
    <row r="42" ht="22" customHeight="1" s="127">
      <c r="A42" s="367" t="inlineStr">
        <is>
          <t>No.</t>
        </is>
      </c>
      <c r="B42" s="367" t="inlineStr">
        <is>
          <t>Hallazgo</t>
        </is>
      </c>
      <c r="C42" s="347" t="n"/>
      <c r="D42" s="347" t="n"/>
      <c r="E42" s="347" t="n"/>
      <c r="F42" s="348" t="n"/>
      <c r="G42" s="367" t="inlineStr">
        <is>
          <t>Acción a tomar</t>
        </is>
      </c>
      <c r="H42" s="347" t="n"/>
      <c r="I42" s="348" t="n"/>
      <c r="J42" s="367" t="inlineStr">
        <is>
          <t>Responsable</t>
        </is>
      </c>
      <c r="K42" s="348" t="n"/>
      <c r="L42" s="367" t="inlineStr">
        <is>
          <t>Fecha límite</t>
        </is>
      </c>
    </row>
    <row r="43" ht="24" customHeight="1" s="127">
      <c r="A43" s="388" t="n">
        <v>1</v>
      </c>
      <c r="B43" s="392" t="n"/>
      <c r="C43" s="394" t="n"/>
      <c r="D43" s="394" t="n"/>
      <c r="E43" s="394" t="n"/>
      <c r="F43" s="391" t="n"/>
      <c r="G43" s="392" t="n"/>
      <c r="H43" s="394" t="n"/>
      <c r="I43" s="391" t="n"/>
      <c r="J43" s="392" t="n"/>
      <c r="K43" s="391" t="n"/>
      <c r="L43" s="398" t="n"/>
    </row>
    <row r="44" ht="24" customHeight="1" s="127">
      <c r="A44" s="388" t="n">
        <v>2</v>
      </c>
      <c r="B44" s="392" t="n"/>
      <c r="C44" s="394" t="n"/>
      <c r="D44" s="394" t="n"/>
      <c r="E44" s="394" t="n"/>
      <c r="F44" s="391" t="n"/>
      <c r="G44" s="392" t="n"/>
      <c r="H44" s="394" t="n"/>
      <c r="I44" s="391" t="n"/>
      <c r="J44" s="392" t="n"/>
      <c r="K44" s="391" t="n"/>
      <c r="L44" s="398" t="n"/>
    </row>
    <row r="45" ht="24" customHeight="1" s="127">
      <c r="A45" s="388" t="n">
        <v>3</v>
      </c>
      <c r="B45" s="392" t="n"/>
      <c r="C45" s="394" t="n"/>
      <c r="D45" s="394" t="n"/>
      <c r="E45" s="394" t="n"/>
      <c r="F45" s="391" t="n"/>
      <c r="G45" s="392" t="n"/>
      <c r="H45" s="394" t="n"/>
      <c r="I45" s="391" t="n"/>
      <c r="J45" s="392" t="n"/>
      <c r="K45" s="391" t="n"/>
      <c r="L45" s="398" t="n"/>
    </row>
    <row r="46" ht="16.5" customHeight="1" s="127">
      <c r="A46" s="364" t="inlineStr">
        <is>
          <t>6. FIRMAS</t>
        </is>
      </c>
      <c r="B46" s="98" t="n"/>
      <c r="C46" s="98" t="n"/>
      <c r="D46" s="98" t="n"/>
      <c r="E46" s="98" t="n"/>
      <c r="F46" s="98" t="n"/>
      <c r="G46" s="98" t="n"/>
      <c r="H46" s="98" t="n"/>
      <c r="I46" s="98" t="n"/>
      <c r="J46" s="98" t="n"/>
      <c r="K46" s="98" t="n"/>
      <c r="L46" s="97" t="n"/>
    </row>
    <row r="47" ht="18" customHeight="1" s="127">
      <c r="A47" s="370" t="inlineStr">
        <is>
          <t>CONTROLÓ — RESPONSABLE AMBIENTAL</t>
        </is>
      </c>
      <c r="B47" s="347" t="n"/>
      <c r="C47" s="347" t="n"/>
      <c r="D47" s="347" t="n"/>
      <c r="E47" s="347" t="n"/>
      <c r="F47" s="348" t="n"/>
      <c r="G47" s="370" t="inlineStr">
        <is>
          <t>REVISÓ — RESIDENTE DE OBRA</t>
        </is>
      </c>
      <c r="H47" s="347" t="n"/>
      <c r="I47" s="347" t="n"/>
      <c r="J47" s="347" t="n"/>
      <c r="K47" s="347" t="n"/>
      <c r="L47" s="348" t="n"/>
    </row>
    <row r="48" ht="42" customHeight="1" s="127">
      <c r="A48" s="371" t="inlineStr">
        <is>
          <t>Firma:</t>
        </is>
      </c>
      <c r="B48" s="97" t="n"/>
      <c r="C48" s="392" t="n"/>
      <c r="D48" s="394" t="n"/>
      <c r="E48" s="394" t="n"/>
      <c r="F48" s="391" t="n"/>
      <c r="G48" s="371" t="inlineStr">
        <is>
          <t>Firma:</t>
        </is>
      </c>
      <c r="H48" s="97" t="n"/>
      <c r="I48" s="392" t="n"/>
      <c r="J48" s="394" t="n"/>
      <c r="K48" s="394" t="n"/>
      <c r="L48" s="391" t="n"/>
    </row>
    <row r="49" ht="21" customHeight="1" s="127">
      <c r="A49" s="371" t="inlineStr">
        <is>
          <t>Nombre:</t>
        </is>
      </c>
      <c r="B49" s="97" t="n"/>
      <c r="C49" s="392" t="n"/>
      <c r="D49" s="394" t="n"/>
      <c r="E49" s="394" t="n"/>
      <c r="F49" s="391" t="n"/>
      <c r="G49" s="371" t="inlineStr">
        <is>
          <t>Nombre:</t>
        </is>
      </c>
      <c r="H49" s="97" t="n"/>
      <c r="I49" s="392" t="n"/>
      <c r="J49" s="394" t="n"/>
      <c r="K49" s="394" t="n"/>
      <c r="L49" s="391" t="n"/>
    </row>
    <row r="50" ht="21" customHeight="1" s="127">
      <c r="A50" s="371" t="inlineStr">
        <is>
          <t>Cargo:</t>
        </is>
      </c>
      <c r="B50" s="97" t="n"/>
      <c r="C50" s="392" t="n"/>
      <c r="D50" s="394" t="n"/>
      <c r="E50" s="394" t="n"/>
      <c r="F50" s="391" t="n"/>
      <c r="G50" s="371" t="inlineStr">
        <is>
          <t>Cargo:</t>
        </is>
      </c>
      <c r="H50" s="97" t="n"/>
      <c r="I50" s="392" t="n"/>
      <c r="J50" s="394" t="n"/>
      <c r="K50" s="394" t="n"/>
      <c r="L50" s="391" t="n"/>
    </row>
    <row r="51">
      <c r="A51" s="25" t="inlineStr">
        <is>
          <t>REV. 08/10/2026</t>
        </is>
      </c>
      <c r="G51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34">
    <mergeCell ref="I48:L48"/>
    <mergeCell ref="F29:G29"/>
    <mergeCell ref="K24:L24"/>
    <mergeCell ref="C31:E31"/>
    <mergeCell ref="K33:L33"/>
    <mergeCell ref="A46:L46"/>
    <mergeCell ref="B24:H24"/>
    <mergeCell ref="C14:G14"/>
    <mergeCell ref="I26:J26"/>
    <mergeCell ref="K26:L26"/>
    <mergeCell ref="K35:L35"/>
    <mergeCell ref="A47:F47"/>
    <mergeCell ref="D1:L2"/>
    <mergeCell ref="B26:H26"/>
    <mergeCell ref="I16:J16"/>
    <mergeCell ref="I25:J25"/>
    <mergeCell ref="B42:F42"/>
    <mergeCell ref="B16:H16"/>
    <mergeCell ref="J45:K45"/>
    <mergeCell ref="B25:H25"/>
    <mergeCell ref="I18:J18"/>
    <mergeCell ref="B44:F44"/>
    <mergeCell ref="B38:C38"/>
    <mergeCell ref="B18:H18"/>
    <mergeCell ref="B27:H27"/>
    <mergeCell ref="D5:I5"/>
    <mergeCell ref="E36:F36"/>
    <mergeCell ref="A34:L34"/>
    <mergeCell ref="C50:F50"/>
    <mergeCell ref="I20:J20"/>
    <mergeCell ref="G42:I42"/>
    <mergeCell ref="K37:L37"/>
    <mergeCell ref="D6:I6"/>
    <mergeCell ref="B35:C35"/>
    <mergeCell ref="I30:J30"/>
    <mergeCell ref="A48:B48"/>
    <mergeCell ref="K30:L30"/>
    <mergeCell ref="A11:B11"/>
    <mergeCell ref="G48:H48"/>
    <mergeCell ref="K21:L21"/>
    <mergeCell ref="B43:F43"/>
    <mergeCell ref="F30:G30"/>
    <mergeCell ref="E38:F38"/>
    <mergeCell ref="G38:H38"/>
    <mergeCell ref="I32:J32"/>
    <mergeCell ref="K32:L32"/>
    <mergeCell ref="F33:G33"/>
    <mergeCell ref="C32:E32"/>
    <mergeCell ref="G49:H49"/>
    <mergeCell ref="G47:L47"/>
    <mergeCell ref="C12:G12"/>
    <mergeCell ref="I24:J24"/>
    <mergeCell ref="B37:C37"/>
    <mergeCell ref="I33:J33"/>
    <mergeCell ref="K27:L27"/>
    <mergeCell ref="F31:G31"/>
    <mergeCell ref="A40:L40"/>
    <mergeCell ref="I17:J17"/>
    <mergeCell ref="G43:I43"/>
    <mergeCell ref="K17:L17"/>
    <mergeCell ref="G35:H35"/>
    <mergeCell ref="H12:I12"/>
    <mergeCell ref="C33:E33"/>
    <mergeCell ref="J14:L14"/>
    <mergeCell ref="B17:H17"/>
    <mergeCell ref="I19:J19"/>
    <mergeCell ref="K19:L19"/>
    <mergeCell ref="B45:F45"/>
    <mergeCell ref="H14:I14"/>
    <mergeCell ref="K6:L6"/>
    <mergeCell ref="B19:H19"/>
    <mergeCell ref="C11:L11"/>
    <mergeCell ref="K16:L16"/>
    <mergeCell ref="K25:L25"/>
    <mergeCell ref="A49:B49"/>
    <mergeCell ref="K5:L5"/>
    <mergeCell ref="J4:L4"/>
    <mergeCell ref="B20:H20"/>
    <mergeCell ref="E39:F39"/>
    <mergeCell ref="G39:H39"/>
    <mergeCell ref="K29:L29"/>
    <mergeCell ref="G45:I45"/>
    <mergeCell ref="G37:H37"/>
    <mergeCell ref="D3:L3"/>
    <mergeCell ref="E13:F13"/>
    <mergeCell ref="K31:L31"/>
    <mergeCell ref="A12:B12"/>
    <mergeCell ref="I21:J21"/>
    <mergeCell ref="G44:I44"/>
    <mergeCell ref="K8:L8"/>
    <mergeCell ref="B21:H21"/>
    <mergeCell ref="A14:B14"/>
    <mergeCell ref="I23:J23"/>
    <mergeCell ref="K23:L23"/>
    <mergeCell ref="C30:E30"/>
    <mergeCell ref="B23:H23"/>
    <mergeCell ref="K7:L7"/>
    <mergeCell ref="A15:L15"/>
    <mergeCell ref="J42:K42"/>
    <mergeCell ref="G50:H50"/>
    <mergeCell ref="K18:L18"/>
    <mergeCell ref="J44:K44"/>
    <mergeCell ref="C48:F48"/>
    <mergeCell ref="A41:L41"/>
    <mergeCell ref="G13:L13"/>
    <mergeCell ref="I27:J27"/>
    <mergeCell ref="G36:H36"/>
    <mergeCell ref="K36:L36"/>
    <mergeCell ref="B39:C39"/>
    <mergeCell ref="E35:F35"/>
    <mergeCell ref="I50:L50"/>
    <mergeCell ref="K20:L20"/>
    <mergeCell ref="C49:F49"/>
    <mergeCell ref="I22:J22"/>
    <mergeCell ref="F32:G32"/>
    <mergeCell ref="J12:L12"/>
    <mergeCell ref="K22:L22"/>
    <mergeCell ref="G51:L51"/>
    <mergeCell ref="I49:L49"/>
    <mergeCell ref="A50:B50"/>
    <mergeCell ref="B22:H22"/>
    <mergeCell ref="A10:L10"/>
    <mergeCell ref="A28:L28"/>
    <mergeCell ref="A9:L9"/>
    <mergeCell ref="K39:L39"/>
    <mergeCell ref="I29:J29"/>
    <mergeCell ref="J43:K43"/>
    <mergeCell ref="K38:L38"/>
    <mergeCell ref="A13:B13"/>
    <mergeCell ref="B36:C36"/>
    <mergeCell ref="E37:F37"/>
    <mergeCell ref="C13:D13"/>
    <mergeCell ref="I31:J31"/>
    <mergeCell ref="C29:E29"/>
  </mergeCells>
  <conditionalFormatting sqref="K36:L36">
    <cfRule type="expression" priority="1" dxfId="12">
      <formula>$K$36="Cumple"</formula>
    </cfRule>
    <cfRule type="expression" priority="2" dxfId="13">
      <formula>$K$36="No cumple"</formula>
    </cfRule>
  </conditionalFormatting>
  <conditionalFormatting sqref="K37:L37">
    <cfRule type="expression" priority="3" dxfId="12">
      <formula>$K$37="Cumple"</formula>
    </cfRule>
    <cfRule type="expression" priority="4" dxfId="13">
      <formula>$K$37="No cumple"</formula>
    </cfRule>
  </conditionalFormatting>
  <conditionalFormatting sqref="K38:L38">
    <cfRule type="expression" priority="5" dxfId="12">
      <formula>$K$38="Cumple"</formula>
    </cfRule>
    <cfRule type="expression" priority="6" dxfId="13">
      <formula>$K$38="No cumple"</formula>
    </cfRule>
  </conditionalFormatting>
  <conditionalFormatting sqref="K39:L39">
    <cfRule type="expression" priority="7" dxfId="12">
      <formula>$K$39="Cumple"</formula>
    </cfRule>
    <cfRule type="expression" priority="8" dxfId="13">
      <formula>$K$39="No cumple"</formula>
    </cfRule>
  </conditionalFormatting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2026-10-10T05:18:06Z</dcterms:modified>
  <cp:lastModifiedBy>Hugo Fernando Hurtado Ruiz</cp:lastModifiedBy>
</cp:coreProperties>
</file>