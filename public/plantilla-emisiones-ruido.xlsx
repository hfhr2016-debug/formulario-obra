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Emisiones y Ruido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 iterateDelta="0.0001"/>
</workbook>
</file>

<file path=xl/styles.xml><?xml version="1.0" encoding="utf-8"?>
<styleSheet xmlns="http://schemas.openxmlformats.org/spreadsheetml/2006/main">
  <numFmts count="4">
    <numFmt numFmtId="165" formatCode="dd/mm/yyyy"/>
    <numFmt numFmtId="167" formatCode="hh:mm"/>
    <numFmt numFmtId="168" formatCode="#,##0.0"/>
    <numFmt numFmtId="169" formatCode="0.0"/>
  </numFmts>
  <fonts count="4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  <scheme val="minor"/>
    </font>
    <font>
      <name val="Arial"/>
      <family val="2"/>
      <b val="1"/>
      <color theme="0"/>
      <sz val="16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4"/>
      <scheme val="minor"/>
    </font>
    <font>
      <name val="Calibri"/>
      <family val="2"/>
      <b val="1"/>
      <color rgb="FF1B2A45"/>
      <sz val="10"/>
      <scheme val="minor"/>
    </font>
    <font>
      <name val="Calibri"/>
      <family val="2"/>
      <i val="1"/>
      <sz val="9"/>
      <scheme val="minor"/>
    </font>
    <font>
      <name val="Calibri"/>
      <family val="2"/>
      <b val="1"/>
      <color theme="1"/>
      <sz val="10"/>
    </font>
    <font>
      <name val="Calibri"/>
      <family val="2"/>
      <color theme="1"/>
      <sz val="10"/>
    </font>
    <font>
      <name val="Arial"/>
      <family val="2"/>
      <i val="1"/>
      <sz val="9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1B2A45"/>
      <sz val="9"/>
      <scheme val="minor"/>
    </font>
    <font>
      <name val="Calibri"/>
      <family val="2"/>
      <sz val="9.5"/>
      <scheme val="minor"/>
    </font>
    <font>
      <name val="Calibri"/>
      <family val="2"/>
      <sz val="9"/>
      <scheme val="minor"/>
    </font>
    <font>
      <name val="Calibri"/>
      <family val="2"/>
      <sz val="8.5"/>
      <scheme val="minor"/>
    </font>
    <font>
      <name val="Calibri"/>
      <family val="2"/>
      <color rgb="FF6B7280"/>
      <sz val="7.5"/>
      <scheme val="minor"/>
    </font>
    <font>
      <name val="Calibri"/>
      <family val="2"/>
      <b val="1"/>
      <i val="1"/>
      <color theme="0" tint="-0.249977111117893"/>
      <sz val="7.5"/>
      <scheme val="minor"/>
    </font>
    <font>
      <name val="Calibri"/>
      <family val="2"/>
      <b val="1"/>
      <i val="1"/>
      <color theme="0" tint="-0.249977111117893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theme="1"/>
      <sz val="9"/>
      <scheme val="minor"/>
    </font>
    <font>
      <name val="Calibri"/>
      <family val="2"/>
      <b val="1"/>
      <i val="1"/>
      <color theme="0" tint="-0.249977111117893"/>
      <sz val="7"/>
      <scheme val="minor"/>
    </font>
    <font>
      <name val="Calibri"/>
      <family val="2"/>
      <color theme="1"/>
      <sz val="10"/>
      <scheme val="minor"/>
    </font>
    <font>
      <name val="Arial"/>
      <family val="2"/>
      <b val="1"/>
      <color rgb="FF404040"/>
      <sz val="16"/>
    </font>
    <font>
      <name val="Calibri"/>
      <color rgb="FF1B2A45"/>
      <sz val="10"/>
    </font>
    <font>
      <name val="Calibri"/>
      <b val="1"/>
      <sz val="9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B1F33"/>
      <sz val="10"/>
      <scheme val="minor"/>
    </font>
    <font>
      <name val="Calibri"/>
      <family val="2"/>
      <color rgb="FF0B1F33"/>
      <sz val="11"/>
      <scheme val="minor"/>
    </font>
    <font>
      <name val="Calibri"/>
      <family val="2"/>
      <b val="1"/>
      <color rgb="FF0B1F33"/>
      <sz val="8.5"/>
      <scheme val="minor"/>
    </font>
    <font>
      <name val="Calibri"/>
      <family val="2"/>
      <color rgb="FF0B1F33"/>
      <sz val="10"/>
      <scheme val="minor"/>
    </font>
    <font>
      <name val="Calibri"/>
      <family val="2"/>
      <b val="1"/>
      <sz val="9"/>
      <scheme val="minor"/>
    </font>
    <font>
      <name val="Calibri"/>
      <family val="2"/>
      <b val="1"/>
      <color rgb="FF0B1F33"/>
      <sz val="9"/>
      <scheme val="minor"/>
    </font>
    <font>
      <name val="Arial"/>
      <b val="1"/>
      <sz val="9"/>
    </font>
  </fonts>
  <fills count="23">
    <fill>
      <patternFill/>
    </fill>
    <fill>
      <patternFill patternType="gray125"/>
    </fill>
    <fill>
      <patternFill patternType="solid">
        <fgColor rgb="FFC9A2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EF1F6"/>
        <bgColor rgb="FFFFFFFF"/>
      </patternFill>
    </fill>
    <fill>
      <patternFill patternType="solid">
        <fgColor rgb="FFEEF1F6"/>
        <bgColor indexed="64"/>
      </patternFill>
    </fill>
    <fill>
      <patternFill patternType="solid">
        <fgColor rgb="FFEAF0F6"/>
        <bgColor rgb="FFFFFFFF"/>
      </patternFill>
    </fill>
    <fill>
      <patternFill patternType="solid">
        <fgColor theme="0" tint="-0.0499893185216834"/>
        <bgColor rgb="FF003366"/>
      </patternFill>
    </fill>
    <fill>
      <patternFill patternType="solid">
        <fgColor theme="0"/>
        <bgColor rgb="FF003366"/>
      </patternFill>
    </fill>
    <fill>
      <patternFill patternType="solid">
        <fgColor rgb="FFD9D9D9"/>
        <bgColor rgb="FFD9D9D9"/>
      </patternFill>
    </fill>
    <fill>
      <patternFill patternType="solid">
        <fgColor rgb="FF0B1F33"/>
        <bgColor indexed="64"/>
      </patternFill>
    </fill>
    <fill>
      <patternFill patternType="solid">
        <fgColor rgb="FF0B1F33"/>
        <bgColor rgb="FF003366"/>
      </patternFill>
    </fill>
    <fill>
      <patternFill patternType="solid">
        <fgColor rgb="FFE5A018"/>
        <bgColor indexed="64"/>
      </patternFill>
    </fill>
    <fill>
      <patternFill patternType="solid">
        <fgColor rgb="FFE5A018"/>
        <bgColor rgb="FFFFFFFF"/>
      </patternFill>
    </fill>
    <fill>
      <patternFill patternType="solid">
        <fgColor rgb="FFE5A018"/>
        <bgColor rgb="FFEEF1F6"/>
      </patternFill>
    </fill>
    <fill>
      <patternFill patternType="solid">
        <fgColor rgb="FFE8EEF3"/>
        <bgColor rgb="FFFFFFFF"/>
      </patternFill>
    </fill>
    <fill>
      <patternFill patternType="solid">
        <fgColor rgb="FFE8EEF3"/>
        <bgColor indexed="64"/>
      </patternFill>
    </fill>
    <fill>
      <patternFill patternType="solid">
        <fgColor rgb="FFE8EEF3"/>
        <bgColor rgb="FFEEF1F6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40AD03"/>
        <bgColor rgb="FF40AD03"/>
      </patternFill>
    </fill>
    <fill>
      <patternFill patternType="solid">
        <fgColor rgb="FFE2F0D9"/>
        <bgColor rgb="FFE2F0D9"/>
      </patternFill>
    </fill>
    <fill>
      <patternFill patternType="solid">
        <fgColor rgb="FFFFFF66"/>
        <bgColor rgb="FFFFFF66"/>
      </patternFill>
    </fill>
  </fills>
  <borders count="5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rgb="FF9AA3B2"/>
      </left>
      <right/>
      <top/>
      <bottom/>
      <diagonal/>
    </border>
    <border>
      <left style="thin">
        <color rgb="FF9AA3B2"/>
      </left>
      <right/>
      <top/>
      <bottom style="thin">
        <color rgb="FF9AA3B2"/>
      </bottom>
      <diagonal/>
    </border>
    <border>
      <left/>
      <right/>
      <top/>
      <bottom style="thin">
        <color rgb="FF9AA3B2"/>
      </bottom>
      <diagonal/>
    </border>
    <border>
      <left/>
      <right/>
      <top style="thin">
        <color rgb="FF9AA3B2"/>
      </top>
      <bottom/>
      <diagonal/>
    </border>
    <border>
      <left/>
      <right style="thin">
        <color rgb="FF9AA3B2"/>
      </right>
      <top/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 style="thin">
        <color rgb="FF9AA3B2"/>
      </bottom>
      <diagonal/>
    </border>
    <border>
      <left style="thin">
        <color rgb="FF9AA3B2"/>
      </left>
      <right/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/>
      <diagonal/>
    </border>
    <border>
      <left/>
      <right/>
      <top style="thin">
        <color theme="3" tint="0.5999633777886288"/>
      </top>
      <bottom style="thin">
        <color theme="3" tint="0.5999633777886288"/>
      </bottom>
      <diagonal/>
    </border>
    <border>
      <left/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 style="thin">
        <color rgb="FF9AA3B2"/>
      </left>
      <right style="thin">
        <color rgb="FF9AA3B2"/>
      </right>
      <top/>
      <bottom style="thin">
        <color rgb="FF9AA3B2"/>
      </bottom>
      <diagonal/>
    </border>
    <border>
      <left style="thin">
        <color rgb="FF9AA3B2"/>
      </left>
      <right/>
      <top style="thin">
        <color rgb="FF9AA3B2"/>
      </top>
      <bottom/>
      <diagonal/>
    </border>
    <border>
      <left/>
      <right style="thin">
        <color rgb="FF9AA3B2"/>
      </right>
      <top/>
      <bottom style="thin">
        <color rgb="FF9AA3B2"/>
      </bottom>
      <diagonal/>
    </border>
    <border>
      <left/>
      <right/>
      <top style="thin">
        <color rgb="FF9AA3B2"/>
      </top>
      <bottom style="thin">
        <color rgb="FF9AA3B2"/>
      </bottom>
      <diagonal/>
    </border>
    <border>
      <left style="thin">
        <color theme="3" tint="0.5999633777886288"/>
      </left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 style="thin">
        <color theme="0"/>
      </left>
      <right style="thin">
        <color rgb="FF9AA3B2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3" tint="0.5999633777886288"/>
      </bottom>
      <diagonal/>
    </border>
    <border>
      <left style="thin">
        <color rgb="FF9AA3B2"/>
      </left>
      <right style="thin">
        <color rgb="FF9AA3B2"/>
      </right>
      <top/>
      <bottom/>
      <diagonal/>
    </border>
    <border>
      <left style="thin">
        <color rgb="FF0B1F33"/>
      </left>
      <right style="thin">
        <color rgb="FF0B1F33"/>
      </right>
      <top style="thin">
        <color rgb="FF0B1F33"/>
      </top>
      <bottom style="thin">
        <color rgb="FF0B1F33"/>
      </bottom>
      <diagonal/>
    </border>
    <border>
      <left style="thin">
        <color rgb="FF0B1F33"/>
      </left>
      <right style="thin">
        <color rgb="FF9AA3B2"/>
      </right>
      <top style="thin">
        <color rgb="FF0B1F33"/>
      </top>
      <bottom style="thin">
        <color rgb="FF0B1F33"/>
      </bottom>
      <diagonal/>
    </border>
    <border>
      <left/>
      <right/>
      <top style="thin">
        <color rgb="FF0B1F33"/>
      </top>
      <bottom style="thin">
        <color rgb="FF0B1F33"/>
      </bottom>
      <diagonal/>
    </border>
    <border>
      <left/>
      <right style="thin">
        <color rgb="FF0B1F33"/>
      </right>
      <top style="thin">
        <color rgb="FF0B1F33"/>
      </top>
      <bottom style="thin">
        <color rgb="FF0B1F33"/>
      </bottom>
      <diagonal/>
    </border>
    <border>
      <left/>
      <right style="thin">
        <color rgb="FF9AA3B2"/>
      </right>
      <top style="thin">
        <color rgb="FF0B1F33"/>
      </top>
      <bottom style="thin">
        <color rgb="FF0B1F33"/>
      </bottom>
      <diagonal/>
    </border>
    <border>
      <left style="thin">
        <color rgb="FF9AA3B2"/>
      </left>
      <right style="thin">
        <color rgb="FF9AA3B2"/>
      </right>
      <top style="thin">
        <color rgb="FF0B1F33"/>
      </top>
      <bottom style="thin">
        <color rgb="FF0B1F33"/>
      </bottom>
      <diagonal/>
    </border>
    <border>
      <left style="thin">
        <color rgb="FF0B1F33"/>
      </left>
      <right/>
      <top style="thin">
        <color rgb="FF0B1F33"/>
      </top>
      <bottom style="thin">
        <color rgb="FF0B1F3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9AA3B2"/>
      </right>
      <top style="thin">
        <color indexed="64"/>
      </top>
      <bottom style="thin">
        <color indexed="64"/>
      </bottom>
      <diagonal/>
    </border>
    <border>
      <left style="thin">
        <color rgb="FF9AA3B2"/>
      </left>
      <right style="thin">
        <color rgb="FF9AA3B2"/>
      </right>
      <top style="thin">
        <color indexed="64"/>
      </top>
      <bottom style="thin">
        <color indexed="64"/>
      </bottom>
      <diagonal/>
    </border>
    <border>
      <left style="thin">
        <color rgb="FF9AA3B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3" tint="0.599963377788628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B1F33"/>
      </left>
      <right style="thin">
        <color theme="3" tint="0.5999633777886288"/>
      </right>
      <top style="thin">
        <color rgb="FF0B1F33"/>
      </top>
      <bottom style="thin">
        <color rgb="FF0B1F33"/>
      </bottom>
      <diagonal/>
    </border>
    <border>
      <left/>
      <right/>
      <top style="thin">
        <color rgb="FF0B1F33"/>
      </top>
      <bottom/>
      <diagonal/>
    </border>
    <border>
      <left/>
      <right style="thin">
        <color rgb="FF0B1F33"/>
      </right>
      <top style="thin">
        <color rgb="FF0B1F33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9AA3B2"/>
      </right>
      <top style="thin">
        <color indexed="64"/>
      </top>
      <bottom/>
      <diagonal/>
    </border>
    <border>
      <left/>
      <right style="thin">
        <color rgb="FF9AA3B2"/>
      </right>
      <top style="thin">
        <color indexed="64"/>
      </top>
      <bottom style="thin">
        <color indexed="64"/>
      </bottom>
      <diagonal/>
    </border>
    <border>
      <left/>
      <right style="thin">
        <color theme="3" tint="0.5999633777886288"/>
      </right>
      <top style="thin">
        <color indexed="64"/>
      </top>
      <bottom/>
      <diagonal/>
    </border>
    <border>
      <left/>
      <right style="thin">
        <color theme="3" tint="0.5999633777886288"/>
      </right>
      <top style="thin">
        <color indexed="64"/>
      </top>
      <bottom style="thin">
        <color indexed="64"/>
      </bottom>
      <diagonal/>
    </border>
    <border>
      <left/>
      <right style="thin">
        <color theme="3" tint="0.5999633777886288"/>
      </right>
      <top style="thin">
        <color rgb="FF0B1F33"/>
      </top>
      <bottom/>
      <diagonal/>
    </border>
    <border>
      <left/>
      <right style="thin">
        <color theme="3" tint="0.5999633777886288"/>
      </right>
      <top style="thin">
        <color rgb="FF0B1F33"/>
      </top>
      <bottom style="thin">
        <color rgb="FF0B1F33"/>
      </bottom>
      <diagonal/>
    </border>
    <border>
      <left/>
      <right/>
      <top style="thin">
        <color theme="3" tint="0.5999633777886288"/>
      </top>
      <bottom/>
      <diagonal/>
    </border>
    <border>
      <left/>
      <right style="thin">
        <color theme="3" tint="0.5999633777886288"/>
      </right>
      <top style="thin">
        <color theme="3" tint="0.5999633777886288"/>
      </top>
      <bottom/>
      <diagonal/>
    </border>
    <border>
      <left/>
      <right style="thin">
        <color rgb="FF9AA3B2"/>
      </right>
      <top style="thin">
        <color rgb="FF0B1F33"/>
      </top>
      <bottom/>
      <diagonal/>
    </border>
  </borders>
  <cellStyleXfs count="6"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</cellStyleXfs>
  <cellXfs count="383">
    <xf numFmtId="0" fontId="0" fillId="0" borderId="0" pivotButton="0" quotePrefix="0" xfId="0"/>
    <xf numFmtId="0" fontId="0" fillId="0" borderId="0" pivotButton="0" quotePrefix="0" xfId="0"/>
    <xf numFmtId="0" fontId="3" fillId="0" borderId="0" pivotButton="0" quotePrefix="0" xfId="3"/>
    <xf numFmtId="0" fontId="3" fillId="0" borderId="1" pivotButton="0" quotePrefix="0" xfId="3"/>
    <xf numFmtId="0" fontId="3" fillId="0" borderId="6" pivotButton="0" quotePrefix="0" xfId="3"/>
    <xf numFmtId="0" fontId="10" fillId="4" borderId="7" applyAlignment="1" pivotButton="0" quotePrefix="0" xfId="3">
      <alignment horizontal="left" vertical="center"/>
    </xf>
    <xf numFmtId="0" fontId="11" fillId="3" borderId="1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12" fillId="5" borderId="8" applyAlignment="1" pivotButton="0" quotePrefix="0" xfId="3">
      <alignment vertical="center"/>
    </xf>
    <xf numFmtId="0" fontId="14" fillId="3" borderId="0" applyAlignment="1" pivotButton="0" quotePrefix="0" xfId="3">
      <alignment horizontal="center" vertical="center"/>
    </xf>
    <xf numFmtId="0" fontId="10" fillId="4" borderId="10" applyAlignment="1" pivotButton="0" quotePrefix="0" xfId="3">
      <alignment horizontal="left" vertical="center"/>
    </xf>
    <xf numFmtId="0" fontId="7" fillId="0" borderId="7" applyAlignment="1" pivotButton="0" quotePrefix="0" xfId="3">
      <alignment horizontal="left" vertical="center" wrapText="1"/>
    </xf>
    <xf numFmtId="0" fontId="10" fillId="6" borderId="7" applyAlignment="1" pivotButton="0" quotePrefix="0" xfId="3">
      <alignment horizontal="left" vertical="center" wrapText="1"/>
    </xf>
    <xf numFmtId="0" fontId="7" fillId="0" borderId="7" applyAlignment="1" pivotButton="0" quotePrefix="0" xfId="3">
      <alignment horizontal="center" vertical="center" wrapText="1"/>
    </xf>
    <xf numFmtId="0" fontId="18" fillId="4" borderId="7" applyAlignment="1" pivotButton="0" quotePrefix="0" xfId="3">
      <alignment horizontal="left" vertical="center" wrapText="1"/>
    </xf>
    <xf numFmtId="0" fontId="20" fillId="0" borderId="7" applyAlignment="1" pivotButton="0" quotePrefix="0" xfId="3">
      <alignment horizontal="left" vertical="center" wrapText="1" indent="1"/>
    </xf>
    <xf numFmtId="0" fontId="18" fillId="4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center" vertical="center"/>
    </xf>
    <xf numFmtId="0" fontId="20" fillId="0" borderId="7" applyAlignment="1" pivotButton="0" quotePrefix="0" xfId="3">
      <alignment horizontal="left" vertical="center" shrinkToFit="1" indent="1"/>
    </xf>
    <xf numFmtId="0" fontId="22" fillId="0" borderId="0" pivotButton="0" quotePrefix="0" xfId="3"/>
    <xf numFmtId="0" fontId="1" fillId="0" borderId="0" pivotButton="0" quotePrefix="0" xfId="3"/>
    <xf numFmtId="0" fontId="0" fillId="0" borderId="10" pivotButton="0" quotePrefix="0" xfId="0"/>
    <xf numFmtId="9" fontId="7" fillId="0" borderId="7" applyAlignment="1" pivotButton="0" quotePrefix="0" xfId="3">
      <alignment horizontal="center" vertical="center" wrapText="1"/>
    </xf>
    <xf numFmtId="14" fontId="20" fillId="0" borderId="7" applyAlignment="1" pivotButton="0" quotePrefix="0" xfId="3">
      <alignment horizontal="center" vertical="center"/>
    </xf>
    <xf numFmtId="9" fontId="20" fillId="0" borderId="7" applyAlignment="1" pivotButton="0" quotePrefix="0" xfId="3">
      <alignment horizontal="center" vertical="center"/>
    </xf>
    <xf numFmtId="0" fontId="23" fillId="0" borderId="0" pivotButton="0" quotePrefix="0" xfId="3"/>
    <xf numFmtId="0" fontId="24" fillId="0" borderId="0" pivotButton="0" quotePrefix="0" xfId="0"/>
    <xf numFmtId="0" fontId="11" fillId="3" borderId="0" applyAlignment="1" pivotButton="0" quotePrefix="0" xfId="3">
      <alignment horizontal="center" vertical="center"/>
    </xf>
    <xf numFmtId="0" fontId="11" fillId="3" borderId="20" applyAlignment="1" pivotButton="0" quotePrefix="0" xfId="3">
      <alignment horizontal="center" vertical="center"/>
    </xf>
    <xf numFmtId="0" fontId="11" fillId="3" borderId="21" applyAlignment="1" pivotButton="0" quotePrefix="0" xfId="3">
      <alignment horizontal="center" vertical="center"/>
    </xf>
    <xf numFmtId="0" fontId="0" fillId="0" borderId="0" pivotButton="0" quotePrefix="0" xfId="0"/>
    <xf numFmtId="0" fontId="10" fillId="4" borderId="7" applyAlignment="1" pivotButton="0" quotePrefix="0" xfId="0">
      <alignment horizontal="left" vertical="center"/>
    </xf>
    <xf numFmtId="0" fontId="10" fillId="6" borderId="7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center" vertical="center" wrapText="1"/>
    </xf>
    <xf numFmtId="0" fontId="20" fillId="0" borderId="7" applyAlignment="1" pivotButton="0" quotePrefix="0" xfId="0">
      <alignment horizontal="center" vertical="center"/>
    </xf>
    <xf numFmtId="0" fontId="27" fillId="0" borderId="0" pivotButton="0" quotePrefix="0" xfId="0"/>
    <xf numFmtId="0" fontId="7" fillId="0" borderId="7" applyAlignment="1" pivotButton="0" quotePrefix="0" xfId="0">
      <alignment horizontal="center" vertical="center"/>
    </xf>
    <xf numFmtId="0" fontId="28" fillId="0" borderId="8" applyAlignment="1" pivotButton="0" quotePrefix="0" xfId="0">
      <alignment horizontal="center"/>
    </xf>
    <xf numFmtId="0" fontId="10" fillId="6" borderId="7" applyAlignment="1" pivotButton="0" quotePrefix="0" xfId="3">
      <alignment horizontal="left" vertical="center" wrapText="1"/>
    </xf>
    <xf numFmtId="0" fontId="11" fillId="3" borderId="0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7" fillId="0" borderId="7" applyAlignment="1" pivotButton="0" quotePrefix="0" xfId="3">
      <alignment horizontal="center" vertical="center" wrapText="1"/>
    </xf>
    <xf numFmtId="0" fontId="18" fillId="4" borderId="7" applyAlignment="1" pivotButton="0" quotePrefix="0" xfId="3">
      <alignment horizontal="left" vertical="center" wrapText="1"/>
    </xf>
    <xf numFmtId="0" fontId="20" fillId="0" borderId="7" applyAlignment="1" pivotButton="0" quotePrefix="0" xfId="3">
      <alignment horizontal="left" vertical="center" wrapText="1" indent="1"/>
    </xf>
    <xf numFmtId="0" fontId="18" fillId="4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center" vertical="center" wrapText="1"/>
    </xf>
    <xf numFmtId="0" fontId="0" fillId="0" borderId="0" pivotButton="0" quotePrefix="0" xfId="0"/>
    <xf numFmtId="0" fontId="20" fillId="0" borderId="7" applyAlignment="1" pivotButton="0" quotePrefix="0" xfId="3">
      <alignment horizontal="center" vertical="center"/>
    </xf>
    <xf numFmtId="0" fontId="11" fillId="3" borderId="1" applyAlignment="1" pivotButton="0" quotePrefix="0" xfId="3">
      <alignment horizontal="center" vertical="center"/>
    </xf>
    <xf numFmtId="0" fontId="11" fillId="3" borderId="0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0" fillId="0" borderId="0" pivotButton="0" quotePrefix="0" xfId="0"/>
    <xf numFmtId="0" fontId="20" fillId="0" borderId="7" applyAlignment="1" pivotButton="0" quotePrefix="0" xfId="3">
      <alignment horizontal="left" vertical="center" indent="1"/>
    </xf>
    <xf numFmtId="2" fontId="30" fillId="6" borderId="7" applyAlignment="1" pivotButton="0" quotePrefix="0" xfId="3">
      <alignment horizontal="center" vertical="center" wrapText="1"/>
    </xf>
    <xf numFmtId="0" fontId="31" fillId="0" borderId="7" applyAlignment="1" pivotButton="0" quotePrefix="0" xfId="3">
      <alignment horizontal="left" vertical="center" indent="1"/>
    </xf>
    <xf numFmtId="9" fontId="30" fillId="6" borderId="7" applyAlignment="1" pivotButton="0" quotePrefix="0" xfId="3">
      <alignment horizontal="center" vertical="center" wrapText="1"/>
    </xf>
    <xf numFmtId="0" fontId="13" fillId="0" borderId="9" applyAlignment="1" pivotButton="0" quotePrefix="0" xfId="3">
      <alignment horizontal="center" vertical="center"/>
    </xf>
    <xf numFmtId="0" fontId="13" fillId="0" borderId="8" applyAlignment="1" pivotButton="0" quotePrefix="0" xfId="3">
      <alignment horizontal="center" vertical="center"/>
    </xf>
    <xf numFmtId="0" fontId="7" fillId="0" borderId="11" applyAlignment="1" pivotButton="0" quotePrefix="0" xfId="3">
      <alignment horizontal="center" vertical="center"/>
    </xf>
    <xf numFmtId="0" fontId="10" fillId="6" borderId="7" applyAlignment="1" pivotButton="0" quotePrefix="0" xfId="3">
      <alignment horizontal="left" vertical="center" wrapText="1"/>
    </xf>
    <xf numFmtId="0" fontId="5" fillId="2" borderId="5" applyAlignment="1" pivotButton="0" quotePrefix="0" xfId="3">
      <alignment horizontal="center" vertical="center"/>
    </xf>
    <xf numFmtId="0" fontId="9" fillId="3" borderId="1" applyAlignment="1" pivotButton="0" quotePrefix="0" xfId="3">
      <alignment horizontal="center" vertical="center"/>
    </xf>
    <xf numFmtId="0" fontId="9" fillId="3" borderId="0" applyAlignment="1" pivotButton="0" quotePrefix="0" xfId="3">
      <alignment horizontal="center" vertical="center"/>
    </xf>
    <xf numFmtId="0" fontId="9" fillId="3" borderId="6" applyAlignment="1" pivotButton="0" quotePrefix="0" xfId="3">
      <alignment horizontal="center" vertical="center"/>
    </xf>
    <xf numFmtId="0" fontId="7" fillId="0" borderId="7" applyAlignment="1" pivotButton="0" quotePrefix="0" xfId="3">
      <alignment horizontal="center" vertical="center"/>
    </xf>
    <xf numFmtId="0" fontId="11" fillId="3" borderId="1" applyAlignment="1" pivotButton="0" quotePrefix="0" xfId="3">
      <alignment horizontal="center" vertical="center"/>
    </xf>
    <xf numFmtId="0" fontId="11" fillId="3" borderId="0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7" fillId="0" borderId="7" applyAlignment="1" pivotButton="0" quotePrefix="0" xfId="3">
      <alignment horizontal="left" vertical="center" wrapText="1"/>
    </xf>
    <xf numFmtId="0" fontId="7" fillId="0" borderId="7" applyAlignment="1" pivotButton="0" quotePrefix="0" xfId="3">
      <alignment horizontal="center" vertical="center" wrapText="1"/>
    </xf>
    <xf numFmtId="0" fontId="18" fillId="4" borderId="7" applyAlignment="1" pivotButton="0" quotePrefix="0" xfId="3">
      <alignment horizontal="left" vertical="center" wrapText="1"/>
    </xf>
    <xf numFmtId="0" fontId="19" fillId="0" borderId="7" applyAlignment="1" pivotButton="0" quotePrefix="0" xfId="3">
      <alignment horizontal="left" vertical="top" wrapText="1"/>
    </xf>
    <xf numFmtId="0" fontId="20" fillId="0" borderId="7" applyAlignment="1" pivotButton="0" quotePrefix="0" xfId="3">
      <alignment horizontal="left" vertical="center" wrapText="1" indent="1"/>
    </xf>
    <xf numFmtId="0" fontId="19" fillId="0" borderId="7" applyAlignment="1" pivotButton="0" quotePrefix="0" xfId="3">
      <alignment horizontal="left" vertical="center" wrapText="1"/>
    </xf>
    <xf numFmtId="0" fontId="18" fillId="4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left" vertical="center" shrinkToFit="1" indent="1"/>
    </xf>
    <xf numFmtId="0" fontId="18" fillId="4" borderId="7" applyAlignment="1" pivotButton="0" quotePrefix="0" xfId="3">
      <alignment horizontal="left" vertical="center" indent="1"/>
    </xf>
    <xf numFmtId="0" fontId="16" fillId="7" borderId="15" applyAlignment="1" pivotButton="0" quotePrefix="0" xfId="3">
      <alignment horizontal="center" vertical="center"/>
    </xf>
    <xf numFmtId="0" fontId="16" fillId="7" borderId="5" applyAlignment="1" pivotButton="0" quotePrefix="0" xfId="3">
      <alignment horizontal="center" vertical="center"/>
    </xf>
    <xf numFmtId="0" fontId="16" fillId="7" borderId="10" applyAlignment="1" pivotButton="0" quotePrefix="0" xfId="3">
      <alignment horizontal="center" vertical="center"/>
    </xf>
    <xf numFmtId="0" fontId="16" fillId="7" borderId="2" applyAlignment="1" pivotButton="0" quotePrefix="0" xfId="3">
      <alignment horizontal="center" vertical="center"/>
    </xf>
    <xf numFmtId="0" fontId="16" fillId="7" borderId="0" applyAlignment="1" pivotButton="0" quotePrefix="0" xfId="3">
      <alignment horizontal="center" vertical="center"/>
    </xf>
    <xf numFmtId="0" fontId="16" fillId="7" borderId="6" applyAlignment="1" pivotButton="0" quotePrefix="0" xfId="3">
      <alignment horizontal="center" vertical="center"/>
    </xf>
    <xf numFmtId="0" fontId="16" fillId="7" borderId="3" applyAlignment="1" pivotButton="0" quotePrefix="0" xfId="3">
      <alignment horizontal="center" vertical="center"/>
    </xf>
    <xf numFmtId="0" fontId="16" fillId="7" borderId="4" applyAlignment="1" pivotButton="0" quotePrefix="0" xfId="3">
      <alignment horizontal="center" vertical="center"/>
    </xf>
    <xf numFmtId="0" fontId="16" fillId="7" borderId="16" applyAlignment="1" pivotButton="0" quotePrefix="0" xfId="3">
      <alignment horizontal="center" vertical="center"/>
    </xf>
    <xf numFmtId="0" fontId="21" fillId="0" borderId="7" applyAlignment="1" pivotButton="0" quotePrefix="0" xfId="3">
      <alignment horizontal="center" vertical="center" wrapText="1"/>
    </xf>
    <xf numFmtId="0" fontId="22" fillId="0" borderId="0" applyAlignment="1" pivotButton="0" quotePrefix="0" xfId="3">
      <alignment horizontal="right"/>
    </xf>
    <xf numFmtId="0" fontId="0" fillId="0" borderId="8" pivotButton="0" quotePrefix="0" xfId="0"/>
    <xf numFmtId="0" fontId="11" fillId="3" borderId="19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6" pivotButton="0" quotePrefix="0" xfId="0"/>
    <xf numFmtId="0" fontId="0" fillId="0" borderId="17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6" pivotButton="0" quotePrefix="0" xfId="0"/>
    <xf numFmtId="0" fontId="0" fillId="0" borderId="4" pivotButton="0" quotePrefix="0" xfId="0"/>
    <xf numFmtId="0" fontId="9" fillId="3" borderId="19" applyAlignment="1" pivotButton="0" quotePrefix="0" xfId="3">
      <alignment horizontal="center" vertical="center"/>
    </xf>
    <xf numFmtId="0" fontId="7" fillId="0" borderId="7" applyAlignment="1" pivotButton="0" quotePrefix="0" xfId="3">
      <alignment horizontal="left" vertical="top" wrapText="1"/>
    </xf>
    <xf numFmtId="0" fontId="7" fillId="2" borderId="7" applyAlignment="1" pivotButton="0" quotePrefix="0" xfId="3">
      <alignment horizontal="left" vertical="center" wrapText="1"/>
    </xf>
    <xf numFmtId="0" fontId="0" fillId="2" borderId="17" pivotButton="0" quotePrefix="0" xfId="0"/>
    <xf numFmtId="0" fontId="0" fillId="2" borderId="8" pivotButton="0" quotePrefix="0" xfId="0"/>
    <xf numFmtId="0" fontId="0" fillId="0" borderId="5" pivotButton="0" quotePrefix="0" xfId="0"/>
    <xf numFmtId="0" fontId="23" fillId="0" borderId="0" applyAlignment="1" pivotButton="0" quotePrefix="0" xfId="3">
      <alignment horizontal="right"/>
    </xf>
    <xf numFmtId="0" fontId="24" fillId="0" borderId="0" pivotButton="0" quotePrefix="0" xfId="0"/>
    <xf numFmtId="0" fontId="5" fillId="2" borderId="5" applyAlignment="1" pivotButton="0" quotePrefix="0" xfId="0">
      <alignment horizontal="center" vertical="center"/>
    </xf>
    <xf numFmtId="0" fontId="8" fillId="8" borderId="6" applyAlignment="1" pivotButton="0" quotePrefix="0" xfId="0">
      <alignment vertical="center"/>
    </xf>
    <xf numFmtId="0" fontId="9" fillId="3" borderId="19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10" fillId="6" borderId="7" applyAlignment="1" pivotButton="0" quotePrefix="0" xfId="0">
      <alignment horizontal="left" vertical="center" wrapText="1"/>
    </xf>
    <xf numFmtId="0" fontId="11" fillId="3" borderId="19" applyAlignment="1" pivotButton="0" quotePrefix="0" xfId="0">
      <alignment horizontal="center" vertical="center"/>
    </xf>
    <xf numFmtId="0" fontId="11" fillId="3" borderId="6" applyAlignment="1" pivotButton="0" quotePrefix="0" xfId="0">
      <alignment horizontal="center" vertical="center"/>
    </xf>
    <xf numFmtId="0" fontId="7" fillId="0" borderId="7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top" wrapText="1"/>
    </xf>
    <xf numFmtId="0" fontId="7" fillId="0" borderId="7" applyAlignment="1" pivotButton="0" quotePrefix="0" xfId="0">
      <alignment horizontal="center" vertical="center" wrapText="1" shrinkToFit="1"/>
    </xf>
    <xf numFmtId="0" fontId="20" fillId="0" borderId="7" applyAlignment="1" pivotButton="0" quotePrefix="0" xfId="0">
      <alignment horizontal="left" vertical="center" wrapText="1" indent="1"/>
    </xf>
    <xf numFmtId="0" fontId="20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20" fillId="0" borderId="7" applyAlignment="1" pivotButton="0" quotePrefix="0" xfId="0">
      <alignment horizontal="left" vertical="center" wrapText="1" shrinkToFit="1" indent="1"/>
    </xf>
    <xf numFmtId="0" fontId="18" fillId="4" borderId="7" applyAlignment="1" pivotButton="0" quotePrefix="0" xfId="0">
      <alignment horizontal="left" vertical="center" wrapText="1"/>
    </xf>
    <xf numFmtId="0" fontId="18" fillId="4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27" fillId="0" borderId="0" applyAlignment="1" pivotButton="0" quotePrefix="0" xfId="0">
      <alignment horizontal="right"/>
    </xf>
    <xf numFmtId="0" fontId="20" fillId="0" borderId="7" applyAlignment="1" pivotButton="0" quotePrefix="0" xfId="3">
      <alignment horizontal="center" vertical="center"/>
    </xf>
    <xf numFmtId="0" fontId="0" fillId="0" borderId="0" pivotButton="0" quotePrefix="0" xfId="0"/>
    <xf numFmtId="0" fontId="18" fillId="4" borderId="7" applyAlignment="1" pivotButton="0" quotePrefix="0" xfId="3">
      <alignment horizontal="right" vertical="center" indent="1"/>
    </xf>
    <xf numFmtId="0" fontId="16" fillId="7" borderId="7" applyAlignment="1" pivotButton="0" quotePrefix="0" xfId="3">
      <alignment horizontal="center" vertical="center"/>
    </xf>
    <xf numFmtId="0" fontId="17" fillId="0" borderId="7" applyAlignment="1" pivotButton="0" quotePrefix="0" xfId="3">
      <alignment horizontal="center" vertical="center" wrapText="1"/>
    </xf>
    <xf numFmtId="0" fontId="0" fillId="0" borderId="22" pivotButton="0" quotePrefix="0" xfId="0"/>
    <xf numFmtId="0" fontId="0" fillId="0" borderId="14" pivotButton="0" quotePrefix="0" xfId="0"/>
    <xf numFmtId="0" fontId="5" fillId="10" borderId="3" applyAlignment="1" pivotButton="0" quotePrefix="0" xfId="3">
      <alignment horizontal="center" vertical="center"/>
    </xf>
    <xf numFmtId="0" fontId="0" fillId="10" borderId="0" pivotButton="0" quotePrefix="0" xfId="0"/>
    <xf numFmtId="0" fontId="0" fillId="10" borderId="3" pivotButton="0" quotePrefix="0" xfId="0"/>
    <xf numFmtId="0" fontId="0" fillId="10" borderId="4" pivotButton="0" quotePrefix="0" xfId="0"/>
    <xf numFmtId="0" fontId="4" fillId="11" borderId="14" applyAlignment="1" pivotButton="0" quotePrefix="0" xfId="3">
      <alignment horizontal="left" vertical="center" indent="1"/>
    </xf>
    <xf numFmtId="0" fontId="0" fillId="10" borderId="16" pivotButton="0" quotePrefix="0" xfId="0"/>
    <xf numFmtId="0" fontId="8" fillId="11" borderId="7" applyAlignment="1" pivotButton="0" quotePrefix="0" xfId="3">
      <alignment horizontal="center" vertical="center"/>
    </xf>
    <xf numFmtId="0" fontId="0" fillId="10" borderId="17" pivotButton="0" quotePrefix="0" xfId="0"/>
    <xf numFmtId="0" fontId="0" fillId="10" borderId="8" pivotButton="0" quotePrefix="0" xfId="0"/>
    <xf numFmtId="0" fontId="15" fillId="12" borderId="18" applyAlignment="1" pivotButton="0" quotePrefix="0" xfId="3">
      <alignment horizontal="center" vertical="center" wrapText="1"/>
    </xf>
    <xf numFmtId="0" fontId="0" fillId="12" borderId="12" pivotButton="0" quotePrefix="0" xfId="0"/>
    <xf numFmtId="0" fontId="0" fillId="12" borderId="13" pivotButton="0" quotePrefix="0" xfId="0"/>
    <xf numFmtId="0" fontId="10" fillId="15" borderId="7" applyAlignment="1" pivotButton="0" quotePrefix="0" xfId="3">
      <alignment horizontal="left" vertical="center"/>
    </xf>
    <xf numFmtId="0" fontId="10" fillId="15" borderId="7" applyAlignment="1" pivotButton="0" quotePrefix="0" xfId="3">
      <alignment horizontal="left" vertical="center" wrapText="1"/>
    </xf>
    <xf numFmtId="0" fontId="0" fillId="16" borderId="8" pivotButton="0" quotePrefix="0" xfId="0"/>
    <xf numFmtId="0" fontId="33" fillId="15" borderId="7" applyAlignment="1" pivotButton="0" quotePrefix="0" xfId="3">
      <alignment horizontal="left" vertical="center" wrapText="1"/>
    </xf>
    <xf numFmtId="0" fontId="34" fillId="16" borderId="8" pivotButton="0" quotePrefix="0" xfId="0"/>
    <xf numFmtId="0" fontId="33" fillId="6" borderId="7" applyAlignment="1" pivotButton="0" quotePrefix="0" xfId="3">
      <alignment horizontal="left" vertical="center" wrapText="1"/>
    </xf>
    <xf numFmtId="0" fontId="33" fillId="6" borderId="7" applyAlignment="1" pivotButton="0" quotePrefix="0" xfId="3">
      <alignment horizontal="left" vertical="center" wrapText="1"/>
    </xf>
    <xf numFmtId="0" fontId="34" fillId="0" borderId="8" pivotButton="0" quotePrefix="0" xfId="0"/>
    <xf numFmtId="0" fontId="18" fillId="15" borderId="7" applyAlignment="1" pivotButton="0" quotePrefix="0" xfId="3">
      <alignment horizontal="center" vertical="center" wrapText="1"/>
    </xf>
    <xf numFmtId="0" fontId="18" fillId="15" borderId="7" applyAlignment="1" pivotButton="0" quotePrefix="0" xfId="3">
      <alignment horizontal="center" vertical="center" wrapText="1"/>
    </xf>
    <xf numFmtId="0" fontId="7" fillId="3" borderId="7" applyAlignment="1" pivotButton="0" quotePrefix="0" xfId="3">
      <alignment horizontal="left" vertical="top" wrapText="1"/>
    </xf>
    <xf numFmtId="0" fontId="0" fillId="3" borderId="17" pivotButton="0" quotePrefix="0" xfId="0"/>
    <xf numFmtId="0" fontId="0" fillId="3" borderId="8" pivotButton="0" quotePrefix="0" xfId="0"/>
    <xf numFmtId="0" fontId="7" fillId="3" borderId="7" applyAlignment="1" pivotButton="0" quotePrefix="0" xfId="3">
      <alignment horizontal="center" vertical="center" wrapText="1"/>
    </xf>
    <xf numFmtId="0" fontId="35" fillId="17" borderId="7" applyAlignment="1" pivotButton="0" quotePrefix="0" xfId="3">
      <alignment horizontal="left" vertical="center" indent="1"/>
    </xf>
    <xf numFmtId="0" fontId="34" fillId="16" borderId="17" pivotButton="0" quotePrefix="0" xfId="0"/>
    <xf numFmtId="0" fontId="17" fillId="3" borderId="7" applyAlignment="1" pivotButton="0" quotePrefix="0" xfId="3">
      <alignment horizontal="center" vertical="center" wrapText="1"/>
    </xf>
    <xf numFmtId="0" fontId="33" fillId="17" borderId="7" applyAlignment="1" pivotButton="0" quotePrefix="0" xfId="3">
      <alignment horizontal="left" vertical="center" indent="1"/>
    </xf>
    <xf numFmtId="0" fontId="36" fillId="16" borderId="17" pivotButton="0" quotePrefix="0" xfId="0"/>
    <xf numFmtId="0" fontId="36" fillId="16" borderId="8" pivotButton="0" quotePrefix="0" xfId="0"/>
    <xf numFmtId="0" fontId="10" fillId="15" borderId="7" applyAlignment="1" pivotButton="0" quotePrefix="0" xfId="3">
      <alignment horizontal="center" vertical="center" wrapText="1"/>
    </xf>
    <xf numFmtId="0" fontId="10" fillId="15" borderId="7" applyAlignment="1" pivotButton="0" quotePrefix="0" xfId="3">
      <alignment horizontal="center" vertical="center" wrapText="1"/>
    </xf>
    <xf numFmtId="0" fontId="28" fillId="16" borderId="17" pivotButton="0" quotePrefix="0" xfId="0"/>
    <xf numFmtId="0" fontId="28" fillId="16" borderId="8" pivotButton="0" quotePrefix="0" xfId="0"/>
    <xf numFmtId="0" fontId="10" fillId="4" borderId="7" applyAlignment="1" pivotButton="0" quotePrefix="0" xfId="3">
      <alignment horizontal="left" vertical="center" wrapText="1"/>
    </xf>
    <xf numFmtId="0" fontId="28" fillId="0" borderId="8" pivotButton="0" quotePrefix="0" xfId="0"/>
    <xf numFmtId="0" fontId="28" fillId="0" borderId="17" pivotButton="0" quotePrefix="0" xfId="0"/>
    <xf numFmtId="0" fontId="37" fillId="0" borderId="7" applyAlignment="1" pivotButton="0" quotePrefix="0" xfId="3">
      <alignment horizontal="center" vertical="center" wrapText="1"/>
    </xf>
    <xf numFmtId="0" fontId="26" fillId="0" borderId="17" pivotButton="0" quotePrefix="0" xfId="0"/>
    <xf numFmtId="0" fontId="26" fillId="0" borderId="8" pivotButton="0" quotePrefix="0" xfId="0"/>
    <xf numFmtId="2" fontId="6" fillId="10" borderId="7" applyAlignment="1" pivotButton="0" quotePrefix="0" xfId="3">
      <alignment horizontal="center" vertical="center"/>
    </xf>
    <xf numFmtId="1" fontId="6" fillId="10" borderId="7" applyAlignment="1" pivotButton="0" quotePrefix="0" xfId="3">
      <alignment horizontal="center" vertical="center"/>
    </xf>
    <xf numFmtId="0" fontId="6" fillId="10" borderId="7" applyAlignment="1" pivotButton="0" quotePrefix="0" xfId="3">
      <alignment horizontal="center" vertical="center"/>
    </xf>
    <xf numFmtId="0" fontId="6" fillId="10" borderId="7" applyAlignment="1" pivotButton="0" quotePrefix="0" xfId="3">
      <alignment horizontal="center" vertical="center"/>
    </xf>
    <xf numFmtId="9" fontId="6" fillId="10" borderId="7" applyAlignment="1" pivotButton="0" quotePrefix="0" xfId="3">
      <alignment horizontal="center" vertical="center"/>
    </xf>
    <xf numFmtId="9" fontId="6" fillId="10" borderId="7" applyAlignment="1" pivotButton="0" quotePrefix="0" xfId="3">
      <alignment horizontal="center" vertical="center"/>
    </xf>
    <xf numFmtId="0" fontId="17" fillId="18" borderId="7" applyAlignment="1" pivotButton="0" quotePrefix="0" xfId="3">
      <alignment horizontal="center" vertical="center" wrapText="1"/>
    </xf>
    <xf numFmtId="0" fontId="0" fillId="18" borderId="17" pivotButton="0" quotePrefix="0" xfId="0"/>
    <xf numFmtId="0" fontId="0" fillId="18" borderId="8" pivotButton="0" quotePrefix="0" xfId="0"/>
    <xf numFmtId="0" fontId="38" fillId="15" borderId="7" applyAlignment="1" pivotButton="0" quotePrefix="0" xfId="3">
      <alignment horizontal="center" vertical="center" wrapText="1"/>
    </xf>
    <xf numFmtId="0" fontId="8" fillId="11" borderId="17" applyAlignment="1" pivotButton="0" quotePrefix="0" xfId="3">
      <alignment horizontal="center" vertical="center"/>
    </xf>
    <xf numFmtId="0" fontId="7" fillId="0" borderId="17" applyAlignment="1" pivotButton="0" quotePrefix="0" xfId="3">
      <alignment horizontal="left" vertical="center" wrapText="1"/>
    </xf>
    <xf numFmtId="0" fontId="8" fillId="11" borderId="9" applyAlignment="1" pivotButton="0" quotePrefix="0" xfId="3">
      <alignment horizontal="center" vertical="center"/>
    </xf>
    <xf numFmtId="0" fontId="8" fillId="11" borderId="8" applyAlignment="1" pivotButton="0" quotePrefix="0" xfId="3">
      <alignment horizontal="center" vertical="center"/>
    </xf>
    <xf numFmtId="0" fontId="9" fillId="3" borderId="0" applyAlignment="1" pivotButton="0" quotePrefix="0" xfId="3">
      <alignment horizontal="center" vertical="center"/>
    </xf>
    <xf numFmtId="0" fontId="11" fillId="3" borderId="0" applyAlignment="1" pivotButton="0" quotePrefix="0" xfId="3">
      <alignment horizontal="center" vertical="center"/>
    </xf>
    <xf numFmtId="0" fontId="8" fillId="8" borderId="0" applyAlignment="1" pivotButton="0" quotePrefix="0" xfId="3">
      <alignment vertical="center"/>
    </xf>
    <xf numFmtId="0" fontId="8" fillId="8" borderId="6" applyAlignment="1" pivotButton="0" quotePrefix="0" xfId="3">
      <alignment vertical="center"/>
    </xf>
    <xf numFmtId="0" fontId="10" fillId="19" borderId="0" applyAlignment="1" pivotButton="0" quotePrefix="0" xfId="3">
      <alignment horizontal="left" vertical="center"/>
    </xf>
    <xf numFmtId="0" fontId="10" fillId="19" borderId="6" applyAlignment="1" pivotButton="0" quotePrefix="0" xfId="3">
      <alignment horizontal="left" vertical="center"/>
    </xf>
    <xf numFmtId="0" fontId="10" fillId="19" borderId="9" applyAlignment="1" pivotButton="0" quotePrefix="0" xfId="3">
      <alignment horizontal="left" vertical="center" wrapText="1"/>
    </xf>
    <xf numFmtId="0" fontId="10" fillId="19" borderId="17" applyAlignment="1" pivotButton="0" quotePrefix="0" xfId="3">
      <alignment horizontal="left" vertical="center" wrapText="1"/>
    </xf>
    <xf numFmtId="0" fontId="10" fillId="19" borderId="8" applyAlignment="1" pivotButton="0" quotePrefix="0" xfId="3">
      <alignment horizontal="left" vertical="center" wrapText="1"/>
    </xf>
    <xf numFmtId="0" fontId="20" fillId="0" borderId="9" applyAlignment="1" pivotButton="0" quotePrefix="0" xfId="3">
      <alignment horizontal="left" vertical="center" wrapText="1" indent="1"/>
    </xf>
    <xf numFmtId="0" fontId="20" fillId="0" borderId="8" applyAlignment="1" pivotButton="0" quotePrefix="0" xfId="3">
      <alignment horizontal="left" vertical="center" wrapText="1" indent="1"/>
    </xf>
    <xf numFmtId="0" fontId="5" fillId="10" borderId="3" applyAlignment="1" pivotButton="0" quotePrefix="0" xfId="0">
      <alignment horizontal="center" vertical="center"/>
    </xf>
    <xf numFmtId="0" fontId="8" fillId="11" borderId="7" applyAlignment="1" pivotButton="0" quotePrefix="0" xfId="0">
      <alignment horizontal="center" vertical="center"/>
    </xf>
    <xf numFmtId="0" fontId="0" fillId="0" borderId="9" pivotButton="0" quotePrefix="0" xfId="0"/>
    <xf numFmtId="0" fontId="20" fillId="0" borderId="17" applyAlignment="1" pivotButton="0" quotePrefix="0" xfId="3">
      <alignment horizontal="left" vertical="center" wrapText="1" indent="1"/>
    </xf>
    <xf numFmtId="0" fontId="0" fillId="0" borderId="9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8" fillId="19" borderId="9" applyAlignment="1" pivotButton="0" quotePrefix="0" xfId="3">
      <alignment horizontal="left" vertical="center" wrapText="1"/>
    </xf>
    <xf numFmtId="0" fontId="18" fillId="19" borderId="17" applyAlignment="1" pivotButton="0" quotePrefix="0" xfId="3">
      <alignment horizontal="left" vertical="center" wrapText="1"/>
    </xf>
    <xf numFmtId="0" fontId="18" fillId="19" borderId="8" applyAlignment="1" pivotButton="0" quotePrefix="0" xfId="3">
      <alignment horizontal="left" vertical="center" wrapText="1"/>
    </xf>
    <xf numFmtId="0" fontId="25" fillId="11" borderId="14" applyAlignment="1" pivotButton="0" quotePrefix="0" xfId="0">
      <alignment horizontal="center" vertical="center" indent="1"/>
    </xf>
    <xf numFmtId="0" fontId="4" fillId="11" borderId="14" applyAlignment="1" pivotButton="0" quotePrefix="0" xfId="0">
      <alignment horizontal="left" vertical="center" indent="1"/>
    </xf>
    <xf numFmtId="0" fontId="17" fillId="3" borderId="7" applyAlignment="1" pivotButton="0" quotePrefix="0" xfId="0">
      <alignment horizontal="center" vertical="center" wrapText="1"/>
    </xf>
    <xf numFmtId="0" fontId="5" fillId="10" borderId="2" applyAlignment="1" pivotButton="0" quotePrefix="0" xfId="3">
      <alignment horizontal="center" vertical="center"/>
    </xf>
    <xf numFmtId="0" fontId="5" fillId="10" borderId="0" applyAlignment="1" pivotButton="0" quotePrefix="0" xfId="3">
      <alignment horizontal="center" vertical="center"/>
    </xf>
    <xf numFmtId="0" fontId="5" fillId="10" borderId="4" applyAlignment="1" pivotButton="0" quotePrefix="0" xfId="3">
      <alignment horizontal="center" vertical="center"/>
    </xf>
    <xf numFmtId="0" fontId="4" fillId="11" borderId="7" applyAlignment="1" pivotButton="0" quotePrefix="0" xfId="3">
      <alignment horizontal="left" vertical="center" indent="1"/>
    </xf>
    <xf numFmtId="0" fontId="2" fillId="11" borderId="7" applyAlignment="1" pivotButton="0" quotePrefix="0" xfId="3">
      <alignment horizontal="left" vertical="center" indent="1"/>
    </xf>
    <xf numFmtId="0" fontId="6" fillId="10" borderId="7" applyAlignment="1" pivotButton="0" quotePrefix="0" xfId="3">
      <alignment horizontal="center" vertical="center" wrapText="1"/>
    </xf>
    <xf numFmtId="0" fontId="17" fillId="16" borderId="7" applyAlignment="1" pivotButton="0" quotePrefix="0" xfId="3">
      <alignment horizontal="center" vertical="center" wrapText="1"/>
    </xf>
    <xf numFmtId="0" fontId="15" fillId="12" borderId="13" applyAlignment="1" pivotButton="0" quotePrefix="0" xfId="3">
      <alignment horizontal="center" vertical="center" wrapText="1"/>
    </xf>
    <xf numFmtId="0" fontId="5" fillId="10" borderId="0" applyAlignment="1" pivotButton="0" quotePrefix="0" xfId="3">
      <alignment horizontal="center" vertical="center"/>
    </xf>
    <xf numFmtId="0" fontId="5" fillId="3" borderId="0" applyAlignment="1" pivotButton="0" quotePrefix="0" xfId="3">
      <alignment vertical="center"/>
    </xf>
    <xf numFmtId="0" fontId="0" fillId="3" borderId="0" pivotButton="0" quotePrefix="0" xfId="0"/>
    <xf numFmtId="0" fontId="9" fillId="3" borderId="1" applyAlignment="1" pivotButton="0" quotePrefix="0" xfId="3">
      <alignment vertical="center"/>
    </xf>
    <xf numFmtId="0" fontId="11" fillId="3" borderId="1" applyAlignment="1" pivotButton="0" quotePrefix="0" xfId="3">
      <alignment vertical="center"/>
    </xf>
    <xf numFmtId="0" fontId="5" fillId="2" borderId="0" applyAlignment="1" pivotButton="0" quotePrefix="0" xfId="3">
      <alignment horizontal="center" vertical="center"/>
    </xf>
    <xf numFmtId="0" fontId="10" fillId="4" borderId="7" applyAlignment="1" pivotButton="0" quotePrefix="0" xfId="3">
      <alignment horizontal="left" vertical="center" indent="1"/>
    </xf>
    <xf numFmtId="0" fontId="4" fillId="11" borderId="22" applyAlignment="1" pivotButton="0" quotePrefix="0" xfId="3">
      <alignment horizontal="left" vertical="center" indent="1"/>
    </xf>
    <xf numFmtId="0" fontId="0" fillId="10" borderId="0" pivotButton="0" quotePrefix="0" xfId="0"/>
    <xf numFmtId="0" fontId="0" fillId="10" borderId="6" pivotButton="0" quotePrefix="0" xfId="0"/>
    <xf numFmtId="0" fontId="20" fillId="0" borderId="14" applyAlignment="1" pivotButton="0" quotePrefix="0" xfId="3">
      <alignment horizontal="left" vertical="center" wrapText="1" indent="1"/>
    </xf>
    <xf numFmtId="0" fontId="35" fillId="14" borderId="24" applyAlignment="1" pivotButton="0" quotePrefix="0" xfId="3">
      <alignment horizontal="left" vertical="center" indent="1"/>
    </xf>
    <xf numFmtId="0" fontId="34" fillId="12" borderId="25" pivotButton="0" quotePrefix="0" xfId="0"/>
    <xf numFmtId="0" fontId="34" fillId="12" borderId="26" pivotButton="0" quotePrefix="0" xfId="0"/>
    <xf numFmtId="0" fontId="20" fillId="0" borderId="11" applyAlignment="1" pivotButton="0" quotePrefix="0" xfId="3">
      <alignment horizontal="left" vertical="center" wrapText="1" indent="1"/>
    </xf>
    <xf numFmtId="0" fontId="18" fillId="4" borderId="14" applyAlignment="1" pivotButton="0" quotePrefix="0" xfId="3">
      <alignment horizontal="left" vertical="center" wrapText="1"/>
    </xf>
    <xf numFmtId="0" fontId="7" fillId="0" borderId="14" applyAlignment="1" pivotButton="0" quotePrefix="0" xfId="3">
      <alignment horizontal="left" vertical="center" wrapText="1"/>
    </xf>
    <xf numFmtId="0" fontId="18" fillId="13" borderId="24" applyAlignment="1" pivotButton="0" quotePrefix="0" xfId="3">
      <alignment horizontal="center" vertical="center"/>
    </xf>
    <xf numFmtId="0" fontId="0" fillId="12" borderId="25" pivotButton="0" quotePrefix="0" xfId="0"/>
    <xf numFmtId="0" fontId="0" fillId="12" borderId="27" pivotButton="0" quotePrefix="0" xfId="0"/>
    <xf numFmtId="0" fontId="18" fillId="13" borderId="28" applyAlignment="1" pivotButton="0" quotePrefix="0" xfId="3">
      <alignment horizontal="center" vertical="center"/>
    </xf>
    <xf numFmtId="0" fontId="0" fillId="12" borderId="26" pivotButton="0" quotePrefix="0" xfId="0"/>
    <xf numFmtId="0" fontId="15" fillId="12" borderId="29" applyAlignment="1" pivotButton="0" quotePrefix="0" xfId="3">
      <alignment horizontal="center" vertical="center" wrapText="1"/>
    </xf>
    <xf numFmtId="0" fontId="15" fillId="12" borderId="25" applyAlignment="1" pivotButton="0" quotePrefix="0" xfId="3">
      <alignment horizontal="center" vertical="center" wrapText="1"/>
    </xf>
    <xf numFmtId="0" fontId="15" fillId="12" borderId="26" applyAlignment="1" pivotButton="0" quotePrefix="0" xfId="3">
      <alignment horizontal="center" vertical="center" wrapText="1"/>
    </xf>
    <xf numFmtId="0" fontId="10" fillId="4" borderId="11" applyAlignment="1" pivotButton="0" quotePrefix="0" xfId="3">
      <alignment horizontal="left" vertical="center" wrapText="1"/>
    </xf>
    <xf numFmtId="0" fontId="19" fillId="0" borderId="11" applyAlignment="1" pivotButton="0" quotePrefix="0" xfId="3">
      <alignment horizontal="left" vertical="top" wrapText="1"/>
    </xf>
    <xf numFmtId="0" fontId="35" fillId="14" borderId="31" applyAlignment="1" pivotButton="0" quotePrefix="0" xfId="3">
      <alignment horizontal="left" vertical="center" indent="1"/>
    </xf>
    <xf numFmtId="0" fontId="35" fillId="14" borderId="32" applyAlignment="1" pivotButton="0" quotePrefix="0" xfId="3">
      <alignment horizontal="left" vertical="center" indent="1"/>
    </xf>
    <xf numFmtId="0" fontId="35" fillId="14" borderId="33" applyAlignment="1" pivotButton="0" quotePrefix="0" xfId="3">
      <alignment horizontal="left" vertical="center" indent="1"/>
    </xf>
    <xf numFmtId="0" fontId="2" fillId="11" borderId="11" applyAlignment="1" pivotButton="0" quotePrefix="0" xfId="3">
      <alignment horizontal="left" vertical="center" indent="1"/>
    </xf>
    <xf numFmtId="0" fontId="20" fillId="0" borderId="14" applyAlignment="1" pivotButton="0" quotePrefix="0" xfId="3">
      <alignment horizontal="center" vertical="center"/>
    </xf>
    <xf numFmtId="0" fontId="20" fillId="0" borderId="14" applyAlignment="1" pivotButton="0" quotePrefix="0" xfId="3">
      <alignment horizontal="left" vertical="center" shrinkToFit="1" indent="1"/>
    </xf>
    <xf numFmtId="0" fontId="4" fillId="11" borderId="11" applyAlignment="1" pivotButton="0" quotePrefix="0" xfId="3">
      <alignment horizontal="left" vertical="center" indent="1"/>
    </xf>
    <xf numFmtId="0" fontId="10" fillId="4" borderId="11" applyAlignment="1" pivotButton="0" quotePrefix="0" xfId="3">
      <alignment horizontal="left" vertical="center"/>
    </xf>
    <xf numFmtId="0" fontId="15" fillId="12" borderId="34" applyAlignment="1" pivotButton="0" quotePrefix="0" xfId="3">
      <alignment horizontal="center" vertical="center" wrapText="1"/>
    </xf>
    <xf numFmtId="0" fontId="0" fillId="12" borderId="35" pivotButton="0" quotePrefix="0" xfId="0"/>
    <xf numFmtId="0" fontId="0" fillId="12" borderId="36" pivotButton="0" quotePrefix="0" xfId="0"/>
    <xf numFmtId="0" fontId="18" fillId="13" borderId="23" applyAlignment="1" pivotButton="0" quotePrefix="0" xfId="3">
      <alignment horizontal="center" vertical="center" wrapText="1"/>
    </xf>
    <xf numFmtId="0" fontId="18" fillId="13" borderId="23" applyAlignment="1" pivotButton="0" quotePrefix="0" xfId="3">
      <alignment horizontal="center" vertical="center" wrapText="1"/>
    </xf>
    <xf numFmtId="0" fontId="0" fillId="12" borderId="23" pivotButton="0" quotePrefix="0" xfId="0"/>
    <xf numFmtId="0" fontId="38" fillId="13" borderId="23" applyAlignment="1" pivotButton="0" quotePrefix="0" xfId="3">
      <alignment horizontal="center" vertical="center"/>
    </xf>
    <xf numFmtId="0" fontId="34" fillId="12" borderId="23" pivotButton="0" quotePrefix="0" xfId="0"/>
    <xf numFmtId="0" fontId="18" fillId="13" borderId="23" applyAlignment="1" pivotButton="0" quotePrefix="0" xfId="3">
      <alignment horizontal="center" vertical="center"/>
    </xf>
    <xf numFmtId="0" fontId="10" fillId="4" borderId="11" applyAlignment="1" pivotButton="0" quotePrefix="0" xfId="0">
      <alignment horizontal="left" vertical="center"/>
    </xf>
    <xf numFmtId="0" fontId="7" fillId="0" borderId="11" applyAlignment="1" pivotButton="0" quotePrefix="0" xfId="0">
      <alignment horizontal="center" vertical="center"/>
    </xf>
    <xf numFmtId="0" fontId="29" fillId="9" borderId="14" applyAlignment="1" pivotButton="0" quotePrefix="0" xfId="0">
      <alignment horizontal="center" vertical="center"/>
    </xf>
    <xf numFmtId="0" fontId="15" fillId="12" borderId="37" applyAlignment="1" pivotButton="0" quotePrefix="0" xfId="0">
      <alignment horizontal="center" vertical="center" wrapText="1"/>
    </xf>
    <xf numFmtId="0" fontId="4" fillId="11" borderId="22" applyAlignment="1" pivotButton="0" quotePrefix="0" xfId="0">
      <alignment horizontal="left" vertical="center" indent="1"/>
    </xf>
    <xf numFmtId="0" fontId="7" fillId="0" borderId="14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 wrapText="1" shrinkToFit="1"/>
    </xf>
    <xf numFmtId="0" fontId="28" fillId="0" borderId="16" applyAlignment="1" pivotButton="0" quotePrefix="0" xfId="0">
      <alignment horizontal="center"/>
    </xf>
    <xf numFmtId="0" fontId="38" fillId="13" borderId="23" applyAlignment="1" pivotButton="0" quotePrefix="0" xfId="0">
      <alignment horizontal="center" vertical="center" wrapText="1"/>
    </xf>
    <xf numFmtId="0" fontId="38" fillId="13" borderId="23" applyAlignment="1" pivotButton="0" quotePrefix="0" xfId="0">
      <alignment horizontal="center" vertical="center" wrapText="1"/>
    </xf>
    <xf numFmtId="0" fontId="38" fillId="12" borderId="23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left" vertical="center" wrapText="1" indent="1"/>
    </xf>
    <xf numFmtId="0" fontId="20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left" vertical="center" wrapText="1" shrinkToFit="1" indent="1"/>
    </xf>
    <xf numFmtId="0" fontId="20" fillId="0" borderId="11" applyAlignment="1" pivotButton="0" quotePrefix="0" xfId="0">
      <alignment horizontal="left" vertical="center" wrapText="1" shrinkToFit="1" indent="1"/>
    </xf>
    <xf numFmtId="0" fontId="20" fillId="0" borderId="11" applyAlignment="1" pivotButton="0" quotePrefix="0" xfId="0">
      <alignment horizontal="center" vertical="center"/>
    </xf>
    <xf numFmtId="0" fontId="20" fillId="0" borderId="11" applyAlignment="1" pivotButton="0" quotePrefix="0" xfId="0">
      <alignment horizontal="center" vertical="center"/>
    </xf>
    <xf numFmtId="0" fontId="10" fillId="6" borderId="11" applyAlignment="1" pivotButton="0" quotePrefix="0" xfId="0">
      <alignment horizontal="left" vertical="center" wrapText="1"/>
    </xf>
    <xf numFmtId="0" fontId="7" fillId="0" borderId="11" applyAlignment="1" pivotButton="0" quotePrefix="0" xfId="0">
      <alignment horizontal="left" vertical="top" wrapText="1"/>
    </xf>
    <xf numFmtId="0" fontId="18" fillId="4" borderId="14" applyAlignment="1" pivotButton="0" quotePrefix="0" xfId="0">
      <alignment horizontal="left" vertical="center" wrapText="1"/>
    </xf>
    <xf numFmtId="0" fontId="7" fillId="0" borderId="14" applyAlignment="1" pivotButton="0" quotePrefix="0" xfId="0">
      <alignment horizontal="left" vertical="center" wrapText="1"/>
    </xf>
    <xf numFmtId="0" fontId="38" fillId="13" borderId="23" applyAlignment="1" pivotButton="0" quotePrefix="0" xfId="0">
      <alignment horizontal="center" vertical="center"/>
    </xf>
    <xf numFmtId="0" fontId="15" fillId="12" borderId="37" applyAlignment="1" pivotButton="0" quotePrefix="0" xfId="3">
      <alignment horizontal="center" vertical="center" wrapText="1"/>
    </xf>
    <xf numFmtId="0" fontId="18" fillId="4" borderId="14" applyAlignment="1" pivotButton="0" quotePrefix="0" xfId="3">
      <alignment horizontal="center" vertical="center" wrapText="1"/>
    </xf>
    <xf numFmtId="0" fontId="18" fillId="4" borderId="3" applyAlignment="1" pivotButton="0" quotePrefix="0" xfId="3">
      <alignment horizontal="center" vertical="center" wrapText="1"/>
    </xf>
    <xf numFmtId="0" fontId="18" fillId="4" borderId="16" applyAlignment="1" pivotButton="0" quotePrefix="0" xfId="3">
      <alignment horizontal="center" vertical="center" wrapText="1"/>
    </xf>
    <xf numFmtId="0" fontId="20" fillId="0" borderId="3" applyAlignment="1" pivotButton="0" quotePrefix="0" xfId="3">
      <alignment horizontal="left" vertical="center" wrapText="1" indent="1"/>
    </xf>
    <xf numFmtId="0" fontId="20" fillId="0" borderId="4" applyAlignment="1" pivotButton="0" quotePrefix="0" xfId="3">
      <alignment horizontal="left" vertical="center" wrapText="1" indent="1"/>
    </xf>
    <xf numFmtId="0" fontId="20" fillId="0" borderId="16" applyAlignment="1" pivotButton="0" quotePrefix="0" xfId="3">
      <alignment horizontal="left" vertical="center" wrapText="1" indent="1"/>
    </xf>
    <xf numFmtId="0" fontId="34" fillId="12" borderId="35" pivotButton="0" quotePrefix="0" xfId="0"/>
    <xf numFmtId="0" fontId="34" fillId="12" borderId="36" pivotButton="0" quotePrefix="0" xfId="0"/>
    <xf numFmtId="0" fontId="18" fillId="4" borderId="14" applyAlignment="1" pivotButton="0" quotePrefix="0" xfId="3">
      <alignment horizontal="center" vertical="center" wrapText="1"/>
    </xf>
    <xf numFmtId="0" fontId="18" fillId="4" borderId="4" applyAlignment="1" pivotButton="0" quotePrefix="0" xfId="3">
      <alignment horizontal="center" vertical="center" wrapText="1"/>
    </xf>
    <xf numFmtId="0" fontId="17" fillId="12" borderId="31" applyAlignment="1" pivotButton="0" quotePrefix="0" xfId="3">
      <alignment horizontal="left" vertical="center" wrapText="1"/>
    </xf>
    <xf numFmtId="0" fontId="32" fillId="12" borderId="35" pivotButton="0" quotePrefix="0" xfId="0"/>
    <xf numFmtId="0" fontId="32" fillId="12" borderId="36" pivotButton="0" quotePrefix="0" xfId="0"/>
    <xf numFmtId="0" fontId="7" fillId="0" borderId="14" applyAlignment="1" pivotButton="0" quotePrefix="0" xfId="3">
      <alignment horizontal="left" vertical="center" wrapText="1"/>
    </xf>
    <xf numFmtId="0" fontId="18" fillId="4" borderId="14" applyAlignment="1" pivotButton="0" quotePrefix="0" xfId="3">
      <alignment horizontal="left" vertical="center" wrapText="1"/>
    </xf>
    <xf numFmtId="0" fontId="18" fillId="19" borderId="3" applyAlignment="1" pivotButton="0" quotePrefix="0" xfId="3">
      <alignment horizontal="left" vertical="center" wrapText="1"/>
    </xf>
    <xf numFmtId="0" fontId="18" fillId="19" borderId="4" applyAlignment="1" pivotButton="0" quotePrefix="0" xfId="3">
      <alignment horizontal="left" vertical="center" wrapText="1"/>
    </xf>
    <xf numFmtId="0" fontId="18" fillId="19" borderId="16" applyAlignment="1" pivotButton="0" quotePrefix="0" xfId="3">
      <alignment horizontal="left" vertical="center" wrapText="1"/>
    </xf>
    <xf numFmtId="0" fontId="20" fillId="0" borderId="14" applyAlignment="1" pivotButton="0" quotePrefix="0" xfId="3">
      <alignment horizontal="center" vertical="center"/>
    </xf>
    <xf numFmtId="0" fontId="33" fillId="17" borderId="14" applyAlignment="1" pivotButton="0" quotePrefix="0" xfId="3">
      <alignment horizontal="left" vertical="center" indent="1"/>
    </xf>
    <xf numFmtId="0" fontId="36" fillId="16" borderId="4" pivotButton="0" quotePrefix="0" xfId="0"/>
    <xf numFmtId="0" fontId="36" fillId="16" borderId="16" pivotButton="0" quotePrefix="0" xfId="0"/>
    <xf numFmtId="0" fontId="38" fillId="4" borderId="11" applyAlignment="1" pivotButton="0" quotePrefix="0" xfId="3">
      <alignment horizontal="right" vertical="center" indent="1"/>
    </xf>
    <xf numFmtId="0" fontId="34" fillId="0" borderId="5" pivotButton="0" quotePrefix="0" xfId="0"/>
    <xf numFmtId="0" fontId="34" fillId="0" borderId="10" pivotButton="0" quotePrefix="0" xfId="0"/>
    <xf numFmtId="0" fontId="6" fillId="10" borderId="11" applyAlignment="1" pivotButton="0" quotePrefix="0" xfId="3">
      <alignment horizontal="center" vertical="center"/>
    </xf>
    <xf numFmtId="14" fontId="20" fillId="0" borderId="14" applyAlignment="1" pivotButton="0" quotePrefix="0" xfId="3">
      <alignment horizontal="center" vertical="center"/>
    </xf>
    <xf numFmtId="0" fontId="20" fillId="0" borderId="14" applyAlignment="1" pivotButton="0" quotePrefix="0" xfId="3">
      <alignment horizontal="left" vertical="center" shrinkToFit="1" indent="1"/>
    </xf>
    <xf numFmtId="9" fontId="7" fillId="0" borderId="8" applyAlignment="1" pivotButton="0" quotePrefix="0" xfId="3">
      <alignment horizontal="center" vertical="center" wrapText="1"/>
    </xf>
    <xf numFmtId="0" fontId="18" fillId="4" borderId="11" applyAlignment="1" pivotButton="0" quotePrefix="0" xfId="3">
      <alignment horizontal="center" vertical="center" wrapText="1"/>
    </xf>
    <xf numFmtId="0" fontId="10" fillId="6" borderId="14" applyAlignment="1" pivotButton="0" quotePrefix="0" xfId="3">
      <alignment horizontal="left" vertical="center" wrapText="1"/>
    </xf>
    <xf numFmtId="0" fontId="7" fillId="0" borderId="14" applyAlignment="1" pivotButton="0" quotePrefix="0" xfId="3">
      <alignment horizontal="center" vertical="center" wrapText="1"/>
    </xf>
    <xf numFmtId="0" fontId="33" fillId="12" borderId="23" applyAlignment="1" pivotButton="0" quotePrefix="0" xfId="3">
      <alignment horizontal="center" vertical="center"/>
    </xf>
    <xf numFmtId="9" fontId="33" fillId="12" borderId="23" applyAlignment="1" pivotButton="0" quotePrefix="0" xfId="3">
      <alignment horizontal="center" vertical="center"/>
    </xf>
    <xf numFmtId="9" fontId="7" fillId="0" borderId="17" applyAlignment="1" pivotButton="0" quotePrefix="0" xfId="3">
      <alignment horizontal="center" vertical="center" wrapText="1"/>
    </xf>
    <xf numFmtId="9" fontId="7" fillId="0" borderId="8" applyAlignment="1" pivotButton="0" quotePrefix="0" xfId="3">
      <alignment horizontal="center" vertical="center" wrapText="1"/>
    </xf>
    <xf numFmtId="0" fontId="18" fillId="4" borderId="11" applyAlignment="1" pivotButton="0" quotePrefix="0" xfId="3">
      <alignment horizontal="center" vertical="center" wrapText="1"/>
    </xf>
    <xf numFmtId="9" fontId="33" fillId="12" borderId="30" applyAlignment="1" pivotButton="0" quotePrefix="0" xfId="3">
      <alignment horizontal="center" vertical="center"/>
    </xf>
    <xf numFmtId="0" fontId="33" fillId="16" borderId="11" applyAlignment="1" pivotButton="0" quotePrefix="0" xfId="3">
      <alignment horizontal="center" vertical="center"/>
    </xf>
    <xf numFmtId="0" fontId="34" fillId="16" borderId="10" pivotButton="0" quotePrefix="0" xfId="0"/>
    <xf numFmtId="0" fontId="33" fillId="16" borderId="11" applyAlignment="1" pivotButton="0" quotePrefix="0" xfId="3">
      <alignment horizontal="center" vertical="center"/>
    </xf>
    <xf numFmtId="9" fontId="33" fillId="16" borderId="11" applyAlignment="1" pivotButton="0" quotePrefix="0" xfId="3">
      <alignment horizontal="center" vertical="center"/>
    </xf>
    <xf numFmtId="9" fontId="33" fillId="16" borderId="11" applyAlignment="1" pivotButton="0" quotePrefix="0" xfId="3">
      <alignment horizontal="center" vertical="center"/>
    </xf>
    <xf numFmtId="0" fontId="20" fillId="0" borderId="11" applyAlignment="1" pivotButton="0" quotePrefix="0" xfId="3">
      <alignment horizontal="left" vertical="center" indent="1"/>
    </xf>
    <xf numFmtId="2" fontId="30" fillId="6" borderId="11" applyAlignment="1" pivotButton="0" quotePrefix="0" xfId="3">
      <alignment horizontal="center" vertical="center" wrapText="1"/>
    </xf>
    <xf numFmtId="0" fontId="20" fillId="0" borderId="11" applyAlignment="1" pivotButton="0" quotePrefix="0" xfId="3">
      <alignment horizontal="center" vertical="center"/>
    </xf>
    <xf numFmtId="0" fontId="10" fillId="6" borderId="9" applyAlignment="1" pivotButton="0" quotePrefix="0" xfId="3">
      <alignment horizontal="center" vertical="center" wrapText="1"/>
    </xf>
    <xf numFmtId="0" fontId="10" fillId="6" borderId="11" applyAlignment="1" pivotButton="0" quotePrefix="0" xfId="3">
      <alignment horizontal="left" vertical="center" wrapText="1"/>
    </xf>
    <xf numFmtId="0" fontId="7" fillId="0" borderId="11" applyAlignment="1" pivotButton="0" quotePrefix="0" xfId="3">
      <alignment horizontal="left" vertical="top" wrapText="1"/>
    </xf>
    <xf numFmtId="0" fontId="20" fillId="0" borderId="11" applyAlignment="1" pivotButton="0" quotePrefix="0" xfId="3">
      <alignment horizontal="center" vertical="center"/>
    </xf>
    <xf numFmtId="0" fontId="20" fillId="0" borderId="11" applyAlignment="1" pivotButton="0" quotePrefix="0" xfId="3">
      <alignment horizontal="left" vertical="center" shrinkToFit="1" indent="1"/>
    </xf>
    <xf numFmtId="0" fontId="10" fillId="15" borderId="11" applyAlignment="1" pivotButton="0" quotePrefix="0" xfId="3">
      <alignment horizontal="left" vertical="center"/>
    </xf>
    <xf numFmtId="0" fontId="10" fillId="13" borderId="23" applyAlignment="1" pivotButton="0" quotePrefix="0" xfId="3">
      <alignment horizontal="center" vertical="center" wrapText="1"/>
    </xf>
    <xf numFmtId="0" fontId="10" fillId="13" borderId="23" applyAlignment="1" pivotButton="0" quotePrefix="0" xfId="3">
      <alignment horizontal="center" vertical="center" wrapText="1"/>
    </xf>
    <xf numFmtId="0" fontId="28" fillId="12" borderId="23" pivotButton="0" quotePrefix="0" xfId="0"/>
    <xf numFmtId="0" fontId="10" fillId="4" borderId="14" applyAlignment="1" pivotButton="0" quotePrefix="0" xfId="3">
      <alignment horizontal="left" vertical="center" wrapText="1"/>
    </xf>
    <xf numFmtId="0" fontId="28" fillId="0" borderId="16" pivotButton="0" quotePrefix="0" xfId="0"/>
    <xf numFmtId="0" fontId="13" fillId="0" borderId="7" applyAlignment="1" pivotButton="0" quotePrefix="0" xfId="3">
      <alignment horizontal="center" vertical="center"/>
    </xf>
    <xf numFmtId="0" fontId="15" fillId="12" borderId="23" applyAlignment="1" pivotButton="0" quotePrefix="0" xfId="3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35" pivotButton="0" quotePrefix="0" xfId="0"/>
    <xf numFmtId="0" fontId="0" fillId="0" borderId="42" pivotButton="0" quotePrefix="0" xfId="0"/>
    <xf numFmtId="0" fontId="0" fillId="0" borderId="44" pivotButton="0" quotePrefix="0" xfId="0"/>
    <xf numFmtId="0" fontId="0" fillId="0" borderId="46" pivotButton="0" quotePrefix="0" xfId="0"/>
    <xf numFmtId="0" fontId="10" fillId="19" borderId="7" applyAlignment="1" pivotButton="0" quotePrefix="0" xfId="3">
      <alignment horizontal="left" vertical="center" wrapText="1"/>
    </xf>
    <xf numFmtId="0" fontId="18" fillId="19" borderId="14" applyAlignment="1" pivotButton="0" quotePrefix="0" xfId="3">
      <alignment horizontal="left" vertical="center" wrapText="1"/>
    </xf>
    <xf numFmtId="0" fontId="18" fillId="19" borderId="7" applyAlignment="1" pivotButton="0" quotePrefix="0" xfId="3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27" pivotButton="0" quotePrefix="0" xfId="0"/>
    <xf numFmtId="0" fontId="10" fillId="6" borderId="7" applyAlignment="1" pivotButton="0" quotePrefix="0" xfId="3">
      <alignment horizontal="center" vertical="center" wrapText="1"/>
    </xf>
    <xf numFmtId="0" fontId="5" fillId="20" borderId="3" applyAlignment="1" pivotButton="0" quotePrefix="0" xfId="3">
      <alignment horizontal="center" vertical="center"/>
    </xf>
    <xf numFmtId="0" fontId="8" fillId="20" borderId="7" applyAlignment="1" pivotButton="0" quotePrefix="0" xfId="3">
      <alignment horizontal="center" vertical="center"/>
    </xf>
    <xf numFmtId="0" fontId="10" fillId="21" borderId="7" applyAlignment="1" pivotButton="0" quotePrefix="0" xfId="3">
      <alignment horizontal="left" vertical="center"/>
    </xf>
    <xf numFmtId="0" fontId="15" fillId="22" borderId="23" applyAlignment="1" pivotButton="0" quotePrefix="0" xfId="3">
      <alignment horizontal="center" vertical="center" wrapText="1"/>
    </xf>
    <xf numFmtId="0" fontId="4" fillId="20" borderId="14" applyAlignment="1" pivotButton="0" quotePrefix="0" xfId="3">
      <alignment horizontal="left" vertical="center" indent="1"/>
    </xf>
    <xf numFmtId="0" fontId="10" fillId="21" borderId="7" applyAlignment="1" pivotButton="0" quotePrefix="0" xfId="3">
      <alignment horizontal="left" vertical="center" wrapText="1"/>
    </xf>
    <xf numFmtId="165" fontId="7" fillId="0" borderId="7" applyAlignment="1" pivotButton="0" quotePrefix="0" xfId="3">
      <alignment horizontal="center" vertical="center" wrapText="1"/>
    </xf>
    <xf numFmtId="0" fontId="18" fillId="22" borderId="23" applyAlignment="1" pivotButton="0" quotePrefix="0" xfId="3">
      <alignment horizontal="center" vertical="center" wrapText="1"/>
    </xf>
    <xf numFmtId="165" fontId="20" fillId="0" borderId="14" applyAlignment="1" pivotButton="0" quotePrefix="0" xfId="3">
      <alignment horizontal="center" vertical="center"/>
    </xf>
    <xf numFmtId="0" fontId="21" fillId="0" borderId="7" applyAlignment="1" pivotButton="0" quotePrefix="0" xfId="3">
      <alignment horizontal="left" vertical="center" wrapText="1" indent="1"/>
    </xf>
    <xf numFmtId="0" fontId="18" fillId="22" borderId="23" applyAlignment="1" pivotButton="0" quotePrefix="0" xfId="3">
      <alignment horizontal="center" vertical="center"/>
    </xf>
    <xf numFmtId="0" fontId="18" fillId="21" borderId="14" applyAlignment="1" pivotButton="0" quotePrefix="0" xfId="3">
      <alignment horizontal="left" vertical="center" wrapText="1"/>
    </xf>
    <xf numFmtId="4" fontId="20" fillId="0" borderId="14" applyAlignment="1" pivotButton="0" quotePrefix="0" xfId="3">
      <alignment horizontal="center" vertical="center"/>
    </xf>
    <xf numFmtId="0" fontId="20" fillId="0" borderId="14" applyAlignment="1" pivotButton="0" quotePrefix="0" xfId="3">
      <alignment horizontal="center" vertical="center"/>
    </xf>
    <xf numFmtId="167" fontId="20" fillId="0" borderId="14" applyAlignment="1" pivotButton="0" quotePrefix="0" xfId="3">
      <alignment horizontal="center" vertical="center"/>
    </xf>
    <xf numFmtId="168" fontId="20" fillId="0" borderId="14" applyAlignment="1" pivotButton="0" quotePrefix="0" xfId="3">
      <alignment horizontal="center" vertical="center"/>
    </xf>
    <xf numFmtId="0" fontId="10" fillId="21" borderId="7" applyAlignment="1" pivotButton="0" quotePrefix="0" xfId="3">
      <alignment horizontal="left" vertical="center" indent="1"/>
    </xf>
    <xf numFmtId="168" fontId="6" fillId="20" borderId="7" applyAlignment="1" pivotButton="0" quotePrefix="0" xfId="3">
      <alignment horizontal="center" vertical="center"/>
    </xf>
    <xf numFmtId="0" fontId="6" fillId="20" borderId="7" applyAlignment="1" pivotButton="0" quotePrefix="0" xfId="3">
      <alignment horizontal="center" vertical="center"/>
    </xf>
    <xf numFmtId="4" fontId="39" fillId="0" borderId="14" applyAlignment="1" pivotButton="0" quotePrefix="0" xfId="3">
      <alignment horizontal="center" vertical="center"/>
    </xf>
    <xf numFmtId="167" fontId="7" fillId="0" borderId="7" applyAlignment="1" pivotButton="0" quotePrefix="0" xfId="3">
      <alignment horizontal="center" vertical="center" wrapText="1"/>
    </xf>
    <xf numFmtId="169" fontId="20" fillId="0" borderId="14" applyAlignment="1" pivotButton="0" quotePrefix="0" xfId="3">
      <alignment horizontal="center" vertical="center"/>
    </xf>
    <xf numFmtId="0" fontId="39" fillId="0" borderId="14" applyAlignment="1" pivotButton="0" quotePrefix="0" xfId="3">
      <alignment horizontal="center" vertical="center"/>
    </xf>
  </cellXfs>
  <cellStyles count="6">
    <cellStyle name="Normal" xfId="0" builtinId="0"/>
    <cellStyle name="Normal 8" xfId="1"/>
    <cellStyle name="Normal 3" xfId="2"/>
    <cellStyle name="Normal 2" xfId="3"/>
    <cellStyle name="Normal 4" xfId="4"/>
    <cellStyle name="Normal 6 2" xfId="5"/>
  </cellStyles>
  <dxfs count="14"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FFFFFF"/>
      </font>
      <fill>
        <patternFill patternType="solid">
          <fgColor rgb="FF595959"/>
          <bgColor rgb="FF595959"/>
        </patternFill>
      </fill>
    </dxf>
    <dxf>
      <font>
        <b val="1"/>
        <color rgb="FFFFFFFF"/>
      </font>
      <fill>
        <patternFill patternType="solid">
          <fgColor rgb="FF7F4F24"/>
          <bgColor rgb="FF7F4F24"/>
        </patternFill>
      </fill>
    </dxf>
    <dxf>
      <font>
        <b val="1"/>
        <color rgb="FFFFFFFF"/>
      </font>
      <fill>
        <patternFill patternType="solid">
          <fgColor rgb="FF7030A0"/>
          <bgColor rgb="FF7030A0"/>
        </patternFill>
      </fill>
    </dxf>
    <dxf>
      <font>
        <b val="1"/>
        <color rgb="FF000000"/>
      </font>
      <fill>
        <patternFill patternType="solid">
          <fgColor rgb="FFF57C00"/>
          <bgColor rgb="FFF57C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FFFF"/>
          <bgColor rgb="FFFFFFFF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0070C0"/>
          <bgColor rgb="FF0070C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00000000"/>
      </font>
      <fill>
        <patternFill patternType="solid">
          <fgColor rgb="0000A651"/>
          <bgColor rgb="0000A651"/>
        </patternFill>
      </fill>
    </dxf>
    <dxf>
      <font>
        <b val="1"/>
        <color rgb="00FFFFFF"/>
      </font>
      <fill>
        <patternFill patternType="solid">
          <fgColor rgb="00C00000"/>
          <bgColor rgb="00C0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862393</xdr:colOff>
      <xdr:row>5</xdr:row>
      <xdr:rowOff>131445</xdr:rowOff>
    </xdr:to>
    <xdr:pic>
      <xdr:nvPicPr>
        <xdr:cNvPr id="1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prstGeom xmlns:a="http://schemas.openxmlformats.org/drawingml/2006/main" prst="rect"/>
        <a:ln xmlns:a="http://schemas.openxmlformats.org/drawingml/2006/main">
          <a:prstDash val="solid"/>
        </a:ln>
      </xdr:spPr>
    </xdr:pic>
    <xdr:clientData/>
  </xdr:twoCellAnchor>
</xdr:wsDr>
</file>

<file path=xl/externalLinks/_rels/externalLink1.xml.rels><Relationships xmlns="http://schemas.openxmlformats.org/package/2006/relationships"><Relationship Type="http://schemas.openxmlformats.org/officeDocument/2006/relationships/externalLinkPath" Target="/Users/hugof/Downloads/FORMATOS%20SG%20-%20SST/PERMISOS_diseno_v3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ermisos de Trabajo"/>
      <sheetName val="Requisitos por permiso"/>
    </sheetNames>
    <sheetDataSet>
      <sheetData sheetId="0"/>
      <sheetData sheetId="1">
        <row r="4">
          <cell r="A4" t="str">
            <v>TRABAJO EN CALIENTE</v>
          </cell>
          <cell r="B4" t="str">
            <v>TRABAJO EN FRÍO</v>
          </cell>
          <cell r="C4" t="str">
            <v>TRABAJO EN ESPACIOS CONFINADOS</v>
          </cell>
          <cell r="D4" t="str">
            <v>TRABAJOS ELÉCTRICOS</v>
          </cell>
          <cell r="E4" t="str">
            <v>TRABAJO EN ALTURAS</v>
          </cell>
          <cell r="F4" t="str">
            <v>EXCAVACIONES</v>
          </cell>
          <cell r="G4" t="str">
            <v>TRABAJO CON RADIACIÓN</v>
          </cell>
          <cell r="H4" t="str">
            <v>SUSTANCIAS PELIGROSAS O QUÍMICAS</v>
          </cell>
          <cell r="I4" t="str">
            <v>TRABAJO EN CONDICIONES EXTREMAS</v>
          </cell>
        </row>
        <row r="5">
          <cell r="A5" t="str">
            <v>Área despejada de combustibles e inflamables (o protegidos con mantas ignífugas)</v>
          </cell>
          <cell r="B5" t="str">
            <v>Alcance del trabajo definido y confirmado: no genera chispas ni calor</v>
          </cell>
          <cell r="C5" t="str">
            <v>Espacio identificado, señalizado y con acceso controlado</v>
          </cell>
          <cell r="D5" t="str">
            <v>Personal competente y autorizado para el trabajo eléctrico (RETIE)</v>
          </cell>
          <cell r="E5" t="str">
            <v>Personal con certificación vigente en trabajo seguro en alturas y aptitud médica</v>
          </cell>
          <cell r="F5" t="str">
            <v>Servicios enterrados localizados y señalizados (gas, energía, agua y datos)</v>
          </cell>
          <cell r="G5" t="str">
            <v>Personal autorizado con licencia o autorización vigente para manejo de fuentes radiactivas</v>
          </cell>
          <cell r="H5" t="str">
            <v>Hojas de datos de seguridad (SDS) disponibles y leídas por el personal</v>
          </cell>
          <cell r="I5" t="str">
            <v>Condiciones evaluadas (temperatura, radiación UV, lluvia, viento, tormenta eléctrica y visibilidad)</v>
          </cell>
        </row>
        <row r="6">
          <cell r="A6" t="str">
            <v>Extintor adecuado, cargado y a la mano</v>
          </cell>
          <cell r="B6" t="str">
            <v>Herramientas y equipos antichispa o que no generan fuentes de ignición</v>
          </cell>
          <cell r="C6" t="str">
            <v>Personal autorizado con capacitación y certificación en espacios confinados</v>
          </cell>
          <cell r="D6" t="str">
            <v>Procedimiento de bloqueo y etiquetado (LOTO) aplicado</v>
          </cell>
          <cell r="E6" t="str">
            <v>Coordinador de trabajo en alturas presente</v>
          </cell>
          <cell r="F6" t="str">
            <v>Tipo de suelo evaluado y sistema de contención definido (talud o entibado)</v>
          </cell>
          <cell r="G6" t="str">
            <v>Oficial de protección radiológica designado y presente</v>
          </cell>
          <cell r="H6" t="str">
            <v>Sustancias rotuladas con el sistema globalmente armonizado (SGA)</v>
          </cell>
          <cell r="I6" t="str">
            <v>Criterios para suspender el trabajo definidos y comunicados</v>
          </cell>
        </row>
        <row r="7">
          <cell r="A7" t="str">
            <v>Vigía de fuego designado (permanece 30 minutos después de terminar)</v>
          </cell>
          <cell r="B7" t="str">
            <v>Equipos eléctricos y neumáticos aptos para la clasificación del área</v>
          </cell>
          <cell r="C7" t="str">
            <v>Energías y fluidos aislados, bloqueados y etiquetados (tuberías, equipos, electricidad)</v>
          </cell>
          <cell r="D7" t="str">
            <v>Circuito abierto y desenergizado en el punto de corte</v>
          </cell>
          <cell r="E7" t="str">
            <v>Procedimiento de trabajo en alturas y ATS socializados</v>
          </cell>
          <cell r="F7" t="str">
            <v>Taludes o entibados construidos según el diseño</v>
          </cell>
          <cell r="G7" t="str">
            <v>Dosímetros personales asignados y en uso</v>
          </cell>
          <cell r="H7" t="str">
            <v>Cantidad limitada a la necesaria y en recipientes adecuados</v>
          </cell>
          <cell r="I7" t="str">
            <v>Hidratación disponible y pausas programadas</v>
          </cell>
        </row>
        <row r="8">
          <cell r="A8" t="str">
            <v>Mantas o pantallas ignífugas contra chispas y escoria</v>
          </cell>
          <cell r="B8" t="str">
            <v>Medición de atmósfera inflamable (LEL) realizada en el sitio</v>
          </cell>
          <cell r="C8" t="str">
            <v>Medición de gases previa y continua (oxígeno, explosividad, CO y H₂S)</v>
          </cell>
          <cell r="D8" t="str">
            <v>Ausencia de tensión verificada con detector adecuado</v>
          </cell>
          <cell r="E8" t="str">
            <v>Sistema de acceso seguro (andamio certificado, escalera o plataforma inspeccionada)</v>
          </cell>
          <cell r="F8" t="str">
            <v>Material excavado y equipos retirados del borde (distancia segura)</v>
          </cell>
          <cell r="G8" t="str">
            <v>Fuente radiactiva identificada, con su certificado y registro de inventario</v>
          </cell>
          <cell r="H8" t="str">
            <v>Compatibilidad entre sustancias verificada</v>
          </cell>
          <cell r="I8" t="str">
            <v>Sombra, refugio o zona de descanso disponible</v>
          </cell>
        </row>
        <row r="9">
          <cell r="A9" t="str">
            <v>Equipos de soldadura u oxicorte inspeccionados (cables, mangueras, válvulas y antirretorno)</v>
          </cell>
          <cell r="B9" t="str">
            <v>Equipo o línea despresurizada, drenada y purgada (si aplica)</v>
          </cell>
          <cell r="C9" t="str">
            <v>Ventilación natural o forzada en funcionamiento</v>
          </cell>
          <cell r="D9" t="str">
            <v>Puesta a tierra temporal instalada</v>
          </cell>
          <cell r="E9" t="str">
            <v>Puntos de anclaje identificados y con la resistencia requerida</v>
          </cell>
          <cell r="F9" t="str">
            <v>Zona delimitada, con barandas o cerramiento y señalización visible</v>
          </cell>
          <cell r="G9" t="str">
            <v>Área controlada delimitada y señalizada, con barreras y distancia segura calculada</v>
          </cell>
          <cell r="H9" t="str">
            <v>Ventilación adecuada en el área de trabajo</v>
          </cell>
          <cell r="I9" t="str">
            <v>Ropa adecuada al clima y protección solar</v>
          </cell>
        </row>
        <row r="10">
          <cell r="A10" t="str">
            <v>Cilindros asegurados en posición vertical, con capuchón y lejos de la fuente de calor</v>
          </cell>
          <cell r="B10" t="str">
            <v>Energías aisladas, bloqueadas y etiquetadas (LOTO)</v>
          </cell>
          <cell r="C10" t="str">
            <v>Vigía permanente en el exterior con registro de ingreso y salida</v>
          </cell>
          <cell r="D10" t="str">
            <v>Zona de trabajo delimitada y señalizada</v>
          </cell>
          <cell r="E10" t="str">
            <v>Arnés, eslingas, absorbedor de impacto y línea de vida inspeccionados</v>
          </cell>
          <cell r="F10" t="str">
            <v>Accesos y salidas seguros (escaleras o rampas) cerca del personal</v>
          </cell>
          <cell r="G10" t="str">
            <v>Monitor de radiación calibrado y operativo</v>
          </cell>
          <cell r="H10" t="str">
            <v>EPP específico (respirador, guantes, gafas, delantal) según la SDS</v>
          </cell>
          <cell r="I10" t="str">
            <v>Aclimatación del personal nuevo o que regresa</v>
          </cell>
        </row>
        <row r="11">
          <cell r="A11" t="str">
            <v>Ventilación o extracción de humos y gases</v>
          </cell>
          <cell r="B11" t="str">
            <v>Superficies calientes y fuentes de ignición cercanas controladas</v>
          </cell>
          <cell r="C11" t="str">
            <v>Comunicación continua entre el vigía y las personas en el interior</v>
          </cell>
          <cell r="D11" t="str">
            <v>Distancias de seguridad respetadas frente a partes energizadas</v>
          </cell>
          <cell r="E11" t="str">
            <v>Barandas, cerramientos o redes de protección instalados</v>
          </cell>
          <cell r="F11" t="str">
            <v>Control de agua, drenaje o bombeo implementado</v>
          </cell>
          <cell r="G11" t="str">
            <v>Personal ajeno evacuado o avisado del horario de la tarea</v>
          </cell>
          <cell r="H11" t="str">
            <v>Duchas y lavaojos de emergencia disponibles y cercanos</v>
          </cell>
          <cell r="I11" t="str">
            <v>Monitoreo de síntomas (golpe de calor, hipotermia y fatiga)</v>
          </cell>
        </row>
        <row r="12">
          <cell r="A12" t="str">
            <v>Aberturas, ductos y alcantarillas cercanas selladas o protegidas</v>
          </cell>
          <cell r="B12" t="str">
            <v>Extintor adecuado, cargado y a la mano</v>
          </cell>
          <cell r="C12" t="str">
            <v>Plan de rescate, equipo de rescate (trípode, malacate) y respiración disponibles</v>
          </cell>
          <cell r="D12" t="str">
            <v>EPP dieléctrico en buen estado (casco, guantes, calzado y careta)</v>
          </cell>
          <cell r="E12" t="str">
            <v>Área inferior demarcada y señalizada contra caída de objetos</v>
          </cell>
          <cell r="F12" t="str">
            <v>Inspección previa por persona competente (cada turno o después de lluvia)</v>
          </cell>
          <cell r="G12" t="str">
            <v>Transporte y almacenamiento seguros de la fuente</v>
          </cell>
          <cell r="H12" t="str">
            <v>Kit de derrames y material absorbente disponible</v>
          </cell>
          <cell r="I12" t="str">
            <v>Iluminación suficiente si el trabajo es nocturno</v>
          </cell>
        </row>
        <row r="13">
          <cell r="A13" t="str">
            <v>Medición de atmósfera inflamable realizada si hay riesgo de gases o vapores</v>
          </cell>
          <cell r="B13" t="str">
            <v>EPP adecuado (guantes, gafas, ropa antiestática)</v>
          </cell>
          <cell r="C13" t="str">
            <v>Iluminación y equipos aptos para el ambiente (a prueba de explosión si aplica)</v>
          </cell>
          <cell r="D13" t="str">
            <v>Herramientas y equipos aislados, inspeccionados y con protección diferencial</v>
          </cell>
          <cell r="E13" t="str">
            <v>Plan de rescate y equipo de rescate disponibles; personal entrenado</v>
          </cell>
          <cell r="F13" t="str">
            <v>Atmósfera verificada si hay sospecha de gases (excavaciones profundas)</v>
          </cell>
          <cell r="G13" t="str">
            <v>Control de tiempo de exposición, distancia y blindaje</v>
          </cell>
          <cell r="H13" t="str">
            <v>Fuentes de ignición controladas o eliminadas</v>
          </cell>
          <cell r="I13" t="str">
            <v>Trabajo en parejas o con vigía</v>
          </cell>
        </row>
        <row r="14">
          <cell r="A14" t="str">
            <v>EPP específicos (careta, guantes, peto, polainas) y ropa sin material inflamable</v>
          </cell>
          <cell r="B14" t="str">
            <v>Área delimitada y señalizada</v>
          </cell>
          <cell r="C14" t="str">
            <v>Limpieza, drenaje o inertización del espacio realizada</v>
          </cell>
          <cell r="D14" t="str">
            <v>Condiciones climáticas evaluadas (lluvia, tormenta eléctrica)</v>
          </cell>
          <cell r="E14" t="str">
            <v>Herramientas aseguradas contra caídas</v>
          </cell>
          <cell r="F14" t="str">
            <v>Control de tránsito y de vibraciones cerca de la excavación</v>
          </cell>
          <cell r="G14" t="str">
            <v>Registro de dosis y bitácora de operación al día</v>
          </cell>
          <cell r="H14" t="str">
            <v>Personal capacitado en manejo de sustancias químicas y en el plan de emergencia</v>
          </cell>
          <cell r="I14" t="str">
            <v>Primeros auxilios y medio de comunicación disponibles</v>
          </cell>
        </row>
        <row r="15">
          <cell r="A15" t="str">
            <v>Revisión del área 30 minutos después de terminar el trabajo</v>
          </cell>
          <cell r="B15" t="str">
            <v>Procedimiento de trabajo y ATS conocidos por todo el personal</v>
          </cell>
          <cell r="C15" t="str">
            <v>EPP y ropa adecuados al riesgo</v>
          </cell>
          <cell r="D15" t="str">
            <v>Coordinación con el operador de red o responsable del sistema eléctrico</v>
          </cell>
          <cell r="E15" t="str">
            <v>Condiciones climáticas evaluadas (lluvia, viento fuerte, tormenta eléctrica)</v>
          </cell>
          <cell r="F15" t="str">
            <v>Plan de rescate y equipo básico de emergencia disponibles</v>
          </cell>
          <cell r="G15" t="str">
            <v>Aptitud médica del personal expuesto</v>
          </cell>
          <cell r="H15" t="str">
            <v>Disposición de residuos peligrosos definida</v>
          </cell>
          <cell r="I15" t="str">
            <v>Plan de evacuación o suspensión ante tormenta eléctrica</v>
          </cell>
        </row>
        <row r="16">
          <cell r="A16"/>
          <cell r="B16" t="str">
            <v>Plan de emergencia y medio de comunicación disponibles</v>
          </cell>
          <cell r="C16" t="str">
            <v>Tiempo máximo de permanencia definido</v>
          </cell>
          <cell r="D16"/>
          <cell r="E16" t="str">
            <v>Comunicación entre quien trabaja y el coordinador o vigía</v>
          </cell>
          <cell r="F16" t="str">
            <v>EPP completos y vigía cuando se requiera</v>
          </cell>
          <cell r="G16" t="str">
            <v>Plan de emergencia radiológica y contactos disponibles</v>
          </cell>
          <cell r="H16"/>
          <cell r="I16"/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pageSetUpPr fitToPage="1"/>
  </sheetPr>
  <dimension ref="A1:L51"/>
  <sheetViews>
    <sheetView showGridLines="0" tabSelected="1" zoomScale="79" zoomScaleNormal="79" workbookViewId="0">
      <selection activeCell="A1" sqref="A1"/>
    </sheetView>
  </sheetViews>
  <sheetFormatPr baseColWidth="8" defaultRowHeight="15"/>
  <cols>
    <col width="12.78" customWidth="1" style="127" min="1" max="1"/>
    <col width="13" customWidth="1" style="127" min="2" max="2"/>
    <col width="13" customWidth="1" style="127" min="3" max="3"/>
    <col width="15.78" customWidth="1" style="127" min="4" max="4"/>
    <col width="10" customWidth="1" style="127" min="5" max="5"/>
    <col width="15.78" customWidth="1" style="127" min="6" max="6"/>
    <col width="11" customWidth="1" style="127" min="7" max="7"/>
    <col width="15.78" customWidth="1" style="127" min="8" max="8"/>
    <col width="10" customWidth="1" style="127" min="9" max="9"/>
    <col width="15.78" customWidth="1" style="127" min="10" max="10"/>
    <col width="12" customWidth="1" style="127" min="11" max="11"/>
    <col width="13" customWidth="1" style="127" min="12" max="12"/>
  </cols>
  <sheetData>
    <row r="1" ht="40.05" customHeight="1" s="127">
      <c r="D1" s="360" t="inlineStr">
        <is>
          <t>CONTROL DE EMISIONES ATMOSFÉRICAS Y RUIDO</t>
        </is>
      </c>
    </row>
    <row r="2" ht="14.4" customHeight="1" s="127">
      <c r="D2" s="96" t="n"/>
      <c r="E2" s="98" t="n"/>
      <c r="F2" s="98" t="n"/>
      <c r="G2" s="98" t="n"/>
      <c r="H2" s="98" t="n"/>
      <c r="I2" s="98" t="n"/>
      <c r="J2" s="98" t="n"/>
      <c r="K2" s="98" t="n"/>
      <c r="L2" s="98" t="n"/>
    </row>
    <row r="3" ht="4.95" customHeight="1" s="127">
      <c r="D3" s="60" t="n"/>
      <c r="E3" s="104" t="n"/>
      <c r="F3" s="104" t="n"/>
      <c r="G3" s="104" t="n"/>
      <c r="H3" s="104" t="n"/>
      <c r="I3" s="104" t="n"/>
      <c r="J3" s="104" t="n"/>
      <c r="K3" s="104" t="n"/>
      <c r="L3" s="104" t="n"/>
    </row>
    <row r="4" ht="15" customHeight="1" s="127">
      <c r="J4" s="361" t="inlineStr">
        <is>
          <t>CONTROL DOCUMENTAL</t>
        </is>
      </c>
      <c r="K4" s="93" t="n"/>
      <c r="L4" s="89" t="n"/>
    </row>
    <row r="5" ht="15" customHeight="1" s="127">
      <c r="D5" s="99" t="inlineStr">
        <is>
          <t>REFORMAS Y REMODELACIONES</t>
        </is>
      </c>
      <c r="I5" s="92" t="n"/>
      <c r="J5" s="362" t="inlineStr">
        <is>
          <t>Código</t>
        </is>
      </c>
      <c r="K5" s="64" t="inlineStr">
        <is>
          <t>RYR-AM-006</t>
        </is>
      </c>
      <c r="L5" s="89" t="n"/>
    </row>
    <row r="6" ht="15" customHeight="1" s="127">
      <c r="D6" s="90" t="inlineStr">
        <is>
          <t>DISEÑAMOS, RENOVAMOS Y CONSTRUIMOS ESPACIOS QUE INSPIRAN.</t>
        </is>
      </c>
      <c r="I6" s="92" t="n"/>
      <c r="J6" s="362" t="inlineStr">
        <is>
          <t>Versión</t>
        </is>
      </c>
      <c r="K6" s="64" t="n">
        <v>1</v>
      </c>
      <c r="L6" s="89" t="n"/>
    </row>
    <row r="7" ht="15" customHeight="1" s="127">
      <c r="D7" s="190" t="n"/>
      <c r="E7" s="190" t="n"/>
      <c r="F7" s="190" t="n"/>
      <c r="G7" s="190" t="n"/>
      <c r="H7" s="190" t="n"/>
      <c r="I7" s="67" t="n"/>
      <c r="J7" s="362" t="inlineStr">
        <is>
          <t>Fecha de Emisión</t>
        </is>
      </c>
      <c r="K7" s="64" t="inlineStr">
        <is>
          <t>08/10/2026</t>
        </is>
      </c>
      <c r="L7" s="89" t="n"/>
    </row>
    <row r="8" ht="15" customHeight="1" s="127">
      <c r="D8" s="190" t="n"/>
      <c r="E8" s="190" t="n"/>
      <c r="F8" s="190" t="n"/>
      <c r="G8" s="190" t="n"/>
      <c r="H8" s="190" t="n"/>
      <c r="I8" s="67" t="n"/>
      <c r="J8" s="362" t="inlineStr">
        <is>
          <t>Página</t>
        </is>
      </c>
      <c r="K8" s="64" t="inlineStr">
        <is>
          <t>1 de 2</t>
        </is>
      </c>
      <c r="L8" s="89" t="n"/>
    </row>
    <row r="9" ht="15" customHeight="1" s="127">
      <c r="A9" s="363" t="inlineStr">
        <is>
          <t>Material particulado, humedecimiento y niveles de ruido · Res. 0627 de 2006 · Res. 0909 de 2008</t>
        </is>
      </c>
      <c r="B9" s="347" t="n"/>
      <c r="C9" s="347" t="n"/>
      <c r="D9" s="347" t="n"/>
      <c r="E9" s="347" t="n"/>
      <c r="F9" s="347" t="n"/>
      <c r="G9" s="347" t="n"/>
      <c r="H9" s="347" t="n"/>
      <c r="I9" s="347" t="n"/>
      <c r="J9" s="347" t="n"/>
      <c r="K9" s="347" t="n"/>
      <c r="L9" s="348" t="n"/>
    </row>
    <row r="10" ht="16.5" customHeight="1" s="127">
      <c r="A10" s="364" t="inlineStr">
        <is>
          <t>1. DATOS DEL CONTROL</t>
        </is>
      </c>
      <c r="B10" s="98" t="n"/>
      <c r="C10" s="98" t="n"/>
      <c r="D10" s="98" t="n"/>
      <c r="E10" s="98" t="n"/>
      <c r="F10" s="98" t="n"/>
      <c r="G10" s="98" t="n"/>
      <c r="H10" s="98" t="n"/>
      <c r="I10" s="98" t="n"/>
      <c r="J10" s="98" t="n"/>
      <c r="K10" s="98" t="n"/>
      <c r="L10" s="97" t="n"/>
    </row>
    <row r="11" ht="21" customHeight="1" s="127">
      <c r="A11" s="365" t="inlineStr">
        <is>
          <t>Proyecto / Obra</t>
        </is>
      </c>
      <c r="B11" s="89" t="n"/>
      <c r="C11" s="68" t="n"/>
      <c r="D11" s="93" t="n"/>
      <c r="E11" s="93" t="n"/>
      <c r="F11" s="93" t="n"/>
      <c r="G11" s="93" t="n"/>
      <c r="H11" s="93" t="n"/>
      <c r="I11" s="93" t="n"/>
      <c r="J11" s="93" t="n"/>
      <c r="K11" s="93" t="n"/>
      <c r="L11" s="89" t="n"/>
    </row>
    <row r="12" ht="21" customHeight="1" s="127">
      <c r="A12" s="365" t="inlineStr">
        <is>
          <t>Contratista / Empresa</t>
        </is>
      </c>
      <c r="B12" s="89" t="n"/>
      <c r="C12" s="68" t="n"/>
      <c r="D12" s="93" t="n"/>
      <c r="E12" s="93" t="n"/>
      <c r="F12" s="93" t="n"/>
      <c r="G12" s="89" t="n"/>
      <c r="H12" s="365" t="inlineStr">
        <is>
          <t>Ubicación</t>
        </is>
      </c>
      <c r="I12" s="89" t="n"/>
      <c r="J12" s="68" t="n"/>
      <c r="K12" s="93" t="n"/>
      <c r="L12" s="89" t="n"/>
    </row>
    <row r="13" ht="21" customHeight="1" s="127">
      <c r="A13" s="365" t="inlineStr">
        <is>
          <t>Fecha</t>
        </is>
      </c>
      <c r="B13" s="89" t="n"/>
      <c r="C13" s="366" t="n"/>
      <c r="D13" s="89" t="n"/>
      <c r="E13" s="365" t="inlineStr">
        <is>
          <t>Responsable del control</t>
        </is>
      </c>
      <c r="F13" s="89" t="n"/>
      <c r="G13" s="68" t="n"/>
      <c r="H13" s="93" t="n"/>
      <c r="I13" s="93" t="n"/>
      <c r="J13" s="93" t="n"/>
      <c r="K13" s="93" t="n"/>
      <c r="L13" s="89" t="n"/>
    </row>
    <row r="14" ht="21" customHeight="1" s="127">
      <c r="A14" s="365" t="inlineStr">
        <is>
          <t>Sector del predio (ruido)</t>
        </is>
      </c>
      <c r="B14" s="89" t="n"/>
      <c r="C14" s="68" t="n"/>
      <c r="D14" s="93" t="n"/>
      <c r="E14" s="93" t="n"/>
      <c r="F14" s="93" t="n"/>
      <c r="G14" s="89" t="n"/>
      <c r="H14" s="365" t="inlineStr">
        <is>
          <t>Condición del clima</t>
        </is>
      </c>
      <c r="I14" s="89" t="n"/>
      <c r="J14" s="69" t="n"/>
      <c r="K14" s="93" t="n"/>
      <c r="L14" s="89" t="n"/>
    </row>
    <row r="15" ht="16.5" customHeight="1" s="127">
      <c r="A15" s="364" t="inlineStr">
        <is>
          <t>2. VERIFICACIÓN DE MEDIDAS DE CONTROL</t>
        </is>
      </c>
      <c r="B15" s="98" t="n"/>
      <c r="C15" s="98" t="n"/>
      <c r="D15" s="98" t="n"/>
      <c r="E15" s="98" t="n"/>
      <c r="F15" s="98" t="n"/>
      <c r="G15" s="98" t="n"/>
      <c r="H15" s="98" t="n"/>
      <c r="I15" s="98" t="n"/>
      <c r="J15" s="98" t="n"/>
      <c r="K15" s="98" t="n"/>
      <c r="L15" s="97" t="n"/>
    </row>
    <row r="16" ht="19" customHeight="1" s="127">
      <c r="A16" s="367" t="inlineStr">
        <is>
          <t>No.</t>
        </is>
      </c>
      <c r="B16" s="367" t="inlineStr">
        <is>
          <t>Medida a verificar</t>
        </is>
      </c>
      <c r="C16" s="347" t="n"/>
      <c r="D16" s="347" t="n"/>
      <c r="E16" s="347" t="n"/>
      <c r="F16" s="347" t="n"/>
      <c r="G16" s="347" t="n"/>
      <c r="H16" s="348" t="n"/>
      <c r="I16" s="367" t="inlineStr">
        <is>
          <t>¿Cumple?</t>
        </is>
      </c>
      <c r="J16" s="348" t="n"/>
      <c r="K16" s="367" t="inlineStr">
        <is>
          <t>Observación</t>
        </is>
      </c>
      <c r="L16" s="348" t="n"/>
    </row>
    <row r="17" ht="17" customHeight="1" s="127">
      <c r="A17" s="306" t="n">
        <v>1</v>
      </c>
      <c r="B17" s="230" t="inlineStr">
        <is>
          <t>Humedecimiento de vías internas y zonas de movimiento de tierras</t>
        </is>
      </c>
      <c r="C17" s="98" t="n"/>
      <c r="D17" s="98" t="n"/>
      <c r="E17" s="98" t="n"/>
      <c r="F17" s="98" t="n"/>
      <c r="G17" s="98" t="n"/>
      <c r="H17" s="97" t="n"/>
      <c r="I17" s="306" t="n"/>
      <c r="J17" s="97" t="n"/>
      <c r="K17" s="315" t="n"/>
      <c r="L17" s="97" t="n"/>
    </row>
    <row r="18" ht="17" customHeight="1" s="127">
      <c r="A18" s="306" t="n">
        <v>2</v>
      </c>
      <c r="B18" s="230" t="inlineStr">
        <is>
          <t>Volquetas con carpa o cubiertas al salir de la obra</t>
        </is>
      </c>
      <c r="C18" s="98" t="n"/>
      <c r="D18" s="98" t="n"/>
      <c r="E18" s="98" t="n"/>
      <c r="F18" s="98" t="n"/>
      <c r="G18" s="98" t="n"/>
      <c r="H18" s="97" t="n"/>
      <c r="I18" s="306" t="n"/>
      <c r="J18" s="97" t="n"/>
      <c r="K18" s="315" t="n"/>
      <c r="L18" s="97" t="n"/>
    </row>
    <row r="19" ht="17" customHeight="1" s="127">
      <c r="A19" s="306" t="n">
        <v>3</v>
      </c>
      <c r="B19" s="230" t="inlineStr">
        <is>
          <t>Acopios de material cubiertos o humedecidos</t>
        </is>
      </c>
      <c r="C19" s="98" t="n"/>
      <c r="D19" s="98" t="n"/>
      <c r="E19" s="98" t="n"/>
      <c r="F19" s="98" t="n"/>
      <c r="G19" s="98" t="n"/>
      <c r="H19" s="97" t="n"/>
      <c r="I19" s="306" t="n"/>
      <c r="J19" s="97" t="n"/>
      <c r="K19" s="315" t="n"/>
      <c r="L19" s="97" t="n"/>
    </row>
    <row r="20" ht="17" customHeight="1" s="127">
      <c r="A20" s="306" t="n">
        <v>4</v>
      </c>
      <c r="B20" s="230" t="inlineStr">
        <is>
          <t>Cerramiento o polisombra perimetral en buen estado</t>
        </is>
      </c>
      <c r="C20" s="98" t="n"/>
      <c r="D20" s="98" t="n"/>
      <c r="E20" s="98" t="n"/>
      <c r="F20" s="98" t="n"/>
      <c r="G20" s="98" t="n"/>
      <c r="H20" s="97" t="n"/>
      <c r="I20" s="306" t="n"/>
      <c r="J20" s="97" t="n"/>
      <c r="K20" s="315" t="n"/>
      <c r="L20" s="97" t="n"/>
    </row>
    <row r="21" ht="17" customHeight="1" s="127">
      <c r="A21" s="306" t="n">
        <v>5</v>
      </c>
      <c r="B21" s="230" t="inlineStr">
        <is>
          <t>Lavado de llantas de vehículos a la salida de la obra</t>
        </is>
      </c>
      <c r="C21" s="98" t="n"/>
      <c r="D21" s="98" t="n"/>
      <c r="E21" s="98" t="n"/>
      <c r="F21" s="98" t="n"/>
      <c r="G21" s="98" t="n"/>
      <c r="H21" s="97" t="n"/>
      <c r="I21" s="306" t="n"/>
      <c r="J21" s="97" t="n"/>
      <c r="K21" s="315" t="n"/>
      <c r="L21" s="97" t="n"/>
    </row>
    <row r="22" ht="17" customHeight="1" s="127">
      <c r="A22" s="306" t="n">
        <v>6</v>
      </c>
      <c r="B22" s="230" t="inlineStr">
        <is>
          <t>Velocidad máxima en obra respetada</t>
        </is>
      </c>
      <c r="C22" s="98" t="n"/>
      <c r="D22" s="98" t="n"/>
      <c r="E22" s="98" t="n"/>
      <c r="F22" s="98" t="n"/>
      <c r="G22" s="98" t="n"/>
      <c r="H22" s="97" t="n"/>
      <c r="I22" s="306" t="n"/>
      <c r="J22" s="97" t="n"/>
      <c r="K22" s="315" t="n"/>
      <c r="L22" s="97" t="n"/>
    </row>
    <row r="23" ht="17" customHeight="1" s="127">
      <c r="A23" s="306" t="n">
        <v>7</v>
      </c>
      <c r="B23" s="230" t="inlineStr">
        <is>
          <t>Sin quema de residuos ni materiales</t>
        </is>
      </c>
      <c r="C23" s="98" t="n"/>
      <c r="D23" s="98" t="n"/>
      <c r="E23" s="98" t="n"/>
      <c r="F23" s="98" t="n"/>
      <c r="G23" s="98" t="n"/>
      <c r="H23" s="97" t="n"/>
      <c r="I23" s="306" t="n"/>
      <c r="J23" s="97" t="n"/>
      <c r="K23" s="315" t="n"/>
      <c r="L23" s="97" t="n"/>
    </row>
    <row r="24" ht="17" customHeight="1" s="127">
      <c r="A24" s="306" t="n">
        <v>8</v>
      </c>
      <c r="B24" s="230" t="inlineStr">
        <is>
          <t>Maquinaria y equipos sin humo visible ni fugas</t>
        </is>
      </c>
      <c r="C24" s="98" t="n"/>
      <c r="D24" s="98" t="n"/>
      <c r="E24" s="98" t="n"/>
      <c r="F24" s="98" t="n"/>
      <c r="G24" s="98" t="n"/>
      <c r="H24" s="97" t="n"/>
      <c r="I24" s="306" t="n"/>
      <c r="J24" s="97" t="n"/>
      <c r="K24" s="315" t="n"/>
      <c r="L24" s="97" t="n"/>
    </row>
    <row r="25" ht="17" customHeight="1" s="127">
      <c r="A25" s="306" t="n">
        <v>9</v>
      </c>
      <c r="B25" s="230" t="inlineStr">
        <is>
          <t>Corte de materiales con humedecimiento o extracción</t>
        </is>
      </c>
      <c r="C25" s="98" t="n"/>
      <c r="D25" s="98" t="n"/>
      <c r="E25" s="98" t="n"/>
      <c r="F25" s="98" t="n"/>
      <c r="G25" s="98" t="n"/>
      <c r="H25" s="97" t="n"/>
      <c r="I25" s="306" t="n"/>
      <c r="J25" s="97" t="n"/>
      <c r="K25" s="315" t="n"/>
      <c r="L25" s="97" t="n"/>
    </row>
    <row r="26" ht="17" customHeight="1" s="127">
      <c r="A26" s="306" t="n">
        <v>10</v>
      </c>
      <c r="B26" s="230" t="inlineStr">
        <is>
          <t>Equipos de bajo ruido o con silenciador en buen estado</t>
        </is>
      </c>
      <c r="C26" s="98" t="n"/>
      <c r="D26" s="98" t="n"/>
      <c r="E26" s="98" t="n"/>
      <c r="F26" s="98" t="n"/>
      <c r="G26" s="98" t="n"/>
      <c r="H26" s="97" t="n"/>
      <c r="I26" s="306" t="n"/>
      <c r="J26" s="97" t="n"/>
      <c r="K26" s="315" t="n"/>
      <c r="L26" s="97" t="n"/>
    </row>
    <row r="27" ht="17" customHeight="1" s="127">
      <c r="A27" s="306" t="n">
        <v>11</v>
      </c>
      <c r="B27" s="230" t="inlineStr">
        <is>
          <t>Actividades ruidosas dentro del horario permitido</t>
        </is>
      </c>
      <c r="C27" s="98" t="n"/>
      <c r="D27" s="98" t="n"/>
      <c r="E27" s="98" t="n"/>
      <c r="F27" s="98" t="n"/>
      <c r="G27" s="98" t="n"/>
      <c r="H27" s="97" t="n"/>
      <c r="I27" s="306" t="n"/>
      <c r="J27" s="97" t="n"/>
      <c r="K27" s="315" t="n"/>
      <c r="L27" s="97" t="n"/>
    </row>
    <row r="28" ht="16.5" customHeight="1" s="127">
      <c r="A28" s="364" t="inlineStr">
        <is>
          <t>3. REGISTRO DE HUMEDECIMIENTO DE VÍAS Y ZONAS</t>
        </is>
      </c>
      <c r="B28" s="98" t="n"/>
      <c r="C28" s="98" t="n"/>
      <c r="D28" s="98" t="n"/>
      <c r="E28" s="98" t="n"/>
      <c r="F28" s="98" t="n"/>
      <c r="G28" s="98" t="n"/>
      <c r="H28" s="98" t="n"/>
      <c r="I28" s="98" t="n"/>
      <c r="J28" s="98" t="n"/>
      <c r="K28" s="98" t="n"/>
      <c r="L28" s="97" t="n"/>
    </row>
    <row r="29" ht="24" customHeight="1" s="127">
      <c r="A29" s="367" t="inlineStr">
        <is>
          <t>No.</t>
        </is>
      </c>
      <c r="B29" s="367" t="inlineStr">
        <is>
          <t>Hora</t>
        </is>
      </c>
      <c r="C29" s="367" t="inlineStr">
        <is>
          <t>Zona o tramo</t>
        </is>
      </c>
      <c r="D29" s="347" t="n"/>
      <c r="E29" s="348" t="n"/>
      <c r="F29" s="367" t="inlineStr">
        <is>
          <t>Método</t>
        </is>
      </c>
      <c r="G29" s="348" t="n"/>
      <c r="H29" s="367" t="inlineStr">
        <is>
          <t>Agua usada (m³)</t>
        </is>
      </c>
      <c r="I29" s="367" t="inlineStr">
        <is>
          <t>Responsable</t>
        </is>
      </c>
      <c r="J29" s="348" t="n"/>
      <c r="K29" s="367" t="inlineStr">
        <is>
          <t>Observaciones</t>
        </is>
      </c>
      <c r="L29" s="348" t="n"/>
    </row>
    <row r="30" ht="19" customHeight="1" s="127">
      <c r="A30" s="306" t="n">
        <v>1</v>
      </c>
      <c r="B30" s="374" t="n"/>
      <c r="C30" s="230" t="n"/>
      <c r="D30" s="98" t="n"/>
      <c r="E30" s="97" t="n"/>
      <c r="F30" s="306" t="n"/>
      <c r="G30" s="97" t="n"/>
      <c r="H30" s="375" t="n"/>
      <c r="I30" s="230" t="n"/>
      <c r="J30" s="97" t="n"/>
      <c r="K30" s="230" t="n"/>
      <c r="L30" s="97" t="n"/>
    </row>
    <row r="31" ht="19" customHeight="1" s="127">
      <c r="A31" s="306" t="n">
        <v>2</v>
      </c>
      <c r="B31" s="374" t="n"/>
      <c r="C31" s="230" t="n"/>
      <c r="D31" s="98" t="n"/>
      <c r="E31" s="97" t="n"/>
      <c r="F31" s="306" t="n"/>
      <c r="G31" s="97" t="n"/>
      <c r="H31" s="375" t="n"/>
      <c r="I31" s="230" t="n"/>
      <c r="J31" s="97" t="n"/>
      <c r="K31" s="230" t="n"/>
      <c r="L31" s="97" t="n"/>
    </row>
    <row r="32" ht="19" customHeight="1" s="127">
      <c r="A32" s="306" t="n">
        <v>3</v>
      </c>
      <c r="B32" s="374" t="n"/>
      <c r="C32" s="230" t="n"/>
      <c r="D32" s="98" t="n"/>
      <c r="E32" s="97" t="n"/>
      <c r="F32" s="306" t="n"/>
      <c r="G32" s="97" t="n"/>
      <c r="H32" s="375" t="n"/>
      <c r="I32" s="230" t="n"/>
      <c r="J32" s="97" t="n"/>
      <c r="K32" s="230" t="n"/>
      <c r="L32" s="97" t="n"/>
    </row>
    <row r="33" ht="19" customHeight="1" s="127">
      <c r="A33" s="306" t="n">
        <v>4</v>
      </c>
      <c r="B33" s="374" t="n"/>
      <c r="C33" s="230" t="n"/>
      <c r="D33" s="98" t="n"/>
      <c r="E33" s="97" t="n"/>
      <c r="F33" s="306" t="n"/>
      <c r="G33" s="97" t="n"/>
      <c r="H33" s="375" t="n"/>
      <c r="I33" s="230" t="n"/>
      <c r="J33" s="97" t="n"/>
      <c r="K33" s="230" t="n"/>
      <c r="L33" s="97" t="n"/>
    </row>
    <row r="34" ht="16.5" customHeight="1" s="127">
      <c r="A34" s="364" t="inlineStr">
        <is>
          <t>4. MEDICIÓN DE RUIDO (dB(A))</t>
        </is>
      </c>
      <c r="B34" s="98" t="n"/>
      <c r="C34" s="98" t="n"/>
      <c r="D34" s="98" t="n"/>
      <c r="E34" s="98" t="n"/>
      <c r="F34" s="98" t="n"/>
      <c r="G34" s="98" t="n"/>
      <c r="H34" s="98" t="n"/>
      <c r="I34" s="98" t="n"/>
      <c r="J34" s="98" t="n"/>
      <c r="K34" s="98" t="n"/>
      <c r="L34" s="97" t="n"/>
    </row>
    <row r="35" ht="30" customHeight="1" s="127">
      <c r="A35" s="367" t="inlineStr">
        <is>
          <t>No.</t>
        </is>
      </c>
      <c r="B35" s="367" t="inlineStr">
        <is>
          <t>Punto de medición</t>
        </is>
      </c>
      <c r="C35" s="348" t="n"/>
      <c r="D35" s="367" t="inlineStr">
        <is>
          <t>Hora</t>
        </is>
      </c>
      <c r="E35" s="367" t="inlineStr">
        <is>
          <t>Fuente o actividad</t>
        </is>
      </c>
      <c r="F35" s="348" t="n"/>
      <c r="G35" s="367" t="inlineStr">
        <is>
          <t>Jornada</t>
        </is>
      </c>
      <c r="H35" s="348" t="n"/>
      <c r="I35" s="367" t="inlineStr">
        <is>
          <t>Nivel medido dB(A)</t>
        </is>
      </c>
      <c r="J35" s="367" t="inlineStr">
        <is>
          <t>Límite dB(A)</t>
        </is>
      </c>
      <c r="K35" s="367" t="inlineStr">
        <is>
          <t>¿Cumple?</t>
        </is>
      </c>
      <c r="L35" s="348" t="n"/>
    </row>
    <row r="36" ht="20" customHeight="1" s="127">
      <c r="A36" s="306" t="n">
        <v>1</v>
      </c>
      <c r="B36" s="230" t="n"/>
      <c r="C36" s="97" t="n"/>
      <c r="D36" s="374" t="n"/>
      <c r="E36" s="230" t="n"/>
      <c r="F36" s="97" t="n"/>
      <c r="G36" s="306" t="n"/>
      <c r="H36" s="97" t="n"/>
      <c r="I36" s="381" t="n"/>
      <c r="J36" s="306">
        <f>IF(OR($C$14="",G36=""),"",IF(LEFT($C$14,1)="A",IF(LEFT(G36,1)="D",55,50),IF(LEFT($C$14,1)="B",IF(LEFT(G36,1)="D",65,55),IF(LEFT($C$14,1)="D",IF(LEFT(G36,1)="D",55,50),IF(ISNUMBER(SEARCH("Industrial",$C$14)),75,IF(LEFT(G36,1)="D",70,60))))))</f>
        <v/>
      </c>
      <c r="K36" s="382">
        <f>IF(OR(I36="",J36=""),"",IF(I36&lt;=J36,"Cumple","No cumple"))</f>
        <v/>
      </c>
      <c r="L36" s="97" t="n"/>
    </row>
    <row r="37" ht="20" customHeight="1" s="127">
      <c r="A37" s="306" t="n">
        <v>2</v>
      </c>
      <c r="B37" s="230" t="n"/>
      <c r="C37" s="97" t="n"/>
      <c r="D37" s="374" t="n"/>
      <c r="E37" s="230" t="n"/>
      <c r="F37" s="97" t="n"/>
      <c r="G37" s="306" t="n"/>
      <c r="H37" s="97" t="n"/>
      <c r="I37" s="381" t="n"/>
      <c r="J37" s="306">
        <f>IF(OR($C$14="",G37=""),"",IF(LEFT($C$14,1)="A",IF(LEFT(G37,1)="D",55,50),IF(LEFT($C$14,1)="B",IF(LEFT(G37,1)="D",65,55),IF(LEFT($C$14,1)="D",IF(LEFT(G37,1)="D",55,50),IF(ISNUMBER(SEARCH("Industrial",$C$14)),75,IF(LEFT(G37,1)="D",70,60))))))</f>
        <v/>
      </c>
      <c r="K37" s="382">
        <f>IF(OR(I37="",J37=""),"",IF(I37&lt;=J37,"Cumple","No cumple"))</f>
        <v/>
      </c>
      <c r="L37" s="97" t="n"/>
    </row>
    <row r="38" ht="20" customHeight="1" s="127">
      <c r="A38" s="306" t="n">
        <v>3</v>
      </c>
      <c r="B38" s="230" t="n"/>
      <c r="C38" s="97" t="n"/>
      <c r="D38" s="374" t="n"/>
      <c r="E38" s="230" t="n"/>
      <c r="F38" s="97" t="n"/>
      <c r="G38" s="306" t="n"/>
      <c r="H38" s="97" t="n"/>
      <c r="I38" s="381" t="n"/>
      <c r="J38" s="306">
        <f>IF(OR($C$14="",G38=""),"",IF(LEFT($C$14,1)="A",IF(LEFT(G38,1)="D",55,50),IF(LEFT($C$14,1)="B",IF(LEFT(G38,1)="D",65,55),IF(LEFT($C$14,1)="D",IF(LEFT(G38,1)="D",55,50),IF(ISNUMBER(SEARCH("Industrial",$C$14)),75,IF(LEFT(G38,1)="D",70,60))))))</f>
        <v/>
      </c>
      <c r="K38" s="382">
        <f>IF(OR(I38="",J38=""),"",IF(I38&lt;=J38,"Cumple","No cumple"))</f>
        <v/>
      </c>
      <c r="L38" s="97" t="n"/>
    </row>
    <row r="39" ht="20" customHeight="1" s="127">
      <c r="A39" s="306" t="n">
        <v>4</v>
      </c>
      <c r="B39" s="230" t="n"/>
      <c r="C39" s="97" t="n"/>
      <c r="D39" s="374" t="n"/>
      <c r="E39" s="230" t="n"/>
      <c r="F39" s="97" t="n"/>
      <c r="G39" s="306" t="n"/>
      <c r="H39" s="97" t="n"/>
      <c r="I39" s="381" t="n"/>
      <c r="J39" s="306">
        <f>IF(OR($C$14="",G39=""),"",IF(LEFT($C$14,1)="A",IF(LEFT(G39,1)="D",55,50),IF(LEFT($C$14,1)="B",IF(LEFT(G39,1)="D",65,55),IF(LEFT($C$14,1)="D",IF(LEFT(G39,1)="D",55,50),IF(ISNUMBER(SEARCH("Industrial",$C$14)),75,IF(LEFT(G39,1)="D",70,60))))))</f>
        <v/>
      </c>
      <c r="K39" s="382">
        <f>IF(OR(I39="",J39=""),"",IF(I39&lt;=J39,"Cumple","No cumple"))</f>
        <v/>
      </c>
      <c r="L39" s="97" t="n"/>
    </row>
    <row r="40" ht="26" customHeight="1" s="127">
      <c r="A40" s="369" t="inlineStr">
        <is>
          <t>El límite se calcula según el sector del predio y la jornada (Res. 0627 de 2006): A 55/50 · B 65/55 · C comercial 70/60 · C industrial 75/75 · D 55/50 dB(A), día/noche. Verifique si la autoridad local fijó otro valor.</t>
        </is>
      </c>
      <c r="B40" s="93" t="n"/>
      <c r="C40" s="93" t="n"/>
      <c r="D40" s="93" t="n"/>
      <c r="E40" s="93" t="n"/>
      <c r="F40" s="93" t="n"/>
      <c r="G40" s="93" t="n"/>
      <c r="H40" s="93" t="n"/>
      <c r="I40" s="93" t="n"/>
      <c r="J40" s="93" t="n"/>
      <c r="K40" s="93" t="n"/>
      <c r="L40" s="89" t="n"/>
    </row>
    <row r="41" ht="16.5" customHeight="1" s="127">
      <c r="A41" s="364" t="inlineStr">
        <is>
          <t>5. HALLAZGOS Y ACCIONES</t>
        </is>
      </c>
      <c r="B41" s="98" t="n"/>
      <c r="C41" s="98" t="n"/>
      <c r="D41" s="98" t="n"/>
      <c r="E41" s="98" t="n"/>
      <c r="F41" s="98" t="n"/>
      <c r="G41" s="98" t="n"/>
      <c r="H41" s="98" t="n"/>
      <c r="I41" s="98" t="n"/>
      <c r="J41" s="98" t="n"/>
      <c r="K41" s="98" t="n"/>
      <c r="L41" s="97" t="n"/>
    </row>
    <row r="42" ht="22" customHeight="1" s="127">
      <c r="A42" s="367" t="inlineStr">
        <is>
          <t>No.</t>
        </is>
      </c>
      <c r="B42" s="367" t="inlineStr">
        <is>
          <t>Hallazgo</t>
        </is>
      </c>
      <c r="C42" s="347" t="n"/>
      <c r="D42" s="347" t="n"/>
      <c r="E42" s="347" t="n"/>
      <c r="F42" s="348" t="n"/>
      <c r="G42" s="367" t="inlineStr">
        <is>
          <t>Acción a tomar</t>
        </is>
      </c>
      <c r="H42" s="347" t="n"/>
      <c r="I42" s="348" t="n"/>
      <c r="J42" s="367" t="inlineStr">
        <is>
          <t>Responsable</t>
        </is>
      </c>
      <c r="K42" s="348" t="n"/>
      <c r="L42" s="367" t="inlineStr">
        <is>
          <t>Fecha límite</t>
        </is>
      </c>
    </row>
    <row r="43" ht="24" customHeight="1" s="127">
      <c r="A43" s="306" t="n">
        <v>1</v>
      </c>
      <c r="B43" s="230" t="n"/>
      <c r="C43" s="98" t="n"/>
      <c r="D43" s="98" t="n"/>
      <c r="E43" s="98" t="n"/>
      <c r="F43" s="97" t="n"/>
      <c r="G43" s="230" t="n"/>
      <c r="H43" s="98" t="n"/>
      <c r="I43" s="97" t="n"/>
      <c r="J43" s="230" t="n"/>
      <c r="K43" s="97" t="n"/>
      <c r="L43" s="368" t="n"/>
    </row>
    <row r="44" ht="24" customHeight="1" s="127">
      <c r="A44" s="306" t="n">
        <v>2</v>
      </c>
      <c r="B44" s="230" t="n"/>
      <c r="C44" s="98" t="n"/>
      <c r="D44" s="98" t="n"/>
      <c r="E44" s="98" t="n"/>
      <c r="F44" s="97" t="n"/>
      <c r="G44" s="230" t="n"/>
      <c r="H44" s="98" t="n"/>
      <c r="I44" s="97" t="n"/>
      <c r="J44" s="230" t="n"/>
      <c r="K44" s="97" t="n"/>
      <c r="L44" s="368" t="n"/>
    </row>
    <row r="45" ht="24" customHeight="1" s="127">
      <c r="A45" s="306" t="n">
        <v>3</v>
      </c>
      <c r="B45" s="230" t="n"/>
      <c r="C45" s="98" t="n"/>
      <c r="D45" s="98" t="n"/>
      <c r="E45" s="98" t="n"/>
      <c r="F45" s="97" t="n"/>
      <c r="G45" s="230" t="n"/>
      <c r="H45" s="98" t="n"/>
      <c r="I45" s="97" t="n"/>
      <c r="J45" s="230" t="n"/>
      <c r="K45" s="97" t="n"/>
      <c r="L45" s="368" t="n"/>
    </row>
    <row r="46" ht="16.5" customHeight="1" s="127">
      <c r="A46" s="364" t="inlineStr">
        <is>
          <t>6. FIRMAS</t>
        </is>
      </c>
      <c r="B46" s="98" t="n"/>
      <c r="C46" s="98" t="n"/>
      <c r="D46" s="98" t="n"/>
      <c r="E46" s="98" t="n"/>
      <c r="F46" s="98" t="n"/>
      <c r="G46" s="98" t="n"/>
      <c r="H46" s="98" t="n"/>
      <c r="I46" s="98" t="n"/>
      <c r="J46" s="98" t="n"/>
      <c r="K46" s="98" t="n"/>
      <c r="L46" s="97" t="n"/>
    </row>
    <row r="47" ht="18" customHeight="1" s="127">
      <c r="A47" s="370" t="inlineStr">
        <is>
          <t>CONTROLÓ — RESPONSABLE AMBIENTAL</t>
        </is>
      </c>
      <c r="B47" s="347" t="n"/>
      <c r="C47" s="347" t="n"/>
      <c r="D47" s="347" t="n"/>
      <c r="E47" s="347" t="n"/>
      <c r="F47" s="348" t="n"/>
      <c r="G47" s="370" t="inlineStr">
        <is>
          <t>REVISÓ — RESIDENTE DE OBRA</t>
        </is>
      </c>
      <c r="H47" s="347" t="n"/>
      <c r="I47" s="347" t="n"/>
      <c r="J47" s="347" t="n"/>
      <c r="K47" s="347" t="n"/>
      <c r="L47" s="348" t="n"/>
    </row>
    <row r="48" ht="42" customHeight="1" s="127">
      <c r="A48" s="371" t="inlineStr">
        <is>
          <t>Firma:</t>
        </is>
      </c>
      <c r="B48" s="97" t="n"/>
      <c r="C48" s="301" t="n"/>
      <c r="D48" s="98" t="n"/>
      <c r="E48" s="98" t="n"/>
      <c r="F48" s="97" t="n"/>
      <c r="G48" s="371" t="inlineStr">
        <is>
          <t>Firma:</t>
        </is>
      </c>
      <c r="H48" s="97" t="n"/>
      <c r="I48" s="301" t="n"/>
      <c r="J48" s="98" t="n"/>
      <c r="K48" s="98" t="n"/>
      <c r="L48" s="97" t="n"/>
    </row>
    <row r="49" ht="21" customHeight="1" s="127">
      <c r="A49" s="371" t="inlineStr">
        <is>
          <t>Nombre:</t>
        </is>
      </c>
      <c r="B49" s="97" t="n"/>
      <c r="C49" s="301" t="n"/>
      <c r="D49" s="98" t="n"/>
      <c r="E49" s="98" t="n"/>
      <c r="F49" s="97" t="n"/>
      <c r="G49" s="371" t="inlineStr">
        <is>
          <t>Nombre:</t>
        </is>
      </c>
      <c r="H49" s="97" t="n"/>
      <c r="I49" s="301" t="n"/>
      <c r="J49" s="98" t="n"/>
      <c r="K49" s="98" t="n"/>
      <c r="L49" s="97" t="n"/>
    </row>
    <row r="50" ht="21" customHeight="1" s="127">
      <c r="A50" s="371" t="inlineStr">
        <is>
          <t>Cargo:</t>
        </is>
      </c>
      <c r="B50" s="97" t="n"/>
      <c r="C50" s="301" t="n"/>
      <c r="D50" s="98" t="n"/>
      <c r="E50" s="98" t="n"/>
      <c r="F50" s="97" t="n"/>
      <c r="G50" s="371" t="inlineStr">
        <is>
          <t>Cargo:</t>
        </is>
      </c>
      <c r="H50" s="97" t="n"/>
      <c r="I50" s="301" t="n"/>
      <c r="J50" s="98" t="n"/>
      <c r="K50" s="98" t="n"/>
      <c r="L50" s="97" t="n"/>
    </row>
    <row r="51">
      <c r="A51" s="25" t="inlineStr">
        <is>
          <t>REV. 08/10/2026</t>
        </is>
      </c>
      <c r="G51" s="105">
        <f>K5</f>
        <v/>
      </c>
    </row>
  </sheetData>
  <mergeCells count="134">
    <mergeCell ref="I48:L48"/>
    <mergeCell ref="F29:G29"/>
    <mergeCell ref="K24:L24"/>
    <mergeCell ref="C31:E31"/>
    <mergeCell ref="K33:L33"/>
    <mergeCell ref="A46:L46"/>
    <mergeCell ref="B24:H24"/>
    <mergeCell ref="C14:G14"/>
    <mergeCell ref="I26:J26"/>
    <mergeCell ref="K26:L26"/>
    <mergeCell ref="K35:L35"/>
    <mergeCell ref="A47:F47"/>
    <mergeCell ref="D1:L2"/>
    <mergeCell ref="B26:H26"/>
    <mergeCell ref="I16:J16"/>
    <mergeCell ref="I25:J25"/>
    <mergeCell ref="B42:F42"/>
    <mergeCell ref="B16:H16"/>
    <mergeCell ref="J45:K45"/>
    <mergeCell ref="B25:H25"/>
    <mergeCell ref="I18:J18"/>
    <mergeCell ref="B44:F44"/>
    <mergeCell ref="B38:C38"/>
    <mergeCell ref="B18:H18"/>
    <mergeCell ref="B27:H27"/>
    <mergeCell ref="D5:I5"/>
    <mergeCell ref="E36:F36"/>
    <mergeCell ref="A34:L34"/>
    <mergeCell ref="C50:F50"/>
    <mergeCell ref="I20:J20"/>
    <mergeCell ref="G42:I42"/>
    <mergeCell ref="K37:L37"/>
    <mergeCell ref="D6:I6"/>
    <mergeCell ref="B35:C35"/>
    <mergeCell ref="I30:J30"/>
    <mergeCell ref="A48:B48"/>
    <mergeCell ref="K30:L30"/>
    <mergeCell ref="A11:B11"/>
    <mergeCell ref="G48:H48"/>
    <mergeCell ref="K21:L21"/>
    <mergeCell ref="B43:F43"/>
    <mergeCell ref="F30:G30"/>
    <mergeCell ref="E38:F38"/>
    <mergeCell ref="G38:H38"/>
    <mergeCell ref="I32:J32"/>
    <mergeCell ref="K32:L32"/>
    <mergeCell ref="F33:G33"/>
    <mergeCell ref="C32:E32"/>
    <mergeCell ref="G49:H49"/>
    <mergeCell ref="G47:L47"/>
    <mergeCell ref="C12:G12"/>
    <mergeCell ref="I24:J24"/>
    <mergeCell ref="B37:C37"/>
    <mergeCell ref="I33:J33"/>
    <mergeCell ref="K27:L27"/>
    <mergeCell ref="F31:G31"/>
    <mergeCell ref="A40:L40"/>
    <mergeCell ref="I17:J17"/>
    <mergeCell ref="G43:I43"/>
    <mergeCell ref="K17:L17"/>
    <mergeCell ref="G35:H35"/>
    <mergeCell ref="H12:I12"/>
    <mergeCell ref="C33:E33"/>
    <mergeCell ref="J14:L14"/>
    <mergeCell ref="B17:H17"/>
    <mergeCell ref="I19:J19"/>
    <mergeCell ref="K19:L19"/>
    <mergeCell ref="B45:F45"/>
    <mergeCell ref="H14:I14"/>
    <mergeCell ref="K6:L6"/>
    <mergeCell ref="B19:H19"/>
    <mergeCell ref="C11:L11"/>
    <mergeCell ref="K16:L16"/>
    <mergeCell ref="K25:L25"/>
    <mergeCell ref="A49:B49"/>
    <mergeCell ref="K5:L5"/>
    <mergeCell ref="J4:L4"/>
    <mergeCell ref="B20:H20"/>
    <mergeCell ref="E39:F39"/>
    <mergeCell ref="G39:H39"/>
    <mergeCell ref="K29:L29"/>
    <mergeCell ref="G45:I45"/>
    <mergeCell ref="G37:H37"/>
    <mergeCell ref="D3:L3"/>
    <mergeCell ref="E13:F13"/>
    <mergeCell ref="K31:L31"/>
    <mergeCell ref="A12:B12"/>
    <mergeCell ref="I21:J21"/>
    <mergeCell ref="G44:I44"/>
    <mergeCell ref="K8:L8"/>
    <mergeCell ref="B21:H21"/>
    <mergeCell ref="A14:B14"/>
    <mergeCell ref="I23:J23"/>
    <mergeCell ref="K23:L23"/>
    <mergeCell ref="C30:E30"/>
    <mergeCell ref="B23:H23"/>
    <mergeCell ref="K7:L7"/>
    <mergeCell ref="A15:L15"/>
    <mergeCell ref="J42:K42"/>
    <mergeCell ref="G50:H50"/>
    <mergeCell ref="K18:L18"/>
    <mergeCell ref="J44:K44"/>
    <mergeCell ref="C48:F48"/>
    <mergeCell ref="A41:L41"/>
    <mergeCell ref="G13:L13"/>
    <mergeCell ref="I27:J27"/>
    <mergeCell ref="G36:H36"/>
    <mergeCell ref="K36:L36"/>
    <mergeCell ref="B39:C39"/>
    <mergeCell ref="E35:F35"/>
    <mergeCell ref="I50:L50"/>
    <mergeCell ref="K20:L20"/>
    <mergeCell ref="C49:F49"/>
    <mergeCell ref="I22:J22"/>
    <mergeCell ref="F32:G32"/>
    <mergeCell ref="J12:L12"/>
    <mergeCell ref="K22:L22"/>
    <mergeCell ref="G51:L51"/>
    <mergeCell ref="I49:L49"/>
    <mergeCell ref="A50:B50"/>
    <mergeCell ref="B22:H22"/>
    <mergeCell ref="A10:L10"/>
    <mergeCell ref="A28:L28"/>
    <mergeCell ref="A9:L9"/>
    <mergeCell ref="K39:L39"/>
    <mergeCell ref="I29:J29"/>
    <mergeCell ref="J43:K43"/>
    <mergeCell ref="K38:L38"/>
    <mergeCell ref="A13:B13"/>
    <mergeCell ref="B36:C36"/>
    <mergeCell ref="E37:F37"/>
    <mergeCell ref="C13:D13"/>
    <mergeCell ref="I31:J31"/>
    <mergeCell ref="C29:E29"/>
  </mergeCells>
  <conditionalFormatting sqref="K36:L36">
    <cfRule type="expression" priority="1" dxfId="12">
      <formula>$K$36="Cumple"</formula>
    </cfRule>
    <cfRule type="expression" priority="2" dxfId="13">
      <formula>$K$36="No cumple"</formula>
    </cfRule>
  </conditionalFormatting>
  <conditionalFormatting sqref="K37:L37">
    <cfRule type="expression" priority="3" dxfId="12">
      <formula>$K$37="Cumple"</formula>
    </cfRule>
    <cfRule type="expression" priority="4" dxfId="13">
      <formula>$K$37="No cumple"</formula>
    </cfRule>
  </conditionalFormatting>
  <conditionalFormatting sqref="K38:L38">
    <cfRule type="expression" priority="5" dxfId="12">
      <formula>$K$38="Cumple"</formula>
    </cfRule>
    <cfRule type="expression" priority="6" dxfId="13">
      <formula>$K$38="No cumple"</formula>
    </cfRule>
  </conditionalFormatting>
  <conditionalFormatting sqref="K39:L39">
    <cfRule type="expression" priority="7" dxfId="12">
      <formula>$K$39="Cumple"</formula>
    </cfRule>
    <cfRule type="expression" priority="8" dxfId="13">
      <formula>$K$39="No cumple"</formula>
    </cfRule>
  </conditionalFormatting>
  <pageMargins left="0.4" right="0.4" top="0.4" bottom="0.7" header="0.5" footer="0.5"/>
  <pageSetup orientation="portrait" fitToHeight="0" fitToWidth="1" horizontalDpi="300" verticalDpi="300"/>
  <headerFooter>
    <oddHeader/>
    <oddFooter>&amp;C&amp;8 Página &amp;P de &amp;N</oddFooter>
    <evenHeader/>
    <evenFooter/>
    <firstHeader/>
    <firstFooter/>
  </headerFooter>
  <rowBreaks count="1" manualBreakCount="1">
    <brk id="27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Hugo Fernando Hurtado Ruiz</dc:creator>
  <dcterms:created xmlns:dcterms="http://purl.org/dc/terms/" xmlns:xsi="http://www.w3.org/2001/XMLSchema-instance" xsi:type="dcterms:W3CDTF">2026-09-25T17:58:57Z</dcterms:created>
  <dcterms:modified xmlns:dcterms="http://purl.org/dc/terms/" xmlns:xsi="http://www.w3.org/2001/XMLSchema-instance" xsi:type="dcterms:W3CDTF">2026-10-08T16:23:06Z</dcterms:modified>
  <cp:lastModifiedBy>Hugo Fernando Hurtado Ruiz</cp:lastModifiedBy>
</cp:coreProperties>
</file>