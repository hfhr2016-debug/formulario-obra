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8">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'!$F$239</f>
        <v/>
      </c>
      <c r="E12" s="686">
        <f>C12/'Ficha Técnica del Proyecto'!$B$21</f>
        <v/>
      </c>
      <c r="F12" s="605" t="n"/>
    </row>
    <row r="13">
      <c r="A13" s="173" t="inlineStr">
        <is>
          <t>2</t>
        </is>
      </c>
      <c r="B13" s="174" t="inlineStr">
        <is>
          <t>MOVIMIENTO DE TIERRAS</t>
        </is>
      </c>
      <c r="C13" s="486">
        <f>'Presupuesto '!F39</f>
        <v/>
      </c>
      <c r="D13" s="487">
        <f>C13/'Presupuesto '!$F$239</f>
        <v/>
      </c>
      <c r="E13" s="686">
        <f>C13/'Ficha Técnica del Proyecto'!$B$21</f>
        <v/>
      </c>
      <c r="F13" s="605" t="n"/>
    </row>
    <row r="14">
      <c r="A14" s="173" t="inlineStr">
        <is>
          <t>3</t>
        </is>
      </c>
      <c r="B14" s="174" t="inlineStr">
        <is>
          <t>CIMENTACIONES</t>
        </is>
      </c>
      <c r="C14" s="486">
        <f>'Presupuesto '!F49</f>
        <v/>
      </c>
      <c r="D14" s="487">
        <f>C14/'Presupuesto '!$F$239</f>
        <v/>
      </c>
      <c r="E14" s="686">
        <f>C14/'Ficha Técnica del Proyecto'!$B$21</f>
        <v/>
      </c>
      <c r="F14" s="605" t="n"/>
    </row>
    <row r="15">
      <c r="A15" s="173" t="inlineStr">
        <is>
          <t>4</t>
        </is>
      </c>
      <c r="B15" s="174" t="inlineStr">
        <is>
          <t>ESTRUCTURA</t>
        </is>
      </c>
      <c r="C15" s="486">
        <f>'Presupuesto '!F68</f>
        <v/>
      </c>
      <c r="D15" s="487">
        <f>C15/'Presupuesto '!$F$239</f>
        <v/>
      </c>
      <c r="E15" s="686">
        <f>C15/'Ficha Técnica del Proyecto'!$B$21</f>
        <v/>
      </c>
      <c r="F15" s="605" t="n"/>
    </row>
    <row r="16">
      <c r="A16" s="173" t="inlineStr">
        <is>
          <t>5</t>
        </is>
      </c>
      <c r="B16" s="174" t="inlineStr">
        <is>
          <t>MAMPOSTERÍA</t>
        </is>
      </c>
      <c r="C16" s="486">
        <f>'Presupuesto '!F80</f>
        <v/>
      </c>
      <c r="D16" s="487">
        <f>C16/'Presupuesto '!$F$239</f>
        <v/>
      </c>
      <c r="E16" s="686">
        <f>C16/'Ficha Técnica del Proyecto'!$B$21</f>
        <v/>
      </c>
      <c r="F16" s="605" t="n"/>
    </row>
    <row r="17">
      <c r="A17" s="173" t="inlineStr">
        <is>
          <t>6</t>
        </is>
      </c>
      <c r="B17" s="174" t="inlineStr">
        <is>
          <t>CUBIERTAS</t>
        </is>
      </c>
      <c r="C17" s="486">
        <f>'Presupuesto '!F92</f>
        <v/>
      </c>
      <c r="D17" s="487">
        <f>C17/'Presupuesto '!$F$239</f>
        <v/>
      </c>
      <c r="E17" s="686">
        <f>C17/'Ficha Técnica del Proyecto'!$B$21</f>
        <v/>
      </c>
      <c r="F17" s="605" t="n"/>
    </row>
    <row r="18">
      <c r="A18" s="173" t="inlineStr">
        <is>
          <t>7</t>
        </is>
      </c>
      <c r="B18" s="174" t="inlineStr">
        <is>
          <t>IMPERMEABILIZACIONES</t>
        </is>
      </c>
      <c r="C18" s="486">
        <f>'Presupuesto '!F99</f>
        <v/>
      </c>
      <c r="D18" s="487">
        <f>C18/'Presupuesto '!$F$239</f>
        <v/>
      </c>
      <c r="E18" s="686">
        <f>C18/'Ficha Técnica del Proyecto'!$B$21</f>
        <v/>
      </c>
      <c r="F18" s="605" t="n"/>
    </row>
    <row r="19">
      <c r="A19" s="173" t="inlineStr">
        <is>
          <t>8</t>
        </is>
      </c>
      <c r="B19" s="174" t="inlineStr">
        <is>
          <t>PAÑETES Y REVOQUES</t>
        </is>
      </c>
      <c r="C19" s="486">
        <f>'Presupuesto '!F106</f>
        <v/>
      </c>
      <c r="D19" s="487">
        <f>C19/'Presupuesto '!$F$239</f>
        <v/>
      </c>
      <c r="E19" s="686">
        <f>C19/'Ficha Técnica del Proyecto'!$B$21</f>
        <v/>
      </c>
      <c r="F19" s="605" t="n"/>
    </row>
    <row r="20">
      <c r="A20" s="173" t="inlineStr">
        <is>
          <t>9</t>
        </is>
      </c>
      <c r="B20" s="174" t="inlineStr">
        <is>
          <t>PISOS Y ENCHAPES</t>
        </is>
      </c>
      <c r="C20" s="486">
        <f>'Presupuesto '!F120</f>
        <v/>
      </c>
      <c r="D20" s="487">
        <f>C20/'Presupuesto '!$F$239</f>
        <v/>
      </c>
      <c r="E20" s="686">
        <f>C20/'Ficha Técnica del Proyecto'!$B$21</f>
        <v/>
      </c>
      <c r="F20" s="605" t="n"/>
    </row>
    <row r="21">
      <c r="A21" s="173" t="inlineStr">
        <is>
          <t>10</t>
        </is>
      </c>
      <c r="B21" s="174" t="inlineStr">
        <is>
          <t>PINTURA</t>
        </is>
      </c>
      <c r="C21" s="486">
        <f>'Presupuesto '!F128</f>
        <v/>
      </c>
      <c r="D21" s="487">
        <f>C21/'Presupuesto '!$F$239</f>
        <v/>
      </c>
      <c r="E21" s="686">
        <f>C21/'Ficha Técnica del Proyecto'!$B$21</f>
        <v/>
      </c>
      <c r="F21" s="605" t="n"/>
    </row>
    <row r="22">
      <c r="A22" s="173" t="inlineStr">
        <is>
          <t>11</t>
        </is>
      </c>
      <c r="B22" s="174" t="inlineStr">
        <is>
          <t>CARPINTERÍA</t>
        </is>
      </c>
      <c r="C22" s="486">
        <f>'Presupuesto '!F139</f>
        <v/>
      </c>
      <c r="D22" s="487">
        <f>C22/'Presupuesto '!$F$239</f>
        <v/>
      </c>
      <c r="E22" s="686">
        <f>C22/'Ficha Técnica del Proyecto'!$B$21</f>
        <v/>
      </c>
      <c r="F22" s="605" t="n"/>
    </row>
    <row r="23">
      <c r="A23" s="173" t="inlineStr">
        <is>
          <t>12</t>
        </is>
      </c>
      <c r="B23" s="174" t="inlineStr">
        <is>
          <t>VIDRIOS</t>
        </is>
      </c>
      <c r="C23" s="486">
        <f>'Presupuesto '!F146</f>
        <v/>
      </c>
      <c r="D23" s="487">
        <f>C23/'Presupuesto '!$F$239</f>
        <v/>
      </c>
      <c r="E23" s="686">
        <f>C23/'Ficha Técnica del Proyecto'!$B$21</f>
        <v/>
      </c>
      <c r="F23" s="605" t="n"/>
    </row>
    <row r="24">
      <c r="A24" s="173" t="inlineStr">
        <is>
          <t>13</t>
        </is>
      </c>
      <c r="B24" s="174" t="inlineStr">
        <is>
          <t>INSTALACIONES HIDROSANITARIAS</t>
        </is>
      </c>
      <c r="C24" s="486">
        <f>'Presupuesto '!F248</f>
        <v/>
      </c>
      <c r="D24" s="487">
        <f>C24/'Presupuesto '!$F$239</f>
        <v/>
      </c>
      <c r="E24" s="686">
        <f>C24/'Ficha Técnica del Proyecto'!$B$21</f>
        <v/>
      </c>
      <c r="F24" s="605" t="n"/>
    </row>
    <row r="25">
      <c r="A25" s="173" t="inlineStr">
        <is>
          <t>14</t>
        </is>
      </c>
      <c r="B25" s="174" t="inlineStr">
        <is>
          <t>INSTALACIONES ELÉCTRICAS</t>
        </is>
      </c>
      <c r="C25" s="486">
        <f>'Presupuesto '!F175</f>
        <v/>
      </c>
      <c r="D25" s="487">
        <f>C25/'Presupuesto '!$F$239</f>
        <v/>
      </c>
      <c r="E25" s="686">
        <f>C25/'Ficha Técnica del Proyecto'!$B$21</f>
        <v/>
      </c>
      <c r="F25" s="605" t="n"/>
    </row>
    <row r="26">
      <c r="A26" s="173" t="inlineStr">
        <is>
          <t>15</t>
        </is>
      </c>
      <c r="B26" s="174" t="inlineStr">
        <is>
          <t>COMUNICACIONES Y SEGURIDAD</t>
        </is>
      </c>
      <c r="C26" s="486">
        <f>'Presupuesto '!F184</f>
        <v/>
      </c>
      <c r="D26" s="487">
        <f>C26/'Presupuesto '!$F$239</f>
        <v/>
      </c>
      <c r="E26" s="686">
        <f>C26/'Ficha Técnica del Proyecto'!$B$21</f>
        <v/>
      </c>
      <c r="F26" s="605" t="n"/>
    </row>
    <row r="27">
      <c r="A27" s="173" t="inlineStr">
        <is>
          <t>16</t>
        </is>
      </c>
      <c r="B27" s="174" t="inlineStr">
        <is>
          <t>CLIMATIZACIÓN Y VENTILACIÓN</t>
        </is>
      </c>
      <c r="C27" s="486">
        <f>'Presupuesto '!F191</f>
        <v/>
      </c>
      <c r="D27" s="487">
        <f>C27/'Presupuesto '!$F$239</f>
        <v/>
      </c>
      <c r="E27" s="686">
        <f>C27/'Ficha Técnica del Proyecto'!$B$21</f>
        <v/>
      </c>
      <c r="F27" s="605" t="n"/>
    </row>
    <row r="28">
      <c r="A28" s="173" t="inlineStr">
        <is>
          <t>17</t>
        </is>
      </c>
      <c r="B28" s="174" t="inlineStr">
        <is>
          <t>GAS</t>
        </is>
      </c>
      <c r="C28" s="486">
        <f>'Presupuesto '!F197</f>
        <v/>
      </c>
      <c r="D28" s="487">
        <f>C28/'Presupuesto '!$F$239</f>
        <v/>
      </c>
      <c r="E28" s="686">
        <f>C28/'Ficha Técnica del Proyecto'!$B$21</f>
        <v/>
      </c>
      <c r="F28" s="605" t="n"/>
    </row>
    <row r="29">
      <c r="A29" s="173" t="inlineStr">
        <is>
          <t>18</t>
        </is>
      </c>
      <c r="B29" s="174" t="inlineStr">
        <is>
          <t>URBANISMO Y EXTERIORES</t>
        </is>
      </c>
      <c r="C29" s="486">
        <f>'Presupuesto '!F211</f>
        <v/>
      </c>
      <c r="D29" s="487">
        <f>C29/'Presupuesto '!$F$239</f>
        <v/>
      </c>
      <c r="E29" s="686">
        <f>C29/'Ficha Técnica del Proyecto'!$B$21</f>
        <v/>
      </c>
      <c r="F29" s="605" t="n"/>
    </row>
    <row r="30">
      <c r="A30" s="173" t="inlineStr">
        <is>
          <t>19</t>
        </is>
      </c>
      <c r="B30" s="174" t="inlineStr">
        <is>
          <t>OBRAS COMPLEMENTARIAS</t>
        </is>
      </c>
      <c r="C30" s="486">
        <f>'Presupuesto '!F218</f>
        <v/>
      </c>
      <c r="D30" s="487">
        <f>C30/'Presupuesto '!$F$239</f>
        <v/>
      </c>
      <c r="E30" s="686">
        <f>C30/'Ficha Técnica del Proyecto'!$B$21</f>
        <v/>
      </c>
      <c r="F30" s="605" t="n"/>
    </row>
    <row r="31">
      <c r="A31" s="173" t="inlineStr">
        <is>
          <t>20</t>
        </is>
      </c>
      <c r="B31" s="174" t="inlineStr">
        <is>
          <t>ASEO, ENTREGA Y CIERRE</t>
        </is>
      </c>
      <c r="C31" s="486">
        <f>'Presupuesto '!F226</f>
        <v/>
      </c>
      <c r="D31" s="487">
        <f>C31/'Presupuesto '!$F$239</f>
        <v/>
      </c>
      <c r="E31" s="686">
        <f>C31/'Ficha Técnica del Proyecto'!$B$21</f>
        <v/>
      </c>
      <c r="F31" s="605" t="n"/>
    </row>
    <row r="32">
      <c r="A32" s="173" t="inlineStr">
        <is>
          <t>21</t>
        </is>
      </c>
      <c r="B32" s="174" t="inlineStr">
        <is>
          <t>ASCENSORES</t>
        </is>
      </c>
      <c r="C32" s="486">
        <f>'Presupuesto '!F230</f>
        <v/>
      </c>
      <c r="D32" s="487">
        <f>C32/'Presupuesto '!$F$239</f>
        <v/>
      </c>
      <c r="E32" s="686">
        <f>C32/'Ficha Técnica del Proyecto'!$B$21</f>
        <v/>
      </c>
      <c r="F32" s="605" t="n"/>
    </row>
    <row r="33">
      <c r="A33" s="173" t="inlineStr">
        <is>
          <t>22</t>
        </is>
      </c>
      <c r="B33" s="174" t="inlineStr">
        <is>
          <t>GESTIÓN, DISEÑO Y ADMINISTRACIÓN</t>
        </is>
      </c>
      <c r="C33" s="486">
        <f>'Presupuesto '!F237</f>
        <v/>
      </c>
      <c r="D33" s="487">
        <f>C33/'Presupuesto '!$F$239</f>
        <v/>
      </c>
      <c r="E33" s="687">
        <f>C33/'Ficha Técnica del Proyecto'!$B$21</f>
        <v/>
      </c>
      <c r="F33" s="543" t="n"/>
    </row>
    <row r="34">
      <c r="A34" s="175" t="n"/>
      <c r="B34" s="176" t="inlineStr">
        <is>
          <t>COSTO DIRECTO TOTAL</t>
        </is>
      </c>
      <c r="C34" s="488">
        <f>SUM(C12:C33)</f>
        <v/>
      </c>
      <c r="D34" s="489">
        <f>C34/'Presupuesto '!$F$239</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'!F248</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2026-09-19T01:19:37Z</dcterms:modified>
  <cp:lastModifiedBy>Hugo Fernando Hurtado Ruiz</cp:lastModifiedBy>
  <cp:revision>1</cp:revision>
  <cp:lastPrinted>2026-09-14T01:27:33Z</cp:lastPrinted>
</cp:coreProperties>
</file>