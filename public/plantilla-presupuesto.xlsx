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 xmlns:r="http://schemas.openxmlformats.org/officeDocument/2006/relationships" name="Presupuesto " sheetId="2" state="visible" r:id="rId2"/>
    <sheet xmlns:r="http://schemas.openxmlformats.org/officeDocument/2006/relationships" name="Resumen" sheetId="3" state="visible" r:id="rId3"/>
  </sheets>
  <definedNames>
    <definedName name="_xlnm._FilterDatabase" localSheetId="1" hidden="1">'Presupuesto '!$A$13:$F$238</definedName>
  </definedNames>
  <calcPr calcId="191029" fullCalcOnLoad="1" iterateDelta="0.0001"/>
</workbook>
</file>

<file path=xl/styles.xml><?xml version="1.0" encoding="utf-8"?>
<styleSheet xmlns="http://schemas.openxmlformats.org/spreadsheetml/2006/main">
  <numFmts count="10">
    <numFmt numFmtId="164" formatCode="0.0%"/>
    <numFmt numFmtId="165" formatCode="dd/mm/yyyy"/>
    <numFmt numFmtId="166" formatCode="&quot;$ &quot;#,##0"/>
    <numFmt numFmtId="167" formatCode="\$\ #,##0.00"/>
    <numFmt numFmtId="168" formatCode="_-&quot;$ &quot;* #,##0.00_-;&quot;-$ &quot;* #,##0.00_-;_-&quot;$ &quot;* \-??_-;_-@_-"/>
    <numFmt numFmtId="169" formatCode="0.000"/>
    <numFmt numFmtId="170" formatCode="&quot;$&quot;\ #,##0.00"/>
    <numFmt numFmtId="171" formatCode="\$\ #,##0"/>
    <numFmt numFmtId="172" formatCode="$ #,##0"/>
    <numFmt numFmtId="173" formatCode="&quot;$ &quot;#,##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000000"/>
      <sz val="10"/>
    </font>
    <font>
      <name val="Calibri"/>
      <color rgb="FF8A8F99"/>
      <sz val="8"/>
    </font>
    <font>
      <i val="1"/>
      <color rgb="006B7280"/>
      <sz val="8"/>
    </font>
    <font>
      <color rgb="008A8F99"/>
      <sz val="8"/>
    </font>
    <font>
      <name val="Calibri"/>
      <color rgb="FF0000FF"/>
      <sz val="11"/>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right style="thick">
        <color rgb="FF17365D"/>
      </right>
      <top/>
      <bottom/>
      <diagonal/>
    </border>
    <border>
      <left style="thin">
        <color theme="0"/>
      </left>
      <right style="thin">
        <color theme="0"/>
      </right>
      <top style="thin">
        <color theme="0" tint="-0.249946592608417"/>
      </top>
      <bottom style="thin">
        <color theme="3" tint="0.5999633777886288"/>
      </bottom>
      <diagonal/>
    </border>
    <border>
      <left/>
      <right style="thin">
        <color theme="0"/>
      </right>
      <top style="thin">
        <color theme="0" tint="-0.249946592608417"/>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right style="medium">
        <color theme="4" tint="0.5999633777886288"/>
      </right>
      <top style="medium">
        <color rgb="FF17365D"/>
      </top>
      <bottom/>
      <diagonal/>
    </border>
    <border>
      <left/>
      <right style="medium">
        <color theme="4" tint="0.5999633777886288"/>
      </right>
      <top style="thin">
        <color theme="4" tint="0.5999633777886288"/>
      </top>
      <bottom/>
      <diagonal/>
    </border>
    <border>
      <left/>
      <right style="thin">
        <color rgb="FFB7C3D0"/>
      </right>
      <top style="thin">
        <color rgb="FF002060"/>
      </top>
      <bottom/>
      <diagonal/>
    </border>
    <border>
      <left style="thin">
        <color theme="4" tint="0.5998718222602009"/>
      </left>
      <right/>
      <top/>
      <bottom/>
      <diagonal/>
    </border>
    <border>
      <left/>
      <right style="thin">
        <color theme="4" tint="0.5998718222602009"/>
      </right>
      <top/>
      <bottom/>
      <diagonal/>
    </border>
    <border>
      <left style="thin">
        <color rgb="FFC9A227"/>
      </left>
      <right/>
      <top/>
      <bottom/>
      <diagonal/>
    </border>
    <border>
      <left/>
      <right style="thin">
        <color rgb="FFC9A227"/>
      </right>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s>
  <cellStyleXfs count="5">
    <xf numFmtId="0" fontId="28" fillId="0" borderId="0"/>
    <xf numFmtId="0" fontId="28" fillId="0" borderId="0"/>
    <xf numFmtId="0" fontId="28" fillId="0" borderId="0"/>
    <xf numFmtId="0" fontId="28" fillId="0" borderId="0"/>
    <xf numFmtId="0" fontId="6" fillId="0" borderId="0"/>
  </cellStyleXfs>
  <cellXfs count="1469">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7" applyAlignment="1" pivotButton="0" quotePrefix="0" xfId="0">
      <alignment horizontal="center"/>
    </xf>
    <xf numFmtId="0" fontId="15" fillId="2" borderId="108" applyAlignment="1" pivotButton="0" quotePrefix="0" xfId="0">
      <alignment horizontal="center"/>
    </xf>
    <xf numFmtId="0" fontId="16" fillId="36" borderId="108" applyAlignment="1" pivotButton="0" quotePrefix="0" xfId="0">
      <alignment horizontal="center"/>
    </xf>
    <xf numFmtId="0" fontId="17" fillId="7" borderId="108" applyAlignment="1" pivotButton="0" quotePrefix="0" xfId="0">
      <alignment horizontal="center"/>
    </xf>
    <xf numFmtId="0" fontId="17" fillId="6" borderId="108" applyAlignment="1" pivotButton="0" quotePrefix="0" xfId="0">
      <alignment horizontal="center"/>
    </xf>
    <xf numFmtId="0" fontId="17" fillId="0" borderId="108" applyAlignment="1" pivotButton="0" quotePrefix="0" xfId="0">
      <alignment horizontal="center"/>
    </xf>
    <xf numFmtId="0" fontId="13" fillId="2" borderId="108" applyAlignment="1" pivotButton="0" quotePrefix="0" xfId="0">
      <alignment horizontal="center"/>
    </xf>
    <xf numFmtId="0" fontId="85"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3" fillId="10" borderId="119" applyAlignment="1" pivotButton="0" quotePrefix="0" xfId="3">
      <alignment horizontal="center"/>
    </xf>
    <xf numFmtId="0" fontId="77" fillId="40" borderId="122"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7"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7" fillId="0" borderId="0" pivotButton="0" quotePrefix="0" xfId="0"/>
    <xf numFmtId="0" fontId="98" fillId="0" borderId="0" pivotButton="0" quotePrefix="0" xfId="0"/>
    <xf numFmtId="0" fontId="95"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7" applyAlignment="1" pivotButton="0" quotePrefix="0" xfId="1">
      <alignment vertical="center"/>
    </xf>
    <xf numFmtId="0" fontId="0" fillId="43" borderId="60" pivotButton="0" quotePrefix="0" xfId="0"/>
    <xf numFmtId="0" fontId="0" fillId="43" borderId="117"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4" applyAlignment="1" pivotButton="0" quotePrefix="0" xfId="3">
      <alignment horizontal="center" vertical="center"/>
    </xf>
    <xf numFmtId="0" fontId="16" fillId="36" borderId="107"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09" applyAlignment="1" pivotButton="0" quotePrefix="0" xfId="0">
      <alignment horizontal="center"/>
    </xf>
    <xf numFmtId="0" fontId="55" fillId="20" borderId="110" applyAlignment="1" pivotButton="0" quotePrefix="0" xfId="0">
      <alignment horizontal="left" vertical="center"/>
    </xf>
    <xf numFmtId="0" fontId="55" fillId="20" borderId="110" applyAlignment="1" pivotButton="0" quotePrefix="0" xfId="0">
      <alignment horizontal="center" vertical="center"/>
    </xf>
    <xf numFmtId="0" fontId="83" fillId="4" borderId="0" applyAlignment="1" pivotButton="0" quotePrefix="0" xfId="3">
      <alignment vertical="center"/>
    </xf>
    <xf numFmtId="0" fontId="17" fillId="7" borderId="141"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2" applyAlignment="1" pivotButton="0" quotePrefix="0" xfId="0">
      <alignment horizontal="center"/>
    </xf>
    <xf numFmtId="0" fontId="43" fillId="7" borderId="143" applyAlignment="1" pivotButton="0" quotePrefix="0" xfId="0">
      <alignment horizontal="left" indent="3"/>
    </xf>
    <xf numFmtId="0" fontId="43" fillId="7" borderId="143" applyAlignment="1" pivotButton="0" quotePrefix="0" xfId="0">
      <alignment horizontal="center"/>
    </xf>
    <xf numFmtId="0" fontId="17" fillId="6" borderId="145" applyAlignment="1" pivotButton="0" quotePrefix="0" xfId="0">
      <alignment horizontal="center"/>
    </xf>
    <xf numFmtId="0" fontId="17" fillId="7" borderId="145" applyAlignment="1" pivotButton="0" quotePrefix="0" xfId="0">
      <alignment horizontal="center"/>
    </xf>
    <xf numFmtId="0" fontId="15" fillId="2" borderId="145" applyAlignment="1" pivotButton="0" quotePrefix="0" xfId="0">
      <alignment horizontal="center"/>
    </xf>
    <xf numFmtId="0" fontId="17" fillId="0" borderId="145" applyAlignment="1" pivotButton="0" quotePrefix="0" xfId="0">
      <alignment horizontal="center"/>
    </xf>
    <xf numFmtId="0" fontId="17" fillId="7" borderId="146" applyAlignment="1" pivotButton="0" quotePrefix="0" xfId="0">
      <alignment horizontal="center"/>
    </xf>
    <xf numFmtId="0" fontId="43" fillId="7" borderId="147" applyAlignment="1" pivotButton="0" quotePrefix="0" xfId="0">
      <alignment horizontal="left" indent="3"/>
    </xf>
    <xf numFmtId="0" fontId="43" fillId="7" borderId="147" applyAlignment="1" pivotButton="0" quotePrefix="0" xfId="0">
      <alignment horizontal="center"/>
    </xf>
    <xf numFmtId="0" fontId="23" fillId="10" borderId="135"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7" fillId="10" borderId="134" applyAlignment="1" pivotButton="0" quotePrefix="0" xfId="3">
      <alignment horizontal="left" vertical="center"/>
    </xf>
    <xf numFmtId="0" fontId="77" fillId="10" borderId="149" applyAlignment="1" pivotButton="0" quotePrefix="0" xfId="3">
      <alignment horizontal="left" vertical="center"/>
    </xf>
    <xf numFmtId="0" fontId="91" fillId="20" borderId="152" applyAlignment="1" pivotButton="0" quotePrefix="0" xfId="0">
      <alignment horizontal="center" vertical="center" wrapText="1"/>
    </xf>
    <xf numFmtId="0" fontId="91" fillId="20" borderId="153" applyAlignment="1" pivotButton="0" quotePrefix="0" xfId="0">
      <alignment horizontal="center" vertical="center" wrapText="1"/>
    </xf>
    <xf numFmtId="0" fontId="62" fillId="0" borderId="152" pivotButton="0" quotePrefix="0" xfId="0"/>
    <xf numFmtId="0" fontId="62" fillId="0" borderId="153" pivotButton="0" quotePrefix="0" xfId="0"/>
    <xf numFmtId="0" fontId="47" fillId="3" borderId="152" pivotButton="0" quotePrefix="0" xfId="0"/>
    <xf numFmtId="0" fontId="49" fillId="3" borderId="153" pivotButton="0" quotePrefix="0" xfId="0"/>
    <xf numFmtId="0" fontId="46" fillId="0" borderId="150" pivotButton="0" quotePrefix="0" xfId="0"/>
    <xf numFmtId="0" fontId="46" fillId="0" borderId="152" pivotButton="0" quotePrefix="0" xfId="0"/>
    <xf numFmtId="0" fontId="46" fillId="0" borderId="153" pivotButton="0" quotePrefix="0" xfId="0"/>
    <xf numFmtId="0" fontId="46" fillId="20" borderId="154" applyAlignment="1" pivotButton="0" quotePrefix="0" xfId="0">
      <alignment vertical="center"/>
    </xf>
    <xf numFmtId="0" fontId="55" fillId="20" borderId="155" applyAlignment="1" pivotButton="0" quotePrefix="0" xfId="0">
      <alignment vertical="center"/>
    </xf>
    <xf numFmtId="0" fontId="64" fillId="20" borderId="155" applyAlignment="1" pivotButton="0" quotePrefix="0" xfId="0">
      <alignment vertical="center"/>
    </xf>
    <xf numFmtId="0" fontId="0" fillId="43" borderId="0" applyAlignment="1" pivotButton="0" quotePrefix="0" xfId="0">
      <alignment vertical="center"/>
    </xf>
    <xf numFmtId="0" fontId="77" fillId="10" borderId="120" applyAlignment="1" pivotButton="0" quotePrefix="0" xfId="3">
      <alignment horizontal="left" vertical="center"/>
    </xf>
    <xf numFmtId="0" fontId="66" fillId="20" borderId="114"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5" fillId="5" borderId="114" applyAlignment="1" pivotButton="0" quotePrefix="0" xfId="0">
      <alignment horizontal="center" vertical="center"/>
    </xf>
    <xf numFmtId="0" fontId="110"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4" applyAlignment="1" pivotButton="0" quotePrefix="0" xfId="0">
      <alignment horizontal="center" vertical="center" wrapText="1"/>
    </xf>
    <xf numFmtId="0" fontId="54" fillId="57" borderId="110" applyAlignment="1" pivotButton="0" quotePrefix="0" xfId="0">
      <alignment horizontal="center" vertical="center" wrapText="1"/>
    </xf>
    <xf numFmtId="0" fontId="54" fillId="57" borderId="111" applyAlignment="1" pivotButton="0" quotePrefix="0" xfId="0">
      <alignment horizontal="center" vertical="center" wrapText="1"/>
    </xf>
    <xf numFmtId="0" fontId="84" fillId="58" borderId="105"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67" applyAlignment="1" pivotButton="0" quotePrefix="0" xfId="4">
      <alignment vertical="center" wrapText="1"/>
    </xf>
    <xf numFmtId="0" fontId="118" fillId="53" borderId="173" applyAlignment="1" pivotButton="0" quotePrefix="0" xfId="4">
      <alignment vertical="center" wrapText="1"/>
    </xf>
    <xf numFmtId="0" fontId="30" fillId="0" borderId="178" applyAlignment="1" pivotButton="0" quotePrefix="0" xfId="4">
      <alignment vertical="center"/>
    </xf>
    <xf numFmtId="0" fontId="4" fillId="0" borderId="0" pivotButton="0" quotePrefix="0" xfId="4"/>
    <xf numFmtId="2" fontId="126" fillId="55" borderId="187" applyAlignment="1" pivotButton="0" quotePrefix="0" xfId="4">
      <alignment vertical="center" wrapText="1"/>
    </xf>
    <xf numFmtId="2" fontId="126" fillId="55" borderId="178"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6" fillId="0" borderId="157" pivotButton="0" quotePrefix="0" xfId="0"/>
    <xf numFmtId="0" fontId="3" fillId="0" borderId="158" pivotButton="0" quotePrefix="0" xfId="0"/>
    <xf numFmtId="0" fontId="3" fillId="0" borderId="159" pivotButton="0" quotePrefix="0" xfId="0"/>
    <xf numFmtId="0" fontId="53" fillId="68" borderId="0" applyAlignment="1" pivotButton="0" quotePrefix="0" xfId="0">
      <alignment horizontal="center" vertical="center"/>
    </xf>
    <xf numFmtId="0" fontId="36" fillId="69" borderId="158" pivotButton="0" quotePrefix="0" xfId="0"/>
    <xf numFmtId="0" fontId="36" fillId="16" borderId="158" pivotButton="0" quotePrefix="0" xfId="0"/>
    <xf numFmtId="0" fontId="36" fillId="17" borderId="158"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4"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6" applyAlignment="1" pivotButton="0" quotePrefix="0" xfId="1">
      <alignment horizontal="center" vertical="center" wrapText="1"/>
    </xf>
    <xf numFmtId="0" fontId="77" fillId="10" borderId="132" applyAlignment="1" pivotButton="0" quotePrefix="0" xfId="3">
      <alignment horizontal="left" vertical="center"/>
    </xf>
    <xf numFmtId="0" fontId="77" fillId="10" borderId="133" applyAlignment="1" pivotButton="0" quotePrefix="0" xfId="3">
      <alignment horizontal="left" vertical="center"/>
    </xf>
    <xf numFmtId="0" fontId="77" fillId="10" borderId="131" applyAlignment="1" pivotButton="0" quotePrefix="0" xfId="3">
      <alignment horizontal="left" vertical="center"/>
    </xf>
    <xf numFmtId="0" fontId="137" fillId="0" borderId="0" pivotButton="0" quotePrefix="0" xfId="0"/>
    <xf numFmtId="0" fontId="138" fillId="0" borderId="241" pivotButton="0" quotePrefix="0" xfId="0"/>
    <xf numFmtId="0" fontId="138" fillId="0" borderId="241" applyAlignment="1" pivotButton="0" quotePrefix="0" xfId="0">
      <alignment horizontal="center"/>
    </xf>
    <xf numFmtId="0" fontId="136" fillId="0" borderId="0" applyAlignment="1" pivotButton="0" quotePrefix="0" xfId="0">
      <alignment vertical="center"/>
    </xf>
    <xf numFmtId="0" fontId="35" fillId="0" borderId="157" pivotButton="0" quotePrefix="0" xfId="0"/>
    <xf numFmtId="0" fontId="144" fillId="0" borderId="0" applyAlignment="1" pivotButton="0" quotePrefix="0" xfId="0">
      <alignment vertical="center"/>
    </xf>
    <xf numFmtId="0" fontId="146" fillId="0" borderId="235" applyAlignment="1" pivotButton="0" quotePrefix="0" xfId="0">
      <alignment horizontal="center" vertical="center"/>
    </xf>
    <xf numFmtId="0" fontId="54" fillId="26" borderId="262" applyAlignment="1" pivotButton="0" quotePrefix="0" xfId="0">
      <alignment vertical="center"/>
    </xf>
    <xf numFmtId="0" fontId="146" fillId="0" borderId="0" applyAlignment="1" pivotButton="0" quotePrefix="0" xfId="0">
      <alignment horizontal="center" vertical="center"/>
    </xf>
    <xf numFmtId="0" fontId="54" fillId="26" borderId="240" applyAlignment="1" pivotButton="0" quotePrefix="0" xfId="0">
      <alignment vertical="center"/>
    </xf>
    <xf numFmtId="0" fontId="48" fillId="0" borderId="0" pivotButton="0" quotePrefix="0" xfId="0"/>
    <xf numFmtId="0" fontId="147" fillId="0" borderId="0" pivotButton="0" quotePrefix="0" xfId="0"/>
    <xf numFmtId="0" fontId="55" fillId="60" borderId="263"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49" fillId="69" borderId="0" pivotButton="0" quotePrefix="0" xfId="0"/>
    <xf numFmtId="0" fontId="113" fillId="28" borderId="0" applyAlignment="1" pivotButton="0" quotePrefix="0" xfId="2">
      <alignment vertical="center"/>
    </xf>
    <xf numFmtId="0" fontId="0" fillId="43" borderId="0" pivotButton="0" quotePrefix="0" xfId="0"/>
    <xf numFmtId="0" fontId="150" fillId="0" borderId="265" applyAlignment="1" pivotButton="0" quotePrefix="0" xfId="0">
      <alignment horizontal="center"/>
    </xf>
    <xf numFmtId="0" fontId="151" fillId="0" borderId="265"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3" fillId="54" borderId="187"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5" applyAlignment="1" pivotButton="0" quotePrefix="0" xfId="0">
      <alignment vertical="center" wrapText="1"/>
    </xf>
    <xf numFmtId="0" fontId="46" fillId="0" borderId="125" pivotButton="0" quotePrefix="0" xfId="0"/>
    <xf numFmtId="0" fontId="63" fillId="22" borderId="248" applyAlignment="1" pivotButton="0" quotePrefix="0" xfId="0">
      <alignment vertical="center" wrapText="1"/>
    </xf>
    <xf numFmtId="0" fontId="64" fillId="0" borderId="248" pivotButton="0" quotePrefix="0" xfId="0"/>
    <xf numFmtId="0" fontId="46" fillId="0" borderId="29" pivotButton="0" quotePrefix="0" xfId="0"/>
    <xf numFmtId="0" fontId="0" fillId="41" borderId="267" pivotButton="0" quotePrefix="0" xfId="0"/>
    <xf numFmtId="0" fontId="54" fillId="26" borderId="236" applyAlignment="1" pivotButton="0" quotePrefix="0" xfId="0">
      <alignment vertical="center"/>
    </xf>
    <xf numFmtId="0" fontId="146" fillId="0" borderId="273" applyAlignment="1" pivotButton="0" quotePrefix="0" xfId="0">
      <alignment horizontal="center" vertical="center"/>
    </xf>
    <xf numFmtId="0" fontId="35" fillId="0" borderId="257" pivotButton="0" quotePrefix="0" xfId="0"/>
    <xf numFmtId="0" fontId="100" fillId="37" borderId="63" applyAlignment="1" pivotButton="0" quotePrefix="0" xfId="0">
      <alignment horizontal="center" vertical="center"/>
    </xf>
    <xf numFmtId="0" fontId="46" fillId="0" borderId="132"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3" fillId="28" borderId="0" applyAlignment="1" pivotButton="0" quotePrefix="0" xfId="2">
      <alignment horizontal="left" vertical="center"/>
    </xf>
    <xf numFmtId="0" fontId="135" fillId="25" borderId="263" applyAlignment="1" pivotButton="0" quotePrefix="0" xfId="0">
      <alignment horizontal="center" vertical="center" wrapText="1"/>
    </xf>
    <xf numFmtId="0" fontId="140" fillId="73" borderId="278" applyAlignment="1" pivotButton="0" quotePrefix="0" xfId="0">
      <alignment horizontal="center" vertical="center" wrapText="1"/>
    </xf>
    <xf numFmtId="0" fontId="139" fillId="17" borderId="278" applyAlignment="1" pivotButton="0" quotePrefix="0" xfId="0">
      <alignment vertical="center" wrapText="1"/>
    </xf>
    <xf numFmtId="0" fontId="139" fillId="16" borderId="278" applyAlignment="1" pivotButton="0" quotePrefix="0" xfId="0">
      <alignment vertical="center" wrapText="1"/>
    </xf>
    <xf numFmtId="0" fontId="136" fillId="0" borderId="278" applyAlignment="1" pivotButton="0" quotePrefix="0" xfId="0">
      <alignment horizontal="center" vertical="center" wrapText="1"/>
    </xf>
    <xf numFmtId="0" fontId="138" fillId="28" borderId="278" applyAlignment="1" pivotButton="0" quotePrefix="0" xfId="0">
      <alignment vertical="center" wrapText="1"/>
    </xf>
    <xf numFmtId="0" fontId="136" fillId="0" borderId="278" applyAlignment="1" pivotButton="0" quotePrefix="0" xfId="0">
      <alignment vertical="center" wrapText="1"/>
    </xf>
    <xf numFmtId="0" fontId="80" fillId="74" borderId="278" applyAlignment="1" pivotButton="0" quotePrefix="0" xfId="0">
      <alignment horizontal="center" vertical="center" wrapText="1"/>
    </xf>
    <xf numFmtId="0" fontId="141" fillId="17" borderId="278" applyAlignment="1" pivotButton="0" quotePrefix="0" xfId="0">
      <alignment horizontal="center" vertical="center" wrapText="1"/>
    </xf>
    <xf numFmtId="0" fontId="141" fillId="16" borderId="278" applyAlignment="1" pivotButton="0" quotePrefix="0" xfId="0">
      <alignment horizontal="center" vertical="center" wrapText="1"/>
    </xf>
    <xf numFmtId="0" fontId="137" fillId="0" borderId="278" applyAlignment="1" pivotButton="0" quotePrefix="0" xfId="0">
      <alignment vertical="center" wrapText="1"/>
    </xf>
    <xf numFmtId="0" fontId="137" fillId="0" borderId="278" applyAlignment="1" pivotButton="0" quotePrefix="0" xfId="0">
      <alignment horizontal="center" vertical="center" wrapText="1"/>
    </xf>
    <xf numFmtId="0" fontId="80" fillId="74" borderId="279" applyAlignment="1" pivotButton="0" quotePrefix="0" xfId="0">
      <alignment horizontal="center" vertical="center" wrapText="1"/>
    </xf>
    <xf numFmtId="0" fontId="141" fillId="17" borderId="279" applyAlignment="1" pivotButton="0" quotePrefix="0" xfId="0">
      <alignment horizontal="center" vertical="center" wrapText="1"/>
    </xf>
    <xf numFmtId="0" fontId="141" fillId="16" borderId="279" applyAlignment="1" pivotButton="0" quotePrefix="0" xfId="0">
      <alignment horizontal="center" vertical="center" wrapText="1"/>
    </xf>
    <xf numFmtId="0" fontId="137" fillId="0" borderId="279" applyAlignment="1" pivotButton="0" quotePrefix="0" xfId="0">
      <alignment vertical="center" wrapText="1"/>
    </xf>
    <xf numFmtId="0" fontId="137" fillId="0" borderId="279" applyAlignment="1" pivotButton="0" quotePrefix="0" xfId="0">
      <alignment horizontal="center" vertical="center" wrapText="1"/>
    </xf>
    <xf numFmtId="0" fontId="143" fillId="25" borderId="280" applyAlignment="1" pivotButton="0" quotePrefix="0" xfId="0">
      <alignment horizontal="center" vertical="center" wrapText="1"/>
    </xf>
    <xf numFmtId="0" fontId="143" fillId="25" borderId="281"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2" applyAlignment="1" pivotButton="0" quotePrefix="0" xfId="3">
      <alignment horizontal="center" vertical="center"/>
    </xf>
    <xf numFmtId="0" fontId="46" fillId="4" borderId="304" applyAlignment="1" pivotButton="0" quotePrefix="0" xfId="3">
      <alignment horizontal="center" vertical="center"/>
    </xf>
    <xf numFmtId="0" fontId="111" fillId="42" borderId="304" applyAlignment="1" pivotButton="0" quotePrefix="0" xfId="3">
      <alignment horizontal="center" vertical="center"/>
    </xf>
    <xf numFmtId="0" fontId="46" fillId="4" borderId="306" applyAlignment="1" pivotButton="0" quotePrefix="0" xfId="3">
      <alignment horizontal="center" vertical="center"/>
    </xf>
    <xf numFmtId="0" fontId="66" fillId="25" borderId="40" applyAlignment="1" pivotButton="0" quotePrefix="0" xfId="0">
      <alignment horizontal="center" vertical="center"/>
    </xf>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7" pivotButton="0" quotePrefix="0" xfId="0"/>
    <xf numFmtId="0" fontId="21" fillId="0" borderId="0" applyAlignment="1" pivotButton="0" quotePrefix="0" xfId="0">
      <alignment horizontal="center" vertical="center"/>
    </xf>
    <xf numFmtId="0" fontId="23" fillId="10" borderId="301" applyAlignment="1" pivotButton="0" quotePrefix="0" xfId="3">
      <alignment horizontal="left" vertical="center"/>
    </xf>
    <xf numFmtId="0" fontId="23" fillId="10" borderId="303" applyAlignment="1" pivotButton="0" quotePrefix="0" xfId="3">
      <alignment horizontal="left" vertical="center"/>
    </xf>
    <xf numFmtId="0" fontId="82" fillId="10" borderId="301" applyAlignment="1" pivotButton="0" quotePrefix="0" xfId="3">
      <alignment horizontal="left" vertical="center"/>
    </xf>
    <xf numFmtId="0" fontId="82" fillId="10" borderId="303" applyAlignment="1" pivotButton="0" quotePrefix="0" xfId="3">
      <alignment horizontal="left" vertical="center"/>
    </xf>
    <xf numFmtId="0" fontId="146" fillId="42" borderId="304" applyAlignment="1" pivotButton="0" quotePrefix="0" xfId="3">
      <alignment horizontal="center" vertical="center"/>
    </xf>
    <xf numFmtId="0" fontId="82" fillId="10" borderId="305" applyAlignment="1" pivotButton="0" quotePrefix="0" xfId="3">
      <alignment horizontal="left" vertical="center"/>
    </xf>
    <xf numFmtId="0" fontId="0" fillId="0" borderId="309" pivotButton="0" quotePrefix="0" xfId="0"/>
    <xf numFmtId="0" fontId="23" fillId="10" borderId="310" applyAlignment="1" pivotButton="0" quotePrefix="0" xfId="3">
      <alignment horizontal="left" vertical="center"/>
    </xf>
    <xf numFmtId="0" fontId="46" fillId="4" borderId="311"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5" applyAlignment="1" pivotButton="0" quotePrefix="0" xfId="0">
      <alignment horizontal="center"/>
    </xf>
    <xf numFmtId="0" fontId="38" fillId="0" borderId="125" pivotButton="0" quotePrefix="0" xfId="0"/>
    <xf numFmtId="0" fontId="38" fillId="16" borderId="125" applyAlignment="1" pivotButton="0" quotePrefix="0" xfId="0">
      <alignment horizontal="center"/>
    </xf>
    <xf numFmtId="0" fontId="29" fillId="25" borderId="312" applyAlignment="1" pivotButton="0" quotePrefix="0" xfId="0">
      <alignment horizontal="center" vertical="center"/>
    </xf>
    <xf numFmtId="0" fontId="42" fillId="25" borderId="26" applyAlignment="1" pivotButton="0" quotePrefix="0" xfId="0">
      <alignment horizontal="center" vertical="center"/>
    </xf>
    <xf numFmtId="0" fontId="42" fillId="25" borderId="275" applyAlignment="1" pivotButton="0" quotePrefix="0" xfId="0">
      <alignment horizontal="center" vertical="center"/>
    </xf>
    <xf numFmtId="0" fontId="21" fillId="0" borderId="250" applyAlignment="1" pivotButton="0" quotePrefix="0" xfId="0">
      <alignment horizontal="center" vertical="center"/>
    </xf>
    <xf numFmtId="0" fontId="41" fillId="25" borderId="313" applyAlignment="1" pivotButton="0" quotePrefix="0" xfId="0">
      <alignment horizontal="center" vertical="center"/>
    </xf>
    <xf numFmtId="0" fontId="41" fillId="25" borderId="285" applyAlignment="1" pivotButton="0" quotePrefix="0" xfId="0">
      <alignment horizontal="center" vertical="center"/>
    </xf>
    <xf numFmtId="0" fontId="41" fillId="25" borderId="314" applyAlignment="1" pivotButton="0" quotePrefix="0" xfId="0">
      <alignment horizontal="center" vertical="center"/>
    </xf>
    <xf numFmtId="0" fontId="56" fillId="18" borderId="30" applyAlignment="1" pivotButton="0" quotePrefix="0" xfId="0">
      <alignment horizontal="center" vertical="center"/>
    </xf>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25" borderId="29" applyAlignment="1" pivotButton="0" quotePrefix="0" xfId="0">
      <alignment vertical="center"/>
    </xf>
    <xf numFmtId="0" fontId="136" fillId="25" borderId="39" applyAlignment="1" pivotButton="0" quotePrefix="0" xfId="0">
      <alignment vertical="center"/>
    </xf>
    <xf numFmtId="0" fontId="156" fillId="0" borderId="0" applyAlignment="1" pivotButton="0" quotePrefix="0" xfId="0">
      <alignment horizontal="right"/>
    </xf>
    <xf numFmtId="0" fontId="122" fillId="0" borderId="91" applyAlignment="1" pivotButton="0" quotePrefix="0" xfId="0">
      <alignment horizontal="right"/>
    </xf>
    <xf numFmtId="0" fontId="122" fillId="0" borderId="277"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1" applyAlignment="1" pivotButton="0" quotePrefix="0" xfId="3">
      <alignment vertical="center"/>
    </xf>
    <xf numFmtId="0" fontId="82" fillId="0" borderId="0" applyAlignment="1" pivotButton="0" quotePrefix="0" xfId="0">
      <alignment vertical="center"/>
    </xf>
    <xf numFmtId="0" fontId="73" fillId="26" borderId="158" applyAlignment="1" pivotButton="0" quotePrefix="0" xfId="0">
      <alignment vertical="center"/>
    </xf>
    <xf numFmtId="0" fontId="5" fillId="16" borderId="158" applyAlignment="1" pivotButton="0" quotePrefix="0" xfId="0">
      <alignment vertical="center"/>
    </xf>
    <xf numFmtId="0" fontId="31" fillId="20" borderId="342"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0" applyAlignment="1" pivotButton="0" quotePrefix="0" xfId="0">
      <alignment horizontal="center" vertical="center"/>
    </xf>
    <xf numFmtId="0" fontId="73" fillId="26" borderId="157" applyAlignment="1" pivotButton="0" quotePrefix="0" xfId="0">
      <alignment vertical="center"/>
    </xf>
    <xf numFmtId="0" fontId="86" fillId="5" borderId="343"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6" fillId="5" borderId="345" applyAlignment="1" pivotButton="0" quotePrefix="0" xfId="0">
      <alignment horizontal="center" vertical="center"/>
    </xf>
    <xf numFmtId="0" fontId="31" fillId="20" borderId="32" applyAlignment="1" pivotButton="0" quotePrefix="0" xfId="0">
      <alignment vertical="center"/>
    </xf>
    <xf numFmtId="0" fontId="85" fillId="5" borderId="32" applyAlignment="1" pivotButton="0" quotePrefix="0" xfId="0">
      <alignment horizontal="center" vertical="center"/>
    </xf>
    <xf numFmtId="0" fontId="31" fillId="20" borderId="29" applyAlignment="1" pivotButton="0" quotePrefix="0" xfId="0">
      <alignment vertical="center"/>
    </xf>
    <xf numFmtId="0" fontId="85"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7" fillId="28" borderId="0" applyAlignment="1" pivotButton="0" quotePrefix="0" xfId="0">
      <alignment vertical="center"/>
    </xf>
    <xf numFmtId="0" fontId="160" fillId="28" borderId="347" applyAlignment="1" pivotButton="0" quotePrefix="0" xfId="0">
      <alignment vertical="center"/>
    </xf>
    <xf numFmtId="0" fontId="116" fillId="28" borderId="172" applyAlignment="1" pivotButton="0" quotePrefix="0" xfId="4">
      <alignment vertical="center"/>
    </xf>
    <xf numFmtId="0" fontId="123" fillId="17" borderId="187" applyAlignment="1" pivotButton="0" quotePrefix="0" xfId="4">
      <alignment vertical="center" wrapText="1"/>
    </xf>
    <xf numFmtId="2" fontId="123" fillId="17" borderId="187" applyAlignment="1" pivotButton="0" quotePrefix="0" xfId="4">
      <alignment vertical="center" wrapText="1"/>
    </xf>
    <xf numFmtId="2" fontId="123" fillId="17" borderId="178" applyAlignment="1" pivotButton="0" quotePrefix="0" xfId="4">
      <alignment vertical="center" wrapText="1"/>
    </xf>
    <xf numFmtId="0" fontId="9" fillId="0" borderId="0" applyAlignment="1" pivotButton="0" quotePrefix="0" xfId="1">
      <alignment horizontal="left" vertical="center"/>
    </xf>
    <xf numFmtId="0" fontId="1" fillId="0" borderId="29" pivotButton="0" quotePrefix="0" xfId="2"/>
    <xf numFmtId="0" fontId="60" fillId="22" borderId="33" applyAlignment="1" pivotButton="0" quotePrefix="0" xfId="2">
      <alignment horizontal="center" vertical="center" wrapText="1"/>
    </xf>
    <xf numFmtId="0" fontId="162" fillId="0" borderId="33" pivotButton="0" quotePrefix="0" xfId="2"/>
    <xf numFmtId="0" fontId="30" fillId="0" borderId="28" pivotButton="0" quotePrefix="0" xfId="2"/>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164" fontId="136" fillId="0" borderId="278" applyAlignment="1" pivotButton="0" quotePrefix="0" xfId="0">
      <alignment vertical="center" wrapText="1"/>
    </xf>
    <xf numFmtId="165" fontId="136" fillId="0" borderId="278" applyAlignment="1" pivotButton="0" quotePrefix="0" xfId="0">
      <alignment vertical="center" wrapText="1"/>
    </xf>
    <xf numFmtId="164" fontId="137" fillId="0" borderId="279"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49" fillId="3" borderId="153" pivotButton="0" quotePrefix="0" xfId="0"/>
    <xf numFmtId="164" fontId="49" fillId="3" borderId="153"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4" fontId="126" fillId="55" borderId="187" applyAlignment="1" pivotButton="0" quotePrefix="0" xfId="4">
      <alignment vertical="center" wrapText="1"/>
    </xf>
    <xf numFmtId="164" fontId="126" fillId="55" borderId="178"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48" fillId="16"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4" fontId="48" fillId="16" borderId="30" pivotButton="0" quotePrefix="0" xfId="0"/>
    <xf numFmtId="164" fontId="44" fillId="18" borderId="129" pivotButton="0" quotePrefix="0" xfId="0"/>
    <xf numFmtId="164" fontId="49" fillId="3" borderId="30" pivotButton="0" quotePrefix="0" xfId="0"/>
    <xf numFmtId="164" fontId="59" fillId="19" borderId="129" pivotButton="0" quotePrefix="0" xfId="0"/>
    <xf numFmtId="164" fontId="36" fillId="16"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4" fontId="36" fillId="17" borderId="0" applyAlignment="1" pivotButton="0" quotePrefix="0" xfId="2">
      <alignment horizontal="center" vertical="center"/>
    </xf>
    <xf numFmtId="164" fontId="57" fillId="19" borderId="28" applyAlignment="1" pivotButton="0" quotePrefix="0" xfId="2">
      <alignment horizont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146" fillId="0" borderId="0" applyAlignment="1" pivotButton="0" quotePrefix="0" xfId="0">
      <alignment vertical="center"/>
    </xf>
    <xf numFmtId="0" fontId="0" fillId="0" borderId="1" pivotButton="0" quotePrefix="0" xfId="0"/>
    <xf numFmtId="0" fontId="0" fillId="0" borderId="159" pivotButton="0" quotePrefix="0" xfId="0"/>
    <xf numFmtId="0" fontId="159" fillId="28" borderId="347"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92" fillId="20" borderId="0" applyAlignment="1" pivotButton="0" quotePrefix="0" xfId="0">
      <alignment horizontal="center" vertical="center"/>
    </xf>
    <xf numFmtId="0" fontId="0" fillId="0" borderId="0" applyAlignment="1" pivotButton="0" quotePrefix="0" xfId="0">
      <alignment vertical="center"/>
    </xf>
    <xf numFmtId="0" fontId="136"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4" fillId="53" borderId="178" applyAlignment="1" pivotButton="0" quotePrefix="0" xfId="4">
      <alignment vertical="center" wrapText="1"/>
    </xf>
    <xf numFmtId="0" fontId="123" fillId="54" borderId="178" applyAlignment="1" pivotButton="0" quotePrefix="0" xfId="4">
      <alignment vertical="center" wrapText="1"/>
    </xf>
    <xf numFmtId="0" fontId="125" fillId="41" borderId="186" applyAlignment="1" pivotButton="0" quotePrefix="0" xfId="4">
      <alignment horizontal="center" vertical="center" wrapText="1"/>
    </xf>
    <xf numFmtId="0" fontId="5" fillId="0" borderId="0" pivotButton="0" quotePrefix="0" xfId="4"/>
    <xf numFmtId="0" fontId="123" fillId="17" borderId="178" applyAlignment="1" pivotButton="0" quotePrefix="0" xfId="4">
      <alignment vertical="center" wrapText="1"/>
    </xf>
    <xf numFmtId="0" fontId="123" fillId="28" borderId="187" applyAlignment="1" pivotButton="0" quotePrefix="0" xfId="4">
      <alignment vertical="center" wrapText="1"/>
    </xf>
    <xf numFmtId="165" fontId="123" fillId="54" borderId="178" applyAlignment="1" pivotButton="0" quotePrefix="0" xfId="4">
      <alignment vertical="center" wrapText="1"/>
    </xf>
    <xf numFmtId="0" fontId="73" fillId="41" borderId="178" applyAlignment="1" pivotButton="0" quotePrefix="0" xfId="4">
      <alignment horizontal="center" vertical="center" wrapText="1"/>
    </xf>
    <xf numFmtId="0" fontId="0" fillId="0" borderId="172"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7" pivotButton="0" quotePrefix="0" xfId="0"/>
    <xf numFmtId="0" fontId="1" fillId="0" borderId="29" applyAlignment="1" pivotButton="0" quotePrefix="0" xfId="2">
      <alignment horizontal="center" vertical="center" wrapText="1"/>
    </xf>
    <xf numFmtId="0" fontId="46" fillId="4" borderId="104" applyAlignment="1" pivotButton="0" quotePrefix="0" xfId="3">
      <alignment horizontal="center" vertical="center"/>
    </xf>
    <xf numFmtId="0" fontId="143" fillId="25" borderId="367" applyAlignment="1" pivotButton="0" quotePrefix="0" xfId="0">
      <alignment horizontal="center" vertical="center" wrapText="1"/>
    </xf>
    <xf numFmtId="0" fontId="143" fillId="25" borderId="368" applyAlignment="1" pivotButton="0" quotePrefix="0" xfId="0">
      <alignment horizontal="center" vertical="center" wrapText="1"/>
    </xf>
    <xf numFmtId="0" fontId="0" fillId="0" borderId="0" pivotButton="0" quotePrefix="0" xfId="0"/>
    <xf numFmtId="0" fontId="33" fillId="50" borderId="250" applyAlignment="1" pivotButton="0" quotePrefix="0" xfId="2">
      <alignment vertical="center" wrapText="1"/>
    </xf>
    <xf numFmtId="0" fontId="0" fillId="0" borderId="250" pivotButton="0" quotePrefix="0" xfId="2"/>
    <xf numFmtId="0" fontId="0" fillId="28" borderId="250" pivotButton="0" quotePrefix="0" xfId="0"/>
    <xf numFmtId="0" fontId="9" fillId="0" borderId="250" applyAlignment="1" pivotButton="0" quotePrefix="0" xfId="1">
      <alignment vertical="center"/>
    </xf>
    <xf numFmtId="0" fontId="12" fillId="45" borderId="0" applyAlignment="1" pivotButton="0" quotePrefix="0" xfId="3">
      <alignment horizontal="center" wrapText="1"/>
    </xf>
    <xf numFmtId="0" fontId="0" fillId="0" borderId="250" pivotButton="0" quotePrefix="0" xfId="3"/>
    <xf numFmtId="0" fontId="0" fillId="0" borderId="251" pivotButton="0" quotePrefix="0" xfId="0"/>
    <xf numFmtId="0" fontId="104" fillId="44" borderId="0" applyAlignment="1" pivotButton="0" quotePrefix="0" xfId="3">
      <alignment vertical="center" wrapText="1"/>
    </xf>
    <xf numFmtId="0" fontId="77"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7" fillId="10" borderId="92" applyAlignment="1" pivotButton="0" quotePrefix="0" xfId="3">
      <alignment horizontal="left" vertical="center"/>
    </xf>
    <xf numFmtId="0" fontId="148" fillId="70" borderId="250" applyAlignment="1" pivotButton="0" quotePrefix="0" xfId="0">
      <alignment vertical="center"/>
    </xf>
    <xf numFmtId="0" fontId="33" fillId="28" borderId="250" applyAlignment="1" pivotButton="0" quotePrefix="0" xfId="0">
      <alignment vertical="center"/>
    </xf>
    <xf numFmtId="0" fontId="55" fillId="60" borderId="262" applyAlignment="1" pivotButton="0" quotePrefix="0" xfId="0">
      <alignment horizontal="center"/>
    </xf>
    <xf numFmtId="0" fontId="128" fillId="70" borderId="250" pivotButton="0" quotePrefix="0" xfId="0"/>
    <xf numFmtId="0" fontId="129" fillId="0" borderId="250" applyAlignment="1" pivotButton="0" quotePrefix="0" xfId="0">
      <alignment vertical="center"/>
    </xf>
    <xf numFmtId="0" fontId="3" fillId="0" borderId="250" pivotButton="0" quotePrefix="0" xfId="0"/>
    <xf numFmtId="0" fontId="0" fillId="0" borderId="250" pivotButton="0" quotePrefix="0" xfId="0"/>
    <xf numFmtId="0" fontId="3" fillId="0" borderId="251" pivotButton="0" quotePrefix="0" xfId="0"/>
    <xf numFmtId="0" fontId="0" fillId="0" borderId="282" pivotButton="0" quotePrefix="0" xfId="0"/>
    <xf numFmtId="0" fontId="135" fillId="25" borderId="262" applyAlignment="1" pivotButton="0" quotePrefix="0" xfId="0">
      <alignment horizontal="center" vertical="center" wrapText="1"/>
    </xf>
    <xf numFmtId="0" fontId="113" fillId="28" borderId="250" applyAlignment="1" pivotButton="0" quotePrefix="0" xfId="2">
      <alignment vertical="center"/>
    </xf>
    <xf numFmtId="0" fontId="0" fillId="0" borderId="261" pivotButton="0" quotePrefix="0" xfId="0"/>
    <xf numFmtId="0" fontId="0" fillId="0" borderId="266"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9" fontId="137" fillId="0" borderId="279" applyAlignment="1" pivotButton="0" quotePrefix="0" xfId="0">
      <alignment vertical="center" wrapText="1"/>
    </xf>
    <xf numFmtId="169" fontId="137" fillId="0" borderId="278" applyAlignment="1" pivotButton="0" quotePrefix="0" xfId="0">
      <alignment vertical="center" wrapText="1"/>
    </xf>
    <xf numFmtId="169" fontId="0" fillId="11" borderId="12" applyAlignment="1" pivotButton="0" quotePrefix="0" xfId="3">
      <alignment horizontal="center" vertical="center"/>
    </xf>
    <xf numFmtId="169" fontId="23" fillId="12" borderId="12" applyAlignment="1" pivotButton="0" quotePrefix="0" xfId="3">
      <alignment vertical="center"/>
    </xf>
    <xf numFmtId="167" fontId="123" fillId="54" borderId="177" applyAlignment="1" pivotButton="0" quotePrefix="0" xfId="4">
      <alignment vertical="center" wrapText="1"/>
    </xf>
    <xf numFmtId="164" fontId="123" fillId="54" borderId="180" applyAlignment="1" pivotButton="0" quotePrefix="0" xfId="4">
      <alignment vertical="center" wrapText="1"/>
    </xf>
    <xf numFmtId="4" fontId="163" fillId="6" borderId="0" applyAlignment="1" pivotButton="0" quotePrefix="0" xfId="0">
      <alignment vertical="center"/>
    </xf>
    <xf numFmtId="0" fontId="164" fillId="0" borderId="0" pivotButton="0" quotePrefix="0" xfId="0"/>
    <xf numFmtId="171" fontId="123" fillId="17" borderId="187" applyAlignment="1" pivotButton="0" quotePrefix="0" xfId="4">
      <alignment vertical="center" wrapText="1"/>
    </xf>
    <xf numFmtId="171" fontId="123" fillId="17" borderId="374" applyAlignment="1" pivotButton="0" quotePrefix="0" xfId="4">
      <alignment vertical="center" wrapText="1"/>
    </xf>
    <xf numFmtId="0" fontId="123" fillId="28" borderId="374" applyAlignment="1" pivotButton="0" quotePrefix="0" xfId="4">
      <alignment vertical="center" wrapText="1"/>
    </xf>
    <xf numFmtId="164" fontId="48" fillId="0" borderId="30" applyAlignment="1" pivotButton="0" quotePrefix="0" xfId="0">
      <alignment horizontal="center"/>
    </xf>
    <xf numFmtId="164" fontId="48" fillId="0" borderId="30" pivotButton="0" quotePrefix="0" xfId="0"/>
    <xf numFmtId="164" fontId="36" fillId="0" borderId="32" applyAlignment="1" pivotButton="0" quotePrefix="0" xfId="2">
      <alignment horizontal="center" vertical="center"/>
    </xf>
    <xf numFmtId="164" fontId="0" fillId="0" borderId="33" pivotButton="0" quotePrefix="0" xfId="0"/>
    <xf numFmtId="164" fontId="0" fillId="0" borderId="32" pivotButton="0" quotePrefix="0" xfId="0"/>
    <xf numFmtId="164" fontId="0" fillId="0" borderId="29" pivotButton="0" quotePrefix="0" xfId="0"/>
    <xf numFmtId="0" fontId="76" fillId="6" borderId="0" applyAlignment="1" pivotButton="0" quotePrefix="0" xfId="0">
      <alignment vertical="center"/>
    </xf>
    <xf numFmtId="0" fontId="0" fillId="0" borderId="0" pivotButton="0" quotePrefix="0" xfId="0"/>
    <xf numFmtId="0" fontId="76" fillId="0" borderId="0" applyAlignment="1" pivotButton="0" quotePrefix="0" xfId="0">
      <alignment vertical="center" wrapText="1"/>
    </xf>
    <xf numFmtId="4" fontId="163" fillId="6" borderId="0" applyAlignment="1" pivotButton="0" quotePrefix="0" xfId="0">
      <alignment vertical="center"/>
    </xf>
    <xf numFmtId="0" fontId="55" fillId="20" borderId="0" applyAlignment="1" pivotButton="0" quotePrefix="0" xfId="0">
      <alignment horizontal="center" vertical="center"/>
    </xf>
    <xf numFmtId="0" fontId="76" fillId="0" borderId="0" applyAlignment="1" pivotButton="0" quotePrefix="0" xfId="0">
      <alignment vertical="center"/>
    </xf>
    <xf numFmtId="0" fontId="46"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66" fillId="25" borderId="100" applyAlignment="1" pivotButton="0" quotePrefix="0" xfId="2">
      <alignment horizontal="center" vertical="center"/>
    </xf>
    <xf numFmtId="0" fontId="0" fillId="0" borderId="100" pivotButton="0" quotePrefix="0" xfId="0"/>
    <xf numFmtId="0" fontId="101" fillId="20" borderId="0" applyAlignment="1" pivotButton="0" quotePrefix="0" xfId="0">
      <alignment horizontal="center" vertical="center"/>
    </xf>
    <xf numFmtId="0" fontId="112" fillId="28" borderId="91" applyAlignment="1" pivotButton="0" quotePrefix="0" xfId="2">
      <alignment horizontal="center" vertical="center"/>
    </xf>
    <xf numFmtId="0" fontId="0" fillId="0" borderId="91" pivotButton="0" quotePrefix="0" xfId="0"/>
    <xf numFmtId="0" fontId="92" fillId="20" borderId="0" applyAlignment="1" pivotButton="0" quotePrefix="0" xfId="0">
      <alignment horizontal="center" vertical="center"/>
    </xf>
    <xf numFmtId="0" fontId="113" fillId="28" borderId="91" applyAlignment="1" pivotButton="0" quotePrefix="0" xfId="2">
      <alignment horizontal="center" vertical="center"/>
    </xf>
    <xf numFmtId="0" fontId="0" fillId="0" borderId="58" pivotButton="0" quotePrefix="0" xfId="0"/>
    <xf numFmtId="0" fontId="96" fillId="16" borderId="161"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33" fillId="20" borderId="0" applyAlignment="1" pivotButton="0" quotePrefix="0" xfId="0">
      <alignment horizontal="center" vertical="center"/>
    </xf>
    <xf numFmtId="0" fontId="97" fillId="28" borderId="348" applyAlignment="1" pivotButton="0" quotePrefix="0" xfId="0">
      <alignment horizontal="center" vertical="center"/>
    </xf>
    <xf numFmtId="0" fontId="0" fillId="0" borderId="348" pivotButton="0" quotePrefix="0" xfId="0"/>
    <xf numFmtId="0" fontId="6" fillId="16" borderId="64" applyAlignment="1" pivotButton="0" quotePrefix="0" xfId="0">
      <alignment vertic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0" fillId="0" borderId="350" pivotButton="0" quotePrefix="0" xfId="0"/>
    <xf numFmtId="0" fontId="115" fillId="41" borderId="0" applyAlignment="1" pivotButton="0" quotePrefix="0" xfId="0">
      <alignment horizontal="center" vertical="center"/>
    </xf>
    <xf numFmtId="0" fontId="39" fillId="3" borderId="29" applyAlignment="1" pivotButton="0" quotePrefix="0" xfId="0">
      <alignment horizontal="center" vertical="center"/>
    </xf>
    <xf numFmtId="0" fontId="157" fillId="28" borderId="131" applyAlignment="1" pivotButton="0" quotePrefix="0" xfId="0">
      <alignment horizontal="center" vertical="center"/>
    </xf>
    <xf numFmtId="0" fontId="0" fillId="0" borderId="131" pivotButton="0" quotePrefix="0" xfId="0"/>
    <xf numFmtId="0" fontId="96" fillId="16" borderId="64" applyAlignment="1" pivotButton="0" quotePrefix="0" xfId="0">
      <alignment vertical="center"/>
    </xf>
    <xf numFmtId="0" fontId="158" fillId="28" borderId="0" applyAlignment="1" pivotButton="0" quotePrefix="0" xfId="0">
      <alignment horizontal="center" vertical="center"/>
    </xf>
    <xf numFmtId="0" fontId="146" fillId="0" borderId="0" applyAlignment="1" pivotButton="0" quotePrefix="0" xfId="0">
      <alignment vertical="center"/>
    </xf>
    <xf numFmtId="0" fontId="0" fillId="0" borderId="99" pivotButton="0" quotePrefix="0" xfId="0"/>
    <xf numFmtId="0" fontId="53" fillId="27" borderId="70" applyAlignment="1" pivotButton="0" quotePrefix="0" xfId="1">
      <alignment horizontal="center" vertical="center"/>
    </xf>
    <xf numFmtId="0" fontId="0" fillId="0" borderId="1" pivotButton="0" quotePrefix="0" xfId="0"/>
    <xf numFmtId="0" fontId="114" fillId="28" borderId="0" applyAlignment="1" pivotButton="0" quotePrefix="0" xfId="0">
      <alignment horizontal="center" vertical="center"/>
    </xf>
    <xf numFmtId="0" fontId="6" fillId="16" borderId="163" applyAlignment="1" pivotButton="0" quotePrefix="0" xfId="0">
      <alignment horizontal="center" vertical="center"/>
    </xf>
    <xf numFmtId="0" fontId="6" fillId="16" borderId="344" applyAlignment="1" pivotButton="0" quotePrefix="0" xfId="0">
      <alignment horizontal="center"/>
    </xf>
    <xf numFmtId="0" fontId="0" fillId="0" borderId="345" pivotButton="0" quotePrefix="0" xfId="0"/>
    <xf numFmtId="0" fontId="0" fillId="0" borderId="357" pivotButton="0" quotePrefix="0" xfId="0"/>
    <xf numFmtId="0" fontId="73" fillId="28" borderId="160" applyAlignment="1" pivotButton="0" quotePrefix="0" xfId="0">
      <alignment horizontal="center" vertical="center"/>
    </xf>
    <xf numFmtId="0" fontId="0" fillId="0" borderId="160" pivotButton="0" quotePrefix="0" xfId="0"/>
    <xf numFmtId="0" fontId="0" fillId="0" borderId="98" pivotButton="0" quotePrefix="0" xfId="0"/>
    <xf numFmtId="0" fontId="53" fillId="41" borderId="158" applyAlignment="1" pivotButton="0" quotePrefix="0" xfId="0">
      <alignment horizontal="center" vertical="center"/>
    </xf>
    <xf numFmtId="0" fontId="0" fillId="0" borderId="158" pivotButton="0" quotePrefix="0" xfId="0"/>
    <xf numFmtId="0" fontId="39" fillId="3" borderId="147"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8" applyAlignment="1" pivotButton="0" quotePrefix="0" xfId="0">
      <alignment horizontal="center" vertical="center"/>
    </xf>
    <xf numFmtId="0" fontId="73" fillId="26" borderId="159" applyAlignment="1" pivotButton="0" quotePrefix="0" xfId="0">
      <alignment vertical="center"/>
    </xf>
    <xf numFmtId="0" fontId="0" fillId="0" borderId="159" pivotButton="0" quotePrefix="0" xfId="0"/>
    <xf numFmtId="0" fontId="29" fillId="25" borderId="0" applyAlignment="1" pivotButton="0" quotePrefix="0" xfId="0">
      <alignment horizontal="center"/>
    </xf>
    <xf numFmtId="0" fontId="30" fillId="16" borderId="159" applyAlignment="1" pivotButton="0" quotePrefix="0" xfId="0">
      <alignment horizontal="center" vertical="center"/>
    </xf>
    <xf numFmtId="0" fontId="159" fillId="28" borderId="347" applyAlignment="1" pivotButton="0" quotePrefix="0" xfId="0">
      <alignment horizontal="center" vertical="center"/>
    </xf>
    <xf numFmtId="0" fontId="0" fillId="0" borderId="351" pivotButton="0" quotePrefix="0" xfId="0"/>
    <xf numFmtId="0" fontId="2" fillId="16" borderId="65" applyAlignment="1" pivotButton="0" quotePrefix="0" xfId="0">
      <alignment horizontal="center" vertical="center"/>
    </xf>
    <xf numFmtId="0" fontId="0" fillId="0" borderId="65" pivotButton="0" quotePrefix="0" xfId="0"/>
    <xf numFmtId="0" fontId="6"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6" fillId="25" borderId="352" applyAlignment="1" pivotButton="0" quotePrefix="0" xfId="2">
      <alignment horizontal="center"/>
    </xf>
    <xf numFmtId="0" fontId="0" fillId="0" borderId="300"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8" applyAlignment="1" pivotButton="0" quotePrefix="0" xfId="0">
      <alignment horizontal="center"/>
    </xf>
    <xf numFmtId="0" fontId="0" fillId="43" borderId="0" applyAlignment="1" pivotButton="0" quotePrefix="0" xfId="0">
      <alignment horizontal="center"/>
    </xf>
    <xf numFmtId="0" fontId="0" fillId="0" borderId="250" pivotButton="0" quotePrefix="0" xfId="0"/>
    <xf numFmtId="0" fontId="0" fillId="0" borderId="265" pivotButton="0" quotePrefix="0" xfId="0"/>
    <xf numFmtId="0" fontId="0" fillId="0" borderId="266" pivotButton="0" quotePrefix="0" xfId="0"/>
    <xf numFmtId="0" fontId="150" fillId="0" borderId="250" applyAlignment="1" pivotButton="0" quotePrefix="0" xfId="0">
      <alignment horizontal="center" vertical="center"/>
    </xf>
    <xf numFmtId="0" fontId="46" fillId="4" borderId="264" applyAlignment="1" pivotButton="0" quotePrefix="0" xfId="3">
      <alignment horizontal="center" vertical="center"/>
    </xf>
    <xf numFmtId="0" fontId="0" fillId="0" borderId="264" pivotButton="0" quotePrefix="0" xfId="0"/>
    <xf numFmtId="0" fontId="111" fillId="42" borderId="151" applyAlignment="1" pivotButton="0" quotePrefix="0" xfId="3">
      <alignment horizontal="center" vertical="center"/>
    </xf>
    <xf numFmtId="0" fontId="0" fillId="0" borderId="151" pivotButton="0" quotePrefix="0" xfId="0"/>
    <xf numFmtId="0" fontId="33" fillId="25" borderId="34" applyAlignment="1" pivotButton="0" quotePrefix="0" xfId="0">
      <alignment horizontal="center" vertical="center"/>
    </xf>
    <xf numFmtId="0" fontId="46" fillId="4" borderId="144" applyAlignment="1" pivotButton="0" quotePrefix="0" xfId="3">
      <alignment horizontal="center" vertical="center"/>
    </xf>
    <xf numFmtId="0" fontId="0" fillId="0" borderId="144" pivotButton="0" quotePrefix="0" xfId="0"/>
    <xf numFmtId="0" fontId="0" fillId="43" borderId="34" applyAlignment="1" pivotButton="0" quotePrefix="0" xfId="0">
      <alignment horizontal="center"/>
    </xf>
    <xf numFmtId="0" fontId="151" fillId="0" borderId="250" applyAlignment="1" pivotButton="0" quotePrefix="0" xfId="0">
      <alignment horizontal="center" vertical="center"/>
    </xf>
    <xf numFmtId="0" fontId="46" fillId="4" borderId="151" applyAlignment="1" pivotButton="0" quotePrefix="0" xfId="3">
      <alignment horizontal="center" vertical="center"/>
    </xf>
    <xf numFmtId="0" fontId="0" fillId="0" borderId="237" applyAlignment="1" pivotButton="0" quotePrefix="0" xfId="0">
      <alignment horizontal="center"/>
    </xf>
    <xf numFmtId="0" fontId="0" fillId="0" borderId="237" pivotButton="0" quotePrefix="0" xfId="0"/>
    <xf numFmtId="0" fontId="66" fillId="25" borderId="234" applyAlignment="1" pivotButton="0" quotePrefix="0" xfId="2">
      <alignment horizontal="center"/>
    </xf>
    <xf numFmtId="0" fontId="0" fillId="0" borderId="31" pivotButton="0" quotePrefix="0" xfId="0"/>
    <xf numFmtId="0" fontId="0" fillId="0" borderId="234" pivotButton="0" quotePrefix="0" xfId="0"/>
    <xf numFmtId="0" fontId="42" fillId="64" borderId="0" applyAlignment="1" pivotButton="0" quotePrefix="0" xfId="0">
      <alignment horizontal="center" vertical="center"/>
    </xf>
    <xf numFmtId="0" fontId="134" fillId="0" borderId="255" pivotButton="0" quotePrefix="0" xfId="0"/>
    <xf numFmtId="0" fontId="0" fillId="0" borderId="256" pivotButton="0" quotePrefix="0" xfId="0"/>
    <xf numFmtId="0" fontId="0" fillId="0" borderId="283" pivotButton="0" quotePrefix="0" xfId="0"/>
    <xf numFmtId="0" fontId="134" fillId="0" borderId="254" pivotButton="0" quotePrefix="0" xfId="0"/>
    <xf numFmtId="0" fontId="0" fillId="0" borderId="239" pivotButton="0" quotePrefix="0" xfId="0"/>
    <xf numFmtId="0" fontId="0" fillId="0" borderId="240" pivotButton="0" quotePrefix="0" xfId="0"/>
    <xf numFmtId="0" fontId="132" fillId="64" borderId="0" applyAlignment="1" pivotButton="0" quotePrefix="0" xfId="0">
      <alignment horizontal="center" vertical="center"/>
    </xf>
    <xf numFmtId="0" fontId="132" fillId="61" borderId="238" applyAlignment="1" pivotButton="0" quotePrefix="0" xfId="0">
      <alignment horizontal="center" vertical="center"/>
    </xf>
    <xf numFmtId="0" fontId="0" fillId="0" borderId="238" pivotButton="0" quotePrefix="0" xfId="0"/>
    <xf numFmtId="0" fontId="133"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3" fillId="43" borderId="233" applyAlignment="1" pivotButton="0" quotePrefix="0" xfId="0">
      <alignment horizontal="center"/>
    </xf>
    <xf numFmtId="0" fontId="0" fillId="0" borderId="233" pivotButton="0" quotePrefix="0" xfId="0"/>
    <xf numFmtId="0" fontId="41" fillId="66" borderId="250" applyAlignment="1" pivotButton="0" quotePrefix="0" xfId="0">
      <alignment horizontal="center" vertical="center"/>
    </xf>
    <xf numFmtId="0" fontId="41" fillId="60" borderId="262" applyAlignment="1" pivotButton="0" quotePrefix="0" xfId="0">
      <alignment horizontal="center" vertical="center"/>
    </xf>
    <xf numFmtId="0" fontId="131" fillId="60" borderId="282" applyAlignment="1" pivotButton="0" quotePrefix="0" xfId="0">
      <alignment horizontal="center" vertical="center"/>
    </xf>
    <xf numFmtId="0" fontId="0" fillId="0" borderId="277" pivotButton="0" quotePrefix="0" xfId="0"/>
    <xf numFmtId="0" fontId="0" fillId="0" borderId="282" pivotButton="0" quotePrefix="0" xfId="0"/>
    <xf numFmtId="0" fontId="42" fillId="61" borderId="238" applyAlignment="1" pivotButton="0" quotePrefix="0" xfId="0">
      <alignment horizontal="center" vertical="center"/>
    </xf>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41" fillId="60" borderId="0" applyAlignment="1" pivotButton="0" quotePrefix="0" xfId="0">
      <alignment horizontal="center" vertical="center"/>
    </xf>
    <xf numFmtId="0" fontId="100"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4" fillId="0" borderId="252" pivotButton="0" quotePrefix="0" xfId="0"/>
    <xf numFmtId="0" fontId="0" fillId="0" borderId="253" pivotButton="0" quotePrefix="0" xfId="0"/>
    <xf numFmtId="0" fontId="0" fillId="0" borderId="284" pivotButton="0" quotePrefix="0" xfId="0"/>
    <xf numFmtId="0" fontId="112" fillId="28" borderId="266" applyAlignment="1" pivotButton="0" quotePrefix="0" xfId="2">
      <alignment horizontal="center" vertical="center"/>
    </xf>
    <xf numFmtId="0" fontId="46" fillId="4" borderId="148" applyAlignment="1" pivotButton="0" quotePrefix="0" xfId="3">
      <alignment horizontal="center" vertical="center"/>
    </xf>
    <xf numFmtId="0" fontId="0" fillId="0" borderId="148" pivotButton="0" quotePrefix="0" xfId="0"/>
    <xf numFmtId="0" fontId="113" fillId="28" borderId="266" applyAlignment="1" pivotButton="0" quotePrefix="0" xfId="2">
      <alignment horizontal="center" vertical="center"/>
    </xf>
    <xf numFmtId="0" fontId="151" fillId="0" borderId="266" applyAlignment="1" pivotButton="0" quotePrefix="0" xfId="0">
      <alignment horizontal="center"/>
    </xf>
    <xf numFmtId="0" fontId="66" fillId="25" borderId="272" applyAlignment="1" pivotButton="0" quotePrefix="0" xfId="2">
      <alignment horizontal="center"/>
    </xf>
    <xf numFmtId="0" fontId="0" fillId="0" borderId="26" pivotButton="0" quotePrefix="0" xfId="0"/>
    <xf numFmtId="0" fontId="0" fillId="0" borderId="286" pivotButton="0" quotePrefix="0" xfId="0"/>
    <xf numFmtId="0" fontId="150" fillId="0" borderId="266" applyAlignment="1" pivotButton="0" quotePrefix="0" xfId="0">
      <alignment horizontal="center" vertical="center"/>
    </xf>
    <xf numFmtId="0" fontId="135" fillId="35" borderId="38" applyAlignment="1" pivotButton="0" quotePrefix="0" xfId="0">
      <alignment vertical="center"/>
    </xf>
    <xf numFmtId="0" fontId="135" fillId="35" borderId="30" applyAlignment="1" pivotButton="0" quotePrefix="0" xfId="0">
      <alignment vertical="center"/>
    </xf>
    <xf numFmtId="0" fontId="0" fillId="0" borderId="39" pivotButton="0" quotePrefix="0" xfId="0"/>
    <xf numFmtId="0" fontId="142" fillId="28" borderId="91" applyAlignment="1" pivotButton="0" quotePrefix="0" xfId="2">
      <alignment horizontal="center" vertical="center"/>
    </xf>
    <xf numFmtId="0" fontId="3" fillId="0" borderId="0" applyAlignment="1" pivotButton="0" quotePrefix="0" xfId="0">
      <alignment horizontal="center"/>
    </xf>
    <xf numFmtId="0" fontId="136"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91" fillId="25" borderId="274" applyAlignment="1" pivotButton="0" quotePrefix="0" xfId="0">
      <alignment horizontal="center"/>
    </xf>
    <xf numFmtId="0" fontId="0" fillId="0" borderId="287"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7" applyAlignment="1" pivotButton="0" quotePrefix="0" xfId="0">
      <alignment horizontal="center"/>
    </xf>
    <xf numFmtId="0" fontId="33" fillId="60" borderId="0" applyAlignment="1" pivotButton="0" quotePrefix="0" xfId="0">
      <alignment horizontal="center" vertical="center"/>
    </xf>
    <xf numFmtId="0" fontId="145" fillId="0" borderId="0" applyAlignment="1" pivotButton="0" quotePrefix="0" xfId="0">
      <alignment horizontal="center" vertical="center"/>
    </xf>
    <xf numFmtId="0" fontId="108"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8" fillId="61" borderId="0" pivotButton="0" quotePrefix="0" xfId="0"/>
    <xf numFmtId="0" fontId="127"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109" fillId="28" borderId="91" applyAlignment="1" pivotButton="0" quotePrefix="0" xfId="2">
      <alignment vertical="center"/>
    </xf>
    <xf numFmtId="0" fontId="66" fillId="25" borderId="193" applyAlignment="1" pivotButton="0" quotePrefix="0" xfId="2">
      <alignment horizontal="center"/>
    </xf>
    <xf numFmtId="0" fontId="66" fillId="20" borderId="106" applyAlignment="1" pivotButton="0" quotePrefix="0" xfId="0">
      <alignment vertical="center"/>
    </xf>
    <xf numFmtId="0" fontId="46" fillId="26" borderId="65" applyAlignment="1" pivotButton="0" quotePrefix="0" xfId="0">
      <alignment vertical="center"/>
    </xf>
    <xf numFmtId="0" fontId="73"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59" fillId="49" borderId="372" applyAlignment="1" pivotButton="0" quotePrefix="0" xfId="0">
      <alignment horizontal="center" vertical="center" wrapText="1"/>
    </xf>
    <xf numFmtId="0" fontId="0" fillId="0" borderId="370" pivotButton="0" quotePrefix="0" xfId="0"/>
    <xf numFmtId="0" fontId="0" fillId="0" borderId="371" pivotButton="0" quotePrefix="0" xfId="0"/>
    <xf numFmtId="0" fontId="55" fillId="35" borderId="29"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152" fillId="3" borderId="202" applyAlignment="1" pivotButton="0" quotePrefix="0" xfId="0">
      <alignment horizontal="center" vertical="center" wrapText="1"/>
    </xf>
    <xf numFmtId="166" fontId="62" fillId="0" borderId="195" pivotButton="0" quotePrefix="0" xfId="0"/>
    <xf numFmtId="166" fontId="62" fillId="0" borderId="276" pivotButton="0" quotePrefix="0" xfId="0"/>
    <xf numFmtId="0" fontId="46" fillId="4" borderId="134" applyAlignment="1" pivotButton="0" quotePrefix="0" xfId="3">
      <alignment horizontal="center" vertical="center"/>
    </xf>
    <xf numFmtId="0" fontId="46" fillId="0" borderId="151" pivotButton="0" quotePrefix="0" xfId="0"/>
    <xf numFmtId="0" fontId="46" fillId="4" borderId="149" applyAlignment="1" pivotButton="0" quotePrefix="0" xfId="3">
      <alignment horizontal="center" vertical="center"/>
    </xf>
    <xf numFmtId="166" fontId="46" fillId="0" borderId="151" pivotButton="0" quotePrefix="0" xfId="0"/>
    <xf numFmtId="0" fontId="46" fillId="0" borderId="195" pivotButton="0" quotePrefix="0" xfId="0"/>
    <xf numFmtId="0" fontId="99" fillId="52" borderId="0" applyAlignment="1" pivotButton="0" quotePrefix="0" xfId="0">
      <alignment horizontal="center" vertical="center" wrapText="1"/>
    </xf>
    <xf numFmtId="0" fontId="64" fillId="20" borderId="288" applyAlignment="1" pivotButton="0" quotePrefix="0" xfId="0">
      <alignment vertical="center"/>
    </xf>
    <xf numFmtId="166" fontId="49" fillId="3" borderId="195" pivotButton="0" quotePrefix="0" xfId="0"/>
    <xf numFmtId="0" fontId="94" fillId="34" borderId="134" applyAlignment="1" pivotButton="0" quotePrefix="0" xfId="0">
      <alignment horizontal="center" vertical="center"/>
    </xf>
    <xf numFmtId="0" fontId="0" fillId="0" borderId="132" pivotButton="0" quotePrefix="0" xfId="0"/>
    <xf numFmtId="0" fontId="108" fillId="20" borderId="194" applyAlignment="1" pivotButton="0" quotePrefix="0" xfId="0">
      <alignment horizontal="center" vertical="center"/>
    </xf>
    <xf numFmtId="0" fontId="91" fillId="20" borderId="195" applyAlignment="1" pivotButton="0" quotePrefix="0" xfId="0">
      <alignment horizontal="center" vertical="center" wrapText="1"/>
    </xf>
    <xf numFmtId="0" fontId="111" fillId="42" borderId="134" applyAlignment="1" pivotButton="0" quotePrefix="0" xfId="3">
      <alignment horizontal="center" vertical="center"/>
    </xf>
    <xf numFmtId="0" fontId="43"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6" applyAlignment="1" pivotButton="0" quotePrefix="0" xfId="0">
      <alignment horizontal="center" vertical="center" wrapText="1"/>
    </xf>
    <xf numFmtId="0" fontId="0" fillId="0" borderId="126" pivotButton="0" quotePrefix="0" xfId="0"/>
    <xf numFmtId="0" fontId="80" fillId="20" borderId="0" applyAlignment="1" pivotButton="0" quotePrefix="0" xfId="0">
      <alignment horizontal="center"/>
    </xf>
    <xf numFmtId="0" fontId="103" fillId="28" borderId="140" applyAlignment="1" pivotButton="0" quotePrefix="0" xfId="1">
      <alignment horizontal="center" vertical="top"/>
    </xf>
    <xf numFmtId="0" fontId="43" fillId="6" borderId="14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8" applyAlignment="1" pivotButton="0" quotePrefix="0" xfId="3">
      <alignment horizontal="center" vertical="center"/>
    </xf>
    <xf numFmtId="0" fontId="0" fillId="0" borderId="138"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0"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4" applyAlignment="1" pivotButton="0" quotePrefix="0" xfId="0">
      <alignment horizontal="center"/>
    </xf>
    <xf numFmtId="0" fontId="107" fillId="28" borderId="140" applyAlignment="1" pivotButton="0" quotePrefix="0" xfId="1">
      <alignment horizontal="center" vertical="center"/>
    </xf>
    <xf numFmtId="0" fontId="21" fillId="51" borderId="139" applyAlignment="1" pivotButton="0" quotePrefix="0" xfId="3">
      <alignment horizontal="center" vertical="center"/>
    </xf>
    <xf numFmtId="0" fontId="0" fillId="0" borderId="133" pivotButton="0" quotePrefix="0" xfId="0"/>
    <xf numFmtId="0" fontId="0" fillId="0" borderId="139" pivotButton="0" quotePrefix="0" xfId="0"/>
    <xf numFmtId="0" fontId="81" fillId="20" borderId="140" applyAlignment="1" pivotButton="0" quotePrefix="0" xfId="0">
      <alignment horizontal="center"/>
    </xf>
    <xf numFmtId="0" fontId="55" fillId="20" borderId="117" applyAlignment="1" pivotButton="0" quotePrefix="0" xfId="0">
      <alignment horizontal="center" vertical="center"/>
    </xf>
    <xf numFmtId="0" fontId="0" fillId="0" borderId="117" pivotButton="0" quotePrefix="0" xfId="0"/>
    <xf numFmtId="0" fontId="43" fillId="7" borderId="148" applyAlignment="1" pivotButton="0" quotePrefix="0" xfId="0">
      <alignment horizontal="center"/>
    </xf>
    <xf numFmtId="0" fontId="43" fillId="7" borderId="144" applyAlignment="1" pivotButton="0" quotePrefix="0" xfId="0">
      <alignment horizontal="center"/>
    </xf>
    <xf numFmtId="0" fontId="21"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104" fillId="44" borderId="0" applyAlignment="1" pivotButton="0" quotePrefix="0" xfId="3">
      <alignment horizontal="center" vertical="center" wrapText="1"/>
    </xf>
    <xf numFmtId="0" fontId="19" fillId="9" borderId="122" applyAlignment="1" pivotButton="0" quotePrefix="0" xfId="3">
      <alignment vertical="center"/>
    </xf>
    <xf numFmtId="0" fontId="0" fillId="0" borderId="20" pivotButton="0" quotePrefix="0" xfId="0"/>
    <xf numFmtId="0" fontId="77" fillId="10" borderId="120" applyAlignment="1" pivotButton="0" quotePrefix="0" xfId="3">
      <alignment vertical="center"/>
    </xf>
    <xf numFmtId="0" fontId="19" fillId="9" borderId="123" applyAlignment="1" pivotButton="0" quotePrefix="0" xfId="3">
      <alignment vertical="center"/>
    </xf>
    <xf numFmtId="0" fontId="24" fillId="11" borderId="0" applyAlignment="1" pivotButton="0" quotePrefix="0" xfId="3">
      <alignment vertical="center"/>
    </xf>
    <xf numFmtId="0" fontId="19" fillId="9" borderId="118" applyAlignment="1" pivotButton="0" quotePrefix="0" xfId="3">
      <alignment vertical="center"/>
    </xf>
    <xf numFmtId="0" fontId="0" fillId="0" borderId="16" pivotButton="0" quotePrefix="0" xfId="0"/>
    <xf numFmtId="0" fontId="0" fillId="0" borderId="18" pivotButton="0" quotePrefix="0" xfId="0"/>
    <xf numFmtId="0" fontId="46" fillId="10" borderId="207" applyAlignment="1" pivotButton="0" quotePrefix="0" xfId="3">
      <alignment vertical="top" wrapText="1"/>
    </xf>
    <xf numFmtId="0" fontId="77" fillId="10" borderId="16" applyAlignment="1" pivotButton="0" quotePrefix="0" xfId="3">
      <alignment vertical="center"/>
    </xf>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0" fillId="0" borderId="379" pivotButton="0" quotePrefix="0" xfId="0"/>
    <xf numFmtId="0" fontId="0" fillId="0" borderId="380" pivotButton="0" quotePrefix="0" xfId="0"/>
    <xf numFmtId="0" fontId="26" fillId="0" borderId="118"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19" fillId="9" borderId="202" applyAlignment="1" pivotButton="0" quotePrefix="0" xfId="3">
      <alignment vertical="center"/>
    </xf>
    <xf numFmtId="0" fontId="25" fillId="14" borderId="118" applyAlignment="1" pivotButton="0" quotePrefix="0" xfId="3">
      <alignment horizontal="center" vertical="center" wrapText="1"/>
    </xf>
    <xf numFmtId="0" fontId="0" fillId="0" borderId="120" pivotButton="0" quotePrefix="0" xfId="0"/>
    <xf numFmtId="0" fontId="78" fillId="11" borderId="18" applyAlignment="1" pivotButton="0" quotePrefix="0" xfId="3">
      <alignment horizontal="center" vertical="center" wrapText="1"/>
    </xf>
    <xf numFmtId="0" fontId="23"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0" fillId="10" borderId="12" applyAlignment="1" pivotButton="0" quotePrefix="0" xfId="3">
      <alignment horizontal="left" vertical="center"/>
    </xf>
    <xf numFmtId="0" fontId="22" fillId="9" borderId="118" applyAlignment="1" pivotButton="0" quotePrefix="0" xfId="3">
      <alignment horizontal="center" vertical="center"/>
    </xf>
    <xf numFmtId="0" fontId="23" fillId="4" borderId="24" applyAlignment="1" pivotButton="0" quotePrefix="0" xfId="3">
      <alignment horizontal="center" vertical="center" wrapText="1"/>
    </xf>
    <xf numFmtId="0" fontId="26" fillId="0" borderId="22" pivotButton="0" quotePrefix="0" xfId="3"/>
    <xf numFmtId="0" fontId="32" fillId="11" borderId="0" applyAlignment="1" pivotButton="0" quotePrefix="0" xfId="3">
      <alignment horizontal="center" vertical="center" wrapText="1"/>
    </xf>
    <xf numFmtId="0" fontId="19" fillId="9" borderId="369" applyAlignment="1" pivotButton="0" quotePrefix="0" xfId="3">
      <alignment vertical="center"/>
    </xf>
    <xf numFmtId="0" fontId="0" fillId="0" borderId="373" pivotButton="0" quotePrefix="0" xfId="0"/>
    <xf numFmtId="0" fontId="19" fillId="9" borderId="121" applyAlignment="1" pivotButton="0" quotePrefix="0" xfId="3">
      <alignment vertical="center"/>
    </xf>
    <xf numFmtId="0" fontId="46" fillId="4" borderId="19" applyAlignment="1" pivotButton="0" quotePrefix="0" xfId="3">
      <alignment horizontal="center" vertical="center"/>
    </xf>
    <xf numFmtId="0" fontId="32" fillId="11" borderId="12" applyAlignment="1" pivotButton="0" quotePrefix="0" xfId="3">
      <alignment horizontal="center" vertical="center" wrapText="1"/>
    </xf>
    <xf numFmtId="0" fontId="0" fillId="0" borderId="118" applyAlignment="1" pivotButton="0" quotePrefix="0" xfId="3">
      <alignment horizontal="center" vertical="center"/>
    </xf>
    <xf numFmtId="0" fontId="32" fillId="11" borderId="15" applyAlignment="1" pivotButton="0" quotePrefix="0" xfId="3">
      <alignment horizontal="center" vertical="center" wrapText="1"/>
    </xf>
    <xf numFmtId="0" fontId="0" fillId="0" borderId="15" pivotButton="0" quotePrefix="0" xfId="0"/>
    <xf numFmtId="0" fontId="23" fillId="4" borderId="18" applyAlignment="1" pivotButton="0" quotePrefix="0" xfId="3">
      <alignment horizontal="center" vertical="center" wrapText="1"/>
    </xf>
    <xf numFmtId="0" fontId="0" fillId="0" borderId="23" applyAlignment="1" pivotButton="0" quotePrefix="0" xfId="3">
      <alignment horizontal="center" vertical="center"/>
    </xf>
    <xf numFmtId="0" fontId="107" fillId="44" borderId="0" applyAlignment="1" pivotButton="0" quotePrefix="0" xfId="3">
      <alignment horizontal="center" vertical="center" wrapText="1"/>
    </xf>
    <xf numFmtId="0" fontId="22" fillId="9" borderId="22" applyAlignment="1" pivotButton="0" quotePrefix="0" xfId="3">
      <alignment horizontal="center" vertical="center"/>
    </xf>
    <xf numFmtId="0" fontId="25" fillId="14" borderId="118" applyAlignment="1" pivotButton="0" quotePrefix="0" xfId="3">
      <alignment horizontal="center" vertical="center"/>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3"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00" applyAlignment="1" pivotButton="0" quotePrefix="0" xfId="3">
      <alignment horizontal="center" wrapText="1"/>
    </xf>
    <xf numFmtId="0" fontId="46" fillId="10" borderId="104" applyAlignment="1" pivotButton="0" quotePrefix="0" xfId="3">
      <alignment horizontal="left" vertical="top" wrapText="1"/>
    </xf>
    <xf numFmtId="0" fontId="0" fillId="0" borderId="104" pivotButton="0" quotePrefix="0" xfId="0"/>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8" applyAlignment="1" pivotButton="0" quotePrefix="0" xfId="3">
      <alignment horizontal="center" vertical="center"/>
    </xf>
    <xf numFmtId="0" fontId="27" fillId="10" borderId="22" applyAlignment="1" pivotButton="0" quotePrefix="0" xfId="3">
      <alignment horizontal="left" vertical="top" wrapText="1"/>
    </xf>
    <xf numFmtId="0" fontId="124" fillId="53" borderId="178" applyAlignment="1" pivotButton="0" quotePrefix="0" xfId="4">
      <alignment vertical="center" wrapText="1"/>
    </xf>
    <xf numFmtId="0" fontId="0" fillId="0" borderId="180" pivotButton="0" quotePrefix="0" xfId="0"/>
    <xf numFmtId="0" fontId="123" fillId="26" borderId="178" applyAlignment="1" pivotButton="0" quotePrefix="0" xfId="4">
      <alignment vertical="center" wrapText="1"/>
    </xf>
    <xf numFmtId="0" fontId="124" fillId="54" borderId="178"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4" fillId="53" borderId="170" applyAlignment="1" pivotButton="0" quotePrefix="0" xfId="4">
      <alignment horizontal="left" vertical="center" wrapText="1"/>
    </xf>
    <xf numFmtId="0" fontId="0" fillId="0" borderId="179" pivotButton="0" quotePrefix="0" xfId="0"/>
    <xf numFmtId="0" fontId="123" fillId="54" borderId="178" applyAlignment="1" pivotButton="0" quotePrefix="0" xfId="4">
      <alignment vertical="center" wrapText="1"/>
    </xf>
    <xf numFmtId="0" fontId="41" fillId="25" borderId="175" applyAlignment="1" pivotButton="0" quotePrefix="0" xfId="4">
      <alignment horizontal="left" vertical="center"/>
    </xf>
    <xf numFmtId="0" fontId="0" fillId="0" borderId="175" pivotButton="0" quotePrefix="0" xfId="0"/>
    <xf numFmtId="165" fontId="123" fillId="54" borderId="180" applyAlignment="1" pivotButton="0" quotePrefix="0" xfId="4">
      <alignment horizontal="center" vertical="center" wrapText="1"/>
    </xf>
    <xf numFmtId="0" fontId="123" fillId="54" borderId="209" applyAlignment="1" pivotButton="0" quotePrefix="0" xfId="4">
      <alignment horizontal="center" vertical="center" wrapText="1"/>
    </xf>
    <xf numFmtId="0" fontId="0" fillId="0" borderId="176" pivotButton="0" quotePrefix="0" xfId="0"/>
    <xf numFmtId="0" fontId="0" fillId="0" borderId="177" pivotButton="0" quotePrefix="0" xfId="0"/>
    <xf numFmtId="0" fontId="123" fillId="28" borderId="178" applyAlignment="1" pivotButton="0" quotePrefix="0" xfId="4">
      <alignment vertical="center" wrapText="1"/>
    </xf>
    <xf numFmtId="0" fontId="0" fillId="0" borderId="181" pivotButton="0" quotePrefix="0" xfId="0"/>
    <xf numFmtId="0" fontId="5" fillId="0" borderId="0" pivotButton="0" quotePrefix="0" xfId="4"/>
    <xf numFmtId="0" fontId="0" fillId="0" borderId="184" pivotButton="0" quotePrefix="0" xfId="0"/>
    <xf numFmtId="0" fontId="124" fillId="53" borderId="178" applyAlignment="1" pivotButton="0" quotePrefix="0" xfId="4">
      <alignment horizontal="left" vertical="center" wrapText="1"/>
    </xf>
    <xf numFmtId="0" fontId="121" fillId="56" borderId="178" applyAlignment="1" pivotButton="0" quotePrefix="0" xfId="4">
      <alignment horizontal="center" vertical="center" wrapText="1"/>
    </xf>
    <xf numFmtId="0" fontId="123" fillId="54" borderId="209" applyAlignment="1" pivotButton="0" quotePrefix="0" xfId="4">
      <alignment vertical="center" wrapText="1"/>
    </xf>
    <xf numFmtId="0" fontId="123" fillId="54" borderId="180" applyAlignment="1" pivotButton="0" quotePrefix="0" xfId="4">
      <alignment vertical="center" wrapText="1"/>
    </xf>
    <xf numFmtId="0" fontId="123" fillId="54" borderId="212" applyAlignment="1" pivotButton="0" quotePrefix="0" xfId="4">
      <alignment horizontal="center" vertical="center"/>
    </xf>
    <xf numFmtId="0" fontId="0" fillId="0" borderId="171" pivotButton="0" quotePrefix="0" xfId="0"/>
    <xf numFmtId="0" fontId="123" fillId="54" borderId="178" applyAlignment="1" pivotButton="0" quotePrefix="0" xfId="4">
      <alignment horizontal="center" vertical="center" wrapText="1"/>
    </xf>
    <xf numFmtId="0" fontId="124" fillId="53" borderId="168" applyAlignment="1" pivotButton="0" quotePrefix="0" xfId="4">
      <alignment vertical="center" wrapText="1"/>
    </xf>
    <xf numFmtId="0" fontId="0" fillId="16" borderId="177" pivotButton="0" quotePrefix="0" xfId="0"/>
    <xf numFmtId="0" fontId="120" fillId="28" borderId="353" applyAlignment="1" pivotButton="0" quotePrefix="0" xfId="4">
      <alignment horizontal="center" vertical="center"/>
    </xf>
    <xf numFmtId="0" fontId="0" fillId="0" borderId="358" pivotButton="0" quotePrefix="0" xfId="0"/>
    <xf numFmtId="0" fontId="0" fillId="0" borderId="361" pivotButton="0" quotePrefix="0" xfId="0"/>
    <xf numFmtId="0" fontId="0" fillId="0" borderId="355" pivotButton="0" quotePrefix="0" xfId="0"/>
    <xf numFmtId="0" fontId="123" fillId="17" borderId="178" applyAlignment="1" pivotButton="0" quotePrefix="0" xfId="4">
      <alignment vertical="center" wrapText="1"/>
    </xf>
    <xf numFmtId="0" fontId="124" fillId="53" borderId="168" applyAlignment="1" pivotButton="0" quotePrefix="0" xfId="4">
      <alignment horizontal="left" vertical="center" wrapText="1"/>
    </xf>
    <xf numFmtId="0" fontId="161" fillId="54" borderId="0" applyAlignment="1" pivotButton="0" quotePrefix="0" xfId="4">
      <alignment horizontal="center" vertical="center" wrapText="1"/>
    </xf>
    <xf numFmtId="165" fontId="123" fillId="54" borderId="178" applyAlignment="1" pivotButton="0" quotePrefix="0" xfId="4">
      <alignment vertical="center" wrapText="1"/>
    </xf>
    <xf numFmtId="0" fontId="123" fillId="53" borderId="178" applyAlignment="1" pivotButton="0" quotePrefix="0" xfId="4">
      <alignment vertical="center" wrapText="1"/>
    </xf>
    <xf numFmtId="0" fontId="119" fillId="28" borderId="134" applyAlignment="1" pivotButton="0" quotePrefix="0" xfId="4">
      <alignment horizontal="center" vertical="center" wrapText="1"/>
    </xf>
    <xf numFmtId="0" fontId="0" fillId="0" borderId="359" pivotButton="0" quotePrefix="0" xfId="0"/>
    <xf numFmtId="0" fontId="119" fillId="28" borderId="360" applyAlignment="1" pivotButton="0" quotePrefix="0" xfId="4">
      <alignment horizontal="center" vertical="center" wrapText="1"/>
    </xf>
    <xf numFmtId="0" fontId="0" fillId="0" borderId="188" pivotButton="0" quotePrefix="0" xfId="0"/>
    <xf numFmtId="0" fontId="0" fillId="0" borderId="354" pivotButton="0" quotePrefix="0" xfId="0"/>
    <xf numFmtId="0" fontId="123" fillId="54" borderId="211" applyAlignment="1" pivotButton="0" quotePrefix="0" xfId="4">
      <alignment horizontal="center" vertical="center"/>
    </xf>
    <xf numFmtId="0" fontId="0" fillId="0" borderId="169" pivotButton="0" quotePrefix="0" xfId="0"/>
    <xf numFmtId="0" fontId="0" fillId="16" borderId="178" pivotButton="0" quotePrefix="0" xfId="0"/>
    <xf numFmtId="0" fontId="117" fillId="0" borderId="91" applyAlignment="1" pivotButton="0" quotePrefix="0" xfId="4">
      <alignment horizontal="center" vertical="center"/>
    </xf>
    <xf numFmtId="0" fontId="73" fillId="41" borderId="178" applyAlignment="1" pivotButton="0" quotePrefix="0" xfId="4">
      <alignment horizontal="center" vertical="center" wrapText="1"/>
    </xf>
    <xf numFmtId="0" fontId="105" fillId="0" borderId="91" applyAlignment="1" pivotButton="0" quotePrefix="0" xfId="4">
      <alignment horizontal="center" vertical="center"/>
    </xf>
    <xf numFmtId="0" fontId="123" fillId="28" borderId="178" applyAlignment="1" pivotButton="0" quotePrefix="0" xfId="4">
      <alignment horizontal="center" vertical="center" wrapText="1"/>
    </xf>
    <xf numFmtId="0" fontId="4" fillId="0" borderId="178" applyAlignment="1" pivotButton="0" quotePrefix="0" xfId="4">
      <alignment horizontal="center"/>
    </xf>
    <xf numFmtId="0" fontId="123" fillId="54" borderId="213" applyAlignment="1" pivotButton="0" quotePrefix="0" xfId="4">
      <alignment horizontal="center" vertical="center"/>
    </xf>
    <xf numFmtId="0" fontId="0" fillId="0" borderId="174" pivotButton="0" quotePrefix="0" xfId="0"/>
    <xf numFmtId="0" fontId="5" fillId="0" borderId="91" applyAlignment="1" pivotButton="0" quotePrefix="0" xfId="4">
      <alignment horizontal="center"/>
    </xf>
    <xf numFmtId="0" fontId="124" fillId="53" borderId="170" applyAlignment="1" pivotButton="0" quotePrefix="0" xfId="4">
      <alignment vertical="center" wrapText="1"/>
    </xf>
    <xf numFmtId="0" fontId="41" fillId="25" borderId="0" applyAlignment="1" pivotButton="0" quotePrefix="0" xfId="4">
      <alignment horizontal="center" vertical="center"/>
    </xf>
    <xf numFmtId="0" fontId="0" fillId="16" borderId="177" applyAlignment="1" pivotButton="0" quotePrefix="0" xfId="0">
      <alignment horizontal="center"/>
    </xf>
    <xf numFmtId="0" fontId="125" fillId="41" borderId="186" applyAlignment="1" pivotButton="0" quotePrefix="0" xfId="4">
      <alignment horizontal="center" vertical="center" wrapText="1"/>
    </xf>
    <xf numFmtId="0" fontId="0" fillId="0" borderId="186" pivotButton="0" quotePrefix="0" xfId="0"/>
    <xf numFmtId="0" fontId="5" fillId="18" borderId="0" applyAlignment="1" pivotButton="0" quotePrefix="0" xfId="4">
      <alignment horizontal="center"/>
    </xf>
    <xf numFmtId="0" fontId="124" fillId="53" borderId="209" applyAlignment="1" pivotButton="0" quotePrefix="0" xfId="4">
      <alignment horizontal="left" vertical="center" wrapText="1"/>
    </xf>
    <xf numFmtId="0" fontId="123" fillId="54" borderId="178" applyAlignment="1" pivotButton="0" quotePrefix="0" xfId="4">
      <alignment horizontal="left" vertical="center" wrapText="1"/>
    </xf>
    <xf numFmtId="0" fontId="123" fillId="54" borderId="180" applyAlignment="1" pivotButton="0" quotePrefix="0" xfId="4">
      <alignment horizontal="center" vertical="center" wrapText="1"/>
    </xf>
    <xf numFmtId="0" fontId="41"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3" fillId="54" borderId="177" applyAlignment="1" pivotButton="0" quotePrefix="0" xfId="4">
      <alignment horizontal="center" vertical="center" wrapText="1"/>
    </xf>
    <xf numFmtId="0" fontId="123" fillId="28" borderId="187" applyAlignment="1" pivotButton="0" quotePrefix="0" xfId="4">
      <alignment vertical="center" wrapText="1"/>
    </xf>
    <xf numFmtId="0" fontId="0" fillId="0" borderId="214" pivotButton="0" quotePrefix="0" xfId="0"/>
    <xf numFmtId="0" fontId="0" fillId="0" borderId="215" pivotButton="0" quotePrefix="0" xfId="0"/>
    <xf numFmtId="0" fontId="116" fillId="25" borderId="0" applyAlignment="1" pivotButton="0" quotePrefix="0" xfId="4">
      <alignment horizontal="center" vertical="center"/>
    </xf>
    <xf numFmtId="0" fontId="0" fillId="0" borderId="356" applyAlignment="1" pivotButton="0" quotePrefix="0" xfId="0">
      <alignment horizontal="center"/>
    </xf>
    <xf numFmtId="0" fontId="0" fillId="0" borderId="172" pivotButton="0" quotePrefix="0" xfId="0"/>
    <xf numFmtId="0" fontId="0" fillId="0" borderId="356" pivotButton="0" quotePrefix="0" xfId="0"/>
    <xf numFmtId="0" fontId="4" fillId="0" borderId="189" pivotButton="0" quotePrefix="0" xfId="4"/>
    <xf numFmtId="0" fontId="0" fillId="0" borderId="189" pivotButton="0" quotePrefix="0" xfId="0"/>
    <xf numFmtId="0" fontId="124" fillId="53" borderId="209"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9"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69" fillId="20" borderId="0" applyAlignment="1" pivotButton="0" quotePrefix="0" xfId="1">
      <alignment horizontal="center" vertical="center" wrapText="1"/>
    </xf>
    <xf numFmtId="0" fontId="9" fillId="0" borderId="0"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2" pivotButton="0" quotePrefix="0" xfId="0"/>
    <xf numFmtId="0" fontId="58" fillId="3" borderId="218"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19"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89"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1" pivotButton="0" quotePrefix="0" xfId="0"/>
    <xf numFmtId="0" fontId="0" fillId="0" borderId="232"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9"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3" pivotButton="0" quotePrefix="0" xfId="0"/>
    <xf numFmtId="0" fontId="106" fillId="28" borderId="0" applyAlignment="1" pivotButton="0" quotePrefix="0" xfId="1">
      <alignment horizontal="center" vertical="center"/>
    </xf>
    <xf numFmtId="0" fontId="102" fillId="3" borderId="218"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6"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8"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4" pivotButton="0" quotePrefix="0" xfId="0"/>
    <xf numFmtId="0" fontId="38"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169"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8"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1" applyAlignment="1" pivotButton="0" quotePrefix="0" xfId="1">
      <alignment horizontal="center" vertical="center"/>
    </xf>
    <xf numFmtId="0" fontId="38" fillId="0" borderId="82" applyAlignment="1" pivotButton="0" quotePrefix="0" xfId="1">
      <alignment horizontal="center" vertical="center" wrapText="1"/>
    </xf>
    <xf numFmtId="0" fontId="46" fillId="4" borderId="117"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7"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7" applyAlignment="1" pivotButton="0" quotePrefix="0" xfId="1">
      <alignment horizontal="center" vertical="center" wrapText="1"/>
    </xf>
    <xf numFmtId="0" fontId="0" fillId="0" borderId="73" pivotButton="0" quotePrefix="0" xfId="0"/>
    <xf numFmtId="0" fontId="103"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46" fillId="16" borderId="29" applyAlignment="1" pivotButton="0" quotePrefix="0" xfId="0">
      <alignment vertical="center" wrapText="1"/>
    </xf>
    <xf numFmtId="0" fontId="54" fillId="30" borderId="106"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6" fontId="46" fillId="0" borderId="30" applyAlignment="1" pivotButton="0" quotePrefix="0" xfId="0">
      <alignment vertical="center" wrapText="1"/>
    </xf>
    <xf numFmtId="0" fontId="46" fillId="0" borderId="38" applyAlignment="1" pivotButton="0" quotePrefix="0" xfId="0">
      <alignment vertical="center" wrapText="1"/>
    </xf>
    <xf numFmtId="164" fontId="47" fillId="16" borderId="332" applyAlignment="1" pivotButton="0" quotePrefix="0" xfId="0">
      <alignment horizontal="center" vertical="center" wrapText="1"/>
    </xf>
    <xf numFmtId="0" fontId="87" fillId="24" borderId="293" applyAlignment="1" pivotButton="0" quotePrefix="0" xfId="0">
      <alignment horizontal="center" vertical="center" wrapText="1"/>
    </xf>
    <xf numFmtId="0" fontId="0" fillId="0" borderId="33" pivotButton="0" quotePrefix="0" xfId="0"/>
    <xf numFmtId="0" fontId="0" fillId="0" borderId="115" pivotButton="0" quotePrefix="0" xfId="0"/>
    <xf numFmtId="0" fontId="0" fillId="0" borderId="40" pivotButton="0" quotePrefix="0" xfId="0"/>
    <xf numFmtId="0" fontId="0" fillId="0" borderId="116" pivotButton="0" quotePrefix="0" xfId="0"/>
    <xf numFmtId="0" fontId="67" fillId="0" borderId="30" applyAlignment="1" pivotButton="0" quotePrefix="0" xfId="0">
      <alignment horizontal="left" vertical="center"/>
    </xf>
    <xf numFmtId="0" fontId="0" fillId="0" borderId="125" pivotButton="0" quotePrefix="0" xfId="0"/>
    <xf numFmtId="0" fontId="54" fillId="29" borderId="328" applyAlignment="1" pivotButton="0" quotePrefix="0" xfId="0">
      <alignment horizontal="left" vertical="center" wrapText="1"/>
    </xf>
    <xf numFmtId="0" fontId="46" fillId="0" borderId="294"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3" applyAlignment="1" pivotButton="0" quotePrefix="0" xfId="0">
      <alignment horizontal="center" vertical="center" wrapText="1"/>
    </xf>
    <xf numFmtId="0" fontId="0" fillId="0" borderId="243"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0" applyAlignment="1" pivotButton="0" quotePrefix="0" xfId="0">
      <alignment horizontal="center" vertical="center" wrapText="1"/>
    </xf>
    <xf numFmtId="0" fontId="0" fillId="0" borderId="298"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6" fontId="48" fillId="0" borderId="125" applyAlignment="1" pivotButton="0" quotePrefix="0" xfId="0">
      <alignment horizontal="center" vertical="center" wrapText="1"/>
    </xf>
    <xf numFmtId="0" fontId="46" fillId="0" borderId="30" applyAlignment="1" pivotButton="0" quotePrefix="0" xfId="0">
      <alignment vertical="center" wrapText="1"/>
    </xf>
    <xf numFmtId="0" fontId="61"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6" fillId="16" borderId="29" applyAlignment="1" pivotButton="0" quotePrefix="0" xfId="0">
      <alignment horizontal="center" vertical="center" wrapText="1"/>
    </xf>
    <xf numFmtId="0" fontId="46" fillId="0" borderId="292"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5" applyAlignment="1" pivotButton="0" quotePrefix="0" xfId="0">
      <alignment horizontal="center" vertical="center" wrapText="1"/>
    </xf>
    <xf numFmtId="166" fontId="46" fillId="0" borderId="30" applyAlignment="1" pivotButton="0" quotePrefix="0" xfId="0">
      <alignment horizontal="center" vertical="center" wrapText="1"/>
    </xf>
    <xf numFmtId="166" fontId="49" fillId="3" borderId="291" applyAlignment="1" pivotButton="0" quotePrefix="0" xfId="0">
      <alignment vertical="center" wrapText="1"/>
    </xf>
    <xf numFmtId="0" fontId="63" fillId="30" borderId="333" applyAlignment="1" pivotButton="0" quotePrefix="0" xfId="0">
      <alignment horizontal="center" vertical="center" wrapText="1"/>
    </xf>
    <xf numFmtId="0" fontId="0" fillId="0" borderId="318" pivotButton="0" quotePrefix="0" xfId="0"/>
    <xf numFmtId="166" fontId="48" fillId="0" borderId="363"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2" applyAlignment="1" pivotButton="0" quotePrefix="0" xfId="0">
      <alignment horizontal="center" vertical="center" wrapText="1"/>
    </xf>
    <xf numFmtId="0" fontId="66" fillId="20" borderId="294"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8" fillId="14" borderId="294" applyAlignment="1" pivotButton="0" quotePrefix="0" xfId="3">
      <alignment horizontal="center" vertical="center"/>
    </xf>
    <xf numFmtId="0" fontId="67" fillId="0" borderId="296" applyAlignment="1" pivotButton="0" quotePrefix="0" xfId="0">
      <alignment horizontal="center" vertical="center" wrapText="1"/>
    </xf>
    <xf numFmtId="166" fontId="48" fillId="0" borderId="363" applyAlignment="1" pivotButton="0" quotePrefix="0" xfId="0">
      <alignment vertical="center" wrapText="1"/>
    </xf>
    <xf numFmtId="0" fontId="55" fillId="21" borderId="292"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6" fontId="46" fillId="0" borderId="291" applyAlignment="1" pivotButton="0" quotePrefix="0" xfId="0">
      <alignment horizontal="center" vertical="center" wrapText="1"/>
    </xf>
    <xf numFmtId="0" fontId="49" fillId="15" borderId="299" applyAlignment="1" pivotButton="0" quotePrefix="0" xfId="0">
      <alignment horizontal="center" vertical="center" wrapText="1"/>
    </xf>
    <xf numFmtId="0" fontId="57" fillId="25" borderId="29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39" applyAlignment="1" pivotButton="0" quotePrefix="0" xfId="0">
      <alignment horizontal="center" vertical="center" wrapText="1"/>
    </xf>
    <xf numFmtId="0" fontId="0" fillId="0" borderId="362"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5" applyAlignment="1" pivotButton="0" quotePrefix="0" xfId="0">
      <alignment vertical="center" wrapText="1"/>
    </xf>
    <xf numFmtId="0" fontId="63" fillId="22" borderId="322" applyAlignment="1" pivotButton="0" quotePrefix="0" xfId="0">
      <alignment horizontal="center" vertical="center" wrapText="1"/>
    </xf>
    <xf numFmtId="0" fontId="0" fillId="0" borderId="248" pivotButton="0" quotePrefix="0" xfId="0"/>
    <xf numFmtId="0" fontId="33" fillId="20" borderId="0" applyAlignment="1" pivotButton="0" quotePrefix="0" xfId="0">
      <alignment horizontal="center" vertical="center" wrapText="1"/>
    </xf>
    <xf numFmtId="166" fontId="65" fillId="3" borderId="91" applyAlignment="1" pivotButton="0" quotePrefix="0" xfId="0">
      <alignment horizontal="right" vertical="center" wrapText="1"/>
    </xf>
    <xf numFmtId="166" fontId="65" fillId="3" borderId="29" applyAlignment="1" pivotButton="0" quotePrefix="0" xfId="0">
      <alignment horizontal="right" vertical="center" wrapText="1"/>
    </xf>
    <xf numFmtId="164" fontId="47" fillId="16" borderId="158" applyAlignment="1" pivotButton="0" quotePrefix="0" xfId="0">
      <alignment horizontal="center" vertical="center" wrapText="1"/>
    </xf>
    <xf numFmtId="0" fontId="55" fillId="21" borderId="363" applyAlignment="1" pivotButton="0" quotePrefix="0" xfId="0">
      <alignment horizontal="center" vertical="center" wrapText="1"/>
    </xf>
    <xf numFmtId="164" fontId="38" fillId="16" borderId="334" applyAlignment="1" pivotButton="0" quotePrefix="0" xfId="2">
      <alignment horizontal="center" vertical="center" wrapText="1"/>
    </xf>
    <xf numFmtId="0" fontId="0" fillId="0" borderId="334" pivotButton="0" quotePrefix="0" xfId="0"/>
    <xf numFmtId="166" fontId="53" fillId="23" borderId="65" applyAlignment="1" pivotButton="0" quotePrefix="0" xfId="2">
      <alignment horizontal="center" vertical="center" wrapText="1"/>
    </xf>
    <xf numFmtId="0" fontId="46" fillId="0" borderId="290" applyAlignment="1" pivotButton="0" quotePrefix="0" xfId="0">
      <alignment vertical="center" wrapText="1"/>
    </xf>
    <xf numFmtId="0" fontId="0" fillId="0" borderId="269" pivotButton="0" quotePrefix="0" xfId="0"/>
    <xf numFmtId="0" fontId="0" fillId="0" borderId="271" pivotButton="0" quotePrefix="0" xfId="0"/>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0" fontId="0" fillId="0" borderId="110" pivotButton="0" quotePrefix="0" xfId="0"/>
    <xf numFmtId="0" fontId="67" fillId="0" borderId="292"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6" applyAlignment="1" pivotButton="0" quotePrefix="0" xfId="0">
      <alignment horizontal="center" vertical="center" wrapText="1"/>
    </xf>
    <xf numFmtId="0" fontId="0" fillId="0" borderId="34" pivotButton="0" quotePrefix="0" xfId="0"/>
    <xf numFmtId="0" fontId="61" fillId="3" borderId="244" applyAlignment="1" pivotButton="0" quotePrefix="0" xfId="0">
      <alignment horizontal="center" vertical="center" wrapText="1"/>
    </xf>
    <xf numFmtId="0" fontId="61" fillId="3" borderId="331"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4" applyAlignment="1" pivotButton="0" quotePrefix="0" xfId="0">
      <alignment horizontal="center" vertical="center" wrapText="1"/>
    </xf>
    <xf numFmtId="0" fontId="0" fillId="0" borderId="329" pivotButton="0" quotePrefix="0" xfId="0"/>
    <xf numFmtId="0" fontId="49" fillId="34" borderId="327" applyAlignment="1" pivotButton="0" quotePrefix="0" xfId="0">
      <alignment horizontal="center" vertical="center" wrapText="1"/>
    </xf>
    <xf numFmtId="0" fontId="61" fillId="57" borderId="91" applyAlignment="1" pivotButton="0" quotePrefix="0" xfId="0">
      <alignment horizontal="center" vertical="center" wrapText="1"/>
    </xf>
    <xf numFmtId="166" fontId="46" fillId="0" borderId="290" applyAlignment="1" pivotButton="0" quotePrefix="0" xfId="0">
      <alignment vertical="center" wrapText="1"/>
    </xf>
    <xf numFmtId="0" fontId="46" fillId="0" borderId="291" applyAlignment="1" pivotButton="0" quotePrefix="0" xfId="0">
      <alignment horizontal="center" vertical="center" wrapText="1"/>
    </xf>
    <xf numFmtId="0" fontId="66" fillId="20" borderId="336" applyAlignment="1" pivotButton="0" quotePrefix="0" xfId="0">
      <alignment horizontal="center" vertical="center" wrapText="1"/>
    </xf>
    <xf numFmtId="0" fontId="46" fillId="17" borderId="29" applyAlignment="1" pivotButton="0" quotePrefix="0" xfId="0">
      <alignment vertical="center" wrapText="1"/>
    </xf>
    <xf numFmtId="0" fontId="49" fillId="34" borderId="111" applyAlignment="1" pivotButton="0" quotePrefix="0" xfId="0">
      <alignment horizontal="center" vertical="center" wrapText="1"/>
    </xf>
    <xf numFmtId="0" fontId="0" fillId="0" borderId="111" pivotButton="0" quotePrefix="0" xfId="0"/>
    <xf numFmtId="0" fontId="88" fillId="14" borderId="30" applyAlignment="1" pivotButton="0" quotePrefix="0" xfId="3">
      <alignment horizontal="center" vertical="center"/>
    </xf>
    <xf numFmtId="0" fontId="46" fillId="0" borderId="337"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5" applyAlignment="1" pivotButton="0" quotePrefix="0" xfId="0">
      <alignment horizontal="center" vertical="center" wrapText="1"/>
    </xf>
    <xf numFmtId="0" fontId="0" fillId="0" borderId="268" pivotButton="0" quotePrefix="0" xfId="0"/>
    <xf numFmtId="0" fontId="0" fillId="16" borderId="32" pivotButton="0" quotePrefix="0" xfId="0"/>
    <xf numFmtId="0" fontId="87" fillId="24" borderId="338" applyAlignment="1" pivotButton="0" quotePrefix="0" xfId="0">
      <alignment horizontal="center" vertical="center" wrapText="1"/>
    </xf>
    <xf numFmtId="0" fontId="0" fillId="0" borderId="130" pivotButton="0" quotePrefix="0" xfId="0"/>
    <xf numFmtId="0" fontId="63" fillId="22" borderId="248" applyAlignment="1" pivotButton="0" quotePrefix="0" xfId="0">
      <alignment horizontal="center" vertical="center" wrapText="1"/>
    </xf>
    <xf numFmtId="166" fontId="48" fillId="0" borderId="125" applyAlignment="1" pivotButton="0" quotePrefix="0" xfId="0">
      <alignment vertical="center" wrapText="1"/>
    </xf>
    <xf numFmtId="0" fontId="46" fillId="0" borderId="290" applyAlignment="1" pivotButton="0" quotePrefix="0" xfId="0">
      <alignment horizontal="center" vertical="center" wrapText="1"/>
    </xf>
    <xf numFmtId="166" fontId="46" fillId="0" borderId="290" applyAlignment="1" pivotButton="0" quotePrefix="0" xfId="0">
      <alignment horizontal="center" vertical="center" wrapText="1"/>
    </xf>
    <xf numFmtId="0" fontId="65" fillId="3" borderId="38" applyAlignment="1" pivotButton="0" quotePrefix="0" xfId="0">
      <alignment horizontal="center" vertical="center" wrapText="1"/>
    </xf>
    <xf numFmtId="0" fontId="54" fillId="23" borderId="37" applyAlignment="1" pivotButton="0" quotePrefix="0" xfId="0">
      <alignment horizontal="center" vertical="center" wrapText="1"/>
    </xf>
    <xf numFmtId="0" fontId="55" fillId="21" borderId="296" applyAlignment="1" pivotButton="0" quotePrefix="0" xfId="0">
      <alignment horizontal="center" vertical="center" wrapText="1"/>
    </xf>
    <xf numFmtId="164" fontId="47" fillId="16" borderId="247" applyAlignment="1" pivotButton="0" quotePrefix="0" xfId="0">
      <alignment horizontal="center" vertical="center" wrapText="1"/>
    </xf>
    <xf numFmtId="0" fontId="0" fillId="0" borderId="247" pivotButton="0" quotePrefix="0" xfId="0"/>
    <xf numFmtId="0" fontId="55" fillId="21" borderId="330" applyAlignment="1" pivotButton="0" quotePrefix="0" xfId="0">
      <alignment horizontal="center" vertical="center" wrapText="1"/>
    </xf>
    <xf numFmtId="0" fontId="6" fillId="16" borderId="29" applyAlignment="1" pivotButton="0" quotePrefix="0" xfId="2">
      <alignment vertical="center" wrapText="1"/>
    </xf>
    <xf numFmtId="0" fontId="53" fillId="0" borderId="327"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2"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3" applyAlignment="1" pivotButton="0" quotePrefix="0" xfId="2">
      <alignment vertical="center" wrapText="1"/>
    </xf>
    <xf numFmtId="166" fontId="1" fillId="0" borderId="29" applyAlignment="1" pivotButton="0" quotePrefix="0" xfId="2">
      <alignment vertical="center" wrapText="1"/>
    </xf>
    <xf numFmtId="0" fontId="41" fillId="21" borderId="365" applyAlignment="1" pivotButton="0" quotePrefix="0" xfId="2">
      <alignment horizontal="center" vertical="center" wrapText="1"/>
    </xf>
    <xf numFmtId="0" fontId="53" fillId="30" borderId="31" applyAlignment="1" pivotButton="0" quotePrefix="0" xfId="2">
      <alignment horizontal="center" vertical="center" wrapText="1"/>
    </xf>
    <xf numFmtId="164" fontId="56" fillId="16" borderId="40" applyAlignment="1" pivotButton="0" quotePrefix="0" xfId="2">
      <alignment horizontal="center" vertical="center" wrapText="1"/>
    </xf>
    <xf numFmtId="0" fontId="90"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6" applyAlignment="1" pivotButton="0" quotePrefix="0" xfId="2">
      <alignment horizontal="center" vertical="center" wrapText="1"/>
    </xf>
    <xf numFmtId="0" fontId="6" fillId="17" borderId="29" applyAlignment="1" pivotButton="0" quotePrefix="0" xfId="2">
      <alignment horizontal="center" vertical="center" wrapText="1"/>
    </xf>
    <xf numFmtId="166" fontId="36" fillId="0" borderId="91" applyAlignment="1" pivotButton="0" quotePrefix="0" xfId="2">
      <alignment horizontal="center" vertical="center" wrapText="1"/>
    </xf>
    <xf numFmtId="0" fontId="53" fillId="0" borderId="110"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6" fontId="36" fillId="0" borderId="319" applyAlignment="1" pivotButton="0" quotePrefix="0" xfId="2">
      <alignment horizontal="center" vertical="center" wrapText="1"/>
    </xf>
    <xf numFmtId="0" fontId="0" fillId="0" borderId="319" pivotButton="0" quotePrefix="0" xfId="0"/>
    <xf numFmtId="0" fontId="29" fillId="20" borderId="292" applyAlignment="1" pivotButton="0" quotePrefix="0" xfId="2">
      <alignment horizontal="center" vertical="center" wrapText="1"/>
    </xf>
    <xf numFmtId="0" fontId="90" fillId="14" borderId="324" applyAlignment="1" pivotButton="0" quotePrefix="0" xfId="3">
      <alignment horizontal="center" vertical="center"/>
    </xf>
    <xf numFmtId="0" fontId="0" fillId="0" borderId="325"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0" applyAlignment="1" pivotButton="0" quotePrefix="0" xfId="2">
      <alignment horizontal="left" vertical="center" wrapText="1"/>
    </xf>
    <xf numFmtId="0" fontId="6" fillId="0" borderId="65" applyAlignment="1" pivotButton="0" quotePrefix="0" xfId="2">
      <alignment vertical="center" wrapText="1"/>
    </xf>
    <xf numFmtId="166"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7" applyAlignment="1" pivotButton="0" quotePrefix="0" xfId="2">
      <alignment horizontal="center" vertical="center" wrapText="1"/>
    </xf>
    <xf numFmtId="0" fontId="0" fillId="0" borderId="267"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4" applyAlignment="1" pivotButton="0" quotePrefix="0" xfId="2">
      <alignment horizontal="center" vertical="center" wrapText="1"/>
    </xf>
    <xf numFmtId="0" fontId="53" fillId="30" borderId="32" applyAlignment="1" pivotButton="0" quotePrefix="0" xfId="2">
      <alignment horizontal="center" vertical="center" wrapText="1"/>
    </xf>
    <xf numFmtId="0" fontId="57" fillId="25" borderId="202" applyAlignment="1" pivotButton="0" quotePrefix="0" xfId="1">
      <alignment horizontal="center" vertical="center"/>
    </xf>
    <xf numFmtId="0" fontId="6" fillId="0" borderId="270" applyAlignment="1" pivotButton="0" quotePrefix="0" xfId="2">
      <alignment vertical="center" wrapText="1"/>
    </xf>
    <xf numFmtId="0" fontId="0" fillId="0" borderId="270" pivotButton="0" quotePrefix="0" xfId="0"/>
    <xf numFmtId="0" fontId="0" fillId="0" borderId="297" pivotButton="0" quotePrefix="0" xfId="0"/>
    <xf numFmtId="0" fontId="53" fillId="30" borderId="243"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8" pivotButton="0" quotePrefix="0" xfId="2"/>
    <xf numFmtId="0" fontId="68" fillId="0" borderId="117" applyAlignment="1" pivotButton="0" quotePrefix="0" xfId="2">
      <alignment horizontal="left" vertical="center" wrapText="1"/>
    </xf>
    <xf numFmtId="0" fontId="33" fillId="20" borderId="0" applyAlignment="1" pivotButton="0" quotePrefix="0" xfId="2">
      <alignment horizontal="center" vertical="center" wrapText="1"/>
    </xf>
    <xf numFmtId="164" fontId="56" fillId="16" borderId="0" applyAlignment="1" pivotButton="0" quotePrefix="0" xfId="2">
      <alignment horizontal="center" vertical="center" wrapText="1"/>
    </xf>
    <xf numFmtId="0" fontId="53" fillId="30" borderId="318" applyAlignment="1" pivotButton="0" quotePrefix="0" xfId="2">
      <alignment horizontal="center" vertical="center" wrapText="1"/>
    </xf>
    <xf numFmtId="0" fontId="39" fillId="3" borderId="33" applyAlignment="1" pivotButton="0" quotePrefix="0" xfId="2">
      <alignment horizontal="center" vertical="center" wrapText="1"/>
    </xf>
    <xf numFmtId="166"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6" fontId="39" fillId="3" borderId="115" applyAlignment="1" pivotButton="0" quotePrefix="0" xfId="2">
      <alignment horizontal="center" vertical="center" wrapText="1"/>
    </xf>
    <xf numFmtId="0" fontId="46" fillId="4" borderId="104" applyAlignment="1" pivotButton="0" quotePrefix="0" xfId="3">
      <alignment horizontal="center" vertical="center"/>
    </xf>
    <xf numFmtId="0" fontId="39" fillId="3" borderId="321"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6" applyAlignment="1" pivotButton="0" quotePrefix="0" xfId="2">
      <alignment horizontal="center" vertical="center" wrapText="1"/>
    </xf>
    <xf numFmtId="0" fontId="6" fillId="0" borderId="202" applyAlignment="1" pivotButton="0" quotePrefix="0" xfId="2">
      <alignment horizontal="center" vertical="center" wrapText="1"/>
    </xf>
    <xf numFmtId="164" fontId="40" fillId="3" borderId="41" applyAlignment="1" pivotButton="0" quotePrefix="0" xfId="2">
      <alignment horizontal="center" vertical="center" wrapText="1"/>
    </xf>
    <xf numFmtId="0" fontId="29" fillId="20" borderId="317" applyAlignment="1" pivotButton="0" quotePrefix="0" xfId="2">
      <alignment horizontal="left" vertical="center" wrapText="1"/>
    </xf>
    <xf numFmtId="166"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69" applyAlignment="1" pivotButton="0" quotePrefix="0" xfId="2">
      <alignment vertical="center" wrapText="1"/>
    </xf>
    <xf numFmtId="0" fontId="41" fillId="21" borderId="363"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2" applyAlignment="1" pivotButton="0" quotePrefix="0" xfId="2">
      <alignment horizontal="center" vertical="center" wrapText="1"/>
    </xf>
    <xf numFmtId="0" fontId="36" fillId="0" borderId="320" applyAlignment="1" pivotButton="0" quotePrefix="0" xfId="2">
      <alignment horizontal="left" vertical="center" wrapText="1"/>
    </xf>
    <xf numFmtId="0" fontId="0" fillId="0" borderId="326" pivotButton="0" quotePrefix="0" xfId="0"/>
    <xf numFmtId="0" fontId="53" fillId="0" borderId="38" applyAlignment="1" pivotButton="0" quotePrefix="0" xfId="2">
      <alignment horizontal="left" vertical="center"/>
    </xf>
    <xf numFmtId="0" fontId="6" fillId="0" borderId="294" applyAlignment="1" pivotButton="0" quotePrefix="0" xfId="2">
      <alignment horizontal="center" vertical="center" wrapText="1"/>
    </xf>
    <xf numFmtId="0" fontId="39" fillId="3" borderId="366"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2" pivotButton="0" quotePrefix="0" xfId="0"/>
    <xf numFmtId="0" fontId="60" fillId="22" borderId="32" applyAlignment="1" pivotButton="0" quotePrefix="0" xfId="2">
      <alignment horizontal="center" vertical="center" wrapText="1"/>
    </xf>
    <xf numFmtId="0" fontId="60" fillId="22" borderId="106" applyAlignment="1" pivotButton="0" quotePrefix="0" xfId="2">
      <alignment horizontal="center" vertical="center" wrapText="1"/>
    </xf>
    <xf numFmtId="0" fontId="29" fillId="20" borderId="202" applyAlignment="1" pivotButton="0" quotePrefix="0" xfId="2">
      <alignment horizontal="center" vertical="center" wrapText="1"/>
    </xf>
    <xf numFmtId="164" fontId="40" fillId="3" borderId="113" applyAlignment="1" pivotButton="0" quotePrefix="0" xfId="2">
      <alignment horizontal="center" vertical="center" wrapText="1"/>
    </xf>
    <xf numFmtId="0" fontId="0" fillId="0" borderId="113" pivotButton="0" quotePrefix="0" xfId="0"/>
    <xf numFmtId="164" fontId="56" fillId="16" borderId="91" applyAlignment="1" pivotButton="0" quotePrefix="0" xfId="2">
      <alignment horizontal="center" vertical="center" wrapText="1"/>
    </xf>
    <xf numFmtId="0" fontId="41" fillId="21" borderId="315" applyAlignment="1" pivotButton="0" quotePrefix="0" xfId="2">
      <alignment horizontal="center" vertical="center" wrapText="1"/>
    </xf>
    <xf numFmtId="0" fontId="53" fillId="0" borderId="58" applyAlignment="1" pivotButton="0" quotePrefix="0" xfId="1">
      <alignment horizontal="left" vertical="center"/>
    </xf>
    <xf numFmtId="0" fontId="53" fillId="0" borderId="58" applyAlignment="1" pivotButton="0" quotePrefix="0" xfId="1">
      <alignment vertical="center"/>
    </xf>
    <xf numFmtId="0" fontId="53" fillId="0" borderId="98" applyAlignment="1" pivotButton="0" quotePrefix="0" xfId="1">
      <alignment vertical="center"/>
    </xf>
    <xf numFmtId="0" fontId="96" fillId="16" borderId="29" applyAlignment="1" pivotButton="0" quotePrefix="0" xfId="0">
      <alignment vertical="center"/>
    </xf>
    <xf numFmtId="0" fontId="6" fillId="16" borderId="147" applyAlignment="1" pivotButton="0" quotePrefix="0" xfId="0">
      <alignment horizontal="center" vertical="center"/>
    </xf>
    <xf numFmtId="0" fontId="6" fillId="16" borderId="29" applyAlignment="1" pivotButton="0" quotePrefix="0" xfId="0">
      <alignment vertical="center"/>
    </xf>
    <xf numFmtId="0" fontId="29" fillId="20" borderId="349" applyAlignment="1" pivotButton="0" quotePrefix="0" xfId="0">
      <alignment horizontal="center" vertical="center"/>
    </xf>
    <xf numFmtId="0" fontId="29" fillId="20" borderId="381" applyAlignment="1" pivotButton="0" quotePrefix="0" xfId="0">
      <alignment horizontal="center" vertical="center"/>
    </xf>
    <xf numFmtId="0" fontId="154" fillId="26" borderId="29" applyAlignment="1" pivotButton="0" quotePrefix="0" xfId="0">
      <alignment horizontal="left" vertical="center"/>
    </xf>
    <xf numFmtId="0" fontId="86" fillId="49" borderId="366" applyAlignment="1" pivotButton="0" quotePrefix="0" xfId="0">
      <alignment horizontal="center" vertical="center"/>
    </xf>
    <xf numFmtId="0" fontId="86" fillId="49" borderId="267" applyAlignment="1" pivotButton="0" quotePrefix="0" xfId="0">
      <alignment horizontal="center" vertical="center"/>
    </xf>
    <xf numFmtId="0" fontId="119" fillId="0" borderId="99" applyAlignment="1" pivotButton="0" quotePrefix="0" xfId="1">
      <alignment horizontal="center" vertical="center"/>
    </xf>
    <xf numFmtId="0" fontId="33" fillId="20" borderId="34" applyAlignment="1" pivotButton="0" quotePrefix="0" xfId="0">
      <alignment horizontal="center" vertical="center"/>
    </xf>
    <xf numFmtId="0" fontId="0" fillId="43" borderId="91" pivotButton="0" quotePrefix="0" xfId="0"/>
    <xf numFmtId="0" fontId="0" fillId="43" borderId="34" pivotButton="0" quotePrefix="0" xfId="0"/>
    <xf numFmtId="0" fontId="0" fillId="43" borderId="0" pivotButton="0" quotePrefix="0" xfId="0"/>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0" fontId="29" fillId="20" borderId="383" applyAlignment="1" pivotButton="0" quotePrefix="0" xfId="0">
      <alignment horizontal="center" vertical="center"/>
    </xf>
    <xf numFmtId="0" fontId="0" fillId="0" borderId="381"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0" fontId="0" fillId="0" borderId="147" pivotButton="0" quotePrefix="0" xfId="0"/>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4" fontId="136" fillId="0" borderId="278" applyAlignment="1" pivotButton="0" quotePrefix="0" xfId="0">
      <alignment vertical="center" wrapText="1"/>
    </xf>
    <xf numFmtId="165" fontId="136" fillId="0" borderId="278" applyAlignment="1" pivotButton="0" quotePrefix="0" xfId="0">
      <alignment vertical="center" wrapText="1"/>
    </xf>
    <xf numFmtId="169" fontId="137" fillId="0" borderId="279" applyAlignment="1" pivotButton="0" quotePrefix="0" xfId="0">
      <alignment vertical="center" wrapText="1"/>
    </xf>
    <xf numFmtId="164" fontId="137" fillId="0" borderId="279" applyAlignment="1" pivotButton="0" quotePrefix="0" xfId="0">
      <alignment vertical="center" wrapText="1"/>
    </xf>
    <xf numFmtId="169" fontId="137" fillId="0" borderId="278"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62" fillId="0" borderId="195" pivotButton="0" quotePrefix="0" xfId="0"/>
    <xf numFmtId="166" fontId="62" fillId="0" borderId="276" pivotButton="0" quotePrefix="0" xfId="0"/>
    <xf numFmtId="166" fontId="49" fillId="3" borderId="153" pivotButton="0" quotePrefix="0" xfId="0"/>
    <xf numFmtId="164" fontId="49" fillId="3" borderId="153" pivotButton="0" quotePrefix="0" xfId="0"/>
    <xf numFmtId="166" fontId="49" fillId="3" borderId="195" pivotButton="0" quotePrefix="0" xfId="0"/>
    <xf numFmtId="166" fontId="46" fillId="0" borderId="151"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9" fontId="0" fillId="11" borderId="12" applyAlignment="1" pivotButton="0" quotePrefix="0" xfId="3">
      <alignment horizontal="center" vertical="center"/>
    </xf>
    <xf numFmtId="169" fontId="23" fillId="12" borderId="12" applyAlignment="1" pivotButton="0" quotePrefix="0" xfId="3">
      <alignment vertical="center"/>
    </xf>
    <xf numFmtId="0" fontId="123" fillId="54" borderId="374" applyAlignment="1" pivotButton="0" quotePrefix="0" xfId="4">
      <alignment vertical="center" wrapText="1"/>
    </xf>
    <xf numFmtId="165" fontId="123" fillId="54" borderId="180" applyAlignment="1" pivotButton="0" quotePrefix="0" xfId="4">
      <alignment horizontal="center" vertical="center" wrapText="1"/>
    </xf>
    <xf numFmtId="165" fontId="123" fillId="54" borderId="178" applyAlignment="1" pivotButton="0" quotePrefix="0" xfId="4">
      <alignment vertical="center" wrapText="1"/>
    </xf>
    <xf numFmtId="165" fontId="123" fillId="54" borderId="374" applyAlignment="1" pivotButton="0" quotePrefix="0" xfId="4">
      <alignment vertical="center" wrapText="1"/>
    </xf>
    <xf numFmtId="0" fontId="124" fillId="53" borderId="374" applyAlignment="1" pivotButton="0" quotePrefix="0" xfId="4">
      <alignment horizontal="left" vertical="center" wrapText="1"/>
    </xf>
    <xf numFmtId="0" fontId="4" fillId="0" borderId="374" applyAlignment="1" pivotButton="0" quotePrefix="0" xfId="4">
      <alignment horizontal="center"/>
    </xf>
    <xf numFmtId="0" fontId="123" fillId="54" borderId="374" applyAlignment="1" pivotButton="0" quotePrefix="0" xfId="4">
      <alignment horizontal="center" vertical="center" wrapText="1"/>
    </xf>
    <xf numFmtId="0" fontId="124" fillId="53" borderId="374" applyAlignment="1" pivotButton="0" quotePrefix="0" xfId="4">
      <alignment vertical="center" wrapText="1"/>
    </xf>
    <xf numFmtId="0" fontId="0" fillId="16" borderId="374" pivotButton="0" quotePrefix="0" xfId="0"/>
    <xf numFmtId="164" fontId="126" fillId="55" borderId="187" applyAlignment="1" pivotButton="0" quotePrefix="0" xfId="4">
      <alignment vertical="center" wrapText="1"/>
    </xf>
    <xf numFmtId="164" fontId="126" fillId="55" borderId="178" applyAlignment="1" pivotButton="0" quotePrefix="0" xfId="4">
      <alignment vertical="center" wrapText="1"/>
    </xf>
    <xf numFmtId="0" fontId="123" fillId="28" borderId="374" applyAlignment="1" pivotButton="0" quotePrefix="0" xfId="4">
      <alignment horizontal="center" vertical="center" wrapText="1"/>
    </xf>
    <xf numFmtId="167" fontId="123" fillId="54" borderId="177"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123" fillId="54" borderId="180" applyAlignment="1" pivotButton="0" quotePrefix="0" xfId="4">
      <alignment vertical="center" wrapText="1"/>
    </xf>
    <xf numFmtId="0" fontId="123" fillId="54" borderId="374" applyAlignment="1" pivotButton="0" quotePrefix="0" xfId="4">
      <alignment horizontal="left" vertical="center" wrapText="1"/>
    </xf>
    <xf numFmtId="0" fontId="73" fillId="41" borderId="374" applyAlignment="1" pivotButton="0" quotePrefix="0" xfId="4">
      <alignment horizontal="center" vertical="center" wrapText="1"/>
    </xf>
    <xf numFmtId="0" fontId="123" fillId="17" borderId="374" applyAlignment="1" pivotButton="0" quotePrefix="0" xfId="4">
      <alignment vertical="center" wrapText="1"/>
    </xf>
    <xf numFmtId="0" fontId="123" fillId="26" borderId="374" applyAlignment="1" pivotButton="0" quotePrefix="0" xfId="4">
      <alignment vertical="center" wrapText="1"/>
    </xf>
    <xf numFmtId="0" fontId="123" fillId="53" borderId="374" applyAlignment="1" pivotButton="0" quotePrefix="0" xfId="4">
      <alignment vertical="center" wrapText="1"/>
    </xf>
    <xf numFmtId="0" fontId="121" fillId="56" borderId="374" applyAlignment="1" pivotButton="0" quotePrefix="0" xfId="4">
      <alignment horizontal="center" vertical="center" wrapText="1"/>
    </xf>
    <xf numFmtId="0" fontId="124" fillId="54" borderId="374" applyAlignment="1" pivotButton="0" quotePrefix="0" xfId="4">
      <alignment horizontal="center" wrapText="1"/>
    </xf>
    <xf numFmtId="169" fontId="38" fillId="4" borderId="75" applyAlignment="1" pivotButton="0" quotePrefix="0" xfId="1">
      <alignment vertical="center" wrapText="1"/>
    </xf>
    <xf numFmtId="169" fontId="38" fillId="4" borderId="65" applyAlignment="1" pivotButton="0" quotePrefix="0" xfId="1">
      <alignment vertical="center" wrapText="1"/>
    </xf>
    <xf numFmtId="169" fontId="38" fillId="4" borderId="77" applyAlignment="1" pivotButton="0" quotePrefix="0" xfId="1">
      <alignment vertical="center" wrapText="1"/>
    </xf>
    <xf numFmtId="166" fontId="53" fillId="23" borderId="65" applyAlignment="1" pivotButton="0" quotePrefix="0" xfId="2">
      <alignment horizontal="center" vertical="center" wrapText="1"/>
    </xf>
    <xf numFmtId="164" fontId="47" fillId="16" borderId="332" applyAlignment="1" pivotButton="0" quotePrefix="0" xfId="0">
      <alignment horizontal="center" vertical="center" wrapText="1"/>
    </xf>
    <xf numFmtId="164" fontId="47" fillId="16" borderId="158" applyAlignment="1" pivotButton="0" quotePrefix="0" xfId="0">
      <alignment horizontal="center" vertical="center" wrapText="1"/>
    </xf>
    <xf numFmtId="164" fontId="47" fillId="16" borderId="247" applyAlignment="1" pivotButton="0" quotePrefix="0" xfId="0">
      <alignment horizontal="center" vertical="center" wrapText="1"/>
    </xf>
    <xf numFmtId="164" fontId="48" fillId="16" borderId="30" applyAlignment="1" pivotButton="0" quotePrefix="0" xfId="0">
      <alignment horizontal="center"/>
    </xf>
    <xf numFmtId="164" fontId="48" fillId="0"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6" fontId="48" fillId="0" borderId="125" applyAlignment="1" pivotButton="0" quotePrefix="0" xfId="0">
      <alignment horizontal="center" vertical="center" wrapText="1"/>
    </xf>
    <xf numFmtId="164" fontId="48" fillId="16" borderId="30" pivotButton="0" quotePrefix="0" xfId="0"/>
    <xf numFmtId="164" fontId="48" fillId="0" borderId="30" pivotButton="0" quotePrefix="0" xfId="0"/>
    <xf numFmtId="164" fontId="44" fillId="18" borderId="129" pivotButton="0" quotePrefix="0" xfId="0"/>
    <xf numFmtId="166" fontId="48" fillId="0" borderId="363" applyAlignment="1" pivotButton="0" quotePrefix="0" xfId="0">
      <alignment horizontal="center" vertical="center" wrapText="1"/>
    </xf>
    <xf numFmtId="166" fontId="48" fillId="0" borderId="363" applyAlignment="1" pivotButton="0" quotePrefix="0" xfId="0">
      <alignment vertical="center" wrapText="1"/>
    </xf>
    <xf numFmtId="166" fontId="48" fillId="0" borderId="125" applyAlignment="1" pivotButton="0" quotePrefix="0" xfId="0">
      <alignment vertical="center" wrapText="1"/>
    </xf>
    <xf numFmtId="164" fontId="49" fillId="3" borderId="30" pivotButton="0" quotePrefix="0" xfId="0"/>
    <xf numFmtId="164" fontId="59" fillId="19" borderId="129" pivotButton="0" quotePrefix="0" xfId="0"/>
    <xf numFmtId="166" fontId="49" fillId="3" borderId="291" applyAlignment="1" pivotButton="0" quotePrefix="0" xfId="0">
      <alignment vertical="center" wrapText="1"/>
    </xf>
    <xf numFmtId="0" fontId="0" fillId="17" borderId="32" applyAlignment="1" pivotButton="0" quotePrefix="0" xfId="0">
      <alignment horizontal="center" vertical="center" wrapText="1"/>
    </xf>
    <xf numFmtId="0" fontId="0" fillId="0" borderId="420" applyAlignment="1" pivotButton="0" quotePrefix="0" xfId="0">
      <alignment horizontal="left" vertical="center" wrapText="1"/>
    </xf>
    <xf numFmtId="0" fontId="46" fillId="0" borderId="421" applyAlignment="1" pivotButton="0" quotePrefix="0" xfId="0">
      <alignment horizontal="left" vertical="center" wrapText="1"/>
    </xf>
    <xf numFmtId="0" fontId="63" fillId="22" borderId="248" applyAlignment="1" pivotButton="0" quotePrefix="0" xfId="0">
      <alignment horizontal="center" vertical="center"/>
    </xf>
    <xf numFmtId="0" fontId="46" fillId="0" borderId="125" applyAlignment="1" pivotButton="0" quotePrefix="0" xfId="0">
      <alignment horizontal="center" vertical="center"/>
    </xf>
    <xf numFmtId="172" fontId="46" fillId="0" borderId="290"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1" applyAlignment="1" pivotButton="0" quotePrefix="0" xfId="0">
      <alignment horizontal="right" vertical="center"/>
    </xf>
    <xf numFmtId="166" fontId="65" fillId="3" borderId="29" applyAlignment="1" pivotButton="0" quotePrefix="0" xfId="0">
      <alignment horizontal="right" vertical="center" wrapText="1"/>
    </xf>
    <xf numFmtId="166" fontId="65" fillId="3" borderId="91" applyAlignment="1" pivotButton="0" quotePrefix="0" xfId="0">
      <alignment horizontal="right" vertical="center" wrapText="1"/>
    </xf>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164" fontId="38" fillId="16" borderId="334" applyAlignment="1" pivotButton="0" quotePrefix="0" xfId="2">
      <alignment horizontal="center" vertical="center" wrapText="1"/>
    </xf>
    <xf numFmtId="0" fontId="46" fillId="0" borderId="337" applyAlignment="1" pivotButton="0" quotePrefix="0" xfId="0">
      <alignment horizontal="left" vertical="top" wrapText="1"/>
    </xf>
    <xf numFmtId="0" fontId="46" fillId="0" borderId="294" applyAlignment="1" pivotButton="0" quotePrefix="0" xfId="0">
      <alignment horizontal="left" vertical="top" wrapText="1"/>
    </xf>
    <xf numFmtId="0" fontId="165" fillId="0" borderId="0" applyAlignment="1" pivotButton="0" quotePrefix="0" xfId="0">
      <alignment horizontal="center" vertical="center" wrapText="1"/>
    </xf>
    <xf numFmtId="166" fontId="53" fillId="23" borderId="39" applyAlignment="1" pivotButton="0" quotePrefix="0" xfId="2">
      <alignment horizontal="center" vertical="center" wrapText="1"/>
    </xf>
    <xf numFmtId="164" fontId="56" fillId="16" borderId="40" applyAlignment="1" pivotButton="0" quotePrefix="0" xfId="2">
      <alignment horizontal="center" vertical="center" wrapText="1"/>
    </xf>
    <xf numFmtId="164" fontId="56" fillId="16" borderId="0" applyAlignment="1" pivotButton="0" quotePrefix="0" xfId="2">
      <alignment horizontal="center" vertical="center" wrapText="1"/>
    </xf>
    <xf numFmtId="164" fontId="56" fillId="16" borderId="91" applyAlignment="1" pivotButton="0" quotePrefix="0" xfId="2">
      <alignment horizontal="center" vertical="center" wrapText="1"/>
    </xf>
    <xf numFmtId="164" fontId="40" fillId="3" borderId="41" applyAlignment="1" pivotButton="0" quotePrefix="0" xfId="2">
      <alignment horizontal="center" vertical="center" wrapText="1"/>
    </xf>
    <xf numFmtId="164" fontId="40" fillId="3" borderId="113" applyAlignment="1" pivotButton="0" quotePrefix="0" xfId="2">
      <alignment horizontal="center" vertical="center" wrapText="1"/>
    </xf>
    <xf numFmtId="164" fontId="36" fillId="16" borderId="32" applyAlignment="1" pivotButton="0" quotePrefix="0" xfId="2">
      <alignment horizontal="center" vertical="center"/>
    </xf>
    <xf numFmtId="164" fontId="36" fillId="0"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6" fontId="36" fillId="0" borderId="319" applyAlignment="1" pivotButton="0" quotePrefix="0" xfId="2">
      <alignment horizontal="center" vertical="center" wrapText="1"/>
    </xf>
    <xf numFmtId="166" fontId="36" fillId="0" borderId="91" applyAlignment="1" pivotButton="0" quotePrefix="0" xfId="2">
      <alignment horizontal="center" vertical="center" wrapText="1"/>
    </xf>
    <xf numFmtId="164" fontId="0" fillId="0" borderId="33" pivotButton="0" quotePrefix="0" xfId="0"/>
    <xf numFmtId="164" fontId="36" fillId="17" borderId="0" applyAlignment="1" pivotButton="0" quotePrefix="0" xfId="2">
      <alignment horizontal="center" vertical="center"/>
    </xf>
    <xf numFmtId="164" fontId="0" fillId="0" borderId="32" pivotButton="0" quotePrefix="0" xfId="0"/>
    <xf numFmtId="164" fontId="0" fillId="0" borderId="29" pivotButton="0" quotePrefix="0" xfId="0"/>
    <xf numFmtId="164" fontId="57" fillId="19" borderId="28" applyAlignment="1" pivotButton="0" quotePrefix="0" xfId="2">
      <alignment horizontal="center"/>
    </xf>
    <xf numFmtId="166" fontId="58" fillId="3" borderId="91" applyAlignment="1" pivotButton="0" quotePrefix="0" xfId="2">
      <alignment horizontal="center" vertical="center" wrapText="1"/>
    </xf>
    <xf numFmtId="0" fontId="53" fillId="30" borderId="420" applyAlignment="1" pivotButton="0" quotePrefix="0" xfId="2">
      <alignment horizontal="left" vertical="center" wrapText="1"/>
    </xf>
    <xf numFmtId="0" fontId="0" fillId="0" borderId="421" applyAlignment="1" pivotButton="0" quotePrefix="0" xfId="2">
      <alignment horizontal="left" vertical="center" wrapText="1"/>
    </xf>
    <xf numFmtId="0" fontId="6" fillId="0" borderId="421"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6"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7" applyAlignment="1" pivotButton="0" quotePrefix="0" xfId="0">
      <alignment horizontal="center" vertical="center"/>
    </xf>
    <xf numFmtId="172" fontId="39" fillId="3" borderId="267" applyAlignment="1" pivotButton="0" quotePrefix="0" xfId="2">
      <alignment horizontal="right" vertical="center"/>
    </xf>
    <xf numFmtId="172" fontId="39" fillId="3" borderId="115" applyAlignment="1" pivotButton="0" quotePrefix="0" xfId="2">
      <alignment horizontal="right" vertical="center"/>
    </xf>
    <xf numFmtId="0" fontId="29" fillId="20" borderId="292" applyAlignment="1" pivotButton="0" quotePrefix="0" xfId="2">
      <alignment horizontal="left" vertical="top" wrapText="1"/>
    </xf>
    <xf numFmtId="0" fontId="6" fillId="0" borderId="292" applyAlignment="1" pivotButton="0" quotePrefix="0" xfId="2">
      <alignment horizontal="left" vertical="top" wrapText="1"/>
    </xf>
    <xf numFmtId="2" fontId="96" fillId="17" borderId="29" applyAlignment="1" pivotButton="0" quotePrefix="0" xfId="0">
      <alignment horizontal="center" vertical="center"/>
    </xf>
    <xf numFmtId="2" fontId="136" fillId="0" borderId="278" applyAlignment="1" pivotButton="0" quotePrefix="0" xfId="0">
      <alignment vertical="center" wrapText="1"/>
    </xf>
    <xf numFmtId="2" fontId="137" fillId="0" borderId="279" applyAlignment="1" pivotButton="0" quotePrefix="0" xfId="0">
      <alignment vertical="center" wrapText="1"/>
    </xf>
    <xf numFmtId="2" fontId="137" fillId="0" borderId="278" applyAlignment="1" pivotButton="0" quotePrefix="0" xfId="0">
      <alignment vertical="center" wrapText="1"/>
    </xf>
    <xf numFmtId="2" fontId="0" fillId="11" borderId="12" applyAlignment="1" pivotButton="0" quotePrefix="0" xfId="3">
      <alignment horizontal="center" vertical="center"/>
    </xf>
    <xf numFmtId="2" fontId="23" fillId="12" borderId="12" applyAlignment="1" pivotButton="0" quotePrefix="0" xfId="3">
      <alignment vertical="center"/>
    </xf>
    <xf numFmtId="2" fontId="38" fillId="4" borderId="75" applyAlignment="1" pivotButton="0" quotePrefix="0" xfId="1">
      <alignment vertical="center" wrapText="1"/>
    </xf>
    <xf numFmtId="2" fontId="38" fillId="4" borderId="65" applyAlignment="1" pivotButton="0" quotePrefix="0" xfId="1">
      <alignment vertical="center" wrapText="1"/>
    </xf>
    <xf numFmtId="2" fontId="38" fillId="4" borderId="77" applyAlignment="1" pivotButton="0" quotePrefix="0" xfId="1">
      <alignment vertical="center" wrapText="1"/>
    </xf>
    <xf numFmtId="0" fontId="166" fillId="0" borderId="0" pivotButton="0" quotePrefix="0" xfId="0"/>
    <xf numFmtId="4" fontId="0" fillId="0" borderId="0" pivotButton="0" quotePrefix="0" xfId="0"/>
    <xf numFmtId="166" fontId="0" fillId="0" borderId="0" pivotButton="0" quotePrefix="0" xfId="0"/>
    <xf numFmtId="4" fontId="167" fillId="0" borderId="0" pivotButton="0" quotePrefix="0" xfId="0"/>
    <xf numFmtId="166" fontId="167" fillId="0" borderId="0" pivotButton="0" quotePrefix="0" xfId="0"/>
    <xf numFmtId="173" fontId="75" fillId="0" borderId="29" applyAlignment="1" pivotButton="0" quotePrefix="0" xfId="0">
      <alignment vertical="center"/>
    </xf>
    <xf numFmtId="173" fontId="167" fillId="0" borderId="0" pivotButton="0" quotePrefix="0" xfId="0"/>
    <xf numFmtId="173" fontId="62" fillId="0" borderId="65" applyAlignment="1" pivotButton="0" quotePrefix="0" xfId="0">
      <alignment vertical="center"/>
    </xf>
    <xf numFmtId="173" fontId="49" fillId="3" borderId="65" applyAlignment="1" pivotButton="0" quotePrefix="0" xfId="0">
      <alignment vertical="center"/>
    </xf>
    <xf numFmtId="173" fontId="0" fillId="0" borderId="0" pivotButton="0" quotePrefix="0" xfId="0"/>
    <xf numFmtId="173" fontId="55" fillId="35" borderId="65" applyAlignment="1" pivotButton="0" quotePrefix="0" xfId="0">
      <alignment vertical="center"/>
    </xf>
    <xf numFmtId="173" fontId="63" fillId="26" borderId="65" applyAlignment="1" pivotButton="0" quotePrefix="0" xfId="0">
      <alignment vertical="center"/>
    </xf>
    <xf numFmtId="173" fontId="66" fillId="20" borderId="65" applyAlignment="1" pivotButton="0" quotePrefix="0" xfId="0">
      <alignment vertical="center"/>
    </xf>
    <xf numFmtId="173" fontId="87" fillId="0" borderId="91" pivotButton="0" quotePrefix="0" xfId="0"/>
    <xf numFmtId="173" fontId="87" fillId="0" borderId="117" pivotButton="0" quotePrefix="0" xfId="0"/>
    <xf numFmtId="173" fontId="62" fillId="0" borderId="153" pivotButton="0" quotePrefix="0" xfId="0"/>
    <xf numFmtId="173" fontId="62" fillId="0" borderId="195" pivotButton="0" quotePrefix="0" xfId="0"/>
    <xf numFmtId="173" fontId="62" fillId="0" borderId="276" pivotButton="0" quotePrefix="0" xfId="0"/>
    <xf numFmtId="173" fontId="49" fillId="3" borderId="153" pivotButton="0" quotePrefix="0" xfId="0"/>
    <xf numFmtId="173" fontId="49" fillId="3" borderId="195" pivotButton="0" quotePrefix="0" xfId="0"/>
    <xf numFmtId="173" fontId="46" fillId="0" borderId="151" pivotButton="0" quotePrefix="0" xfId="0"/>
    <xf numFmtId="173" fontId="55" fillId="20" borderId="155" applyAlignment="1" pivotButton="0" quotePrefix="0" xfId="0">
      <alignment vertical="center"/>
    </xf>
    <xf numFmtId="173" fontId="87" fillId="0" borderId="0" applyAlignment="1" pivotButton="0" quotePrefix="0" xfId="0">
      <alignment vertical="center"/>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550" min="1" max="1"/>
    <col width="20.77734375" customWidth="1" style="550" min="2" max="2"/>
    <col width="50.77734375" customWidth="1" style="550" min="3" max="3"/>
    <col width="15.77734375" customWidth="1" style="550" min="4" max="5"/>
  </cols>
  <sheetData>
    <row r="1" ht="25.5" customHeight="1" s="550">
      <c r="A1" s="3" t="n"/>
      <c r="B1" s="560" t="inlineStr">
        <is>
          <t>FICHA TÉCNICA DEL PROYECTO</t>
        </is>
      </c>
    </row>
    <row r="2" ht="4.95" customHeight="1" s="550">
      <c r="A2" s="4" t="n"/>
      <c r="B2" s="556" t="n"/>
      <c r="C2" s="557" t="n"/>
      <c r="D2" s="557" t="n"/>
      <c r="E2" s="557" t="n"/>
    </row>
    <row r="3" ht="18" customHeight="1" s="550">
      <c r="A3" s="4" t="n"/>
      <c r="B3" s="183" t="n"/>
      <c r="C3" s="184" t="n"/>
      <c r="D3" s="558" t="inlineStr">
        <is>
          <t>CONTROL DOCUMENTAL</t>
        </is>
      </c>
      <c r="E3" s="559" t="n"/>
    </row>
    <row r="4" ht="15" customHeight="1" s="550">
      <c r="A4" s="4" t="n"/>
      <c r="B4" s="564" t="inlineStr">
        <is>
          <t>REFORMAS Y REMODELACIONES</t>
        </is>
      </c>
      <c r="C4" s="562" t="n"/>
      <c r="D4" s="94" t="inlineStr">
        <is>
          <t>Código</t>
        </is>
      </c>
      <c r="E4" s="1209" t="inlineStr">
        <is>
          <t>RYR-FT-001</t>
        </is>
      </c>
    </row>
    <row r="5" ht="15" customHeight="1" s="550">
      <c r="A5" s="4" t="n"/>
      <c r="B5" s="561" t="inlineStr">
        <is>
          <t>DISEÑAMOS, RENOVAMOS Y CONSTRUIMOS ESPACIOS QUE INSPIRAN</t>
        </is>
      </c>
      <c r="C5" s="562" t="n"/>
      <c r="D5" s="94" t="inlineStr">
        <is>
          <t>Versión</t>
        </is>
      </c>
      <c r="E5" s="1195" t="n">
        <v>1</v>
      </c>
    </row>
    <row r="6" ht="15" customHeight="1" s="550">
      <c r="A6" s="4" t="n"/>
      <c r="B6" s="185" t="n"/>
      <c r="C6" s="186" t="n"/>
      <c r="D6" s="94" t="inlineStr">
        <is>
          <t>Fecha de Emisión</t>
        </is>
      </c>
      <c r="E6" s="165" t="inlineStr">
        <is>
          <t>10/09/2026</t>
        </is>
      </c>
    </row>
    <row r="7" ht="15" customHeight="1" s="550">
      <c r="B7" s="185" t="n"/>
      <c r="C7" s="186" t="n"/>
      <c r="D7" s="95" t="inlineStr">
        <is>
          <t>Página</t>
        </is>
      </c>
      <c r="E7" s="1240" t="inlineStr">
        <is>
          <t>1 de 1</t>
        </is>
      </c>
    </row>
    <row r="8">
      <c r="A8" s="563" t="inlineStr">
        <is>
          <t>IDENTIFICACIÓN DEL PROYECTO</t>
        </is>
      </c>
    </row>
    <row r="9">
      <c r="A9" s="97" t="inlineStr">
        <is>
          <t>Proyecto</t>
        </is>
      </c>
      <c r="B9" s="552" t="n"/>
    </row>
    <row r="10">
      <c r="A10" s="97" t="inlineStr">
        <is>
          <t>No de Contrato</t>
        </is>
      </c>
      <c r="B10" s="552" t="n"/>
      <c r="C10" s="97" t="inlineStr">
        <is>
          <t>Fecha de Emisión</t>
        </is>
      </c>
      <c r="D10" s="552" t="n"/>
    </row>
    <row r="11">
      <c r="A11" s="97" t="inlineStr">
        <is>
          <t>Contratista</t>
        </is>
      </c>
      <c r="B11" s="552" t="n"/>
    </row>
    <row r="12">
      <c r="A12" s="97" t="inlineStr">
        <is>
          <t>Ubicación</t>
        </is>
      </c>
      <c r="B12" s="552" t="n"/>
    </row>
    <row r="13" ht="15" customHeight="1" s="550">
      <c r="A13" s="563" t="inlineStr">
        <is>
          <t>DATOS GENERALES DEL PROYECTO</t>
        </is>
      </c>
    </row>
    <row r="14" ht="15" customHeight="1" s="550">
      <c r="A14" s="97" t="inlineStr">
        <is>
          <t>Número de pisos (torre)</t>
        </is>
      </c>
      <c r="B14" s="98" t="n"/>
      <c r="C14" s="549" t="inlineStr">
        <is>
          <t>pisos</t>
        </is>
      </c>
    </row>
    <row r="15" ht="15" customHeight="1" s="550">
      <c r="A15" s="99" t="inlineStr">
        <is>
          <t>Número de sótanos (parqueaderos)</t>
        </is>
      </c>
      <c r="B15" s="100" t="n"/>
      <c r="C15" s="554" t="inlineStr">
        <is>
          <t>niveles</t>
        </is>
      </c>
    </row>
    <row r="16" ht="15" customHeight="1" s="550">
      <c r="A16" s="97" t="inlineStr">
        <is>
          <t>Área del lote</t>
        </is>
      </c>
      <c r="B16" s="98" t="n"/>
      <c r="C16" s="549" t="inlineStr">
        <is>
          <t>m²</t>
        </is>
      </c>
    </row>
    <row r="17" ht="15" customHeight="1" s="550">
      <c r="A17" s="99" t="inlineStr">
        <is>
          <t>Área construida típica por piso</t>
        </is>
      </c>
      <c r="B17" s="100" t="n"/>
      <c r="C17" s="554" t="inlineStr">
        <is>
          <t>m²</t>
        </is>
      </c>
    </row>
    <row r="18" ht="15" customHeight="1" s="550">
      <c r="A18" s="97" t="inlineStr">
        <is>
          <t>Área construida - torre (12 pisos)</t>
        </is>
      </c>
      <c r="B18" s="101">
        <f>B14*B17</f>
        <v/>
      </c>
      <c r="C18" s="549" t="inlineStr">
        <is>
          <t>m²</t>
        </is>
      </c>
    </row>
    <row r="19" ht="15" customHeight="1" s="550">
      <c r="A19" s="99" t="inlineStr">
        <is>
          <t>Área construida - sótanos (2 niveles)</t>
        </is>
      </c>
      <c r="B19" s="100" t="n"/>
      <c r="C19" s="554" t="inlineStr">
        <is>
          <t>m²</t>
        </is>
      </c>
    </row>
    <row r="20" ht="15" customHeight="1" s="550">
      <c r="A20" s="97" t="inlineStr">
        <is>
          <t>Área cubierta / cuarto de máquinas / tanques</t>
        </is>
      </c>
      <c r="B20" s="98" t="n"/>
      <c r="C20" s="549" t="inlineStr">
        <is>
          <t>m²</t>
        </is>
      </c>
    </row>
    <row r="21" ht="15" customHeight="1" s="550">
      <c r="A21" s="99" t="inlineStr">
        <is>
          <t>ÁREA TOTAL CONSTRUIDA</t>
        </is>
      </c>
      <c r="B21" s="102">
        <f>B18+B19+B20</f>
        <v/>
      </c>
      <c r="C21" s="554" t="inlineStr">
        <is>
          <t>m²</t>
        </is>
      </c>
    </row>
    <row r="22" ht="15" customHeight="1" s="550">
      <c r="A22" s="97" t="inlineStr">
        <is>
          <t>Número de apartamentos</t>
        </is>
      </c>
      <c r="B22" s="98" t="n"/>
      <c r="C22" s="549" t="inlineStr">
        <is>
          <t>und</t>
        </is>
      </c>
    </row>
    <row r="23" ht="15" customHeight="1" s="550">
      <c r="A23" s="99" t="inlineStr">
        <is>
          <t>Área promedio por apartamento (vendible)</t>
        </is>
      </c>
      <c r="B23" s="100" t="n"/>
      <c r="C23" s="554" t="inlineStr">
        <is>
          <t>m²</t>
        </is>
      </c>
    </row>
    <row r="24" ht="15" customHeight="1" s="550">
      <c r="A24" s="97" t="inlineStr">
        <is>
          <t>Número de parqueaderos</t>
        </is>
      </c>
      <c r="B24" s="98" t="n"/>
      <c r="C24" s="549" t="inlineStr">
        <is>
          <t>und</t>
        </is>
      </c>
    </row>
    <row r="25" ht="15" customHeight="1" s="550">
      <c r="A25" s="99" t="inlineStr">
        <is>
          <t>Número de ascensores</t>
        </is>
      </c>
      <c r="B25" s="100" t="n"/>
      <c r="C25" s="554" t="inlineStr">
        <is>
          <t>und</t>
        </is>
      </c>
    </row>
    <row r="26" ht="15" customHeight="1" s="550">
      <c r="A26" s="97" t="inlineStr">
        <is>
          <t>Altura total aproximada (sótano a cubierta)</t>
        </is>
      </c>
      <c r="B26" s="98" t="n"/>
      <c r="C26" s="549" t="inlineStr">
        <is>
          <t>m</t>
        </is>
      </c>
    </row>
    <row r="27">
      <c r="A27" s="555" t="n"/>
      <c r="B27" s="555" t="n"/>
      <c r="C27" s="555" t="n"/>
    </row>
    <row r="28" ht="15" customHeight="1" s="550">
      <c r="A28" s="553" t="inlineStr">
        <is>
          <t>PARÁMETROS ECONÓMICOS DEL PRESUPUESTO</t>
        </is>
      </c>
    </row>
    <row r="29" ht="15" customHeight="1" s="550">
      <c r="A29" s="97" t="inlineStr">
        <is>
          <t>Administración (A)</t>
        </is>
      </c>
      <c r="B29" s="1283" t="n">
        <v>0.1</v>
      </c>
      <c r="C29" s="549" t="inlineStr">
        <is>
          <t>% s/costo directo</t>
        </is>
      </c>
    </row>
    <row r="30" ht="15" customHeight="1" s="550">
      <c r="A30" s="99" t="inlineStr">
        <is>
          <t>Imprevistos (I)</t>
        </is>
      </c>
      <c r="B30" s="1284" t="n">
        <v>0.04</v>
      </c>
      <c r="C30" s="554" t="inlineStr">
        <is>
          <t>% s/costo directo</t>
        </is>
      </c>
    </row>
    <row r="31" ht="15" customHeight="1" s="550">
      <c r="A31" s="97" t="inlineStr">
        <is>
          <t>Utilidad (U)</t>
        </is>
      </c>
      <c r="B31" s="1283" t="n">
        <v>0.12</v>
      </c>
      <c r="C31" s="549" t="inlineStr">
        <is>
          <t>% s/costo directo</t>
        </is>
      </c>
    </row>
    <row r="32" ht="15" customHeight="1" s="550">
      <c r="A32" s="99" t="inlineStr">
        <is>
          <t>IVA sobre Utilidad</t>
        </is>
      </c>
      <c r="B32" s="1284" t="n">
        <v>0.19</v>
      </c>
      <c r="C32" s="554" t="inlineStr">
        <is>
          <t>% s/utilidad (Ley 1943 / práctica AIU en Colombia)</t>
        </is>
      </c>
    </row>
    <row r="33">
      <c r="A33" s="555" t="n"/>
      <c r="B33" s="555" t="n"/>
      <c r="C33" s="555" t="n"/>
    </row>
    <row r="34" ht="15" customHeight="1" s="550">
      <c r="A34" s="103" t="inlineStr">
        <is>
          <t>AIU TOTAL (A+I+U)</t>
        </is>
      </c>
      <c r="B34" s="1285">
        <f>B29+B30+B31</f>
        <v/>
      </c>
      <c r="C34" s="555" t="n"/>
    </row>
    <row r="35">
      <c r="A35" s="555" t="n"/>
      <c r="B35" s="555" t="n"/>
      <c r="C35" s="555" t="n"/>
    </row>
    <row r="36" ht="15" customHeight="1" s="550">
      <c r="A36" s="553" t="inlineStr">
        <is>
          <t>FUENTES Y NOTAS METODOLÓGICAS</t>
        </is>
      </c>
    </row>
    <row r="37" ht="15" customFormat="1" customHeight="1" s="199">
      <c r="A37" s="200" t="inlineStr">
        <is>
          <t>REV. 10/09/2026</t>
        </is>
      </c>
      <c r="B37" s="198" t="n"/>
      <c r="C37" s="198" t="n"/>
      <c r="D37" s="198" t="n"/>
      <c r="E37" s="337">
        <f>E4</f>
        <v/>
      </c>
    </row>
    <row r="38" ht="25.5" customHeight="1" s="550">
      <c r="A38" s="551" t="inlineStr">
        <is>
          <t>1. Precios de referencia investigados para Bogotá D.C., 2026 (2° semestre). Son precios promedio de mercado; cada obra requiere cotización formal con proveedores.</t>
        </is>
      </c>
    </row>
    <row r="39" ht="25.5" customHeight="1" s="550">
      <c r="A39" s="551" t="inlineStr">
        <is>
          <t>2. Rango de costo directo de construcción en Bogotá 2026 según fuentes de mercado: $2.200.000 - $3.800.000 COP/m² (Aliados de Obras, 2026); promedio de estabilización Ene-Abr 2026: ~$3.050.000 COP/m².</t>
        </is>
      </c>
    </row>
    <row r="40" ht="25.5" customHeight="1" s="550">
      <c r="A40" s="551" t="inlineStr">
        <is>
          <t>3. Concreto 3000 PSI para estructura con formaletería: referencia ~$868.306 COP/m³ (Listado de Precios Unitarios, Secretaría de Infraestructura / Fidubogotá, ajustado a 2026).</t>
        </is>
      </c>
    </row>
    <row r="41" ht="25.5" customHeight="1" s="550">
      <c r="A41" s="551" t="inlineStr">
        <is>
          <t>4. Acero de refuerzo figurado e instalado: referencia ~$6.500-7.000 COP/kg (Comando Construcciones, 2026; incremento por alza del 23,7% en el SMMLV 2026 según DANE-ICOCED).</t>
        </is>
      </c>
    </row>
    <row r="42" ht="25.5" customHeight="1" s="550">
      <c r="A42" s="551" t="inlineStr">
        <is>
          <t>5. Ascensor eléctrico para edificio de 10+ pisos, alta velocidad, instalado: $450M-$750M COP por unidad (OTA Vertical, 2026). Se tomó valor medio.</t>
        </is>
      </c>
    </row>
    <row r="43" ht="25.5" customHeight="1" s="550">
      <c r="A43" s="551" t="inlineStr">
        <is>
          <t>6. Índice de Costos de la Construcción de Edificaciones (ICOCED-DANE): variación interanual ene.2025-ene.2026 de +8,7% en Bogotá, impulsada por incremento salarial.</t>
        </is>
      </c>
    </row>
    <row r="44" ht="25.5" customHeight="1" s="550">
      <c r="A44" s="551" t="inlineStr">
        <is>
          <t>7. AIU recomendado para edificaciones en Colombia: 25%-30% sobre costos directos (Administración 10-12%, Imprevistos 3-5%, Utilidad 10-15%). Se usó 26% (10%+4%+12%).</t>
        </is>
      </c>
    </row>
    <row r="45" ht="25.5" customHeight="1" s="550">
      <c r="A45" s="55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550">
      <c r="A46" s="55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550">
      <c r="A47" s="55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B1:E1"/>
    <mergeCell ref="C14:E14"/>
    <mergeCell ref="A43:E43"/>
    <mergeCell ref="A38:E38"/>
    <mergeCell ref="B5:C5"/>
    <mergeCell ref="A28:E28"/>
    <mergeCell ref="A40:E40"/>
    <mergeCell ref="C26:E26"/>
    <mergeCell ref="A13:E13"/>
    <mergeCell ref="C29:E29"/>
    <mergeCell ref="A44:E44"/>
    <mergeCell ref="C20:E20"/>
    <mergeCell ref="C35:E35"/>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tabColor rgb="FF2E7D32"/>
    <pageSetUpPr/>
  </sheetPr>
  <dimension ref="A1:F260"/>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614" min="1" max="1"/>
    <col width="60.77734375" customWidth="1" style="550" min="2" max="2"/>
    <col width="50.77734375" customWidth="1" style="550" min="3" max="3"/>
    <col width="20.77734375" customWidth="1" style="550" min="4" max="6"/>
  </cols>
  <sheetData>
    <row r="1">
      <c r="A1" s="502" t="n"/>
      <c r="B1" s="502" t="n"/>
      <c r="C1" s="569" t="inlineStr">
        <is>
          <t>PRESUPUESTO DE OBRA</t>
        </is>
      </c>
    </row>
    <row r="2">
      <c r="A2" s="502" t="n"/>
      <c r="B2" s="618" t="n"/>
    </row>
    <row r="3">
      <c r="A3" s="502" t="n"/>
      <c r="B3" s="618" t="n"/>
    </row>
    <row r="4" ht="4.95" customHeight="1" s="550">
      <c r="A4" s="502" t="n"/>
      <c r="B4" s="618" t="n"/>
      <c r="C4" s="180" t="n"/>
      <c r="D4" s="180" t="n"/>
      <c r="E4" s="180" t="n"/>
      <c r="F4" s="180" t="n"/>
    </row>
    <row r="5">
      <c r="A5" s="502" t="n"/>
      <c r="B5" s="618" t="n"/>
      <c r="C5" s="705" t="n"/>
      <c r="D5" s="562" t="n"/>
      <c r="E5" s="706" t="inlineStr">
        <is>
          <t>CONTROL DOCUMENTAL</t>
        </is>
      </c>
      <c r="F5" s="559" t="n"/>
    </row>
    <row r="6" ht="21" customHeight="1" s="550">
      <c r="A6" s="502" t="n"/>
      <c r="B6" s="618" t="n"/>
      <c r="C6" s="564" t="inlineStr">
        <is>
          <t>REFORMAS Y REMODELACIONES</t>
        </is>
      </c>
      <c r="D6" s="562" t="n"/>
      <c r="E6" s="181" t="inlineStr">
        <is>
          <t>Código</t>
        </is>
      </c>
      <c r="F6" s="1209" t="inlineStr">
        <is>
          <t>RYR-PP-001</t>
        </is>
      </c>
    </row>
    <row r="7" ht="15" customHeight="1" s="550">
      <c r="A7" s="502" t="n"/>
      <c r="B7" s="618" t="n"/>
      <c r="C7" s="561" t="inlineStr">
        <is>
          <t>DISEÑAMOS, RENOVAMOS Y CONSTRUIMOS ESPACIOS QUE INSPIRAN</t>
        </is>
      </c>
      <c r="D7" s="562" t="n"/>
      <c r="E7" s="181" t="inlineStr">
        <is>
          <t>Versión</t>
        </is>
      </c>
      <c r="F7" s="1195" t="n">
        <v>1</v>
      </c>
    </row>
    <row r="8" ht="15" customHeight="1" s="550">
      <c r="A8" s="502" t="n"/>
      <c r="B8" s="618" t="n"/>
      <c r="C8" s="705" t="n"/>
      <c r="D8" s="562" t="n"/>
      <c r="E8" s="181" t="inlineStr">
        <is>
          <t>Fecha de Emisión</t>
        </is>
      </c>
      <c r="F8" s="165" t="inlineStr">
        <is>
          <t>10/09/2026</t>
        </is>
      </c>
    </row>
    <row r="9" ht="15" customHeight="1" s="550">
      <c r="A9" s="503" t="n"/>
      <c r="B9" s="499" t="n"/>
      <c r="C9" s="705" t="n"/>
      <c r="D9" s="562" t="n"/>
      <c r="E9" s="504" t="inlineStr">
        <is>
          <t>Página</t>
        </is>
      </c>
      <c r="F9" s="1240" t="inlineStr">
        <is>
          <t>1 de 1</t>
        </is>
      </c>
    </row>
    <row r="10" ht="15" customHeight="1" s="550">
      <c r="A10" s="712" t="inlineStr">
        <is>
          <t>IDENTIFICACIÓN DE PROYECTO</t>
        </is>
      </c>
      <c r="B10" s="713" t="n"/>
      <c r="C10" s="713" t="n"/>
      <c r="D10" s="713" t="n"/>
      <c r="E10" s="713" t="n"/>
      <c r="F10" s="714" t="n"/>
    </row>
    <row r="11" ht="15" customHeight="1" s="550">
      <c r="A11" s="718" t="inlineStr">
        <is>
          <t>Bogotá D.C. - Precios de referencia de mercado 2026 - Valores en pesos colombianos (COP), sin decimales</t>
        </is>
      </c>
      <c r="F11" s="562" t="n"/>
    </row>
    <row r="12">
      <c r="A12" s="709" t="inlineStr">
        <is>
          <t>Proyecto</t>
        </is>
      </c>
      <c r="B12" s="710" t="n"/>
      <c r="C12" s="711" t="n"/>
      <c r="D12" s="710" t="n"/>
      <c r="E12" s="116" t="inlineStr">
        <is>
          <t>Fecha de Emisión</t>
        </is>
      </c>
      <c r="F12" s="273" t="inlineStr">
        <is>
          <t>10/09/2026</t>
        </is>
      </c>
    </row>
    <row r="13" ht="15" customHeight="1" s="550">
      <c r="A13" s="190" t="inlineStr">
        <is>
          <t>Ítem</t>
        </is>
      </c>
      <c r="B13" s="191" t="inlineStr">
        <is>
          <t>Descripción</t>
        </is>
      </c>
      <c r="C13" s="191" t="inlineStr">
        <is>
          <t>Unidad</t>
        </is>
      </c>
      <c r="D13" s="191" t="inlineStr">
        <is>
          <t>Cantidad</t>
        </is>
      </c>
      <c r="E13" s="191" t="inlineStr">
        <is>
          <t>Precio Unitario</t>
        </is>
      </c>
      <c r="F13" s="192" t="inlineStr">
        <is>
          <t>Valor Total</t>
        </is>
      </c>
    </row>
    <row r="14">
      <c r="A14" s="182" t="inlineStr">
        <is>
          <t>1</t>
        </is>
      </c>
      <c r="B14" s="707" t="inlineStr">
        <is>
          <t>PRELIMINARES</t>
        </is>
      </c>
      <c r="C14" s="609" t="n"/>
      <c r="D14" s="609" t="n"/>
      <c r="E14" s="609" t="n"/>
      <c r="F14" s="610" t="n"/>
    </row>
    <row r="15">
      <c r="A15" s="80" t="inlineStr">
        <is>
          <t>1.1</t>
        </is>
      </c>
      <c r="B15" s="364" t="inlineStr">
        <is>
          <t>Localización y Replanteo</t>
        </is>
      </c>
      <c r="C15" s="257" t="inlineStr">
        <is>
          <t>M²</t>
        </is>
      </c>
      <c r="D15" s="258" t="n"/>
      <c r="E15" s="1451" t="n"/>
      <c r="F15" s="1453">
        <f>D15*E15</f>
        <v/>
      </c>
    </row>
    <row r="16">
      <c r="A16" s="80" t="inlineStr">
        <is>
          <t>1.2</t>
        </is>
      </c>
      <c r="B16" s="364" t="inlineStr">
        <is>
          <t>Cerramiento provisional de obra</t>
        </is>
      </c>
      <c r="C16" s="257" t="inlineStr">
        <is>
          <t>ML</t>
        </is>
      </c>
      <c r="D16" s="258" t="n"/>
      <c r="E16" s="1451" t="n"/>
      <c r="F16" s="1453">
        <f>D16*E16</f>
        <v/>
      </c>
    </row>
    <row r="17">
      <c r="A17" s="80" t="inlineStr">
        <is>
          <t>1.3</t>
        </is>
      </c>
      <c r="B17" s="364" t="inlineStr">
        <is>
          <t>Instalación de campamento y oficinas provisionales</t>
        </is>
      </c>
      <c r="C17" s="257" t="inlineStr">
        <is>
          <t>M²</t>
        </is>
      </c>
      <c r="D17" s="258" t="n"/>
      <c r="E17" s="1451" t="n"/>
      <c r="F17" s="1453">
        <f>D17*E17</f>
        <v/>
      </c>
    </row>
    <row r="18">
      <c r="A18" s="80" t="inlineStr">
        <is>
          <t>1.4</t>
        </is>
      </c>
      <c r="B18" s="364" t="inlineStr">
        <is>
          <t>Adecuación de área de almacenamiento</t>
        </is>
      </c>
      <c r="C18" s="257" t="inlineStr">
        <is>
          <t>M²</t>
        </is>
      </c>
      <c r="D18" s="258" t="n"/>
      <c r="E18" s="1451" t="n"/>
      <c r="F18" s="1453">
        <f>D18*E18</f>
        <v/>
      </c>
    </row>
    <row r="19">
      <c r="A19" s="80" t="inlineStr">
        <is>
          <t>1.5</t>
        </is>
      </c>
      <c r="B19" s="364" t="inlineStr">
        <is>
          <t>Señalización preventiva e informativa de obra</t>
        </is>
      </c>
      <c r="C19" s="257" t="inlineStr">
        <is>
          <t>UND</t>
        </is>
      </c>
      <c r="D19" s="258" t="n"/>
      <c r="E19" s="1451" t="n"/>
      <c r="F19" s="1453">
        <f>D19*E19</f>
        <v/>
      </c>
    </row>
    <row r="20">
      <c r="A20" s="80" t="inlineStr">
        <is>
          <t>1.6</t>
        </is>
      </c>
      <c r="B20" s="364" t="inlineStr">
        <is>
          <t>Instalaciones provisionales de agua y energía</t>
        </is>
      </c>
      <c r="C20" s="257" t="inlineStr">
        <is>
          <t>GL</t>
        </is>
      </c>
      <c r="D20" s="258" t="n"/>
      <c r="E20" s="1451" t="n"/>
      <c r="F20" s="1453">
        <f>D20*E20</f>
        <v/>
      </c>
    </row>
    <row r="21">
      <c r="A21" s="80" t="inlineStr">
        <is>
          <t>1.7</t>
        </is>
      </c>
      <c r="B21" s="364" t="inlineStr">
        <is>
          <t>Protección de elementos existentes</t>
        </is>
      </c>
      <c r="C21" s="257" t="inlineStr">
        <is>
          <t>M²</t>
        </is>
      </c>
      <c r="D21" s="258" t="n"/>
      <c r="E21" s="1451" t="n"/>
      <c r="F21" s="1453">
        <f>D21*E21</f>
        <v/>
      </c>
    </row>
    <row r="22">
      <c r="A22" s="80" t="inlineStr">
        <is>
          <t>1.8</t>
        </is>
      </c>
      <c r="B22" s="364" t="inlineStr">
        <is>
          <t>Desmonte y limpieza inicial</t>
        </is>
      </c>
      <c r="C22" s="257" t="inlineStr">
        <is>
          <t>M²</t>
        </is>
      </c>
      <c r="D22" s="258" t="n"/>
      <c r="E22" s="1451" t="n"/>
      <c r="F22" s="1453">
        <f>D22*E22</f>
        <v/>
      </c>
    </row>
    <row r="23">
      <c r="A23" s="80" t="inlineStr">
        <is>
          <t>1.9</t>
        </is>
      </c>
      <c r="B23" s="364" t="inlineStr">
        <is>
          <t>Demoliciones preliminares</t>
        </is>
      </c>
      <c r="C23" s="257" t="inlineStr">
        <is>
          <t>M³</t>
        </is>
      </c>
      <c r="D23" s="258" t="n"/>
      <c r="E23" s="1451" t="n"/>
      <c r="F23" s="1453">
        <f>D23*E23</f>
        <v/>
      </c>
    </row>
    <row r="24">
      <c r="A24" s="80" t="inlineStr">
        <is>
          <t>1.10</t>
        </is>
      </c>
      <c r="B24" s="364" t="inlineStr">
        <is>
          <t>Desmantelamiento de estructuras metálicas existentes</t>
        </is>
      </c>
      <c r="C24" s="257" t="inlineStr">
        <is>
          <t>KG</t>
        </is>
      </c>
      <c r="D24" s="258" t="n"/>
      <c r="E24" s="1451" t="n"/>
      <c r="F24" s="1453">
        <f>D24*E24</f>
        <v/>
      </c>
    </row>
    <row r="25">
      <c r="A25" s="81" t="n"/>
      <c r="B25" s="704" t="inlineStr">
        <is>
          <t>SUBTOTAL CAPÍTULO 1 - PRELIMINARES</t>
        </is>
      </c>
      <c r="C25" s="567" t="n"/>
      <c r="D25" s="567" t="n"/>
      <c r="E25" s="567" t="n"/>
      <c r="F25" s="1454">
        <f>SUM(F15:F24)</f>
        <v/>
      </c>
    </row>
    <row r="26">
      <c r="A26" s="82" t="n"/>
      <c r="B26" s="716" t="n"/>
      <c r="C26" s="716" t="n"/>
      <c r="D26" s="716" t="n"/>
      <c r="E26" s="716" t="n"/>
      <c r="F26" s="708" t="n"/>
    </row>
    <row r="27">
      <c r="A27" s="182" t="inlineStr">
        <is>
          <t>2</t>
        </is>
      </c>
      <c r="B27" s="707" t="inlineStr">
        <is>
          <t>MOVIMIENTO DE TIERRAS</t>
        </is>
      </c>
      <c r="C27" s="609" t="n"/>
      <c r="D27" s="609" t="n"/>
      <c r="E27" s="609" t="n"/>
      <c r="F27" s="610" t="n"/>
    </row>
    <row r="28">
      <c r="A28" s="80" t="inlineStr">
        <is>
          <t>2.1</t>
        </is>
      </c>
      <c r="B28" s="364" t="inlineStr">
        <is>
          <t>Excavación manual en material común</t>
        </is>
      </c>
      <c r="C28" s="257" t="inlineStr">
        <is>
          <t>M³</t>
        </is>
      </c>
      <c r="D28" s="258" t="n"/>
      <c r="E28" s="1451" t="n"/>
      <c r="F28" s="1453">
        <f>D28*E28</f>
        <v/>
      </c>
    </row>
    <row r="29">
      <c r="A29" s="80" t="inlineStr">
        <is>
          <t>2.2</t>
        </is>
      </c>
      <c r="B29" s="364" t="inlineStr">
        <is>
          <t>Excavación mecánica</t>
        </is>
      </c>
      <c r="C29" s="257" t="inlineStr">
        <is>
          <t>M³</t>
        </is>
      </c>
      <c r="D29" s="258" t="n"/>
      <c r="E29" s="1451" t="n"/>
      <c r="F29" s="1453">
        <f>D29*E29</f>
        <v/>
      </c>
    </row>
    <row r="30">
      <c r="A30" s="80" t="inlineStr">
        <is>
          <t>2.3</t>
        </is>
      </c>
      <c r="B30" s="364" t="inlineStr">
        <is>
          <t>Excavación en roca</t>
        </is>
      </c>
      <c r="C30" s="257" t="inlineStr">
        <is>
          <t>M³</t>
        </is>
      </c>
      <c r="D30" s="258" t="n"/>
      <c r="E30" s="1451" t="n"/>
      <c r="F30" s="1453">
        <f>D30*E30</f>
        <v/>
      </c>
    </row>
    <row r="31">
      <c r="A31" s="80" t="inlineStr">
        <is>
          <t>2.4</t>
        </is>
      </c>
      <c r="B31" s="364" t="inlineStr">
        <is>
          <t>Perfilado y conformación de excavaciones</t>
        </is>
      </c>
      <c r="C31" s="257" t="inlineStr">
        <is>
          <t>M²</t>
        </is>
      </c>
      <c r="D31" s="258" t="n"/>
      <c r="E31" s="1451" t="n"/>
      <c r="F31" s="1453">
        <f>D31*E31</f>
        <v/>
      </c>
    </row>
    <row r="32">
      <c r="A32" s="80" t="inlineStr">
        <is>
          <t>2.5</t>
        </is>
      </c>
      <c r="B32" s="364" t="inlineStr">
        <is>
          <t>Relleno con material seleccionado compactado</t>
        </is>
      </c>
      <c r="C32" s="257" t="inlineStr">
        <is>
          <t>M³</t>
        </is>
      </c>
      <c r="D32" s="258" t="n"/>
      <c r="E32" s="1451" t="n"/>
      <c r="F32" s="1453">
        <f>D32*E32</f>
        <v/>
      </c>
    </row>
    <row r="33">
      <c r="A33" s="80" t="inlineStr">
        <is>
          <t>2.6</t>
        </is>
      </c>
      <c r="B33" s="364" t="inlineStr">
        <is>
          <t>Relleno con material proveniente de excavación</t>
        </is>
      </c>
      <c r="C33" s="257" t="inlineStr">
        <is>
          <t>M³</t>
        </is>
      </c>
      <c r="D33" s="258" t="n"/>
      <c r="E33" s="1451" t="n"/>
      <c r="F33" s="1453">
        <f>D33*E33</f>
        <v/>
      </c>
    </row>
    <row r="34">
      <c r="A34" s="80" t="inlineStr">
        <is>
          <t>2.7</t>
        </is>
      </c>
      <c r="B34" s="364" t="inlineStr">
        <is>
          <t>Suministro, extendido y compactación de subbase</t>
        </is>
      </c>
      <c r="C34" s="257" t="inlineStr">
        <is>
          <t>M³</t>
        </is>
      </c>
      <c r="D34" s="258" t="n"/>
      <c r="E34" s="1451" t="n"/>
      <c r="F34" s="1453">
        <f>D34*E34</f>
        <v/>
      </c>
    </row>
    <row r="35">
      <c r="A35" s="80" t="inlineStr">
        <is>
          <t>2.8</t>
        </is>
      </c>
      <c r="B35" s="364" t="inlineStr">
        <is>
          <t>Suministro, extendido y compactación de base granular</t>
        </is>
      </c>
      <c r="C35" s="257" t="inlineStr">
        <is>
          <t>M³</t>
        </is>
      </c>
      <c r="D35" s="258" t="n"/>
      <c r="E35" s="1451" t="n"/>
      <c r="F35" s="1453">
        <f>D35*E35</f>
        <v/>
      </c>
    </row>
    <row r="36">
      <c r="A36" s="80" t="inlineStr">
        <is>
          <t>2.9</t>
        </is>
      </c>
      <c r="B36" s="364" t="inlineStr">
        <is>
          <t>Cargue de material sobrante</t>
        </is>
      </c>
      <c r="C36" s="257" t="inlineStr">
        <is>
          <t>M³</t>
        </is>
      </c>
      <c r="D36" s="258" t="n"/>
      <c r="E36" s="1451" t="n"/>
      <c r="F36" s="1453">
        <f>D36*E36</f>
        <v/>
      </c>
    </row>
    <row r="37">
      <c r="A37" s="80" t="inlineStr">
        <is>
          <t>2.10</t>
        </is>
      </c>
      <c r="B37" s="364" t="inlineStr">
        <is>
          <t>Transporte de material sobrante</t>
        </is>
      </c>
      <c r="C37" s="257" t="inlineStr">
        <is>
          <t>M³</t>
        </is>
      </c>
      <c r="D37" s="258" t="n"/>
      <c r="E37" s="1451" t="n"/>
      <c r="F37" s="1453">
        <f>D37*E37</f>
        <v/>
      </c>
    </row>
    <row r="38">
      <c r="A38" s="80" t="inlineStr">
        <is>
          <t>2.11</t>
        </is>
      </c>
      <c r="B38" s="364" t="inlineStr">
        <is>
          <t>Disposición final de sobrantes</t>
        </is>
      </c>
      <c r="C38" s="257" t="inlineStr">
        <is>
          <t>M³</t>
        </is>
      </c>
      <c r="D38" s="258" t="n"/>
      <c r="E38" s="1451" t="n"/>
      <c r="F38" s="1453">
        <f>D38*E38</f>
        <v/>
      </c>
    </row>
    <row r="39">
      <c r="A39" s="81" t="n"/>
      <c r="B39" s="704" t="inlineStr">
        <is>
          <t>SUBTOTAL CAPÍTULO 2 - MOVIMIENTO DE TIERRAS</t>
        </is>
      </c>
      <c r="C39" s="567" t="n"/>
      <c r="D39" s="567" t="n"/>
      <c r="E39" s="567" t="n"/>
      <c r="F39" s="1454">
        <f>SUM(F28:F38)</f>
        <v/>
      </c>
    </row>
    <row r="40">
      <c r="A40" s="82" t="n"/>
      <c r="B40" s="716" t="n"/>
      <c r="C40" s="716" t="n"/>
      <c r="D40" s="716" t="n"/>
      <c r="E40" s="716" t="n"/>
      <c r="F40" s="708" t="n"/>
    </row>
    <row r="41">
      <c r="A41" s="182" t="inlineStr">
        <is>
          <t>3</t>
        </is>
      </c>
      <c r="B41" s="707" t="inlineStr">
        <is>
          <t>CIMENTACIONES</t>
        </is>
      </c>
      <c r="C41" s="609" t="n"/>
      <c r="D41" s="609" t="n"/>
      <c r="E41" s="609" t="n"/>
      <c r="F41" s="610" t="n"/>
    </row>
    <row r="42">
      <c r="A42" s="80" t="inlineStr">
        <is>
          <t>3.1</t>
        </is>
      </c>
      <c r="B42" s="364" t="inlineStr">
        <is>
          <t>Concreto de limpieza / solado</t>
        </is>
      </c>
      <c r="C42" s="257" t="inlineStr">
        <is>
          <t>M³</t>
        </is>
      </c>
      <c r="D42" s="258" t="n"/>
      <c r="E42" s="1451" t="n"/>
      <c r="F42" s="1453">
        <f>D42*E42</f>
        <v/>
      </c>
    </row>
    <row r="43">
      <c r="A43" s="80" t="inlineStr">
        <is>
          <t>3.2</t>
        </is>
      </c>
      <c r="B43" s="364" t="inlineStr">
        <is>
          <t>Concreto para zapatas</t>
        </is>
      </c>
      <c r="C43" s="257" t="inlineStr">
        <is>
          <t>M³</t>
        </is>
      </c>
      <c r="D43" s="258" t="n"/>
      <c r="E43" s="1451" t="n"/>
      <c r="F43" s="1453">
        <f>D43*E43</f>
        <v/>
      </c>
    </row>
    <row r="44">
      <c r="A44" s="80" t="inlineStr">
        <is>
          <t>3.3</t>
        </is>
      </c>
      <c r="B44" s="364" t="inlineStr">
        <is>
          <t>Concreto para vigas de cimentación</t>
        </is>
      </c>
      <c r="C44" s="257" t="inlineStr">
        <is>
          <t>M³</t>
        </is>
      </c>
      <c r="D44" s="258" t="n"/>
      <c r="E44" s="1451" t="n"/>
      <c r="F44" s="1453">
        <f>D44*E44</f>
        <v/>
      </c>
    </row>
    <row r="45">
      <c r="A45" s="80" t="inlineStr">
        <is>
          <t>3.4</t>
        </is>
      </c>
      <c r="B45" s="364" t="inlineStr">
        <is>
          <t>Concreto para losas de cimentación</t>
        </is>
      </c>
      <c r="C45" s="257" t="inlineStr">
        <is>
          <t>M³</t>
        </is>
      </c>
      <c r="D45" s="258" t="n"/>
      <c r="E45" s="1451" t="n"/>
      <c r="F45" s="1453">
        <f>D45*E45</f>
        <v/>
      </c>
    </row>
    <row r="46">
      <c r="A46" s="80" t="inlineStr">
        <is>
          <t>3.5</t>
        </is>
      </c>
      <c r="B46" s="364" t="inlineStr">
        <is>
          <t>Concreto para pedestales</t>
        </is>
      </c>
      <c r="C46" s="257" t="inlineStr">
        <is>
          <t>M³</t>
        </is>
      </c>
      <c r="D46" s="258" t="n"/>
      <c r="E46" s="1451" t="n"/>
      <c r="F46" s="1453">
        <f>D46*E46</f>
        <v/>
      </c>
    </row>
    <row r="47">
      <c r="A47" s="80" t="inlineStr">
        <is>
          <t>3.6</t>
        </is>
      </c>
      <c r="B47" s="364" t="inlineStr">
        <is>
          <t>Acero de refuerzo en cimentación</t>
        </is>
      </c>
      <c r="C47" s="257" t="inlineStr">
        <is>
          <t>KG</t>
        </is>
      </c>
      <c r="D47" s="258" t="n"/>
      <c r="E47" s="1451" t="n"/>
      <c r="F47" s="1453">
        <f>D47*E47</f>
        <v/>
      </c>
    </row>
    <row r="48">
      <c r="A48" s="80" t="inlineStr">
        <is>
          <t>3.7</t>
        </is>
      </c>
      <c r="B48" s="364" t="inlineStr">
        <is>
          <t>Formaleta para elementos de cimentación</t>
        </is>
      </c>
      <c r="C48" s="257" t="inlineStr">
        <is>
          <t>M²</t>
        </is>
      </c>
      <c r="D48" s="258" t="n"/>
      <c r="E48" s="1451" t="n"/>
      <c r="F48" s="1453">
        <f>D48*E48</f>
        <v/>
      </c>
    </row>
    <row r="49">
      <c r="A49" s="81" t="n"/>
      <c r="B49" s="704" t="inlineStr">
        <is>
          <t>SUBTOTAL CAPÍTULO 3 - CIMENTACIONES</t>
        </is>
      </c>
      <c r="C49" s="567" t="n"/>
      <c r="D49" s="567" t="n"/>
      <c r="E49" s="567" t="n"/>
      <c r="F49" s="1454">
        <f>SUM(F42:F48)</f>
        <v/>
      </c>
    </row>
    <row r="50">
      <c r="A50" s="82" t="n"/>
      <c r="B50" s="716" t="n"/>
      <c r="C50" s="716" t="n"/>
      <c r="D50" s="716" t="n"/>
      <c r="E50" s="716" t="n"/>
      <c r="F50" s="708" t="n"/>
    </row>
    <row r="51">
      <c r="A51" s="182" t="inlineStr">
        <is>
          <t>4</t>
        </is>
      </c>
      <c r="B51" s="703" t="inlineStr">
        <is>
          <t>ESTRUCTURA</t>
        </is>
      </c>
      <c r="C51" s="567" t="n"/>
      <c r="D51" s="567" t="n"/>
      <c r="E51" s="567" t="n"/>
      <c r="F51" s="567" t="n"/>
    </row>
    <row r="52">
      <c r="A52" s="80" t="inlineStr">
        <is>
          <t>4.1</t>
        </is>
      </c>
      <c r="B52" s="364" t="inlineStr">
        <is>
          <t>Concreto para columnas</t>
        </is>
      </c>
      <c r="C52" s="257" t="inlineStr">
        <is>
          <t>M³</t>
        </is>
      </c>
      <c r="D52" s="258" t="n"/>
      <c r="E52" s="1451" t="n"/>
      <c r="F52" s="1453">
        <f>D52*E52</f>
        <v/>
      </c>
    </row>
    <row r="53">
      <c r="A53" s="80" t="inlineStr">
        <is>
          <t>4.2</t>
        </is>
      </c>
      <c r="B53" s="365" t="inlineStr">
        <is>
          <t>Concreto para vigas</t>
        </is>
      </c>
      <c r="C53" s="257" t="inlineStr">
        <is>
          <t>M³</t>
        </is>
      </c>
      <c r="D53" s="1449" t="n"/>
      <c r="E53" s="1452" t="n"/>
      <c r="F53" s="1455">
        <f>D53*E53</f>
        <v/>
      </c>
    </row>
    <row r="54">
      <c r="A54" s="80" t="inlineStr">
        <is>
          <t>4.3</t>
        </is>
      </c>
      <c r="B54" s="364" t="inlineStr">
        <is>
          <t>Concreto para losas</t>
        </is>
      </c>
      <c r="C54" s="257" t="inlineStr">
        <is>
          <t>M³</t>
        </is>
      </c>
      <c r="D54" s="258" t="n"/>
      <c r="E54" s="1451" t="n"/>
      <c r="F54" s="1453">
        <f>D54*E54</f>
        <v/>
      </c>
    </row>
    <row r="55">
      <c r="A55" s="80" t="inlineStr">
        <is>
          <t>4.4</t>
        </is>
      </c>
      <c r="B55" s="364" t="inlineStr">
        <is>
          <t>Concreto para escaleras</t>
        </is>
      </c>
      <c r="C55" s="257" t="inlineStr">
        <is>
          <t>M³</t>
        </is>
      </c>
      <c r="D55" s="258" t="n"/>
      <c r="E55" s="1451" t="n"/>
      <c r="F55" s="1453">
        <f>D55*E55</f>
        <v/>
      </c>
    </row>
    <row r="56">
      <c r="A56" s="80" t="inlineStr">
        <is>
          <t>4.5</t>
        </is>
      </c>
      <c r="B56" s="364" t="inlineStr">
        <is>
          <t>Concreto para muros estructurales</t>
        </is>
      </c>
      <c r="C56" s="257" t="inlineStr">
        <is>
          <t>M³</t>
        </is>
      </c>
      <c r="D56" s="258" t="n"/>
      <c r="E56" s="1451" t="n"/>
      <c r="F56" s="1453">
        <f>D56*E56</f>
        <v/>
      </c>
    </row>
    <row r="57">
      <c r="A57" s="80" t="inlineStr">
        <is>
          <t>4.6</t>
        </is>
      </c>
      <c r="B57" s="364" t="inlineStr">
        <is>
          <t>Acero de refuerzo de columnas</t>
        </is>
      </c>
      <c r="C57" s="257" t="inlineStr">
        <is>
          <t>KG</t>
        </is>
      </c>
      <c r="D57" s="258" t="n"/>
      <c r="E57" s="1451" t="n"/>
      <c r="F57" s="1453">
        <f>D57*E57</f>
        <v/>
      </c>
    </row>
    <row r="58">
      <c r="A58" s="80" t="inlineStr">
        <is>
          <t>4.7</t>
        </is>
      </c>
      <c r="B58" s="364" t="inlineStr">
        <is>
          <t>Acero de refuerzo de vigas</t>
        </is>
      </c>
      <c r="C58" s="257" t="inlineStr">
        <is>
          <t>KG</t>
        </is>
      </c>
      <c r="D58" s="258" t="n"/>
      <c r="E58" s="1451" t="n"/>
      <c r="F58" s="1453">
        <f>D58*E58</f>
        <v/>
      </c>
    </row>
    <row r="59">
      <c r="A59" s="80" t="inlineStr">
        <is>
          <t>4.8</t>
        </is>
      </c>
      <c r="B59" s="364" t="inlineStr">
        <is>
          <t>Acero de refuerzo de losas</t>
        </is>
      </c>
      <c r="C59" s="257" t="inlineStr">
        <is>
          <t>KG</t>
        </is>
      </c>
      <c r="D59" s="1449" t="n"/>
      <c r="E59" s="1452" t="n"/>
      <c r="F59" s="1453">
        <f>D59*E59</f>
        <v/>
      </c>
    </row>
    <row r="60">
      <c r="A60" s="80" t="inlineStr">
        <is>
          <t>4.9</t>
        </is>
      </c>
      <c r="B60" s="364" t="inlineStr">
        <is>
          <t>Formaleta de columnas</t>
        </is>
      </c>
      <c r="C60" s="257" t="inlineStr">
        <is>
          <t>M²</t>
        </is>
      </c>
      <c r="D60" s="258" t="n"/>
      <c r="E60" s="1451" t="n"/>
      <c r="F60" s="1453">
        <f>D60*E60</f>
        <v/>
      </c>
    </row>
    <row r="61">
      <c r="A61" s="80" t="inlineStr">
        <is>
          <t>4.10</t>
        </is>
      </c>
      <c r="B61" s="365" t="inlineStr">
        <is>
          <t>Formaleta de vigas</t>
        </is>
      </c>
      <c r="C61" s="257" t="inlineStr">
        <is>
          <t>M²</t>
        </is>
      </c>
      <c r="D61" s="1449" t="n"/>
      <c r="E61" s="1452" t="n"/>
      <c r="F61" s="1455">
        <f>D61*E61</f>
        <v/>
      </c>
    </row>
    <row r="62">
      <c r="A62" s="80" t="inlineStr">
        <is>
          <t>4.11</t>
        </is>
      </c>
      <c r="B62" s="364" t="inlineStr">
        <is>
          <t>Formaleta de losas</t>
        </is>
      </c>
      <c r="C62" s="257" t="inlineStr">
        <is>
          <t>M²</t>
        </is>
      </c>
      <c r="D62" s="258" t="n"/>
      <c r="E62" s="1451" t="n"/>
      <c r="F62" s="1453">
        <f>D62*E62</f>
        <v/>
      </c>
    </row>
    <row r="63">
      <c r="A63" s="80" t="inlineStr">
        <is>
          <t>4.12</t>
        </is>
      </c>
      <c r="B63" s="364" t="inlineStr">
        <is>
          <t>Formaleta de escaleras</t>
        </is>
      </c>
      <c r="C63" s="257" t="inlineStr">
        <is>
          <t>M²</t>
        </is>
      </c>
      <c r="D63" s="258" t="n"/>
      <c r="E63" s="1451" t="n"/>
      <c r="F63" s="1453">
        <f>D63*E63</f>
        <v/>
      </c>
    </row>
    <row r="64">
      <c r="A64" s="80" t="inlineStr">
        <is>
          <t>4.13</t>
        </is>
      </c>
      <c r="B64" s="364" t="inlineStr">
        <is>
          <t>Suministro y montaje de perfiles metálicos</t>
        </is>
      </c>
      <c r="C64" s="257" t="inlineStr">
        <is>
          <t>KG</t>
        </is>
      </c>
      <c r="D64" s="258" t="n"/>
      <c r="E64" s="1451" t="n"/>
      <c r="F64" s="1453">
        <f>D64*E64</f>
        <v/>
      </c>
    </row>
    <row r="65">
      <c r="A65" s="80" t="inlineStr">
        <is>
          <t>4.14</t>
        </is>
      </c>
      <c r="B65" s="364" t="inlineStr">
        <is>
          <t>Placas, pernos y conexiones metálicas</t>
        </is>
      </c>
      <c r="C65" s="257" t="inlineStr">
        <is>
          <t>KG</t>
        </is>
      </c>
      <c r="D65" s="258" t="n"/>
      <c r="E65" s="1451" t="n"/>
      <c r="F65" s="1453">
        <f>D65*E65</f>
        <v/>
      </c>
    </row>
    <row r="66">
      <c r="A66" s="80" t="inlineStr">
        <is>
          <t>4.15</t>
        </is>
      </c>
      <c r="B66" s="364" t="inlineStr">
        <is>
          <t>Grouting cementoso para reparación estructural</t>
        </is>
      </c>
      <c r="C66" s="257" t="inlineStr">
        <is>
          <t>M²</t>
        </is>
      </c>
      <c r="D66" s="258" t="n"/>
      <c r="E66" s="1451" t="n"/>
      <c r="F66" s="1453">
        <f>D66*E66</f>
        <v/>
      </c>
    </row>
    <row r="67">
      <c r="A67" s="80" t="inlineStr">
        <is>
          <t>4.16</t>
        </is>
      </c>
      <c r="B67" s="364" t="inlineStr">
        <is>
          <t>Grouting epóxico para reparación estructural</t>
        </is>
      </c>
      <c r="C67" s="257" t="inlineStr">
        <is>
          <t>M²</t>
        </is>
      </c>
      <c r="D67" s="258" t="n"/>
      <c r="E67" s="1451" t="n"/>
      <c r="F67" s="1453">
        <f>D67*E67</f>
        <v/>
      </c>
    </row>
    <row r="68">
      <c r="A68" s="80" t="inlineStr">
        <is>
          <t>4.17</t>
        </is>
      </c>
      <c r="B68" s="364" t="inlineStr">
        <is>
          <t>Concreto premezclado o de planta (suministro)</t>
        </is>
      </c>
      <c r="C68" s="257" t="inlineStr">
        <is>
          <t>M³</t>
        </is>
      </c>
      <c r="D68" s="258" t="n"/>
      <c r="E68" s="1451" t="n"/>
      <c r="F68" s="1453">
        <f>D68*E68</f>
        <v/>
      </c>
    </row>
    <row r="69">
      <c r="A69" s="81" t="n"/>
      <c r="B69" s="704" t="inlineStr">
        <is>
          <t>SUBTOTAL CAPÍTULO 4 - ESTRUCTURA</t>
        </is>
      </c>
      <c r="C69" s="567" t="n"/>
      <c r="D69" s="567" t="n"/>
      <c r="E69" s="567" t="n"/>
      <c r="F69" s="1454">
        <f>SUM(F51:F68)</f>
        <v/>
      </c>
    </row>
    <row r="70">
      <c r="A70" s="82" t="n"/>
      <c r="B70" s="716" t="n"/>
      <c r="C70" s="716" t="n"/>
      <c r="D70" s="716" t="n"/>
      <c r="E70" s="716" t="n"/>
      <c r="F70" s="708" t="n"/>
    </row>
    <row r="71">
      <c r="A71" s="182" t="inlineStr">
        <is>
          <t>5</t>
        </is>
      </c>
      <c r="B71" s="707" t="inlineStr">
        <is>
          <t>MAMPOSTERÍA</t>
        </is>
      </c>
      <c r="C71" s="609" t="n"/>
      <c r="D71" s="609" t="n"/>
      <c r="E71" s="609" t="n"/>
      <c r="F71" s="610" t="n"/>
    </row>
    <row r="72">
      <c r="A72" s="80" t="inlineStr">
        <is>
          <t>5.1</t>
        </is>
      </c>
      <c r="B72" s="364" t="inlineStr">
        <is>
          <t>Mampostería en bloque de concreto</t>
        </is>
      </c>
      <c r="C72" s="257" t="inlineStr">
        <is>
          <t>M²</t>
        </is>
      </c>
      <c r="D72" s="258" t="n"/>
      <c r="E72" s="1451" t="n"/>
      <c r="F72" s="1453">
        <f>D72*E72</f>
        <v/>
      </c>
    </row>
    <row r="73">
      <c r="A73" s="80" t="inlineStr">
        <is>
          <t>5.2</t>
        </is>
      </c>
      <c r="B73" s="364" t="inlineStr">
        <is>
          <t>Mampostería en ladrillo</t>
        </is>
      </c>
      <c r="C73" s="257" t="inlineStr">
        <is>
          <t>M²</t>
        </is>
      </c>
      <c r="D73" s="258" t="n"/>
      <c r="E73" s="1451" t="n"/>
      <c r="F73" s="1453">
        <f>D73*E73</f>
        <v/>
      </c>
    </row>
    <row r="74">
      <c r="A74" s="80" t="inlineStr">
        <is>
          <t>5.3</t>
        </is>
      </c>
      <c r="B74" s="364" t="inlineStr">
        <is>
          <t>Mampostería estructural</t>
        </is>
      </c>
      <c r="C74" s="257" t="inlineStr">
        <is>
          <t>M²</t>
        </is>
      </c>
      <c r="D74" s="258" t="n"/>
      <c r="E74" s="1451" t="n"/>
      <c r="F74" s="1453">
        <f>D74*E74</f>
        <v/>
      </c>
    </row>
    <row r="75">
      <c r="A75" s="80" t="inlineStr">
        <is>
          <t>5.4</t>
        </is>
      </c>
      <c r="B75" s="364" t="inlineStr">
        <is>
          <t>Muros en sistema liviano / drywall</t>
        </is>
      </c>
      <c r="C75" s="257" t="inlineStr">
        <is>
          <t>M²</t>
        </is>
      </c>
      <c r="D75" s="258" t="n"/>
      <c r="E75" s="1451" t="n"/>
      <c r="F75" s="1453">
        <f>D75*E75</f>
        <v/>
      </c>
    </row>
    <row r="76">
      <c r="A76" s="80" t="inlineStr">
        <is>
          <t>5.5</t>
        </is>
      </c>
      <c r="B76" s="364" t="inlineStr">
        <is>
          <t>Dinteles sobre vanos</t>
        </is>
      </c>
      <c r="C76" s="257" t="inlineStr">
        <is>
          <t>ML</t>
        </is>
      </c>
      <c r="D76" s="258" t="n"/>
      <c r="E76" s="1451" t="n"/>
      <c r="F76" s="1453">
        <f>D76*E76</f>
        <v/>
      </c>
    </row>
    <row r="77">
      <c r="A77" s="80" t="inlineStr">
        <is>
          <t>5.6</t>
        </is>
      </c>
      <c r="B77" s="364" t="inlineStr">
        <is>
          <t>Alfajías y remates</t>
        </is>
      </c>
      <c r="C77" s="257" t="inlineStr">
        <is>
          <t>ML</t>
        </is>
      </c>
      <c r="D77" s="258" t="n"/>
      <c r="E77" s="1451" t="n"/>
      <c r="F77" s="1453">
        <f>D77*E77</f>
        <v/>
      </c>
    </row>
    <row r="78">
      <c r="A78" s="80" t="inlineStr">
        <is>
          <t>5.7</t>
        </is>
      </c>
      <c r="B78" s="364" t="inlineStr">
        <is>
          <t>Anclajes y refuerzos de mampostería</t>
        </is>
      </c>
      <c r="C78" s="257" t="inlineStr">
        <is>
          <t>UND</t>
        </is>
      </c>
      <c r="D78" s="258" t="n"/>
      <c r="E78" s="1451" t="n"/>
      <c r="F78" s="1453">
        <f>D78*E78</f>
        <v/>
      </c>
    </row>
    <row r="79">
      <c r="A79" s="80" t="inlineStr">
        <is>
          <t>5.8</t>
        </is>
      </c>
      <c r="B79" s="364" t="inlineStr">
        <is>
          <t>Mampostería en ladrillo tolete a la vista (reforzada)</t>
        </is>
      </c>
      <c r="C79" s="257" t="inlineStr">
        <is>
          <t>M²</t>
        </is>
      </c>
      <c r="D79" s="258" t="n"/>
      <c r="E79" s="1451" t="n"/>
      <c r="F79" s="1453">
        <f>D79*E79</f>
        <v/>
      </c>
    </row>
    <row r="80">
      <c r="A80" s="80" t="inlineStr">
        <is>
          <t>5.9</t>
        </is>
      </c>
      <c r="B80" s="364" t="inlineStr">
        <is>
          <t>Mampostería en ladrillo a la vista (no reforzada)</t>
        </is>
      </c>
      <c r="C80" s="257" t="inlineStr">
        <is>
          <t>M²</t>
        </is>
      </c>
      <c r="D80" s="258" t="n"/>
      <c r="E80" s="1451" t="n"/>
      <c r="F80" s="1453">
        <f>D80*E80</f>
        <v/>
      </c>
    </row>
    <row r="81">
      <c r="A81" s="81" t="n"/>
      <c r="B81" s="704" t="inlineStr">
        <is>
          <t>SUBTOTAL CAPÍTULO 5 - MAMPOSTERÍA</t>
        </is>
      </c>
      <c r="C81" s="567" t="n"/>
      <c r="D81" s="567" t="n"/>
      <c r="E81" s="567" t="n"/>
      <c r="F81" s="1454">
        <f>SUM(F72:F80)</f>
        <v/>
      </c>
    </row>
    <row r="82">
      <c r="A82" s="82" t="n"/>
      <c r="B82" s="716" t="n"/>
      <c r="C82" s="567" t="n"/>
      <c r="D82" s="567" t="n"/>
      <c r="E82" s="567" t="n"/>
      <c r="F82" s="708" t="n"/>
    </row>
    <row r="83">
      <c r="A83" s="182" t="inlineStr">
        <is>
          <t>6</t>
        </is>
      </c>
      <c r="B83" s="717" t="inlineStr">
        <is>
          <t>CUBIERTAS</t>
        </is>
      </c>
      <c r="C83" s="567" t="n"/>
      <c r="D83" s="567" t="n"/>
      <c r="E83" s="567" t="n"/>
      <c r="F83" s="567" t="n"/>
    </row>
    <row r="84">
      <c r="A84" s="80" t="inlineStr">
        <is>
          <t>6.1</t>
        </is>
      </c>
      <c r="B84" s="365" t="inlineStr">
        <is>
          <t>Estructura metálica o de madera para cubierta</t>
        </is>
      </c>
      <c r="C84" s="257" t="inlineStr">
        <is>
          <t>KG</t>
        </is>
      </c>
      <c r="D84" s="1449" t="n"/>
      <c r="E84" s="1452" t="n"/>
      <c r="F84" s="1455">
        <f>D84*E84</f>
        <v/>
      </c>
    </row>
    <row r="85">
      <c r="A85" s="80" t="inlineStr">
        <is>
          <t>6.2</t>
        </is>
      </c>
      <c r="B85" s="364" t="inlineStr">
        <is>
          <t>Cerchas y elementos estructurales</t>
        </is>
      </c>
      <c r="C85" s="257" t="inlineStr">
        <is>
          <t>KG</t>
        </is>
      </c>
      <c r="D85" s="258" t="n"/>
      <c r="E85" s="1451" t="n"/>
      <c r="F85" s="1453">
        <f>D85*E85</f>
        <v/>
      </c>
    </row>
    <row r="86">
      <c r="A86" s="80" t="inlineStr">
        <is>
          <t>6.3</t>
        </is>
      </c>
      <c r="B86" s="364" t="inlineStr">
        <is>
          <t>Suministro e instalación de teja</t>
        </is>
      </c>
      <c r="C86" s="257" t="inlineStr">
        <is>
          <t>M²</t>
        </is>
      </c>
      <c r="D86" s="258" t="n"/>
      <c r="E86" s="1451" t="n"/>
      <c r="F86" s="1453">
        <f>D86*E86</f>
        <v/>
      </c>
    </row>
    <row r="87">
      <c r="A87" s="80" t="inlineStr">
        <is>
          <t>6.4</t>
        </is>
      </c>
      <c r="B87" s="364" t="inlineStr">
        <is>
          <t>Impermeabilización de cubierta</t>
        </is>
      </c>
      <c r="C87" s="257" t="inlineStr">
        <is>
          <t>M²</t>
        </is>
      </c>
      <c r="D87" s="258" t="n"/>
      <c r="E87" s="1451" t="n"/>
      <c r="F87" s="1453">
        <f>D87*E87</f>
        <v/>
      </c>
    </row>
    <row r="88">
      <c r="A88" s="80" t="inlineStr">
        <is>
          <t>6.5</t>
        </is>
      </c>
      <c r="B88" s="364" t="inlineStr">
        <is>
          <t>Aislamiento térmico/acústico</t>
        </is>
      </c>
      <c r="C88" s="257" t="inlineStr">
        <is>
          <t>M²</t>
        </is>
      </c>
      <c r="D88" s="258" t="n"/>
      <c r="E88" s="1451" t="n"/>
      <c r="F88" s="1453">
        <f>D88*E88</f>
        <v/>
      </c>
    </row>
    <row r="89">
      <c r="A89" s="80" t="inlineStr">
        <is>
          <t>6.6</t>
        </is>
      </c>
      <c r="B89" s="364" t="inlineStr">
        <is>
          <t>Canales de aguas lluvias</t>
        </is>
      </c>
      <c r="C89" s="257" t="inlineStr">
        <is>
          <t>ML</t>
        </is>
      </c>
      <c r="D89" s="258" t="n"/>
      <c r="E89" s="1451" t="n"/>
      <c r="F89" s="1453">
        <f>D89*E89</f>
        <v/>
      </c>
    </row>
    <row r="90">
      <c r="A90" s="80" t="inlineStr">
        <is>
          <t>6.7</t>
        </is>
      </c>
      <c r="B90" s="364" t="inlineStr">
        <is>
          <t>Bajantes de aguas lluvias</t>
        </is>
      </c>
      <c r="C90" s="257" t="inlineStr">
        <is>
          <t>ML</t>
        </is>
      </c>
      <c r="D90" s="258" t="n"/>
      <c r="E90" s="1451" t="n"/>
      <c r="F90" s="1453">
        <f>D90*E90</f>
        <v/>
      </c>
    </row>
    <row r="91">
      <c r="A91" s="80" t="inlineStr">
        <is>
          <t>6.8</t>
        </is>
      </c>
      <c r="B91" s="364" t="inlineStr">
        <is>
          <t>Cielo raso Dry Wall</t>
        </is>
      </c>
      <c r="C91" s="257" t="inlineStr">
        <is>
          <t>M²</t>
        </is>
      </c>
      <c r="D91" s="258" t="n"/>
      <c r="E91" s="1451" t="n"/>
      <c r="F91" s="1453">
        <f>D91*E91</f>
        <v/>
      </c>
    </row>
    <row r="92">
      <c r="A92" s="80" t="inlineStr">
        <is>
          <t>6.9</t>
        </is>
      </c>
      <c r="B92" s="364" t="inlineStr">
        <is>
          <t>Cielo raso en lámina acústica de fibra mineral</t>
        </is>
      </c>
      <c r="C92" s="257" t="inlineStr">
        <is>
          <t>M²</t>
        </is>
      </c>
      <c r="D92" s="258" t="n"/>
      <c r="E92" s="1451" t="n"/>
      <c r="F92" s="1453">
        <f>D92*E92</f>
        <v/>
      </c>
    </row>
    <row r="93">
      <c r="A93" s="81" t="n"/>
      <c r="B93" s="704" t="inlineStr">
        <is>
          <t>SUBTOTAL CAPÍTULO 6 - CUBIERTAS</t>
        </is>
      </c>
      <c r="C93" s="567" t="n"/>
      <c r="D93" s="567" t="n"/>
      <c r="E93" s="567" t="n"/>
      <c r="F93" s="1454">
        <f>SUM(F84:F92)</f>
        <v/>
      </c>
    </row>
    <row r="94">
      <c r="A94" s="82" t="n"/>
      <c r="B94" s="716" t="n"/>
      <c r="C94" s="716" t="n"/>
      <c r="D94" s="716" t="n"/>
      <c r="E94" s="716" t="n"/>
      <c r="F94" s="708" t="n"/>
    </row>
    <row r="95">
      <c r="A95" s="182" t="inlineStr">
        <is>
          <t>7</t>
        </is>
      </c>
      <c r="B95" s="703" t="inlineStr">
        <is>
          <t>IMPERMEABILIZACIONES</t>
        </is>
      </c>
      <c r="C95" s="567" t="n"/>
      <c r="D95" s="567" t="n"/>
      <c r="E95" s="567" t="n"/>
      <c r="F95" s="567" t="n"/>
    </row>
    <row r="96">
      <c r="A96" s="80" t="inlineStr">
        <is>
          <t>7.1</t>
        </is>
      </c>
      <c r="B96" s="364" t="inlineStr">
        <is>
          <t>Impermeabilización de losas y terrazas</t>
        </is>
      </c>
      <c r="C96" s="257" t="inlineStr">
        <is>
          <t>M²</t>
        </is>
      </c>
      <c r="D96" s="258" t="n"/>
      <c r="E96" s="1451" t="n"/>
      <c r="F96" s="1453">
        <f>D96*E96</f>
        <v/>
      </c>
    </row>
    <row r="97">
      <c r="A97" s="80" t="inlineStr">
        <is>
          <t>7.2</t>
        </is>
      </c>
      <c r="B97" s="365" t="inlineStr">
        <is>
          <t>Impermeabilización de muros</t>
        </is>
      </c>
      <c r="C97" s="257" t="inlineStr">
        <is>
          <t>M²</t>
        </is>
      </c>
      <c r="D97" s="1449" t="n"/>
      <c r="E97" s="1452" t="n"/>
      <c r="F97" s="1455">
        <f>D97*E97</f>
        <v/>
      </c>
    </row>
    <row r="98">
      <c r="A98" s="80" t="inlineStr">
        <is>
          <t>7.3</t>
        </is>
      </c>
      <c r="B98" s="364" t="inlineStr">
        <is>
          <t>Impermeabilización de zonas húmedas</t>
        </is>
      </c>
      <c r="C98" s="257" t="inlineStr">
        <is>
          <t>M²</t>
        </is>
      </c>
      <c r="D98" s="258" t="n"/>
      <c r="E98" s="1451" t="n"/>
      <c r="F98" s="1453">
        <f>D98*E98</f>
        <v/>
      </c>
    </row>
    <row r="99">
      <c r="A99" s="80" t="inlineStr">
        <is>
          <t>7.4</t>
        </is>
      </c>
      <c r="B99" s="364" t="inlineStr">
        <is>
          <t>Geomembrana HDPE para impermeabilización de terrenos</t>
        </is>
      </c>
      <c r="C99" s="257" t="inlineStr">
        <is>
          <t>M²</t>
        </is>
      </c>
      <c r="D99" s="258" t="n"/>
      <c r="E99" s="1451" t="n"/>
      <c r="F99" s="1453">
        <f>D99*E99</f>
        <v/>
      </c>
    </row>
    <row r="100">
      <c r="A100" s="81" t="n"/>
      <c r="B100" s="704" t="inlineStr">
        <is>
          <t>SUBTOTAL CAPÍTULO 7 - IMPERMEABILIZACIONES</t>
        </is>
      </c>
      <c r="C100" s="567" t="n"/>
      <c r="D100" s="567" t="n"/>
      <c r="E100" s="567" t="n"/>
      <c r="F100" s="1454">
        <f>SUM(F96:F99)</f>
        <v/>
      </c>
    </row>
    <row r="101">
      <c r="A101" s="82" t="n"/>
      <c r="B101" s="716" t="n"/>
      <c r="C101" s="567" t="n"/>
      <c r="D101" s="567" t="n"/>
      <c r="E101" s="567" t="n"/>
      <c r="F101" s="708" t="n"/>
    </row>
    <row r="102">
      <c r="A102" s="182" t="inlineStr">
        <is>
          <t>8</t>
        </is>
      </c>
      <c r="B102" s="703" t="inlineStr">
        <is>
          <t>PAÑETES Y REVOQUES</t>
        </is>
      </c>
      <c r="C102" s="567" t="n"/>
      <c r="D102" s="567" t="n"/>
      <c r="E102" s="567" t="n"/>
      <c r="F102" s="567" t="n"/>
    </row>
    <row r="103">
      <c r="A103" s="80" t="inlineStr">
        <is>
          <t>8.1</t>
        </is>
      </c>
      <c r="B103" s="365" t="inlineStr">
        <is>
          <t>Pañete / revoque interior</t>
        </is>
      </c>
      <c r="C103" s="257" t="inlineStr">
        <is>
          <t>M²</t>
        </is>
      </c>
      <c r="D103" s="1449" t="n"/>
      <c r="E103" s="1452" t="n"/>
      <c r="F103" s="1455">
        <f>D103*E103</f>
        <v/>
      </c>
    </row>
    <row r="104">
      <c r="A104" s="80" t="inlineStr">
        <is>
          <t>8.2</t>
        </is>
      </c>
      <c r="B104" s="364" t="inlineStr">
        <is>
          <t>Pañete / revoque exterior</t>
        </is>
      </c>
      <c r="C104" s="257" t="inlineStr">
        <is>
          <t>M²</t>
        </is>
      </c>
      <c r="D104" s="258" t="n"/>
      <c r="E104" s="1451" t="n"/>
      <c r="F104" s="1453">
        <f>D104*E104</f>
        <v/>
      </c>
    </row>
    <row r="105">
      <c r="A105" s="80" t="inlineStr">
        <is>
          <t>8.3</t>
        </is>
      </c>
      <c r="B105" s="364" t="inlineStr">
        <is>
          <t>Pañete impermeabilizado</t>
        </is>
      </c>
      <c r="C105" s="257" t="inlineStr">
        <is>
          <t>M²</t>
        </is>
      </c>
      <c r="D105" s="258" t="n"/>
      <c r="E105" s="1451" t="n"/>
      <c r="F105" s="1453">
        <f>D105*E105</f>
        <v/>
      </c>
    </row>
    <row r="106">
      <c r="A106" s="81" t="n"/>
      <c r="B106" s="704" t="inlineStr">
        <is>
          <t>SUBTOTAL CAPÍTULO 8 - PAÑETES Y REVOQUES</t>
        </is>
      </c>
      <c r="C106" s="567" t="n"/>
      <c r="D106" s="567" t="n"/>
      <c r="E106" s="567" t="n"/>
      <c r="F106" s="1454">
        <f>SUM(F103:F105)</f>
        <v/>
      </c>
    </row>
    <row r="107">
      <c r="A107" s="82" t="n"/>
      <c r="B107" s="708" t="n"/>
      <c r="C107" s="567" t="n"/>
      <c r="D107" s="567" t="n"/>
      <c r="E107" s="567" t="n"/>
      <c r="F107" s="607" t="n"/>
    </row>
    <row r="108">
      <c r="A108" s="182" t="inlineStr">
        <is>
          <t>9</t>
        </is>
      </c>
      <c r="B108" s="703" t="inlineStr">
        <is>
          <t>PISOS Y ENCHAPES</t>
        </is>
      </c>
      <c r="C108" s="567" t="n"/>
      <c r="D108" s="567" t="n"/>
      <c r="E108" s="567" t="n"/>
      <c r="F108" s="567" t="n"/>
    </row>
    <row r="109">
      <c r="A109" s="80" t="inlineStr">
        <is>
          <t>9.1</t>
        </is>
      </c>
      <c r="B109" s="364" t="inlineStr">
        <is>
          <t>Mortero de nivelación</t>
        </is>
      </c>
      <c r="C109" s="257" t="inlineStr">
        <is>
          <t>M²</t>
        </is>
      </c>
      <c r="D109" s="258" t="n"/>
      <c r="E109" s="1451" t="n"/>
      <c r="F109" s="1453">
        <f>D109*E109</f>
        <v/>
      </c>
    </row>
    <row r="110">
      <c r="A110" s="80" t="inlineStr">
        <is>
          <t>9.2</t>
        </is>
      </c>
      <c r="B110" s="364" t="inlineStr">
        <is>
          <t>Piso cerámico</t>
        </is>
      </c>
      <c r="C110" s="257" t="inlineStr">
        <is>
          <t>M²</t>
        </is>
      </c>
      <c r="D110" s="258" t="n"/>
      <c r="E110" s="1451" t="n"/>
      <c r="F110" s="1453">
        <f>D110*E110</f>
        <v/>
      </c>
    </row>
    <row r="111">
      <c r="A111" s="80" t="inlineStr">
        <is>
          <t>9.3</t>
        </is>
      </c>
      <c r="B111" s="364" t="inlineStr">
        <is>
          <t>Piso en porcelanato</t>
        </is>
      </c>
      <c r="C111" s="257" t="inlineStr">
        <is>
          <t>M²</t>
        </is>
      </c>
      <c r="D111" s="258" t="n"/>
      <c r="E111" s="1451" t="n"/>
      <c r="F111" s="1453">
        <f>D111*E111</f>
        <v/>
      </c>
    </row>
    <row r="112">
      <c r="A112" s="80" t="inlineStr">
        <is>
          <t>9.4</t>
        </is>
      </c>
      <c r="B112" s="364" t="inlineStr">
        <is>
          <t>Piso vinílico</t>
        </is>
      </c>
      <c r="C112" s="257" t="inlineStr">
        <is>
          <t>M²</t>
        </is>
      </c>
      <c r="D112" s="258" t="n"/>
      <c r="E112" s="1451" t="n"/>
      <c r="F112" s="1453">
        <f>D112*E112</f>
        <v/>
      </c>
    </row>
    <row r="113">
      <c r="A113" s="80" t="inlineStr">
        <is>
          <t>9.5</t>
        </is>
      </c>
      <c r="B113" s="364" t="inlineStr">
        <is>
          <t>Piso laminado</t>
        </is>
      </c>
      <c r="C113" s="257" t="inlineStr">
        <is>
          <t>M²</t>
        </is>
      </c>
      <c r="D113" s="258" t="n"/>
      <c r="E113" s="1451" t="n"/>
      <c r="F113" s="1453">
        <f>D113*E113</f>
        <v/>
      </c>
    </row>
    <row r="114">
      <c r="A114" s="80" t="inlineStr">
        <is>
          <t>9.6</t>
        </is>
      </c>
      <c r="B114" s="364" t="inlineStr">
        <is>
          <t>Enchape cerámico en muros</t>
        </is>
      </c>
      <c r="C114" s="257" t="inlineStr">
        <is>
          <t>M²</t>
        </is>
      </c>
      <c r="D114" s="1449" t="n"/>
      <c r="E114" s="1452" t="n"/>
      <c r="F114" s="1453">
        <f>D114*E114</f>
        <v/>
      </c>
    </row>
    <row r="115">
      <c r="A115" s="80" t="inlineStr">
        <is>
          <t>9.7</t>
        </is>
      </c>
      <c r="B115" s="364" t="inlineStr">
        <is>
          <t>Guardaescoba</t>
        </is>
      </c>
      <c r="C115" s="257" t="inlineStr">
        <is>
          <t>ML</t>
        </is>
      </c>
      <c r="D115" s="258" t="n"/>
      <c r="E115" s="1451" t="n"/>
      <c r="F115" s="1453">
        <f>D115*E115</f>
        <v/>
      </c>
    </row>
    <row r="116">
      <c r="A116" s="80" t="inlineStr">
        <is>
          <t>9.8</t>
        </is>
      </c>
      <c r="B116" s="365" t="inlineStr">
        <is>
          <t>Juntas de dilatación / construcción</t>
        </is>
      </c>
      <c r="C116" s="257" t="inlineStr">
        <is>
          <t>ML</t>
        </is>
      </c>
      <c r="D116" s="1449" t="n"/>
      <c r="E116" s="1452" t="n"/>
      <c r="F116" s="1455">
        <f>D116*E116</f>
        <v/>
      </c>
    </row>
    <row r="117">
      <c r="A117" s="80" t="inlineStr">
        <is>
          <t>9.9</t>
        </is>
      </c>
      <c r="B117" s="365" t="inlineStr">
        <is>
          <t>Piso en concreto afinado con endurecedor de cuarzo</t>
        </is>
      </c>
      <c r="C117" s="257" t="inlineStr">
        <is>
          <t>M²</t>
        </is>
      </c>
      <c r="D117" s="1449" t="n"/>
      <c r="E117" s="1452" t="n"/>
      <c r="F117" s="1455">
        <f>D117*E117</f>
        <v/>
      </c>
    </row>
    <row r="118">
      <c r="A118" s="80" t="inlineStr">
        <is>
          <t>9.10</t>
        </is>
      </c>
      <c r="B118" s="365" t="inlineStr">
        <is>
          <t>Baldosa de granito</t>
        </is>
      </c>
      <c r="C118" s="257" t="inlineStr">
        <is>
          <t>M²</t>
        </is>
      </c>
      <c r="D118" s="1449" t="n"/>
      <c r="E118" s="1452" t="n"/>
      <c r="F118" s="1455">
        <f>D118*E118</f>
        <v/>
      </c>
    </row>
    <row r="119">
      <c r="A119" s="80" t="inlineStr">
        <is>
          <t>9.11</t>
        </is>
      </c>
      <c r="B119" s="365" t="inlineStr">
        <is>
          <t>Enchape en granito pulido</t>
        </is>
      </c>
      <c r="C119" s="257" t="inlineStr">
        <is>
          <t>M²</t>
        </is>
      </c>
      <c r="D119" s="1449" t="n"/>
      <c r="E119" s="1452" t="n"/>
      <c r="F119" s="1455">
        <f>D119*E119</f>
        <v/>
      </c>
    </row>
    <row r="120">
      <c r="A120" s="81" t="n"/>
      <c r="B120" s="704" t="inlineStr">
        <is>
          <t>SUBTOTAL CAPÍTULO 9 - PISOS Y ENCHAPES</t>
        </is>
      </c>
      <c r="C120" s="567" t="n"/>
      <c r="D120" s="567" t="n"/>
      <c r="E120" s="567" t="n"/>
      <c r="F120" s="1454">
        <f>SUM(F109:F119)</f>
        <v/>
      </c>
    </row>
    <row r="121">
      <c r="A121" s="82" t="n"/>
      <c r="B121" s="716" t="n"/>
      <c r="C121" s="716" t="n"/>
      <c r="D121" s="716" t="n"/>
      <c r="E121" s="716" t="n"/>
      <c r="F121" s="708" t="n"/>
    </row>
    <row r="122">
      <c r="A122" s="182" t="inlineStr">
        <is>
          <t>10</t>
        </is>
      </c>
      <c r="B122" s="703" t="inlineStr">
        <is>
          <t>PINTURA</t>
        </is>
      </c>
      <c r="C122" s="567" t="n"/>
      <c r="D122" s="567" t="n"/>
      <c r="E122" s="567" t="n"/>
      <c r="F122" s="567" t="n"/>
    </row>
    <row r="123">
      <c r="A123" s="80" t="inlineStr">
        <is>
          <t>10.1</t>
        </is>
      </c>
      <c r="B123" s="364" t="inlineStr">
        <is>
          <t>Pintura vinílica interior</t>
        </is>
      </c>
      <c r="C123" s="257" t="inlineStr">
        <is>
          <t>M²</t>
        </is>
      </c>
      <c r="D123" s="258" t="n"/>
      <c r="E123" s="1451" t="n"/>
      <c r="F123" s="1453">
        <f>D123*E123</f>
        <v/>
      </c>
    </row>
    <row r="124">
      <c r="A124" s="80" t="inlineStr">
        <is>
          <t>10.2</t>
        </is>
      </c>
      <c r="B124" s="364" t="inlineStr">
        <is>
          <t>Pintura exterior</t>
        </is>
      </c>
      <c r="C124" s="257" t="inlineStr">
        <is>
          <t>M²</t>
        </is>
      </c>
      <c r="D124" s="258" t="n"/>
      <c r="E124" s="1451" t="n"/>
      <c r="F124" s="1453">
        <f>D124*E124</f>
        <v/>
      </c>
    </row>
    <row r="125">
      <c r="A125" s="80" t="inlineStr">
        <is>
          <t>10.3</t>
        </is>
      </c>
      <c r="B125" s="364" t="inlineStr">
        <is>
          <t>Pintura esmalte en superficies metálicas/madera</t>
        </is>
      </c>
      <c r="C125" s="257" t="inlineStr">
        <is>
          <t>M²</t>
        </is>
      </c>
      <c r="D125" s="258" t="n"/>
      <c r="E125" s="1451" t="n"/>
      <c r="F125" s="1453">
        <f>D125*E125</f>
        <v/>
      </c>
    </row>
    <row r="126">
      <c r="A126" s="80" t="inlineStr">
        <is>
          <t>10.4</t>
        </is>
      </c>
      <c r="B126" s="364" t="inlineStr">
        <is>
          <t>Pintura anticorrosiva</t>
        </is>
      </c>
      <c r="C126" s="257" t="inlineStr">
        <is>
          <t>M²</t>
        </is>
      </c>
      <c r="D126" s="258" t="n"/>
      <c r="E126" s="1451" t="n"/>
      <c r="F126" s="1453">
        <f>D126*E126</f>
        <v/>
      </c>
    </row>
    <row r="127">
      <c r="A127" s="80" t="inlineStr">
        <is>
          <t>10.5</t>
        </is>
      </c>
      <c r="B127" s="364" t="inlineStr">
        <is>
          <t>Sellador / imprimante</t>
        </is>
      </c>
      <c r="C127" s="257" t="inlineStr">
        <is>
          <t>M²</t>
        </is>
      </c>
      <c r="D127" s="1449" t="n"/>
      <c r="E127" s="1452" t="n"/>
      <c r="F127" s="1453">
        <f>D127*E127</f>
        <v/>
      </c>
    </row>
    <row r="128">
      <c r="A128" s="80" t="inlineStr">
        <is>
          <t>10.6</t>
        </is>
      </c>
      <c r="B128" s="364" t="inlineStr">
        <is>
          <t>Estuco plástico</t>
        </is>
      </c>
      <c r="C128" s="257" t="inlineStr">
        <is>
          <t>M²</t>
        </is>
      </c>
      <c r="D128" s="1449" t="n"/>
      <c r="E128" s="1452" t="n"/>
      <c r="F128" s="1453">
        <f>D128*E128</f>
        <v/>
      </c>
    </row>
    <row r="129">
      <c r="A129" s="80" t="inlineStr">
        <is>
          <t>10.7</t>
        </is>
      </c>
      <c r="B129" s="364" t="inlineStr">
        <is>
          <t>Estuco tradicional</t>
        </is>
      </c>
      <c r="C129" s="257" t="inlineStr">
        <is>
          <t>M²</t>
        </is>
      </c>
      <c r="D129" s="1449" t="n"/>
      <c r="E129" s="1452" t="n"/>
      <c r="F129" s="1453">
        <f>D129*E129</f>
        <v/>
      </c>
    </row>
    <row r="130">
      <c r="A130" s="81" t="n"/>
      <c r="B130" s="704" t="inlineStr">
        <is>
          <t>SUBTOTAL CAPÍTULO 10 - PINTURA</t>
        </is>
      </c>
      <c r="C130" s="567" t="n"/>
      <c r="D130" s="567" t="n"/>
      <c r="E130" s="567" t="n"/>
      <c r="F130" s="1454">
        <f>SUM(F123:F129)</f>
        <v/>
      </c>
    </row>
    <row r="131">
      <c r="A131" s="82" t="n"/>
      <c r="B131" s="708" t="n"/>
      <c r="C131" s="567" t="n"/>
      <c r="D131" s="567" t="n"/>
      <c r="E131" s="567" t="n"/>
      <c r="F131" s="607" t="n"/>
    </row>
    <row r="132">
      <c r="A132" s="182" t="inlineStr">
        <is>
          <t>11</t>
        </is>
      </c>
      <c r="B132" s="703" t="inlineStr">
        <is>
          <t>CARPINTERÍA</t>
        </is>
      </c>
      <c r="C132" s="567" t="n"/>
      <c r="D132" s="567" t="n"/>
      <c r="E132" s="567" t="n"/>
      <c r="F132" s="567" t="n"/>
    </row>
    <row r="133">
      <c r="A133" s="80" t="inlineStr">
        <is>
          <t>11.1</t>
        </is>
      </c>
      <c r="B133" s="364" t="inlineStr">
        <is>
          <t>Puertas de madera</t>
        </is>
      </c>
      <c r="C133" s="257" t="inlineStr">
        <is>
          <t>UND</t>
        </is>
      </c>
      <c r="D133" s="258" t="n"/>
      <c r="E133" s="1451" t="n"/>
      <c r="F133" s="1453">
        <f>D133*E133</f>
        <v/>
      </c>
    </row>
    <row r="134">
      <c r="A134" s="80" t="inlineStr">
        <is>
          <t>11.2</t>
        </is>
      </c>
      <c r="B134" s="364" t="inlineStr">
        <is>
          <t>Muebles fijos de madera</t>
        </is>
      </c>
      <c r="C134" s="257" t="inlineStr">
        <is>
          <t>ML</t>
        </is>
      </c>
      <c r="D134" s="1449" t="n"/>
      <c r="E134" s="1452" t="n"/>
      <c r="F134" s="1453">
        <f>D134*E134</f>
        <v/>
      </c>
    </row>
    <row r="135">
      <c r="A135" s="80" t="inlineStr">
        <is>
          <t>11.3</t>
        </is>
      </c>
      <c r="B135" s="364" t="inlineStr">
        <is>
          <t>Puertas metálicas</t>
        </is>
      </c>
      <c r="C135" s="257" t="inlineStr">
        <is>
          <t>UND</t>
        </is>
      </c>
      <c r="D135" s="258" t="n"/>
      <c r="E135" s="1451" t="n"/>
      <c r="F135" s="1453">
        <f>D135*E135</f>
        <v/>
      </c>
    </row>
    <row r="136">
      <c r="A136" s="80" t="inlineStr">
        <is>
          <t>11.4</t>
        </is>
      </c>
      <c r="B136" s="365" t="inlineStr">
        <is>
          <t>Barandas metálicas</t>
        </is>
      </c>
      <c r="C136" s="257" t="inlineStr">
        <is>
          <t>ML</t>
        </is>
      </c>
      <c r="D136" s="1449" t="n"/>
      <c r="E136" s="1452" t="n"/>
      <c r="F136" s="1455">
        <f>D136*E136</f>
        <v/>
      </c>
    </row>
    <row r="137">
      <c r="A137" s="80" t="inlineStr">
        <is>
          <t>11.5</t>
        </is>
      </c>
      <c r="B137" s="364" t="inlineStr">
        <is>
          <t>Pasamanos</t>
        </is>
      </c>
      <c r="C137" s="257" t="inlineStr">
        <is>
          <t>ML</t>
        </is>
      </c>
      <c r="D137" s="258" t="n"/>
      <c r="E137" s="1451" t="n"/>
      <c r="F137" s="1453">
        <f>D137*E137</f>
        <v/>
      </c>
    </row>
    <row r="138">
      <c r="A138" s="80" t="inlineStr">
        <is>
          <t>11.6</t>
        </is>
      </c>
      <c r="B138" s="364" t="inlineStr">
        <is>
          <t>Ventanas de aluminio</t>
        </is>
      </c>
      <c r="C138" s="257" t="inlineStr">
        <is>
          <t>M²</t>
        </is>
      </c>
      <c r="D138" s="258" t="n"/>
      <c r="E138" s="1451" t="n"/>
      <c r="F138" s="1453">
        <f>D138*E138</f>
        <v/>
      </c>
    </row>
    <row r="139">
      <c r="A139" s="80" t="inlineStr">
        <is>
          <t>11.7</t>
        </is>
      </c>
      <c r="B139" s="364" t="inlineStr">
        <is>
          <t>Divisiones de aluminio</t>
        </is>
      </c>
      <c r="C139" s="257" t="inlineStr">
        <is>
          <t>M²</t>
        </is>
      </c>
      <c r="D139" s="258" t="n"/>
      <c r="E139" s="1451" t="n"/>
      <c r="F139" s="1453">
        <f>D139*E139</f>
        <v/>
      </c>
    </row>
    <row r="140">
      <c r="A140" s="80" t="inlineStr">
        <is>
          <t>11.8</t>
        </is>
      </c>
      <c r="B140" s="364" t="inlineStr">
        <is>
          <t>Puerta antipánico</t>
        </is>
      </c>
      <c r="C140" s="257" t="inlineStr">
        <is>
          <t>UND</t>
        </is>
      </c>
      <c r="D140" s="258" t="n"/>
      <c r="E140" s="1451" t="n"/>
      <c r="F140" s="1453">
        <f>D140*E140</f>
        <v/>
      </c>
    </row>
    <row r="141">
      <c r="A141" s="81" t="n"/>
      <c r="B141" s="704" t="inlineStr">
        <is>
          <t>SUBTOTAL CAPÍTULO 11 - CARPINTERÍA</t>
        </is>
      </c>
      <c r="C141" s="567" t="n"/>
      <c r="D141" s="567" t="n"/>
      <c r="E141" s="567" t="n"/>
      <c r="F141" s="1454">
        <f>SUM(F133:F140)</f>
        <v/>
      </c>
    </row>
    <row r="142">
      <c r="A142" s="82" t="n"/>
      <c r="B142" s="716" t="n"/>
      <c r="C142" s="716" t="n"/>
      <c r="D142" s="716" t="n"/>
      <c r="E142" s="716" t="n"/>
      <c r="F142" s="708" t="n"/>
    </row>
    <row r="143">
      <c r="A143" s="182" t="inlineStr">
        <is>
          <t>12</t>
        </is>
      </c>
      <c r="B143" s="703" t="inlineStr">
        <is>
          <t>VIDRIOS</t>
        </is>
      </c>
      <c r="C143" s="567" t="n"/>
      <c r="D143" s="567" t="n"/>
      <c r="E143" s="567" t="n"/>
      <c r="F143" s="567" t="n"/>
    </row>
    <row r="144">
      <c r="A144" s="80" t="inlineStr">
        <is>
          <t>12.1</t>
        </is>
      </c>
      <c r="B144" s="364" t="inlineStr">
        <is>
          <t>Vidrio templado</t>
        </is>
      </c>
      <c r="C144" s="257" t="inlineStr">
        <is>
          <t>M²</t>
        </is>
      </c>
      <c r="D144" s="1449" t="n"/>
      <c r="E144" s="1452" t="n"/>
      <c r="F144" s="1453">
        <f>D144*E144</f>
        <v/>
      </c>
    </row>
    <row r="145">
      <c r="A145" s="80" t="inlineStr">
        <is>
          <t>12.2</t>
        </is>
      </c>
      <c r="B145" s="364" t="inlineStr">
        <is>
          <t>Vidrio laminado</t>
        </is>
      </c>
      <c r="C145" s="257" t="inlineStr">
        <is>
          <t>M²</t>
        </is>
      </c>
      <c r="D145" s="258" t="n"/>
      <c r="E145" s="1451" t="n"/>
      <c r="F145" s="1453">
        <f>D145*E145</f>
        <v/>
      </c>
    </row>
    <row r="146">
      <c r="A146" s="80" t="inlineStr">
        <is>
          <t>12.3</t>
        </is>
      </c>
      <c r="B146" s="365" t="inlineStr">
        <is>
          <t>Espejos</t>
        </is>
      </c>
      <c r="C146" s="257" t="inlineStr">
        <is>
          <t>M²</t>
        </is>
      </c>
      <c r="D146" s="1449" t="n"/>
      <c r="E146" s="1452" t="n"/>
      <c r="F146" s="1455">
        <f>D146*E146</f>
        <v/>
      </c>
    </row>
    <row r="147">
      <c r="A147" s="80" t="inlineStr">
        <is>
          <t>12.4</t>
        </is>
      </c>
      <c r="B147" s="364" t="inlineStr">
        <is>
          <t>Sellos y silicona</t>
        </is>
      </c>
      <c r="C147" s="257" t="inlineStr">
        <is>
          <t>ML</t>
        </is>
      </c>
      <c r="D147" s="258" t="n"/>
      <c r="E147" s="1451" t="n"/>
      <c r="F147" s="1453">
        <f>D147*E147</f>
        <v/>
      </c>
    </row>
    <row r="148">
      <c r="A148" s="81" t="n"/>
      <c r="B148" s="704" t="inlineStr">
        <is>
          <t>SUBTOTAL CAPÍTULO 12 - VIDRIOS</t>
        </is>
      </c>
      <c r="C148" s="567" t="n"/>
      <c r="D148" s="567" t="n"/>
      <c r="E148" s="567" t="n"/>
      <c r="F148" s="1454">
        <f>SUM(F144:F147)</f>
        <v/>
      </c>
    </row>
    <row r="149">
      <c r="A149" s="82" t="n"/>
      <c r="B149" s="716" t="n"/>
      <c r="C149" s="716" t="n"/>
      <c r="D149" s="716" t="n"/>
      <c r="E149" s="716" t="n"/>
      <c r="F149" s="708" t="n"/>
    </row>
    <row r="150">
      <c r="A150" s="182" t="inlineStr">
        <is>
          <t>13</t>
        </is>
      </c>
      <c r="B150" s="703" t="inlineStr">
        <is>
          <t>INSTALACIONES HIDROSANITARIAS</t>
        </is>
      </c>
      <c r="C150" s="567" t="n"/>
      <c r="D150" s="567" t="n"/>
      <c r="E150" s="567" t="n"/>
      <c r="F150" s="567" t="n"/>
    </row>
    <row r="151">
      <c r="A151" s="80" t="inlineStr">
        <is>
          <t>13.1</t>
        </is>
      </c>
      <c r="B151" s="364" t="inlineStr">
        <is>
          <t>Tubería de agua fría</t>
        </is>
      </c>
      <c r="C151" s="257" t="inlineStr">
        <is>
          <t>ML</t>
        </is>
      </c>
      <c r="D151" s="1449" t="n"/>
      <c r="E151" s="1452" t="n"/>
      <c r="F151" s="1453">
        <f>D151*E151</f>
        <v/>
      </c>
    </row>
    <row r="152">
      <c r="A152" s="80" t="inlineStr">
        <is>
          <t>13.2</t>
        </is>
      </c>
      <c r="B152" s="364" t="inlineStr">
        <is>
          <t>Tubería de agua caliente</t>
        </is>
      </c>
      <c r="C152" s="257" t="inlineStr">
        <is>
          <t>ML</t>
        </is>
      </c>
      <c r="D152" s="258" t="n"/>
      <c r="E152" s="1451" t="n"/>
      <c r="F152" s="1453">
        <f>D152*E152</f>
        <v/>
      </c>
    </row>
    <row r="153">
      <c r="A153" s="80" t="inlineStr">
        <is>
          <t>13.3</t>
        </is>
      </c>
      <c r="B153" s="364" t="inlineStr">
        <is>
          <t>Válvulas y accesorios hidrosanitarios</t>
        </is>
      </c>
      <c r="C153" s="257" t="inlineStr">
        <is>
          <t>UND</t>
        </is>
      </c>
      <c r="D153" s="1449" t="n"/>
      <c r="E153" s="1452" t="n"/>
      <c r="F153" s="1453">
        <f>D153*E153</f>
        <v/>
      </c>
    </row>
    <row r="154">
      <c r="A154" s="80" t="inlineStr">
        <is>
          <t>13.4</t>
        </is>
      </c>
      <c r="B154" s="364" t="inlineStr">
        <is>
          <t>Tubería sanitaria</t>
        </is>
      </c>
      <c r="C154" s="257" t="inlineStr">
        <is>
          <t>ML</t>
        </is>
      </c>
      <c r="D154" s="258" t="n"/>
      <c r="E154" s="1451" t="n"/>
      <c r="F154" s="1453">
        <f>D154*E154</f>
        <v/>
      </c>
    </row>
    <row r="155">
      <c r="A155" s="80" t="inlineStr">
        <is>
          <t>13.5</t>
        </is>
      </c>
      <c r="B155" s="364" t="inlineStr">
        <is>
          <t>Tubería de aguas lluvias</t>
        </is>
      </c>
      <c r="C155" s="257" t="inlineStr">
        <is>
          <t>ML</t>
        </is>
      </c>
      <c r="D155" s="258" t="n"/>
      <c r="E155" s="1451" t="n"/>
      <c r="F155" s="1453">
        <f>D155*E155</f>
        <v/>
      </c>
    </row>
    <row r="156">
      <c r="A156" s="80" t="inlineStr">
        <is>
          <t>13.6</t>
        </is>
      </c>
      <c r="B156" s="364" t="inlineStr">
        <is>
          <t>Cajas de inspección</t>
        </is>
      </c>
      <c r="C156" s="257" t="inlineStr">
        <is>
          <t>UND</t>
        </is>
      </c>
      <c r="D156" s="258" t="n"/>
      <c r="E156" s="1451" t="n"/>
      <c r="F156" s="1453">
        <f>D156*E156</f>
        <v/>
      </c>
    </row>
    <row r="157">
      <c r="A157" s="80" t="inlineStr">
        <is>
          <t>13.7</t>
        </is>
      </c>
      <c r="B157" s="364" t="inlineStr">
        <is>
          <t>Aparatos sanitarios</t>
        </is>
      </c>
      <c r="C157" s="257" t="inlineStr">
        <is>
          <t>UND</t>
        </is>
      </c>
      <c r="D157" s="258" t="n"/>
      <c r="E157" s="1451" t="n"/>
      <c r="F157" s="1453">
        <f>D157*E157</f>
        <v/>
      </c>
    </row>
    <row r="158">
      <c r="A158" s="80" t="inlineStr">
        <is>
          <t>13.8</t>
        </is>
      </c>
      <c r="B158" s="364" t="inlineStr">
        <is>
          <t>Lavamanos</t>
        </is>
      </c>
      <c r="C158" s="257" t="inlineStr">
        <is>
          <t>UND</t>
        </is>
      </c>
      <c r="D158" s="258" t="n"/>
      <c r="E158" s="1451" t="n"/>
      <c r="F158" s="1453">
        <f>D158*E158</f>
        <v/>
      </c>
    </row>
    <row r="159">
      <c r="A159" s="80" t="inlineStr">
        <is>
          <t>13.9</t>
        </is>
      </c>
      <c r="B159" s="364" t="inlineStr">
        <is>
          <t>Griferías</t>
        </is>
      </c>
      <c r="C159" s="257" t="inlineStr">
        <is>
          <t>UND</t>
        </is>
      </c>
      <c r="D159" s="258" t="n"/>
      <c r="E159" s="1451" t="n"/>
      <c r="F159" s="1453">
        <f>D159*E159</f>
        <v/>
      </c>
    </row>
    <row r="160">
      <c r="A160" s="80" t="inlineStr">
        <is>
          <t>13.10</t>
        </is>
      </c>
      <c r="B160" s="364" t="inlineStr">
        <is>
          <t>Duchas</t>
        </is>
      </c>
      <c r="C160" s="257" t="inlineStr">
        <is>
          <t>UND</t>
        </is>
      </c>
      <c r="D160" s="258" t="n"/>
      <c r="E160" s="1451" t="n"/>
      <c r="F160" s="1453">
        <f>D160*E160</f>
        <v/>
      </c>
    </row>
    <row r="161">
      <c r="A161" s="80" t="inlineStr">
        <is>
          <t>13.11</t>
        </is>
      </c>
      <c r="B161" s="364" t="inlineStr">
        <is>
          <t>Pruebas hidráulicas y de estanqueidad</t>
        </is>
      </c>
      <c r="C161" s="257" t="inlineStr">
        <is>
          <t>GL</t>
        </is>
      </c>
      <c r="D161" s="258" t="n"/>
      <c r="E161" s="1451" t="n"/>
      <c r="F161" s="1453">
        <f>D161*E161</f>
        <v/>
      </c>
    </row>
    <row r="162">
      <c r="A162" s="80" t="inlineStr">
        <is>
          <t>13.12</t>
        </is>
      </c>
      <c r="B162" s="364" t="inlineStr">
        <is>
          <t>Orinal institucional</t>
        </is>
      </c>
      <c r="C162" s="257" t="inlineStr">
        <is>
          <t>UND</t>
        </is>
      </c>
      <c r="D162" s="258" t="n"/>
      <c r="E162" s="1451" t="n"/>
      <c r="F162" s="1453">
        <f>D162*E162</f>
        <v/>
      </c>
    </row>
    <row r="163">
      <c r="A163" s="81" t="n"/>
      <c r="B163" s="704" t="inlineStr">
        <is>
          <t>SUBTOTAL CAPÍTULO 13 - INSTALACIONES HIDROSANITARIAS</t>
        </is>
      </c>
      <c r="C163" s="567" t="n"/>
      <c r="D163" s="567" t="n"/>
      <c r="E163" s="567" t="n"/>
      <c r="F163" s="1454">
        <f>SUM(F151:F162)</f>
        <v/>
      </c>
    </row>
    <row r="164">
      <c r="A164" s="82" t="n"/>
      <c r="B164" s="716" t="n"/>
      <c r="C164" s="716" t="n"/>
      <c r="D164" s="716" t="n"/>
      <c r="E164" s="716" t="n"/>
      <c r="F164" s="708" t="n"/>
    </row>
    <row r="165">
      <c r="A165" s="182" t="inlineStr">
        <is>
          <t>14</t>
        </is>
      </c>
      <c r="B165" s="703" t="inlineStr">
        <is>
          <t>INSTALACIONES ELÉCTRICAS</t>
        </is>
      </c>
      <c r="C165" s="567" t="n"/>
      <c r="D165" s="567" t="n"/>
      <c r="E165" s="567" t="n"/>
      <c r="F165" s="567" t="n"/>
    </row>
    <row r="166">
      <c r="A166" s="80" t="inlineStr">
        <is>
          <t>14.1</t>
        </is>
      </c>
      <c r="B166" s="364" t="inlineStr">
        <is>
          <t>Tubería/conduit eléctrica</t>
        </is>
      </c>
      <c r="C166" s="257" t="inlineStr">
        <is>
          <t>ML</t>
        </is>
      </c>
      <c r="D166" s="258" t="n"/>
      <c r="E166" s="1451" t="n"/>
      <c r="F166" s="1453">
        <f>D166*E166</f>
        <v/>
      </c>
    </row>
    <row r="167">
      <c r="A167" s="80" t="inlineStr">
        <is>
          <t>14.2</t>
        </is>
      </c>
      <c r="B167" s="364" t="inlineStr">
        <is>
          <t>Bandejas portacables</t>
        </is>
      </c>
      <c r="C167" s="257" t="inlineStr">
        <is>
          <t>ML</t>
        </is>
      </c>
      <c r="D167" s="258" t="n"/>
      <c r="E167" s="1451" t="n"/>
      <c r="F167" s="1453">
        <f>D167*E167</f>
        <v/>
      </c>
    </row>
    <row r="168">
      <c r="A168" s="80" t="inlineStr">
        <is>
          <t>14.3</t>
        </is>
      </c>
      <c r="B168" s="364" t="inlineStr">
        <is>
          <t>Cajas eléctricas</t>
        </is>
      </c>
      <c r="C168" s="257" t="inlineStr">
        <is>
          <t>UND</t>
        </is>
      </c>
      <c r="D168" s="258" t="n"/>
      <c r="E168" s="1451" t="n"/>
      <c r="F168" s="1453">
        <f>D168*E168</f>
        <v/>
      </c>
    </row>
    <row r="169">
      <c r="A169" s="80" t="inlineStr">
        <is>
          <t>14.4</t>
        </is>
      </c>
      <c r="B169" s="364" t="inlineStr">
        <is>
          <t>Cableado de fuerza</t>
        </is>
      </c>
      <c r="C169" s="257" t="inlineStr">
        <is>
          <t>ML</t>
        </is>
      </c>
      <c r="D169" s="258" t="n"/>
      <c r="E169" s="1451" t="n"/>
      <c r="F169" s="1453">
        <f>D169*E169</f>
        <v/>
      </c>
    </row>
    <row r="170">
      <c r="A170" s="80" t="inlineStr">
        <is>
          <t>14.5</t>
        </is>
      </c>
      <c r="B170" s="364" t="inlineStr">
        <is>
          <t>Cableado de iluminación</t>
        </is>
      </c>
      <c r="C170" s="257" t="inlineStr">
        <is>
          <t>ML</t>
        </is>
      </c>
      <c r="D170" s="258" t="n"/>
      <c r="E170" s="1451" t="n"/>
      <c r="F170" s="1453">
        <f>D170*E170</f>
        <v/>
      </c>
    </row>
    <row r="171">
      <c r="A171" s="80" t="inlineStr">
        <is>
          <t>14.6</t>
        </is>
      </c>
      <c r="B171" s="364" t="inlineStr">
        <is>
          <t>Tableros eléctricos</t>
        </is>
      </c>
      <c r="C171" s="257" t="inlineStr">
        <is>
          <t>UND</t>
        </is>
      </c>
      <c r="D171" s="258" t="n"/>
      <c r="E171" s="1451" t="n"/>
      <c r="F171" s="1453">
        <f>D171*E171</f>
        <v/>
      </c>
    </row>
    <row r="172">
      <c r="A172" s="80" t="inlineStr">
        <is>
          <t>14.7</t>
        </is>
      </c>
      <c r="B172" s="364" t="inlineStr">
        <is>
          <t>Tomacorrientes</t>
        </is>
      </c>
      <c r="C172" s="257" t="inlineStr">
        <is>
          <t>UND</t>
        </is>
      </c>
      <c r="D172" s="258" t="n"/>
      <c r="E172" s="1451" t="n"/>
      <c r="F172" s="1453">
        <f>D172*E172</f>
        <v/>
      </c>
    </row>
    <row r="173">
      <c r="A173" s="80" t="inlineStr">
        <is>
          <t>14.8</t>
        </is>
      </c>
      <c r="B173" s="364" t="inlineStr">
        <is>
          <t>Interruptores</t>
        </is>
      </c>
      <c r="C173" s="257" t="inlineStr">
        <is>
          <t>UND</t>
        </is>
      </c>
      <c r="D173" s="258" t="n"/>
      <c r="E173" s="1451" t="n"/>
      <c r="F173" s="1453">
        <f>D173*E173</f>
        <v/>
      </c>
    </row>
    <row r="174">
      <c r="A174" s="80" t="inlineStr">
        <is>
          <t>14.9</t>
        </is>
      </c>
      <c r="B174" s="364" t="inlineStr">
        <is>
          <t>Luminarias</t>
        </is>
      </c>
      <c r="C174" s="257" t="inlineStr">
        <is>
          <t>UND</t>
        </is>
      </c>
      <c r="D174" s="258" t="n"/>
      <c r="E174" s="1451" t="n"/>
      <c r="F174" s="1453">
        <f>D174*E174</f>
        <v/>
      </c>
    </row>
    <row r="175">
      <c r="A175" s="80" t="inlineStr">
        <is>
          <t>14.10</t>
        </is>
      </c>
      <c r="B175" s="364" t="inlineStr">
        <is>
          <t>Sistema de puesta a tierra</t>
        </is>
      </c>
      <c r="C175" s="257" t="inlineStr">
        <is>
          <t>GL</t>
        </is>
      </c>
      <c r="D175" s="258" t="n"/>
      <c r="E175" s="1451" t="n"/>
      <c r="F175" s="1453">
        <f>D175*E175</f>
        <v/>
      </c>
    </row>
    <row r="176">
      <c r="A176" s="80" t="inlineStr">
        <is>
          <t>14.11</t>
        </is>
      </c>
      <c r="B176" s="364" t="inlineStr">
        <is>
          <t>Pruebas y certificaciones</t>
        </is>
      </c>
      <c r="C176" s="257" t="inlineStr">
        <is>
          <t>GL</t>
        </is>
      </c>
      <c r="D176" s="258" t="n"/>
      <c r="E176" s="1451" t="n"/>
      <c r="F176" s="1453">
        <f>D176*E176</f>
        <v/>
      </c>
    </row>
    <row r="177">
      <c r="A177" s="81" t="n"/>
      <c r="B177" s="704" t="inlineStr">
        <is>
          <t>SUBTOTAL CAPÍTULO 14 - INSTALACIONES ELÉCTRICAS</t>
        </is>
      </c>
      <c r="C177" s="567" t="n"/>
      <c r="D177" s="567" t="n"/>
      <c r="E177" s="567" t="n"/>
      <c r="F177" s="1454">
        <f>SUM(F166:F176)</f>
        <v/>
      </c>
    </row>
    <row r="178">
      <c r="A178" s="82" t="n"/>
      <c r="B178" s="716" t="n"/>
      <c r="C178" s="716" t="n"/>
      <c r="D178" s="716" t="n"/>
      <c r="E178" s="716" t="n"/>
      <c r="F178" s="708" t="n"/>
    </row>
    <row r="179">
      <c r="A179" s="182" t="inlineStr">
        <is>
          <t>15</t>
        </is>
      </c>
      <c r="B179" s="703" t="inlineStr">
        <is>
          <t>COMUNICACIONES Y SEGURIDAD</t>
        </is>
      </c>
      <c r="C179" s="567" t="n"/>
      <c r="D179" s="567" t="n"/>
      <c r="E179" s="567" t="n"/>
      <c r="F179" s="567" t="n"/>
    </row>
    <row r="180">
      <c r="A180" s="80" t="inlineStr">
        <is>
          <t>15.1</t>
        </is>
      </c>
      <c r="B180" s="364" t="inlineStr">
        <is>
          <t>Cableado estructurado de datos</t>
        </is>
      </c>
      <c r="C180" s="257" t="inlineStr">
        <is>
          <t>ML</t>
        </is>
      </c>
      <c r="D180" s="258" t="n"/>
      <c r="E180" s="1451" t="n"/>
      <c r="F180" s="1453">
        <f>D180*E180</f>
        <v/>
      </c>
    </row>
    <row r="181">
      <c r="A181" s="80" t="inlineStr">
        <is>
          <t>15.2</t>
        </is>
      </c>
      <c r="B181" s="364" t="inlineStr">
        <is>
          <t>Rack de comunicaciones</t>
        </is>
      </c>
      <c r="C181" s="257" t="inlineStr">
        <is>
          <t>UND</t>
        </is>
      </c>
      <c r="D181" s="258" t="n"/>
      <c r="E181" s="1451" t="n"/>
      <c r="F181" s="1453">
        <f>D181*E181</f>
        <v/>
      </c>
    </row>
    <row r="182">
      <c r="A182" s="80" t="inlineStr">
        <is>
          <t>15.3</t>
        </is>
      </c>
      <c r="B182" s="364" t="inlineStr">
        <is>
          <t>Cámaras y sistema CCTV</t>
        </is>
      </c>
      <c r="C182" s="257" t="inlineStr">
        <is>
          <t>UND</t>
        </is>
      </c>
      <c r="D182" s="258" t="n"/>
      <c r="E182" s="1451" t="n"/>
      <c r="F182" s="1453">
        <f>D182*E182</f>
        <v/>
      </c>
    </row>
    <row r="183">
      <c r="A183" s="80" t="inlineStr">
        <is>
          <t>15.4</t>
        </is>
      </c>
      <c r="B183" s="364" t="inlineStr">
        <is>
          <t>Control de acceso</t>
        </is>
      </c>
      <c r="C183" s="257" t="inlineStr">
        <is>
          <t>UND</t>
        </is>
      </c>
      <c r="D183" s="258" t="n"/>
      <c r="E183" s="1451" t="n"/>
      <c r="F183" s="1453">
        <f>D183*E183</f>
        <v/>
      </c>
    </row>
    <row r="184">
      <c r="A184" s="80" t="inlineStr">
        <is>
          <t>15.5</t>
        </is>
      </c>
      <c r="B184" s="364" t="inlineStr">
        <is>
          <t>Sistema de citofonía</t>
        </is>
      </c>
      <c r="C184" s="257" t="inlineStr">
        <is>
          <t>UND</t>
        </is>
      </c>
      <c r="D184" s="258" t="n"/>
      <c r="E184" s="1451" t="n"/>
      <c r="F184" s="1453">
        <f>D184*E184</f>
        <v/>
      </c>
    </row>
    <row r="185">
      <c r="A185" s="80" t="inlineStr">
        <is>
          <t>15.6</t>
        </is>
      </c>
      <c r="B185" s="364" t="inlineStr">
        <is>
          <t>Sistema de detección de incendios</t>
        </is>
      </c>
      <c r="C185" s="257" t="inlineStr">
        <is>
          <t>GL</t>
        </is>
      </c>
      <c r="D185" s="258" t="n"/>
      <c r="E185" s="1451" t="n"/>
      <c r="F185" s="1453">
        <f>D185*E185</f>
        <v/>
      </c>
    </row>
    <row r="186">
      <c r="A186" s="81" t="n"/>
      <c r="B186" s="704" t="inlineStr">
        <is>
          <t>SUBTOTAL CAPÍTULO 15 - COMUNICACIONES Y SEGURIDAD</t>
        </is>
      </c>
      <c r="C186" s="567" t="n"/>
      <c r="D186" s="567" t="n"/>
      <c r="E186" s="567" t="n"/>
      <c r="F186" s="1454">
        <f>SUM(F180:F185)</f>
        <v/>
      </c>
    </row>
    <row r="187">
      <c r="A187" s="82" t="n"/>
      <c r="B187" s="716" t="n"/>
      <c r="C187" s="716" t="n"/>
      <c r="D187" s="716" t="n"/>
      <c r="E187" s="716" t="n"/>
      <c r="F187" s="708" t="n"/>
    </row>
    <row r="188">
      <c r="A188" s="182" t="inlineStr">
        <is>
          <t>16</t>
        </is>
      </c>
      <c r="B188" s="703" t="inlineStr">
        <is>
          <t>CLIMATIZACIÓN Y VENTILACIÓN</t>
        </is>
      </c>
      <c r="C188" s="567" t="n"/>
      <c r="D188" s="567" t="n"/>
      <c r="E188" s="567" t="n"/>
      <c r="F188" s="567" t="n"/>
    </row>
    <row r="189">
      <c r="A189" s="80" t="inlineStr">
        <is>
          <t>16.1</t>
        </is>
      </c>
      <c r="B189" s="364" t="inlineStr">
        <is>
          <t>Equipos de aire acondicionado</t>
        </is>
      </c>
      <c r="C189" s="257" t="inlineStr">
        <is>
          <t>UND</t>
        </is>
      </c>
      <c r="D189" s="258" t="n"/>
      <c r="E189" s="1451" t="n"/>
      <c r="F189" s="1453">
        <f>D189*E189</f>
        <v/>
      </c>
    </row>
    <row r="190">
      <c r="A190" s="80" t="inlineStr">
        <is>
          <t>16.2</t>
        </is>
      </c>
      <c r="B190" s="364" t="inlineStr">
        <is>
          <t>Ductos de ventilación</t>
        </is>
      </c>
      <c r="C190" s="257" t="inlineStr">
        <is>
          <t>M²</t>
        </is>
      </c>
      <c r="D190" s="258" t="n"/>
      <c r="E190" s="1451" t="n"/>
      <c r="F190" s="1453">
        <f>D190*E190</f>
        <v/>
      </c>
    </row>
    <row r="191">
      <c r="A191" s="80" t="inlineStr">
        <is>
          <t>16.3</t>
        </is>
      </c>
      <c r="B191" s="364" t="inlineStr">
        <is>
          <t>Tubería de refrigerante</t>
        </is>
      </c>
      <c r="C191" s="257" t="inlineStr">
        <is>
          <t>ML</t>
        </is>
      </c>
      <c r="D191" s="258" t="n"/>
      <c r="E191" s="1451" t="n"/>
      <c r="F191" s="1453">
        <f>D191*E191</f>
        <v/>
      </c>
    </row>
    <row r="192">
      <c r="A192" s="80" t="inlineStr">
        <is>
          <t>16.4</t>
        </is>
      </c>
      <c r="B192" s="364" t="inlineStr">
        <is>
          <t>Rejillas y difusores</t>
        </is>
      </c>
      <c r="C192" s="257" t="inlineStr">
        <is>
          <t>UND</t>
        </is>
      </c>
      <c r="D192" s="258" t="n"/>
      <c r="E192" s="1451" t="n"/>
      <c r="F192" s="1453">
        <f>D192*E192</f>
        <v/>
      </c>
    </row>
    <row r="193">
      <c r="A193" s="81" t="n"/>
      <c r="B193" s="704" t="inlineStr">
        <is>
          <t>SUBTOTAL CAPÍTULO 16 - CLIMATIZACIÓN Y VENTILACIÓN</t>
        </is>
      </c>
      <c r="C193" s="567" t="n"/>
      <c r="D193" s="567" t="n"/>
      <c r="E193" s="567" t="n"/>
      <c r="F193" s="1454">
        <f>SUM(F189:F192)</f>
        <v/>
      </c>
    </row>
    <row r="194">
      <c r="A194" s="82" t="n"/>
      <c r="B194" s="716" t="n"/>
      <c r="C194" s="716" t="n"/>
      <c r="D194" s="716" t="n"/>
      <c r="E194" s="716" t="n"/>
      <c r="F194" s="708" t="n"/>
    </row>
    <row r="195">
      <c r="A195" s="182" t="inlineStr">
        <is>
          <t>17</t>
        </is>
      </c>
      <c r="B195" s="703" t="inlineStr">
        <is>
          <t>GAS</t>
        </is>
      </c>
      <c r="C195" s="567" t="n"/>
      <c r="D195" s="567" t="n"/>
      <c r="E195" s="567" t="n"/>
      <c r="F195" s="567" t="n"/>
    </row>
    <row r="196">
      <c r="A196" s="80" t="inlineStr">
        <is>
          <t>17.1</t>
        </is>
      </c>
      <c r="B196" s="364" t="inlineStr">
        <is>
          <t>Red interna de gas</t>
        </is>
      </c>
      <c r="C196" s="257" t="inlineStr">
        <is>
          <t>ML</t>
        </is>
      </c>
      <c r="D196" s="258" t="n"/>
      <c r="E196" s="1451" t="n"/>
      <c r="F196" s="1453">
        <f>D196*E196</f>
        <v/>
      </c>
    </row>
    <row r="197">
      <c r="A197" s="80" t="inlineStr">
        <is>
          <t>17.2</t>
        </is>
      </c>
      <c r="B197" s="364" t="inlineStr">
        <is>
          <t>Válvulas y accesorios de gas</t>
        </is>
      </c>
      <c r="C197" s="257" t="inlineStr">
        <is>
          <t>UND</t>
        </is>
      </c>
      <c r="D197" s="258" t="n"/>
      <c r="E197" s="1451" t="n"/>
      <c r="F197" s="1453">
        <f>D197*E197</f>
        <v/>
      </c>
    </row>
    <row r="198">
      <c r="A198" s="80" t="inlineStr">
        <is>
          <t>17.3</t>
        </is>
      </c>
      <c r="B198" s="364" t="inlineStr">
        <is>
          <t>Pruebas y certificación</t>
        </is>
      </c>
      <c r="C198" s="257" t="inlineStr">
        <is>
          <t>GL</t>
        </is>
      </c>
      <c r="D198" s="258" t="n"/>
      <c r="E198" s="1451" t="n"/>
      <c r="F198" s="1453">
        <f>D198*E198</f>
        <v/>
      </c>
    </row>
    <row r="199">
      <c r="A199" s="81" t="n"/>
      <c r="B199" s="704" t="inlineStr">
        <is>
          <t>SUBTOTAL CAPÍTULO 17 - GAS</t>
        </is>
      </c>
      <c r="C199" s="567" t="n"/>
      <c r="D199" s="567" t="n"/>
      <c r="E199" s="567" t="n"/>
      <c r="F199" s="1454">
        <f>SUM(F196:F198)</f>
        <v/>
      </c>
    </row>
    <row r="200">
      <c r="A200" s="82" t="n"/>
      <c r="B200" s="716" t="n"/>
      <c r="C200" s="716" t="n"/>
      <c r="D200" s="716" t="n"/>
      <c r="E200" s="716" t="n"/>
      <c r="F200" s="708" t="n"/>
    </row>
    <row r="201">
      <c r="A201" s="182" t="inlineStr">
        <is>
          <t>18</t>
        </is>
      </c>
      <c r="B201" s="703" t="inlineStr">
        <is>
          <t>URBANISMO Y EXTERIORES</t>
        </is>
      </c>
      <c r="C201" s="567" t="n"/>
      <c r="D201" s="567" t="n"/>
      <c r="E201" s="567" t="n"/>
      <c r="F201" s="567" t="n"/>
    </row>
    <row r="202">
      <c r="A202" s="80" t="inlineStr">
        <is>
          <t>18.1</t>
        </is>
      </c>
      <c r="B202" s="364" t="inlineStr">
        <is>
          <t>Construcción de andenes</t>
        </is>
      </c>
      <c r="C202" s="257" t="inlineStr">
        <is>
          <t>M²</t>
        </is>
      </c>
      <c r="D202" s="258" t="n"/>
      <c r="E202" s="1451" t="n"/>
      <c r="F202" s="1453">
        <f>D202*E202</f>
        <v/>
      </c>
    </row>
    <row r="203">
      <c r="A203" s="80" t="inlineStr">
        <is>
          <t>18.2</t>
        </is>
      </c>
      <c r="B203" s="364" t="inlineStr">
        <is>
          <t>Placas de concreto exteriores</t>
        </is>
      </c>
      <c r="C203" s="257" t="inlineStr">
        <is>
          <t>M³</t>
        </is>
      </c>
      <c r="D203" s="258" t="n"/>
      <c r="E203" s="1451" t="n"/>
      <c r="F203" s="1453">
        <f>D203*E203</f>
        <v/>
      </c>
    </row>
    <row r="204">
      <c r="A204" s="80" t="inlineStr">
        <is>
          <t>18.3</t>
        </is>
      </c>
      <c r="B204" s="364" t="inlineStr">
        <is>
          <t>Pavimento en adoquín</t>
        </is>
      </c>
      <c r="C204" s="257" t="inlineStr">
        <is>
          <t>M²</t>
        </is>
      </c>
      <c r="D204" s="258" t="n"/>
      <c r="E204" s="1451" t="n"/>
      <c r="F204" s="1453">
        <f>D204*E204</f>
        <v/>
      </c>
    </row>
    <row r="205">
      <c r="A205" s="80" t="inlineStr">
        <is>
          <t>18.4</t>
        </is>
      </c>
      <c r="B205" s="364" t="inlineStr">
        <is>
          <t>Sardineles y bordillos</t>
        </is>
      </c>
      <c r="C205" s="257" t="inlineStr">
        <is>
          <t>ML</t>
        </is>
      </c>
      <c r="D205" s="258" t="n"/>
      <c r="E205" s="1451" t="n"/>
      <c r="F205" s="1453">
        <f>D205*E205</f>
        <v/>
      </c>
    </row>
    <row r="206">
      <c r="A206" s="80" t="inlineStr">
        <is>
          <t>18.5</t>
        </is>
      </c>
      <c r="B206" s="364" t="inlineStr">
        <is>
          <t>Sumideros exteriores</t>
        </is>
      </c>
      <c r="C206" s="257" t="inlineStr">
        <is>
          <t>UND</t>
        </is>
      </c>
      <c r="D206" s="258" t="n"/>
      <c r="E206" s="1451" t="n"/>
      <c r="F206" s="1453">
        <f>D206*E206</f>
        <v/>
      </c>
    </row>
    <row r="207">
      <c r="A207" s="80" t="inlineStr">
        <is>
          <t>18.6</t>
        </is>
      </c>
      <c r="B207" s="364" t="inlineStr">
        <is>
          <t>Suministro y extendido de tierra vegetal</t>
        </is>
      </c>
      <c r="C207" s="257" t="inlineStr">
        <is>
          <t>M³</t>
        </is>
      </c>
      <c r="D207" s="258" t="n"/>
      <c r="E207" s="1451" t="n"/>
      <c r="F207" s="1453">
        <f>D207*E207</f>
        <v/>
      </c>
    </row>
    <row r="208">
      <c r="A208" s="80" t="inlineStr">
        <is>
          <t>18.7</t>
        </is>
      </c>
      <c r="B208" s="364" t="inlineStr">
        <is>
          <t>Siembra y jardinería</t>
        </is>
      </c>
      <c r="C208" s="257" t="inlineStr">
        <is>
          <t>M²</t>
        </is>
      </c>
      <c r="D208" s="258" t="n"/>
      <c r="E208" s="1451" t="n"/>
      <c r="F208" s="1453">
        <f>D208*E208</f>
        <v/>
      </c>
    </row>
    <row r="209">
      <c r="A209" s="80" t="inlineStr">
        <is>
          <t>18.8</t>
        </is>
      </c>
      <c r="B209" s="364" t="inlineStr">
        <is>
          <t>Geotextil para drenaje y filtración</t>
        </is>
      </c>
      <c r="C209" s="257" t="inlineStr">
        <is>
          <t>M²</t>
        </is>
      </c>
      <c r="D209" s="258" t="n"/>
      <c r="E209" s="1451" t="n"/>
      <c r="F209" s="1453">
        <f>D209*E209</f>
        <v/>
      </c>
    </row>
    <row r="210">
      <c r="A210" s="80" t="inlineStr">
        <is>
          <t>18.9</t>
        </is>
      </c>
      <c r="B210" s="364" t="inlineStr">
        <is>
          <t>Gaviones para obras de contención</t>
        </is>
      </c>
      <c r="C210" s="257" t="inlineStr">
        <is>
          <t>M³</t>
        </is>
      </c>
      <c r="D210" s="258" t="n"/>
      <c r="E210" s="1451" t="n"/>
      <c r="F210" s="1453">
        <f>D210*E210</f>
        <v/>
      </c>
    </row>
    <row r="211">
      <c r="A211" s="80" t="inlineStr">
        <is>
          <t>18.10</t>
        </is>
      </c>
      <c r="B211" s="364" t="inlineStr">
        <is>
          <t>Filtro francés (drenaje de terrenos)</t>
        </is>
      </c>
      <c r="C211" s="257" t="inlineStr">
        <is>
          <t>ML</t>
        </is>
      </c>
      <c r="D211" s="258" t="n"/>
      <c r="E211" s="1451" t="n"/>
      <c r="F211" s="1453">
        <f>D211*E211</f>
        <v/>
      </c>
    </row>
    <row r="212">
      <c r="A212" s="80" t="inlineStr">
        <is>
          <t>18.11</t>
        </is>
      </c>
      <c r="B212" s="364" t="inlineStr">
        <is>
          <t>Revegetalización / empradización</t>
        </is>
      </c>
      <c r="C212" s="257" t="inlineStr">
        <is>
          <t>M²</t>
        </is>
      </c>
      <c r="D212" s="258" t="n"/>
      <c r="E212" s="1451" t="n"/>
      <c r="F212" s="1453">
        <f>D212*E212</f>
        <v/>
      </c>
    </row>
    <row r="213">
      <c r="A213" s="81" t="n"/>
      <c r="B213" s="704" t="inlineStr">
        <is>
          <t>SUBTOTAL CAPÍTULO 18 - URBANISMO Y EXTERIORES</t>
        </is>
      </c>
      <c r="C213" s="567" t="n"/>
      <c r="D213" s="567" t="n"/>
      <c r="E213" s="567" t="n"/>
      <c r="F213" s="1454">
        <f>SUM(F202:F212)</f>
        <v/>
      </c>
    </row>
    <row r="214">
      <c r="A214" s="82" t="n"/>
      <c r="B214" s="716" t="n"/>
      <c r="C214" s="716" t="n"/>
      <c r="D214" s="716" t="n"/>
      <c r="E214" s="716" t="n"/>
      <c r="F214" s="708" t="n"/>
    </row>
    <row r="215">
      <c r="A215" s="182" t="inlineStr">
        <is>
          <t>19</t>
        </is>
      </c>
      <c r="B215" s="703" t="inlineStr">
        <is>
          <t>OBRAS COMPLEMENTARIAS</t>
        </is>
      </c>
      <c r="C215" s="567" t="n"/>
      <c r="D215" s="567" t="n"/>
      <c r="E215" s="567" t="n"/>
      <c r="F215" s="567" t="n"/>
    </row>
    <row r="216">
      <c r="A216" s="80" t="inlineStr">
        <is>
          <t>19.1</t>
        </is>
      </c>
      <c r="B216" s="364" t="inlineStr">
        <is>
          <t>Rejas metálicas</t>
        </is>
      </c>
      <c r="C216" s="257" t="inlineStr">
        <is>
          <t>M²</t>
        </is>
      </c>
      <c r="D216" s="258" t="n"/>
      <c r="E216" s="1451" t="n"/>
      <c r="F216" s="1453">
        <f>D216*E216</f>
        <v/>
      </c>
    </row>
    <row r="217">
      <c r="A217" s="80" t="inlineStr">
        <is>
          <t>19.2</t>
        </is>
      </c>
      <c r="B217" s="364" t="inlineStr">
        <is>
          <t>Escaleras metálicas</t>
        </is>
      </c>
      <c r="C217" s="257" t="inlineStr">
        <is>
          <t>KG</t>
        </is>
      </c>
      <c r="D217" s="258" t="n"/>
      <c r="E217" s="1451" t="n"/>
      <c r="F217" s="1453">
        <f>D217*E217</f>
        <v/>
      </c>
    </row>
    <row r="218">
      <c r="A218" s="80" t="inlineStr">
        <is>
          <t>19.3</t>
        </is>
      </c>
      <c r="B218" s="364" t="inlineStr">
        <is>
          <t>Elementos metálicos especiales</t>
        </is>
      </c>
      <c r="C218" s="257" t="inlineStr">
        <is>
          <t>KG</t>
        </is>
      </c>
      <c r="D218" s="258" t="n"/>
      <c r="E218" s="1451" t="n"/>
      <c r="F218" s="1453">
        <f>D218*E218</f>
        <v/>
      </c>
    </row>
    <row r="219">
      <c r="A219" s="80" t="inlineStr">
        <is>
          <t>19.4</t>
        </is>
      </c>
      <c r="B219" s="364" t="inlineStr">
        <is>
          <t>Mobiliario fijo de obra</t>
        </is>
      </c>
      <c r="C219" s="257" t="inlineStr">
        <is>
          <t>UND</t>
        </is>
      </c>
      <c r="D219" s="258" t="n"/>
      <c r="E219" s="1451" t="n"/>
      <c r="F219" s="1453">
        <f>D219*E219</f>
        <v/>
      </c>
    </row>
    <row r="220">
      <c r="A220" s="81" t="n"/>
      <c r="B220" s="704" t="inlineStr">
        <is>
          <t>SUBTOTAL CAPÍTULO 19 - OBRAS COMPLEMENTARIAS</t>
        </is>
      </c>
      <c r="C220" s="567" t="n"/>
      <c r="D220" s="567" t="n"/>
      <c r="E220" s="567" t="n"/>
      <c r="F220" s="1454">
        <f>SUM(F216:F219)</f>
        <v/>
      </c>
    </row>
    <row r="221">
      <c r="A221" s="82" t="n"/>
      <c r="B221" s="716" t="n"/>
      <c r="C221" s="716" t="n"/>
      <c r="D221" s="716" t="n"/>
      <c r="E221" s="716" t="n"/>
      <c r="F221" s="708" t="n"/>
    </row>
    <row r="222">
      <c r="A222" s="182" t="inlineStr">
        <is>
          <t>20</t>
        </is>
      </c>
      <c r="B222" s="703" t="inlineStr">
        <is>
          <t>ASEO, ENTREGA Y CIERRE</t>
        </is>
      </c>
      <c r="C222" s="567" t="n"/>
      <c r="D222" s="567" t="n"/>
      <c r="E222" s="567" t="n"/>
      <c r="F222" s="567" t="n"/>
    </row>
    <row r="223">
      <c r="A223" s="80" t="inlineStr">
        <is>
          <t>20.1</t>
        </is>
      </c>
      <c r="B223" s="364" t="inlineStr">
        <is>
          <t>Limpieza gruesa y fina de obra</t>
        </is>
      </c>
      <c r="C223" s="257" t="inlineStr">
        <is>
          <t>M²</t>
        </is>
      </c>
      <c r="D223" s="258" t="n"/>
      <c r="E223" s="1451" t="n"/>
      <c r="F223" s="1453">
        <f>D223*E223</f>
        <v/>
      </c>
    </row>
    <row r="224">
      <c r="A224" s="80" t="inlineStr">
        <is>
          <t>20.2</t>
        </is>
      </c>
      <c r="B224" s="364" t="inlineStr">
        <is>
          <t>Limpieza final para entrega</t>
        </is>
      </c>
      <c r="C224" s="257" t="inlineStr">
        <is>
          <t>M²</t>
        </is>
      </c>
      <c r="D224" s="258" t="n"/>
      <c r="E224" s="1451" t="n"/>
      <c r="F224" s="1453">
        <f>D224*E224</f>
        <v/>
      </c>
    </row>
    <row r="225">
      <c r="A225" s="80" t="inlineStr">
        <is>
          <t>20.3</t>
        </is>
      </c>
      <c r="B225" s="364" t="inlineStr">
        <is>
          <t>Pruebas, puesta en marcha y ajustes</t>
        </is>
      </c>
      <c r="C225" s="257" t="inlineStr">
        <is>
          <t>GL</t>
        </is>
      </c>
      <c r="D225" s="258" t="n"/>
      <c r="E225" s="1451" t="n"/>
      <c r="F225" s="1453">
        <f>D225*E225</f>
        <v/>
      </c>
    </row>
    <row r="226">
      <c r="A226" s="80" t="inlineStr">
        <is>
          <t>20.4</t>
        </is>
      </c>
      <c r="B226" s="364" t="inlineStr">
        <is>
          <t>Actualización de planos récord / as-built</t>
        </is>
      </c>
      <c r="C226" s="257" t="inlineStr">
        <is>
          <t>GL</t>
        </is>
      </c>
      <c r="D226" s="258" t="n"/>
      <c r="E226" s="1451" t="n"/>
      <c r="F226" s="1453">
        <f>D226*E226</f>
        <v/>
      </c>
    </row>
    <row r="227">
      <c r="A227" s="80" t="inlineStr">
        <is>
          <t>20.5</t>
        </is>
      </c>
      <c r="B227" s="364" t="inlineStr">
        <is>
          <t>Entrega, manuales y acta de recibo</t>
        </is>
      </c>
      <c r="C227" s="257" t="inlineStr">
        <is>
          <t>GL</t>
        </is>
      </c>
      <c r="D227" s="258" t="n"/>
      <c r="E227" s="1451" t="n"/>
      <c r="F227" s="1453">
        <f>D227*E227</f>
        <v/>
      </c>
    </row>
    <row r="228">
      <c r="A228" s="81" t="n"/>
      <c r="B228" s="704" t="inlineStr">
        <is>
          <t>SUBTOTAL CAPÍTULO 20 - ASEO, ENTREGA Y CIERRE</t>
        </is>
      </c>
      <c r="C228" s="567" t="n"/>
      <c r="D228" s="567" t="n"/>
      <c r="E228" s="567" t="n"/>
      <c r="F228" s="1454">
        <f>SUM(F223:F227)</f>
        <v/>
      </c>
    </row>
    <row r="229">
      <c r="A229" s="82" t="n"/>
      <c r="B229" s="716" t="n"/>
      <c r="C229" s="716" t="n"/>
      <c r="D229" s="716" t="n"/>
      <c r="E229" s="716" t="n"/>
      <c r="F229" s="708" t="n"/>
    </row>
    <row r="230">
      <c r="A230" s="182" t="inlineStr">
        <is>
          <t>21</t>
        </is>
      </c>
      <c r="B230" s="703" t="inlineStr">
        <is>
          <t>ASCENSORES</t>
        </is>
      </c>
      <c r="C230" s="567" t="n"/>
      <c r="D230" s="567" t="n"/>
      <c r="E230" s="567" t="n"/>
      <c r="F230" s="567" t="n"/>
    </row>
    <row r="231">
      <c r="A231" s="80" t="inlineStr">
        <is>
          <t>21.1</t>
        </is>
      </c>
      <c r="B231" s="364" t="inlineStr">
        <is>
          <t>Suministro e instalación de ascensor eléctrico</t>
        </is>
      </c>
      <c r="C231" s="257" t="inlineStr">
        <is>
          <t>UND</t>
        </is>
      </c>
      <c r="D231" s="258" t="n"/>
      <c r="E231" s="1451" t="n"/>
      <c r="F231" s="1453">
        <f>D231*E231</f>
        <v/>
      </c>
    </row>
    <row r="232">
      <c r="A232" s="81" t="n"/>
      <c r="B232" s="704" t="inlineStr">
        <is>
          <t>SUBTOTAL CAPÍTULO 21 - ASCENSORES</t>
        </is>
      </c>
      <c r="C232" s="567" t="n"/>
      <c r="D232" s="567" t="n"/>
      <c r="E232" s="567" t="n"/>
      <c r="F232" s="1454">
        <f>SUM(F231:F231)</f>
        <v/>
      </c>
    </row>
    <row r="233">
      <c r="A233" s="82" t="n"/>
      <c r="B233" s="716" t="n"/>
      <c r="C233" s="716" t="n"/>
      <c r="D233" s="716" t="n"/>
      <c r="E233" s="716" t="n"/>
      <c r="F233" s="708" t="n"/>
    </row>
    <row r="234">
      <c r="A234" s="182" t="inlineStr">
        <is>
          <t>22</t>
        </is>
      </c>
      <c r="B234" s="703" t="inlineStr">
        <is>
          <t>GESTIÓN, DISEÑO Y ADMINISTRACIÓN</t>
        </is>
      </c>
      <c r="C234" s="567" t="n"/>
      <c r="D234" s="567" t="n"/>
      <c r="E234" s="567" t="n"/>
      <c r="F234" s="567" t="n"/>
    </row>
    <row r="235">
      <c r="A235" s="80" t="inlineStr">
        <is>
          <t>22.1</t>
        </is>
      </c>
      <c r="B235" s="364" t="inlineStr">
        <is>
          <t>Estudio de suelos y geotecnia</t>
        </is>
      </c>
      <c r="C235" s="257" t="inlineStr">
        <is>
          <t>GL</t>
        </is>
      </c>
      <c r="D235" s="258" t="n"/>
      <c r="E235" s="1451" t="n"/>
      <c r="F235" s="1453">
        <f>D235*E235</f>
        <v/>
      </c>
    </row>
    <row r="236">
      <c r="A236" s="80" t="inlineStr">
        <is>
          <t>22.2</t>
        </is>
      </c>
      <c r="B236" s="364" t="inlineStr">
        <is>
          <t>Diseños arquitectónicos, estructurales, hidrosanitarios y eléctricos</t>
        </is>
      </c>
      <c r="C236" s="257" t="inlineStr">
        <is>
          <t>GL</t>
        </is>
      </c>
      <c r="D236" s="258" t="n"/>
      <c r="E236" s="1451" t="n"/>
      <c r="F236" s="1453">
        <f>D236*E236</f>
        <v/>
      </c>
    </row>
    <row r="237">
      <c r="A237" s="80" t="inlineStr">
        <is>
          <t>22.3</t>
        </is>
      </c>
      <c r="B237" s="364" t="inlineStr">
        <is>
          <t>Licencia de construcción y trámites de curaduría urbana</t>
        </is>
      </c>
      <c r="C237" s="257" t="inlineStr">
        <is>
          <t>GL</t>
        </is>
      </c>
      <c r="D237" s="258" t="n"/>
      <c r="E237" s="1451" t="n"/>
      <c r="F237" s="1453">
        <f>D237*E237</f>
        <v/>
      </c>
    </row>
    <row r="238">
      <c r="A238" s="80" t="inlineStr">
        <is>
          <t>22.4</t>
        </is>
      </c>
      <c r="B238" s="364" t="inlineStr">
        <is>
          <t>Póliza de estabilidad de obra y seguros de construcción (todo riesgo)</t>
        </is>
      </c>
      <c r="C238" s="257" t="inlineStr">
        <is>
          <t>GL</t>
        </is>
      </c>
      <c r="D238" s="258" t="n"/>
      <c r="E238" s="1451" t="n"/>
      <c r="F238" s="1453">
        <f>D238*E238</f>
        <v/>
      </c>
    </row>
    <row r="239">
      <c r="A239" s="81" t="n"/>
      <c r="B239" s="704" t="inlineStr">
        <is>
          <t>SUBTOTAL CAPÍTULO 22 - GESTIÓN, DISEÑO Y ADMINISTRACIÓN</t>
        </is>
      </c>
      <c r="C239" s="567" t="n"/>
      <c r="D239" s="567" t="n"/>
      <c r="E239" s="567" t="n"/>
      <c r="F239" s="1454">
        <f>SUM(F235:F238)</f>
        <v/>
      </c>
    </row>
    <row r="240">
      <c r="A240" s="82" t="n"/>
      <c r="B240" s="716" t="n"/>
      <c r="C240" s="716" t="n"/>
      <c r="D240" s="716" t="n"/>
      <c r="E240" s="716" t="n"/>
      <c r="F240" s="708" t="n"/>
    </row>
    <row r="241" ht="15" customHeight="1" s="550">
      <c r="A241" s="83" t="n"/>
      <c r="B241" s="715" t="inlineStr">
        <is>
          <t>COSTO DIRECTO TOTAL (suma de capítulos 1 a 22)</t>
        </is>
      </c>
      <c r="C241" s="567" t="n"/>
      <c r="D241" s="567" t="n"/>
      <c r="E241" s="567" t="n"/>
      <c r="F241" s="1456">
        <f>F25+F39+F49+F69+F81+F93+F100+F106+F120+F130+F141+F148+F163+F177+F186+F193+F199+F213+F220+F228+F232+F239</f>
        <v/>
      </c>
    </row>
    <row r="242">
      <c r="A242" s="84" t="n"/>
      <c r="B242" s="28" t="n"/>
      <c r="C242" s="28" t="n"/>
      <c r="D242" s="28" t="n"/>
      <c r="E242" s="28" t="n"/>
      <c r="F242" s="85" t="n"/>
    </row>
    <row r="243" ht="15" customHeight="1" s="550">
      <c r="A243" s="82" t="n"/>
      <c r="B243" s="46" t="inlineStr">
        <is>
          <t>Administración (A)</t>
        </is>
      </c>
      <c r="C243" s="716" t="n"/>
      <c r="D243" s="716" t="n"/>
      <c r="E243" s="1314">
        <f>'Ficha Técnica del Proyecto'!$B$29</f>
        <v/>
      </c>
      <c r="F243" s="1457">
        <f>F241*E243</f>
        <v/>
      </c>
    </row>
    <row r="244" ht="15" customHeight="1" s="550">
      <c r="A244" s="82" t="n"/>
      <c r="B244" s="46" t="inlineStr">
        <is>
          <t>Imprevistos (I)</t>
        </is>
      </c>
      <c r="C244" s="716" t="n"/>
      <c r="D244" s="716" t="n"/>
      <c r="E244" s="1314">
        <f>'Ficha Técnica del Proyecto'!$B$30</f>
        <v/>
      </c>
      <c r="F244" s="1457">
        <f>F241*E244</f>
        <v/>
      </c>
    </row>
    <row r="245" ht="15" customHeight="1" s="550">
      <c r="A245" s="82" t="n"/>
      <c r="B245" s="46" t="inlineStr">
        <is>
          <t>Utilidad (U)</t>
        </is>
      </c>
      <c r="C245" s="716" t="n"/>
      <c r="D245" s="716" t="n"/>
      <c r="E245" s="1314">
        <f>'Ficha Técnica del Proyecto'!$B$31</f>
        <v/>
      </c>
      <c r="F245" s="1457">
        <f>F241*E245</f>
        <v/>
      </c>
    </row>
    <row r="246" ht="15" customHeight="1" s="550">
      <c r="A246" s="81" t="n"/>
      <c r="B246" s="704" t="inlineStr">
        <is>
          <t>SUBTOTAL AIU (A+I+U)</t>
        </is>
      </c>
      <c r="C246" s="29" t="n"/>
      <c r="D246" s="29" t="n"/>
      <c r="E246" s="30" t="n"/>
      <c r="F246" s="1454">
        <f>F243+F244+F245</f>
        <v/>
      </c>
    </row>
    <row r="247" ht="15" customHeight="1" s="550">
      <c r="A247" s="82" t="n"/>
      <c r="B247" s="46" t="inlineStr">
        <is>
          <t>COSTO DIRECTO + AIU</t>
        </is>
      </c>
      <c r="C247" s="716" t="n"/>
      <c r="D247" s="716" t="n"/>
      <c r="E247" s="47" t="n"/>
      <c r="F247" s="1457">
        <f>F241+F246</f>
        <v/>
      </c>
    </row>
    <row r="248" ht="15" customHeight="1" s="550">
      <c r="A248" s="82" t="n"/>
      <c r="B248" s="46" t="inlineStr">
        <is>
          <t>IVA sobre Utilidad (19%)</t>
        </is>
      </c>
      <c r="C248" s="716" t="n"/>
      <c r="D248" s="716" t="n"/>
      <c r="E248" s="1314">
        <f>'Ficha Técnica del Proyecto'!$B$32</f>
        <v/>
      </c>
      <c r="F248" s="1457">
        <f>F245*E248</f>
        <v/>
      </c>
    </row>
    <row r="249">
      <c r="A249" s="82" t="n"/>
      <c r="B249" s="716" t="n"/>
      <c r="C249" s="716" t="n"/>
      <c r="D249" s="716" t="n"/>
      <c r="E249" s="716" t="n"/>
      <c r="F249" s="708" t="n"/>
    </row>
    <row r="250" ht="24" customHeight="1" s="550">
      <c r="A250" s="86" t="n"/>
      <c r="B250" s="703" t="inlineStr">
        <is>
          <t>PRESUPUESTO TOTAL DE OBRA</t>
        </is>
      </c>
      <c r="C250" s="567" t="n"/>
      <c r="D250" s="567" t="n"/>
      <c r="E250" s="567" t="n"/>
      <c r="F250" s="1458">
        <f>F247+F248</f>
        <v/>
      </c>
    </row>
    <row r="251">
      <c r="A251" s="87" t="n"/>
      <c r="B251" s="203" t="inlineStr">
        <is>
          <t>REV. 10/09/2026</t>
        </is>
      </c>
      <c r="C251" s="277" t="n"/>
      <c r="D251" s="277" t="n"/>
      <c r="E251" s="277" t="n"/>
      <c r="F251" s="345">
        <f>F6</f>
        <v/>
      </c>
    </row>
    <row r="252">
      <c r="A252" s="87" t="n"/>
      <c r="B252" s="203" t="n"/>
      <c r="C252" s="277" t="n"/>
      <c r="D252" s="277" t="n"/>
      <c r="E252" s="277" t="n"/>
      <c r="F252" s="201" t="n"/>
    </row>
    <row r="253" ht="15" customHeight="1" s="550">
      <c r="A253" s="87" t="n"/>
      <c r="B253" s="89" t="inlineStr">
        <is>
          <t>Costo por m² construido (sobre Costo Directo Total)</t>
        </is>
      </c>
      <c r="C253" s="90" t="n"/>
      <c r="D253" s="90" t="n"/>
      <c r="E253" s="90" t="n"/>
      <c r="F253" s="1459">
        <f>F241/'Ficha Técnica del Proyecto'!$B$21</f>
        <v/>
      </c>
    </row>
    <row r="254" ht="15" customHeight="1" s="550">
      <c r="A254" s="88" t="n"/>
      <c r="B254" s="91" t="inlineStr">
        <is>
          <t>Costo por m² construido (sobre Presupuesto Total)</t>
        </is>
      </c>
      <c r="C254" s="92" t="n"/>
      <c r="D254" s="92" t="n"/>
      <c r="E254" s="92" t="n"/>
      <c r="F254" s="1460">
        <f>F250/'Ficha Técnica del Proyecto'!$B$21</f>
        <v/>
      </c>
    </row>
    <row r="255">
      <c r="A255" s="27" t="n"/>
      <c r="B255" s="277" t="n"/>
      <c r="C255" s="277" t="n"/>
      <c r="D255" s="277" t="n"/>
      <c r="E255" s="277" t="n"/>
      <c r="F255" s="277" t="n"/>
    </row>
    <row r="256">
      <c r="A256" s="27" t="n"/>
      <c r="B256" s="277" t="n"/>
      <c r="C256" s="277" t="n"/>
      <c r="D256" s="277" t="n"/>
      <c r="E256" s="277" t="n"/>
      <c r="F256" s="277" t="n"/>
    </row>
    <row r="257">
      <c r="A257" s="27" t="n"/>
      <c r="B257" s="277" t="n"/>
      <c r="C257" s="277" t="n"/>
      <c r="D257" s="277" t="n"/>
      <c r="E257" s="277" t="n"/>
      <c r="F257" s="277" t="n"/>
    </row>
    <row r="258">
      <c r="A258" s="27" t="n"/>
      <c r="B258" s="277" t="n"/>
      <c r="C258" s="277" t="n"/>
      <c r="D258" s="277" t="n"/>
      <c r="E258" s="277" t="n"/>
      <c r="F258" s="277" t="n"/>
    </row>
    <row r="259">
      <c r="A259" s="27" t="n"/>
      <c r="B259" s="277" t="n"/>
      <c r="C259" s="277" t="n"/>
      <c r="D259" s="277" t="n"/>
      <c r="E259" s="277" t="n"/>
      <c r="F259" s="277" t="n"/>
    </row>
    <row r="260">
      <c r="A260" s="27" t="n"/>
      <c r="B260" s="277" t="n"/>
      <c r="C260" s="277" t="n"/>
      <c r="D260" s="277" t="n"/>
      <c r="E260" s="277" t="n"/>
      <c r="F260" s="277" t="n"/>
    </row>
  </sheetData>
  <autoFilter ref="A13:F238"/>
  <mergeCells count="61">
    <mergeCell ref="C6:D6"/>
    <mergeCell ref="B49:E49"/>
    <mergeCell ref="B239:E239"/>
    <mergeCell ref="B165:F165"/>
    <mergeCell ref="C5:D5"/>
    <mergeCell ref="B150:F150"/>
    <mergeCell ref="E5:F5"/>
    <mergeCell ref="B177:E177"/>
    <mergeCell ref="B241:E241"/>
    <mergeCell ref="B122:F122"/>
    <mergeCell ref="B215:F215"/>
    <mergeCell ref="B71:F71"/>
    <mergeCell ref="B131:F131"/>
    <mergeCell ref="B102:F102"/>
    <mergeCell ref="B213:E213"/>
    <mergeCell ref="B27:F27"/>
    <mergeCell ref="B163:E163"/>
    <mergeCell ref="B106:E106"/>
    <mergeCell ref="B195:F195"/>
    <mergeCell ref="B100:E100"/>
    <mergeCell ref="B25:E25"/>
    <mergeCell ref="B107:F107"/>
    <mergeCell ref="B132:F132"/>
    <mergeCell ref="B81:E81"/>
    <mergeCell ref="C9:D9"/>
    <mergeCell ref="B14:F14"/>
    <mergeCell ref="B141:E141"/>
    <mergeCell ref="B179:F179"/>
    <mergeCell ref="B232:E232"/>
    <mergeCell ref="B199:E199"/>
    <mergeCell ref="B193:E193"/>
    <mergeCell ref="B93:E93"/>
    <mergeCell ref="A12:B12"/>
    <mergeCell ref="C12:D12"/>
    <mergeCell ref="A10:F10"/>
    <mergeCell ref="B234:F234"/>
    <mergeCell ref="B220:E220"/>
    <mergeCell ref="B228:E228"/>
    <mergeCell ref="B130:E130"/>
    <mergeCell ref="B108:F108"/>
    <mergeCell ref="B230:F230"/>
    <mergeCell ref="B39:E39"/>
    <mergeCell ref="B120:E120"/>
    <mergeCell ref="B143:F143"/>
    <mergeCell ref="C8:D8"/>
    <mergeCell ref="B101:E101"/>
    <mergeCell ref="B83:F83"/>
    <mergeCell ref="A11:F11"/>
    <mergeCell ref="C7:D7"/>
    <mergeCell ref="B201:F201"/>
    <mergeCell ref="B148:E148"/>
    <mergeCell ref="B95:F95"/>
    <mergeCell ref="B250:E250"/>
    <mergeCell ref="C1:F3"/>
    <mergeCell ref="B69:E69"/>
    <mergeCell ref="B222:F222"/>
    <mergeCell ref="B82:E82"/>
    <mergeCell ref="B51:F51"/>
    <mergeCell ref="B186:E186"/>
    <mergeCell ref="B41:F41"/>
    <mergeCell ref="B188:F188"/>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3.xml><?xml version="1.0" encoding="utf-8"?>
<worksheet xmlns="http://schemas.openxmlformats.org/spreadsheetml/2006/main">
  <sheetPr>
    <tabColor rgb="FF2E7D32"/>
    <pageSetUpPr/>
  </sheetPr>
  <dimension ref="A1:F42"/>
  <sheetViews>
    <sheetView zoomScale="76" zoomScaleNormal="76" workbookViewId="0">
      <pane ySplit="11" topLeftCell="A24" activePane="bottomLeft" state="frozen"/>
      <selection pane="bottomLeft" activeCell="K7" sqref="K7"/>
    </sheetView>
  </sheetViews>
  <sheetFormatPr baseColWidth="10" defaultColWidth="8.6640625" defaultRowHeight="14.4"/>
  <cols>
    <col width="6" customWidth="1" style="550" min="1" max="1"/>
    <col width="44" customWidth="1" style="550" min="2" max="2"/>
    <col width="50.77734375" customWidth="1" style="550" min="3" max="3"/>
    <col width="16.109375" customWidth="1" style="550" min="4" max="4"/>
    <col width="15.77734375" customWidth="1" style="550" min="5" max="6"/>
  </cols>
  <sheetData>
    <row r="1" ht="14.4" customHeight="1" s="550">
      <c r="A1" s="618" t="n"/>
      <c r="B1" s="618" t="n"/>
      <c r="C1" s="569" t="inlineStr">
        <is>
          <t>RESUMEN EJECUTIVO DEL PRESUPUESTO</t>
        </is>
      </c>
    </row>
    <row r="2" ht="14.4" customHeight="1" s="550">
      <c r="A2" s="618" t="n"/>
      <c r="B2" s="618" t="n"/>
    </row>
    <row r="3" ht="4.95" customHeight="1" s="550">
      <c r="A3" s="618" t="n"/>
      <c r="B3" s="618" t="n"/>
      <c r="C3" s="726" t="n"/>
    </row>
    <row r="4">
      <c r="A4" s="618" t="n"/>
      <c r="B4" s="618" t="n"/>
      <c r="C4" s="163" t="n"/>
      <c r="D4" s="689" t="inlineStr">
        <is>
          <t>CONTROL DOCUMENTAL</t>
        </is>
      </c>
    </row>
    <row r="5" ht="14.4" customHeight="1" s="550">
      <c r="A5" s="618" t="n"/>
      <c r="B5" s="618" t="n"/>
      <c r="C5" s="573" t="inlineStr">
        <is>
          <t>REFORMAS Y REMODELACIONES</t>
        </is>
      </c>
      <c r="D5" s="166" t="inlineStr">
        <is>
          <t>Código</t>
        </is>
      </c>
      <c r="E5" s="721" t="inlineStr">
        <is>
          <t>RYR-RS-001</t>
        </is>
      </c>
      <c r="F5" s="625" t="n"/>
    </row>
    <row r="6" ht="14.4" customHeight="1" s="550">
      <c r="A6" s="618" t="n"/>
      <c r="B6" s="618" t="n"/>
      <c r="C6" s="164" t="inlineStr">
        <is>
          <t>DISEÑAMOS, RENOVAMOS Y CONSTRUIMOS ESPACIOS QUE INSPIRAN</t>
        </is>
      </c>
      <c r="D6" s="166" t="inlineStr">
        <is>
          <t>Versión</t>
        </is>
      </c>
      <c r="E6" s="721" t="n">
        <v>1</v>
      </c>
      <c r="F6" s="625" t="n"/>
    </row>
    <row r="7">
      <c r="A7" s="618" t="n"/>
      <c r="B7" s="618" t="n"/>
      <c r="C7" s="163" t="n"/>
      <c r="D7" s="166" t="inlineStr">
        <is>
          <t>Fecha de Emisión</t>
        </is>
      </c>
      <c r="E7" s="733" t="inlineStr">
        <is>
          <t>10/09/2026</t>
        </is>
      </c>
      <c r="F7" s="625" t="n"/>
    </row>
    <row r="8">
      <c r="C8" s="163" t="n"/>
      <c r="D8" s="167" t="inlineStr">
        <is>
          <t>Página</t>
        </is>
      </c>
      <c r="E8" s="723" t="inlineStr">
        <is>
          <t>1 de 1</t>
        </is>
      </c>
      <c r="F8" s="628" t="n"/>
    </row>
    <row r="9" ht="15" customHeight="1" s="550">
      <c r="A9" s="731" t="inlineStr">
        <is>
          <t>RESUMEN EJECUTIVO DEL PRESUPUESTO</t>
        </is>
      </c>
      <c r="B9" s="579" t="n"/>
      <c r="C9" s="579" t="n"/>
      <c r="D9" s="579" t="n"/>
      <c r="E9" s="579" t="n"/>
      <c r="F9" s="673" t="n"/>
    </row>
    <row r="10" ht="15.75" customHeight="1" s="550">
      <c r="A10" s="729" t="inlineStr">
        <is>
          <t>Participación de cada capítulo dentro del Costo Directo Total</t>
        </is>
      </c>
      <c r="B10" s="730" t="n"/>
      <c r="C10" s="730" t="n"/>
      <c r="D10" s="730" t="n"/>
      <c r="E10" s="730" t="n"/>
      <c r="F10" s="625" t="n"/>
    </row>
    <row r="11" ht="19.5" customHeight="1" s="550">
      <c r="A11" s="168" t="inlineStr">
        <is>
          <t>Cap.</t>
        </is>
      </c>
      <c r="B11" s="169" t="inlineStr">
        <is>
          <t>Capítulo</t>
        </is>
      </c>
      <c r="C11" s="169" t="inlineStr">
        <is>
          <t>Valor (COP)</t>
        </is>
      </c>
      <c r="D11" s="169" t="inlineStr">
        <is>
          <t>% Participación</t>
        </is>
      </c>
      <c r="E11" s="732" t="inlineStr">
        <is>
          <t>$/m² construido</t>
        </is>
      </c>
      <c r="F11" s="625" t="n"/>
    </row>
    <row r="12">
      <c r="A12" s="170" t="inlineStr">
        <is>
          <t>1</t>
        </is>
      </c>
      <c r="B12" s="171" t="inlineStr">
        <is>
          <t>PRELIMINARES</t>
        </is>
      </c>
      <c r="C12" s="1461">
        <f>'Presupuesto '!F25</f>
        <v/>
      </c>
      <c r="D12" s="1320">
        <f>C12/'Presupuesto '!$F$240</f>
        <v/>
      </c>
      <c r="E12" s="1462">
        <f>C12/'Ficha Técnica del Proyecto'!$B$21</f>
        <v/>
      </c>
      <c r="F12" s="625" t="n"/>
    </row>
    <row r="13">
      <c r="A13" s="170" t="inlineStr">
        <is>
          <t>2</t>
        </is>
      </c>
      <c r="B13" s="171" t="inlineStr">
        <is>
          <t>MOVIMIENTO DE TIERRAS</t>
        </is>
      </c>
      <c r="C13" s="1461">
        <f>'Presupuesto '!F39</f>
        <v/>
      </c>
      <c r="D13" s="1320">
        <f>C13/'Presupuesto '!$F$240</f>
        <v/>
      </c>
      <c r="E13" s="1462">
        <f>C13/'Ficha Técnica del Proyecto'!$B$21</f>
        <v/>
      </c>
      <c r="F13" s="625" t="n"/>
    </row>
    <row r="14">
      <c r="A14" s="170" t="inlineStr">
        <is>
          <t>3</t>
        </is>
      </c>
      <c r="B14" s="171" t="inlineStr">
        <is>
          <t>CIMENTACIONES</t>
        </is>
      </c>
      <c r="C14" s="1461">
        <f>'Presupuesto '!F49</f>
        <v/>
      </c>
      <c r="D14" s="1320">
        <f>C14/'Presupuesto '!$F$240</f>
        <v/>
      </c>
      <c r="E14" s="1462">
        <f>C14/'Ficha Técnica del Proyecto'!$B$21</f>
        <v/>
      </c>
      <c r="F14" s="625" t="n"/>
    </row>
    <row r="15">
      <c r="A15" s="170" t="inlineStr">
        <is>
          <t>4</t>
        </is>
      </c>
      <c r="B15" s="171" t="inlineStr">
        <is>
          <t>ESTRUCTURA</t>
        </is>
      </c>
      <c r="C15" s="1461">
        <f>'Presupuesto '!F69</f>
        <v/>
      </c>
      <c r="D15" s="1320">
        <f>C15/'Presupuesto '!$F$240</f>
        <v/>
      </c>
      <c r="E15" s="1462">
        <f>C15/'Ficha Técnica del Proyecto'!$B$21</f>
        <v/>
      </c>
      <c r="F15" s="625" t="n"/>
    </row>
    <row r="16">
      <c r="A16" s="170" t="inlineStr">
        <is>
          <t>5</t>
        </is>
      </c>
      <c r="B16" s="171" t="inlineStr">
        <is>
          <t>MAMPOSTERÍA</t>
        </is>
      </c>
      <c r="C16" s="1461">
        <f>'Presupuesto '!F81</f>
        <v/>
      </c>
      <c r="D16" s="1320">
        <f>C16/'Presupuesto '!$F$240</f>
        <v/>
      </c>
      <c r="E16" s="1462">
        <f>C16/'Ficha Técnica del Proyecto'!$B$21</f>
        <v/>
      </c>
      <c r="F16" s="625" t="n"/>
    </row>
    <row r="17">
      <c r="A17" s="170" t="inlineStr">
        <is>
          <t>6</t>
        </is>
      </c>
      <c r="B17" s="171" t="inlineStr">
        <is>
          <t>CUBIERTAS</t>
        </is>
      </c>
      <c r="C17" s="1461">
        <f>'Presupuesto '!F93</f>
        <v/>
      </c>
      <c r="D17" s="1320">
        <f>C17/'Presupuesto '!$F$240</f>
        <v/>
      </c>
      <c r="E17" s="1462">
        <f>C17/'Ficha Técnica del Proyecto'!$B$21</f>
        <v/>
      </c>
      <c r="F17" s="625" t="n"/>
    </row>
    <row r="18">
      <c r="A18" s="170" t="inlineStr">
        <is>
          <t>7</t>
        </is>
      </c>
      <c r="B18" s="171" t="inlineStr">
        <is>
          <t>IMPERMEABILIZACIONES</t>
        </is>
      </c>
      <c r="C18" s="1461">
        <f>'Presupuesto '!F100</f>
        <v/>
      </c>
      <c r="D18" s="1320">
        <f>C18/'Presupuesto '!$F$240</f>
        <v/>
      </c>
      <c r="E18" s="1462">
        <f>C18/'Ficha Técnica del Proyecto'!$B$21</f>
        <v/>
      </c>
      <c r="F18" s="625" t="n"/>
    </row>
    <row r="19">
      <c r="A19" s="170" t="inlineStr">
        <is>
          <t>8</t>
        </is>
      </c>
      <c r="B19" s="171" t="inlineStr">
        <is>
          <t>PAÑETES Y REVOQUES</t>
        </is>
      </c>
      <c r="C19" s="1461">
        <f>'Presupuesto '!F107</f>
        <v/>
      </c>
      <c r="D19" s="1320">
        <f>C19/'Presupuesto '!$F$240</f>
        <v/>
      </c>
      <c r="E19" s="1462">
        <f>C19/'Ficha Técnica del Proyecto'!$B$21</f>
        <v/>
      </c>
      <c r="F19" s="625" t="n"/>
    </row>
    <row r="20">
      <c r="A20" s="170" t="inlineStr">
        <is>
          <t>9</t>
        </is>
      </c>
      <c r="B20" s="171" t="inlineStr">
        <is>
          <t>PISOS Y ENCHAPES</t>
        </is>
      </c>
      <c r="C20" s="1461">
        <f>'Presupuesto '!F121</f>
        <v/>
      </c>
      <c r="D20" s="1320">
        <f>C20/'Presupuesto '!$F$240</f>
        <v/>
      </c>
      <c r="E20" s="1462">
        <f>C20/'Ficha Técnica del Proyecto'!$B$21</f>
        <v/>
      </c>
      <c r="F20" s="625" t="n"/>
    </row>
    <row r="21">
      <c r="A21" s="170" t="inlineStr">
        <is>
          <t>10</t>
        </is>
      </c>
      <c r="B21" s="171" t="inlineStr">
        <is>
          <t>PINTURA</t>
        </is>
      </c>
      <c r="C21" s="1461">
        <f>'Presupuesto '!F129</f>
        <v/>
      </c>
      <c r="D21" s="1320">
        <f>C21/'Presupuesto '!$F$240</f>
        <v/>
      </c>
      <c r="E21" s="1462">
        <f>C21/'Ficha Técnica del Proyecto'!$B$21</f>
        <v/>
      </c>
      <c r="F21" s="625" t="n"/>
    </row>
    <row r="22">
      <c r="A22" s="170" t="inlineStr">
        <is>
          <t>11</t>
        </is>
      </c>
      <c r="B22" s="171" t="inlineStr">
        <is>
          <t>CARPINTERÍA</t>
        </is>
      </c>
      <c r="C22" s="1461">
        <f>'Presupuesto '!F140</f>
        <v/>
      </c>
      <c r="D22" s="1320">
        <f>C22/'Presupuesto '!$F$240</f>
        <v/>
      </c>
      <c r="E22" s="1462">
        <f>C22/'Ficha Técnica del Proyecto'!$B$21</f>
        <v/>
      </c>
      <c r="F22" s="625" t="n"/>
    </row>
    <row r="23">
      <c r="A23" s="170" t="inlineStr">
        <is>
          <t>12</t>
        </is>
      </c>
      <c r="B23" s="171" t="inlineStr">
        <is>
          <t>VIDRIOS</t>
        </is>
      </c>
      <c r="C23" s="1461">
        <f>'Presupuesto '!F147</f>
        <v/>
      </c>
      <c r="D23" s="1320">
        <f>C23/'Presupuesto '!$F$240</f>
        <v/>
      </c>
      <c r="E23" s="1462">
        <f>C23/'Ficha Técnica del Proyecto'!$B$21</f>
        <v/>
      </c>
      <c r="F23" s="625" t="n"/>
    </row>
    <row r="24">
      <c r="A24" s="170" t="inlineStr">
        <is>
          <t>13</t>
        </is>
      </c>
      <c r="B24" s="171" t="inlineStr">
        <is>
          <t>INSTALACIONES HIDROSANITARIAS</t>
        </is>
      </c>
      <c r="C24" s="1461">
        <f>'Presupuesto '!F249</f>
        <v/>
      </c>
      <c r="D24" s="1320">
        <f>C24/'Presupuesto '!$F$240</f>
        <v/>
      </c>
      <c r="E24" s="1462">
        <f>C24/'Ficha Técnica del Proyecto'!$B$21</f>
        <v/>
      </c>
      <c r="F24" s="625" t="n"/>
    </row>
    <row r="25">
      <c r="A25" s="170" t="inlineStr">
        <is>
          <t>14</t>
        </is>
      </c>
      <c r="B25" s="171" t="inlineStr">
        <is>
          <t>INSTALACIONES ELÉCTRICAS</t>
        </is>
      </c>
      <c r="C25" s="1461">
        <f>'Presupuesto '!F176</f>
        <v/>
      </c>
      <c r="D25" s="1320">
        <f>C25/'Presupuesto '!$F$240</f>
        <v/>
      </c>
      <c r="E25" s="1462">
        <f>C25/'Ficha Técnica del Proyecto'!$B$21</f>
        <v/>
      </c>
      <c r="F25" s="625" t="n"/>
    </row>
    <row r="26">
      <c r="A26" s="170" t="inlineStr">
        <is>
          <t>15</t>
        </is>
      </c>
      <c r="B26" s="171" t="inlineStr">
        <is>
          <t>COMUNICACIONES Y SEGURIDAD</t>
        </is>
      </c>
      <c r="C26" s="1461">
        <f>'Presupuesto '!F185</f>
        <v/>
      </c>
      <c r="D26" s="1320">
        <f>C26/'Presupuesto '!$F$240</f>
        <v/>
      </c>
      <c r="E26" s="1462">
        <f>C26/'Ficha Técnica del Proyecto'!$B$21</f>
        <v/>
      </c>
      <c r="F26" s="625" t="n"/>
    </row>
    <row r="27">
      <c r="A27" s="170" t="inlineStr">
        <is>
          <t>16</t>
        </is>
      </c>
      <c r="B27" s="171" t="inlineStr">
        <is>
          <t>CLIMATIZACIÓN Y VENTILACIÓN</t>
        </is>
      </c>
      <c r="C27" s="1461">
        <f>'Presupuesto '!F192</f>
        <v/>
      </c>
      <c r="D27" s="1320">
        <f>C27/'Presupuesto '!$F$240</f>
        <v/>
      </c>
      <c r="E27" s="1462">
        <f>C27/'Ficha Técnica del Proyecto'!$B$21</f>
        <v/>
      </c>
      <c r="F27" s="625" t="n"/>
    </row>
    <row r="28">
      <c r="A28" s="170" t="inlineStr">
        <is>
          <t>17</t>
        </is>
      </c>
      <c r="B28" s="171" t="inlineStr">
        <is>
          <t>GAS</t>
        </is>
      </c>
      <c r="C28" s="1461">
        <f>'Presupuesto '!F198</f>
        <v/>
      </c>
      <c r="D28" s="1320">
        <f>C28/'Presupuesto '!$F$240</f>
        <v/>
      </c>
      <c r="E28" s="1462">
        <f>C28/'Ficha Técnica del Proyecto'!$B$21</f>
        <v/>
      </c>
      <c r="F28" s="625" t="n"/>
    </row>
    <row r="29">
      <c r="A29" s="170" t="inlineStr">
        <is>
          <t>18</t>
        </is>
      </c>
      <c r="B29" s="171" t="inlineStr">
        <is>
          <t>URBANISMO Y EXTERIORES</t>
        </is>
      </c>
      <c r="C29" s="1461">
        <f>'Presupuesto '!F212</f>
        <v/>
      </c>
      <c r="D29" s="1320">
        <f>C29/'Presupuesto '!$F$240</f>
        <v/>
      </c>
      <c r="E29" s="1462">
        <f>C29/'Ficha Técnica del Proyecto'!$B$21</f>
        <v/>
      </c>
      <c r="F29" s="625" t="n"/>
    </row>
    <row r="30">
      <c r="A30" s="170" t="inlineStr">
        <is>
          <t>19</t>
        </is>
      </c>
      <c r="B30" s="171" t="inlineStr">
        <is>
          <t>OBRAS COMPLEMENTARIAS</t>
        </is>
      </c>
      <c r="C30" s="1461">
        <f>'Presupuesto '!F219</f>
        <v/>
      </c>
      <c r="D30" s="1320">
        <f>C30/'Presupuesto '!$F$240</f>
        <v/>
      </c>
      <c r="E30" s="1462">
        <f>C30/'Ficha Técnica del Proyecto'!$B$21</f>
        <v/>
      </c>
      <c r="F30" s="625" t="n"/>
    </row>
    <row r="31">
      <c r="A31" s="170" t="inlineStr">
        <is>
          <t>20</t>
        </is>
      </c>
      <c r="B31" s="171" t="inlineStr">
        <is>
          <t>ASEO, ENTREGA Y CIERRE</t>
        </is>
      </c>
      <c r="C31" s="1461">
        <f>'Presupuesto '!F227</f>
        <v/>
      </c>
      <c r="D31" s="1320">
        <f>C31/'Presupuesto '!$F$240</f>
        <v/>
      </c>
      <c r="E31" s="1462">
        <f>C31/'Ficha Técnica del Proyecto'!$B$21</f>
        <v/>
      </c>
      <c r="F31" s="625" t="n"/>
    </row>
    <row r="32">
      <c r="A32" s="170" t="inlineStr">
        <is>
          <t>21</t>
        </is>
      </c>
      <c r="B32" s="171" t="inlineStr">
        <is>
          <t>ASCENSORES</t>
        </is>
      </c>
      <c r="C32" s="1461">
        <f>'Presupuesto '!F231</f>
        <v/>
      </c>
      <c r="D32" s="1320">
        <f>C32/'Presupuesto '!$F$240</f>
        <v/>
      </c>
      <c r="E32" s="1462">
        <f>C32/'Ficha Técnica del Proyecto'!$B$21</f>
        <v/>
      </c>
      <c r="F32" s="625" t="n"/>
    </row>
    <row r="33">
      <c r="A33" s="170" t="inlineStr">
        <is>
          <t>22</t>
        </is>
      </c>
      <c r="B33" s="171" t="inlineStr">
        <is>
          <t>GESTIÓN, DISEÑO Y ADMINISTRACIÓN</t>
        </is>
      </c>
      <c r="C33" s="1461">
        <f>'Presupuesto '!F238</f>
        <v/>
      </c>
      <c r="D33" s="1320">
        <f>C33/'Presupuesto '!$F$240</f>
        <v/>
      </c>
      <c r="E33" s="1463">
        <f>C33/'Ficha Técnica del Proyecto'!$B$21</f>
        <v/>
      </c>
      <c r="F33" s="579" t="n"/>
    </row>
    <row r="34">
      <c r="A34" s="172" t="n"/>
      <c r="B34" s="173" t="inlineStr">
        <is>
          <t>COSTO DIRECTO TOTAL</t>
        </is>
      </c>
      <c r="C34" s="1464">
        <f>SUM(C12:C33)</f>
        <v/>
      </c>
      <c r="D34" s="1324">
        <f>C34/'Presupuesto '!$F$240</f>
        <v/>
      </c>
      <c r="E34" s="1465">
        <f>C34/'Ficha Técnica del Proyecto'!$B$21</f>
        <v/>
      </c>
      <c r="F34" s="625" t="n"/>
    </row>
    <row r="35">
      <c r="A35" s="174" t="n"/>
      <c r="B35" s="274" t="n"/>
      <c r="C35" s="274" t="n"/>
      <c r="D35" s="274" t="n"/>
      <c r="E35" s="1466" t="n"/>
      <c r="F35" s="625" t="n"/>
    </row>
    <row r="36" ht="15" customHeight="1" s="550">
      <c r="A36" s="175" t="n"/>
      <c r="B36" s="171" t="inlineStr">
        <is>
          <t>Subtotal AIU (A+I+U)</t>
        </is>
      </c>
      <c r="C36" s="1461">
        <f>'Presupuesto '!F227</f>
        <v/>
      </c>
      <c r="D36" s="176" t="n"/>
      <c r="E36" s="725" t="n"/>
      <c r="F36" s="625" t="n"/>
    </row>
    <row r="37" ht="15" customHeight="1" s="550">
      <c r="A37" s="175" t="n"/>
      <c r="B37" s="171" t="inlineStr">
        <is>
          <t>Costo Directo + AIU</t>
        </is>
      </c>
      <c r="C37" s="1461">
        <f>'Presupuesto '!F228</f>
        <v/>
      </c>
      <c r="D37" s="176" t="n"/>
      <c r="E37" s="725" t="n"/>
      <c r="F37" s="625" t="n"/>
    </row>
    <row r="38" ht="15" customHeight="1" s="550">
      <c r="A38" s="175" t="n"/>
      <c r="B38" s="171" t="inlineStr">
        <is>
          <t>IVA sobre Utilidad</t>
        </is>
      </c>
      <c r="C38" s="1461">
        <f>'Presupuesto '!F229</f>
        <v/>
      </c>
      <c r="D38" s="176" t="n"/>
      <c r="E38" s="725" t="n"/>
      <c r="F38" s="625" t="n"/>
    </row>
    <row r="39">
      <c r="A39" s="174" t="n"/>
      <c r="B39" s="274" t="n"/>
      <c r="C39" s="274" t="n"/>
      <c r="D39" s="274" t="n"/>
      <c r="E39" s="722" t="n"/>
      <c r="F39" s="625" t="n"/>
    </row>
    <row r="40" ht="21.75" customHeight="1" s="550">
      <c r="A40" s="177" t="n"/>
      <c r="B40" s="178" t="inlineStr">
        <is>
          <t>PRESUPUESTO TOTAL DE OBRA</t>
        </is>
      </c>
      <c r="C40" s="1467">
        <f>'Presupuesto '!F249</f>
        <v/>
      </c>
      <c r="D40" s="179" t="n"/>
      <c r="E40" s="727" t="n"/>
      <c r="F40" s="628" t="n"/>
    </row>
    <row r="41" ht="15" customFormat="1" customHeight="1" s="199">
      <c r="B41" s="203" t="inlineStr">
        <is>
          <t>REV. 10/09/2026</t>
        </is>
      </c>
      <c r="F41" s="346">
        <f>E5</f>
        <v/>
      </c>
    </row>
    <row r="42" ht="15" customHeight="1" s="550">
      <c r="A42" s="5" t="n"/>
      <c r="B42" s="96" t="inlineStr">
        <is>
          <t>Costo por m² construido (Presupuesto Total)</t>
        </is>
      </c>
      <c r="C42" s="1468">
        <f>C40/'Ficha Técnica del Proyecto'!$B$21</f>
        <v/>
      </c>
      <c r="D42" s="5" t="n"/>
      <c r="E42" s="5" t="n"/>
    </row>
  </sheetData>
  <mergeCells count="39">
    <mergeCell ref="E12:F12"/>
    <mergeCell ref="E24:F24"/>
    <mergeCell ref="E33:F33"/>
    <mergeCell ref="E5:F5"/>
    <mergeCell ref="E23:F23"/>
    <mergeCell ref="E14:F14"/>
    <mergeCell ref="C1:F2"/>
    <mergeCell ref="E17:F17"/>
    <mergeCell ref="E39:F39"/>
    <mergeCell ref="E8:F8"/>
    <mergeCell ref="E35:F35"/>
    <mergeCell ref="E20:F20"/>
    <mergeCell ref="E38:F38"/>
    <mergeCell ref="C3:F3"/>
    <mergeCell ref="E29:F29"/>
    <mergeCell ref="D4:F4"/>
    <mergeCell ref="E19:F19"/>
    <mergeCell ref="E28:F28"/>
    <mergeCell ref="E13:F13"/>
    <mergeCell ref="E40:F40"/>
    <mergeCell ref="E31:F31"/>
    <mergeCell ref="E34:F34"/>
    <mergeCell ref="A10:F10"/>
    <mergeCell ref="E6:F6"/>
    <mergeCell ref="E30:F30"/>
    <mergeCell ref="E15:F15"/>
    <mergeCell ref="A9:F9"/>
    <mergeCell ref="E11:F11"/>
    <mergeCell ref="E27:F27"/>
    <mergeCell ref="E36:F36"/>
    <mergeCell ref="E26:F26"/>
    <mergeCell ref="E16:F16"/>
    <mergeCell ref="E32:F32"/>
    <mergeCell ref="E7:F7"/>
    <mergeCell ref="E25:F25"/>
    <mergeCell ref="E37:F37"/>
    <mergeCell ref="E22:F22"/>
    <mergeCell ref="E18:F18"/>
    <mergeCell ref="E21:F21"/>
  </mergeCells>
  <pageMargins left="0.2952755905511811" right="0.2952755905511811" top="0.1968503937007874" bottom="0.984251968503937" header="0.5118110236220472" footer="0.5118110236220472"/>
  <pageSetup orientation="portrait" paperSize="9" scale="62" horizontalDpi="300" verticalDpi="300"/>
  <colBreaks count="1" manualBreakCount="1">
    <brk id="6" min="0" max="1048575" man="1"/>
  </col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2026-09-21T03:42:55Z</dcterms:modified>
  <cp:lastModifiedBy>Hugo Fernando Hurtado Ruiz</cp:lastModifiedBy>
  <cp:revision>1</cp:revision>
  <cp:lastPrinted>2026-09-14T01:27:33Z</cp:lastPrinted>
</cp:coreProperties>
</file>