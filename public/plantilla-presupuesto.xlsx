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5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4" fontId="167" fillId="0" borderId="0" pivotButton="0" quotePrefix="0" xfId="0"/>
    <xf numFmtId="166" fontId="167" fillId="0" borderId="0" pivotButton="0" quotePrefix="0" xfId="0"/>
    <xf numFmtId="173" fontId="75" fillId="0" borderId="29" applyAlignment="1" pivotButton="0" quotePrefix="0" xfId="0">
      <alignment vertical="center"/>
    </xf>
    <xf numFmtId="173"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451" t="n"/>
      <c r="F15" s="1311">
        <f>D15*E15</f>
        <v/>
      </c>
    </row>
    <row r="16">
      <c r="A16" s="80" t="inlineStr">
        <is>
          <t>1.2</t>
        </is>
      </c>
      <c r="B16" s="364" t="inlineStr">
        <is>
          <t>Cerramiento provisional de obra</t>
        </is>
      </c>
      <c r="C16" s="257" t="inlineStr">
        <is>
          <t>ML</t>
        </is>
      </c>
      <c r="D16" s="258" t="n"/>
      <c r="E16" s="1451" t="n"/>
      <c r="F16" s="1311">
        <f>D16*E16</f>
        <v/>
      </c>
    </row>
    <row r="17">
      <c r="A17" s="80" t="inlineStr">
        <is>
          <t>1.3</t>
        </is>
      </c>
      <c r="B17" s="364" t="inlineStr">
        <is>
          <t>Instalación de campamento y oficinas provisionales</t>
        </is>
      </c>
      <c r="C17" s="257" t="inlineStr">
        <is>
          <t>M²</t>
        </is>
      </c>
      <c r="D17" s="258" t="n"/>
      <c r="E17" s="1451" t="n"/>
      <c r="F17" s="1311">
        <f>D17*E17</f>
        <v/>
      </c>
    </row>
    <row r="18">
      <c r="A18" s="80" t="inlineStr">
        <is>
          <t>1.4</t>
        </is>
      </c>
      <c r="B18" s="364" t="inlineStr">
        <is>
          <t>Adecuación de área de almacenamiento</t>
        </is>
      </c>
      <c r="C18" s="257" t="inlineStr">
        <is>
          <t>M²</t>
        </is>
      </c>
      <c r="D18" s="258" t="n"/>
      <c r="E18" s="1451" t="n"/>
      <c r="F18" s="1311">
        <f>D18*E18</f>
        <v/>
      </c>
    </row>
    <row r="19">
      <c r="A19" s="80" t="inlineStr">
        <is>
          <t>1.5</t>
        </is>
      </c>
      <c r="B19" s="364" t="inlineStr">
        <is>
          <t>Señalización preventiva e informativa de obra</t>
        </is>
      </c>
      <c r="C19" s="257" t="inlineStr">
        <is>
          <t>UND</t>
        </is>
      </c>
      <c r="D19" s="258" t="n"/>
      <c r="E19" s="1451" t="n"/>
      <c r="F19" s="1311">
        <f>D19*E19</f>
        <v/>
      </c>
    </row>
    <row r="20">
      <c r="A20" s="80" t="inlineStr">
        <is>
          <t>1.6</t>
        </is>
      </c>
      <c r="B20" s="364" t="inlineStr">
        <is>
          <t>Instalaciones provisionales de agua y energía</t>
        </is>
      </c>
      <c r="C20" s="257" t="inlineStr">
        <is>
          <t>GL</t>
        </is>
      </c>
      <c r="D20" s="258" t="n"/>
      <c r="E20" s="1451" t="n"/>
      <c r="F20" s="1311">
        <f>D20*E20</f>
        <v/>
      </c>
    </row>
    <row r="21">
      <c r="A21" s="80" t="inlineStr">
        <is>
          <t>1.7</t>
        </is>
      </c>
      <c r="B21" s="364" t="inlineStr">
        <is>
          <t>Protección de elementos existentes</t>
        </is>
      </c>
      <c r="C21" s="257" t="inlineStr">
        <is>
          <t>M²</t>
        </is>
      </c>
      <c r="D21" s="258" t="n"/>
      <c r="E21" s="1451" t="n"/>
      <c r="F21" s="1311">
        <f>D21*E21</f>
        <v/>
      </c>
    </row>
    <row r="22">
      <c r="A22" s="80" t="inlineStr">
        <is>
          <t>1.8</t>
        </is>
      </c>
      <c r="B22" s="364" t="inlineStr">
        <is>
          <t>Desmonte y limpieza inicial</t>
        </is>
      </c>
      <c r="C22" s="257" t="inlineStr">
        <is>
          <t>M²</t>
        </is>
      </c>
      <c r="D22" s="258" t="n"/>
      <c r="E22" s="1451" t="n"/>
      <c r="F22" s="1311">
        <f>D22*E22</f>
        <v/>
      </c>
    </row>
    <row r="23">
      <c r="A23" s="80" t="inlineStr">
        <is>
          <t>1.9</t>
        </is>
      </c>
      <c r="B23" s="364" t="inlineStr">
        <is>
          <t>Demoliciones preliminares</t>
        </is>
      </c>
      <c r="C23" s="257" t="inlineStr">
        <is>
          <t>M³</t>
        </is>
      </c>
      <c r="D23" s="258" t="n"/>
      <c r="E23" s="1451" t="n"/>
      <c r="F23" s="1311">
        <f>D23*E23</f>
        <v/>
      </c>
    </row>
    <row r="24">
      <c r="A24" s="80" t="inlineStr">
        <is>
          <t>1.10</t>
        </is>
      </c>
      <c r="B24" s="364" t="inlineStr">
        <is>
          <t>Desmantelamiento de estructuras metálicas existentes</t>
        </is>
      </c>
      <c r="C24" s="257" t="inlineStr">
        <is>
          <t>KG</t>
        </is>
      </c>
      <c r="D24" s="258" t="n"/>
      <c r="E24" s="1451"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451" t="n"/>
      <c r="F28" s="1311">
        <f>D28*E28</f>
        <v/>
      </c>
    </row>
    <row r="29">
      <c r="A29" s="80" t="inlineStr">
        <is>
          <t>2.2</t>
        </is>
      </c>
      <c r="B29" s="364" t="inlineStr">
        <is>
          <t>Excavación mecánica</t>
        </is>
      </c>
      <c r="C29" s="257" t="inlineStr">
        <is>
          <t>M³</t>
        </is>
      </c>
      <c r="D29" s="258" t="n"/>
      <c r="E29" s="1451" t="n"/>
      <c r="F29" s="1311">
        <f>D29*E29</f>
        <v/>
      </c>
    </row>
    <row r="30">
      <c r="A30" s="80" t="inlineStr">
        <is>
          <t>2.3</t>
        </is>
      </c>
      <c r="B30" s="364" t="inlineStr">
        <is>
          <t>Excavación en roca</t>
        </is>
      </c>
      <c r="C30" s="257" t="inlineStr">
        <is>
          <t>M³</t>
        </is>
      </c>
      <c r="D30" s="258" t="n"/>
      <c r="E30" s="1451" t="n"/>
      <c r="F30" s="1311">
        <f>D30*E30</f>
        <v/>
      </c>
    </row>
    <row r="31">
      <c r="A31" s="80" t="inlineStr">
        <is>
          <t>2.4</t>
        </is>
      </c>
      <c r="B31" s="364" t="inlineStr">
        <is>
          <t>Perfilado y conformación de excavaciones</t>
        </is>
      </c>
      <c r="C31" s="257" t="inlineStr">
        <is>
          <t>M²</t>
        </is>
      </c>
      <c r="D31" s="258" t="n"/>
      <c r="E31" s="1451" t="n"/>
      <c r="F31" s="1311">
        <f>D31*E31</f>
        <v/>
      </c>
    </row>
    <row r="32">
      <c r="A32" s="80" t="inlineStr">
        <is>
          <t>2.5</t>
        </is>
      </c>
      <c r="B32" s="364" t="inlineStr">
        <is>
          <t>Relleno con material seleccionado compactado</t>
        </is>
      </c>
      <c r="C32" s="257" t="inlineStr">
        <is>
          <t>M³</t>
        </is>
      </c>
      <c r="D32" s="258" t="n"/>
      <c r="E32" s="1451" t="n"/>
      <c r="F32" s="1311">
        <f>D32*E32</f>
        <v/>
      </c>
    </row>
    <row r="33">
      <c r="A33" s="80" t="inlineStr">
        <is>
          <t>2.6</t>
        </is>
      </c>
      <c r="B33" s="364" t="inlineStr">
        <is>
          <t>Relleno con material proveniente de excavación</t>
        </is>
      </c>
      <c r="C33" s="257" t="inlineStr">
        <is>
          <t>M³</t>
        </is>
      </c>
      <c r="D33" s="258" t="n"/>
      <c r="E33" s="1451" t="n"/>
      <c r="F33" s="1311">
        <f>D33*E33</f>
        <v/>
      </c>
    </row>
    <row r="34">
      <c r="A34" s="80" t="inlineStr">
        <is>
          <t>2.7</t>
        </is>
      </c>
      <c r="B34" s="364" t="inlineStr">
        <is>
          <t>Suministro, extendido y compactación de subbase</t>
        </is>
      </c>
      <c r="C34" s="257" t="inlineStr">
        <is>
          <t>M³</t>
        </is>
      </c>
      <c r="D34" s="258" t="n"/>
      <c r="E34" s="1451" t="n"/>
      <c r="F34" s="1311">
        <f>D34*E34</f>
        <v/>
      </c>
    </row>
    <row r="35">
      <c r="A35" s="80" t="inlineStr">
        <is>
          <t>2.8</t>
        </is>
      </c>
      <c r="B35" s="364" t="inlineStr">
        <is>
          <t>Suministro, extendido y compactación de base granular</t>
        </is>
      </c>
      <c r="C35" s="257" t="inlineStr">
        <is>
          <t>M³</t>
        </is>
      </c>
      <c r="D35" s="258" t="n"/>
      <c r="E35" s="1451" t="n"/>
      <c r="F35" s="1311">
        <f>D35*E35</f>
        <v/>
      </c>
    </row>
    <row r="36">
      <c r="A36" s="80" t="inlineStr">
        <is>
          <t>2.9</t>
        </is>
      </c>
      <c r="B36" s="364" t="inlineStr">
        <is>
          <t>Cargue de material sobrante</t>
        </is>
      </c>
      <c r="C36" s="257" t="inlineStr">
        <is>
          <t>M³</t>
        </is>
      </c>
      <c r="D36" s="258" t="n"/>
      <c r="E36" s="1451" t="n"/>
      <c r="F36" s="1311">
        <f>D36*E36</f>
        <v/>
      </c>
    </row>
    <row r="37">
      <c r="A37" s="80" t="inlineStr">
        <is>
          <t>2.10</t>
        </is>
      </c>
      <c r="B37" s="364" t="inlineStr">
        <is>
          <t>Transporte de material sobrante</t>
        </is>
      </c>
      <c r="C37" s="257" t="inlineStr">
        <is>
          <t>M³</t>
        </is>
      </c>
      <c r="D37" s="258" t="n"/>
      <c r="E37" s="1451" t="n"/>
      <c r="F37" s="1311">
        <f>D37*E37</f>
        <v/>
      </c>
    </row>
    <row r="38">
      <c r="A38" s="80" t="inlineStr">
        <is>
          <t>2.11</t>
        </is>
      </c>
      <c r="B38" s="364" t="inlineStr">
        <is>
          <t>Disposición final de sobrantes</t>
        </is>
      </c>
      <c r="C38" s="257" t="inlineStr">
        <is>
          <t>M³</t>
        </is>
      </c>
      <c r="D38" s="258" t="n"/>
      <c r="E38" s="1451"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451" t="n"/>
      <c r="F42" s="1311">
        <f>D42*E42</f>
        <v/>
      </c>
    </row>
    <row r="43">
      <c r="A43" s="80" t="inlineStr">
        <is>
          <t>3.2</t>
        </is>
      </c>
      <c r="B43" s="364" t="inlineStr">
        <is>
          <t>Concreto para zapatas</t>
        </is>
      </c>
      <c r="C43" s="257" t="inlineStr">
        <is>
          <t>M³</t>
        </is>
      </c>
      <c r="D43" s="258" t="n"/>
      <c r="E43" s="1451" t="n"/>
      <c r="F43" s="1311">
        <f>D43*E43</f>
        <v/>
      </c>
    </row>
    <row r="44">
      <c r="A44" s="80" t="inlineStr">
        <is>
          <t>3.3</t>
        </is>
      </c>
      <c r="B44" s="364" t="inlineStr">
        <is>
          <t>Concreto para vigas de cimentación</t>
        </is>
      </c>
      <c r="C44" s="257" t="inlineStr">
        <is>
          <t>M³</t>
        </is>
      </c>
      <c r="D44" s="258" t="n"/>
      <c r="E44" s="1451" t="n"/>
      <c r="F44" s="1311">
        <f>D44*E44</f>
        <v/>
      </c>
    </row>
    <row r="45">
      <c r="A45" s="80" t="inlineStr">
        <is>
          <t>3.4</t>
        </is>
      </c>
      <c r="B45" s="364" t="inlineStr">
        <is>
          <t>Concreto para losas de cimentación</t>
        </is>
      </c>
      <c r="C45" s="257" t="inlineStr">
        <is>
          <t>M³</t>
        </is>
      </c>
      <c r="D45" s="258" t="n"/>
      <c r="E45" s="1451" t="n"/>
      <c r="F45" s="1311">
        <f>D45*E45</f>
        <v/>
      </c>
    </row>
    <row r="46">
      <c r="A46" s="80" t="inlineStr">
        <is>
          <t>3.5</t>
        </is>
      </c>
      <c r="B46" s="364" t="inlineStr">
        <is>
          <t>Concreto para pedestales</t>
        </is>
      </c>
      <c r="C46" s="257" t="inlineStr">
        <is>
          <t>M³</t>
        </is>
      </c>
      <c r="D46" s="258" t="n"/>
      <c r="E46" s="1451" t="n"/>
      <c r="F46" s="1311">
        <f>D46*E46</f>
        <v/>
      </c>
    </row>
    <row r="47">
      <c r="A47" s="80" t="inlineStr">
        <is>
          <t>3.6</t>
        </is>
      </c>
      <c r="B47" s="364" t="inlineStr">
        <is>
          <t>Acero de refuerzo en cimentación</t>
        </is>
      </c>
      <c r="C47" s="257" t="inlineStr">
        <is>
          <t>KG</t>
        </is>
      </c>
      <c r="D47" s="258" t="n"/>
      <c r="E47" s="1451" t="n"/>
      <c r="F47" s="1311">
        <f>D47*E47</f>
        <v/>
      </c>
    </row>
    <row r="48">
      <c r="A48" s="80" t="inlineStr">
        <is>
          <t>3.7</t>
        </is>
      </c>
      <c r="B48" s="364" t="inlineStr">
        <is>
          <t>Formaleta para elementos de cimentación</t>
        </is>
      </c>
      <c r="C48" s="257" t="inlineStr">
        <is>
          <t>M²</t>
        </is>
      </c>
      <c r="D48" s="258" t="n"/>
      <c r="E48" s="1451"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451" t="n"/>
      <c r="F52" s="1311">
        <f>D52*E52</f>
        <v/>
      </c>
    </row>
    <row r="53">
      <c r="A53" s="80" t="inlineStr">
        <is>
          <t>4.2</t>
        </is>
      </c>
      <c r="B53" s="365" t="inlineStr">
        <is>
          <t>Concreto para vigas</t>
        </is>
      </c>
      <c r="C53" s="257" t="inlineStr">
        <is>
          <t>M³</t>
        </is>
      </c>
      <c r="D53" s="1449" t="n"/>
      <c r="E53" s="1452" t="n"/>
      <c r="F53" s="1448">
        <f>D53*E53</f>
        <v/>
      </c>
    </row>
    <row r="54">
      <c r="A54" s="80" t="inlineStr">
        <is>
          <t>4.3</t>
        </is>
      </c>
      <c r="B54" s="364" t="inlineStr">
        <is>
          <t>Concreto para losas</t>
        </is>
      </c>
      <c r="C54" s="257" t="inlineStr">
        <is>
          <t>M³</t>
        </is>
      </c>
      <c r="D54" s="258" t="n"/>
      <c r="E54" s="1451" t="n"/>
      <c r="F54" s="1311">
        <f>D54*E54</f>
        <v/>
      </c>
    </row>
    <row r="55">
      <c r="A55" s="80" t="inlineStr">
        <is>
          <t>4.4</t>
        </is>
      </c>
      <c r="B55" s="364" t="inlineStr">
        <is>
          <t>Concreto para escaleras</t>
        </is>
      </c>
      <c r="C55" s="257" t="inlineStr">
        <is>
          <t>M³</t>
        </is>
      </c>
      <c r="D55" s="258" t="n"/>
      <c r="E55" s="1451" t="n"/>
      <c r="F55" s="1311">
        <f>D55*E55</f>
        <v/>
      </c>
    </row>
    <row r="56">
      <c r="A56" s="80" t="inlineStr">
        <is>
          <t>4.5</t>
        </is>
      </c>
      <c r="B56" s="364" t="inlineStr">
        <is>
          <t>Concreto para muros estructurales</t>
        </is>
      </c>
      <c r="C56" s="257" t="inlineStr">
        <is>
          <t>M³</t>
        </is>
      </c>
      <c r="D56" s="258" t="n"/>
      <c r="E56" s="1451" t="n"/>
      <c r="F56" s="1311">
        <f>D56*E56</f>
        <v/>
      </c>
    </row>
    <row r="57">
      <c r="A57" s="80" t="inlineStr">
        <is>
          <t>4.6</t>
        </is>
      </c>
      <c r="B57" s="364" t="inlineStr">
        <is>
          <t>Acero de refuerzo de columnas</t>
        </is>
      </c>
      <c r="C57" s="257" t="inlineStr">
        <is>
          <t>KG</t>
        </is>
      </c>
      <c r="D57" s="258" t="n"/>
      <c r="E57" s="1451" t="n"/>
      <c r="F57" s="1311">
        <f>D57*E57</f>
        <v/>
      </c>
    </row>
    <row r="58">
      <c r="A58" s="80" t="inlineStr">
        <is>
          <t>4.7</t>
        </is>
      </c>
      <c r="B58" s="364" t="inlineStr">
        <is>
          <t>Acero de refuerzo de vigas</t>
        </is>
      </c>
      <c r="C58" s="257" t="inlineStr">
        <is>
          <t>KG</t>
        </is>
      </c>
      <c r="D58" s="258" t="n"/>
      <c r="E58" s="1451" t="n"/>
      <c r="F58" s="1311">
        <f>D58*E58</f>
        <v/>
      </c>
    </row>
    <row r="59">
      <c r="A59" s="80" t="inlineStr">
        <is>
          <t>4.8</t>
        </is>
      </c>
      <c r="B59" s="364" t="inlineStr">
        <is>
          <t>Acero de refuerzo de losas</t>
        </is>
      </c>
      <c r="C59" s="257" t="inlineStr">
        <is>
          <t>KG</t>
        </is>
      </c>
      <c r="D59" s="1449" t="n"/>
      <c r="E59" s="1452" t="n"/>
      <c r="F59" s="1311">
        <f>D59*E59</f>
        <v/>
      </c>
    </row>
    <row r="60">
      <c r="A60" s="80" t="inlineStr">
        <is>
          <t>4.9</t>
        </is>
      </c>
      <c r="B60" s="364" t="inlineStr">
        <is>
          <t>Formaleta de columnas</t>
        </is>
      </c>
      <c r="C60" s="257" t="inlineStr">
        <is>
          <t>M²</t>
        </is>
      </c>
      <c r="D60" s="258" t="n"/>
      <c r="E60" s="1451" t="n"/>
      <c r="F60" s="1311">
        <f>D60*E60</f>
        <v/>
      </c>
    </row>
    <row r="61">
      <c r="A61" s="80" t="inlineStr">
        <is>
          <t>4.10</t>
        </is>
      </c>
      <c r="B61" s="365" t="inlineStr">
        <is>
          <t>Formaleta de vigas</t>
        </is>
      </c>
      <c r="C61" s="257" t="inlineStr">
        <is>
          <t>M²</t>
        </is>
      </c>
      <c r="D61" s="1449" t="n"/>
      <c r="E61" s="1452" t="n"/>
      <c r="F61" s="1448">
        <f>D61*E61</f>
        <v/>
      </c>
    </row>
    <row r="62">
      <c r="A62" s="80" t="inlineStr">
        <is>
          <t>4.11</t>
        </is>
      </c>
      <c r="B62" s="364" t="inlineStr">
        <is>
          <t>Formaleta de losas</t>
        </is>
      </c>
      <c r="C62" s="257" t="inlineStr">
        <is>
          <t>M²</t>
        </is>
      </c>
      <c r="D62" s="258" t="n"/>
      <c r="E62" s="1451" t="n"/>
      <c r="F62" s="1311">
        <f>D62*E62</f>
        <v/>
      </c>
    </row>
    <row r="63">
      <c r="A63" s="80" t="inlineStr">
        <is>
          <t>4.12</t>
        </is>
      </c>
      <c r="B63" s="364" t="inlineStr">
        <is>
          <t>Formaleta de escaleras</t>
        </is>
      </c>
      <c r="C63" s="257" t="inlineStr">
        <is>
          <t>M²</t>
        </is>
      </c>
      <c r="D63" s="258" t="n"/>
      <c r="E63" s="1451" t="n"/>
      <c r="F63" s="1311">
        <f>D63*E63</f>
        <v/>
      </c>
    </row>
    <row r="64">
      <c r="A64" s="80" t="inlineStr">
        <is>
          <t>4.13</t>
        </is>
      </c>
      <c r="B64" s="364" t="inlineStr">
        <is>
          <t>Suministro y montaje de perfiles metálicos</t>
        </is>
      </c>
      <c r="C64" s="257" t="inlineStr">
        <is>
          <t>KG</t>
        </is>
      </c>
      <c r="D64" s="258" t="n"/>
      <c r="E64" s="1451" t="n"/>
      <c r="F64" s="1311">
        <f>D64*E64</f>
        <v/>
      </c>
    </row>
    <row r="65">
      <c r="A65" s="80" t="inlineStr">
        <is>
          <t>4.14</t>
        </is>
      </c>
      <c r="B65" s="364" t="inlineStr">
        <is>
          <t>Placas, pernos y conexiones metálicas</t>
        </is>
      </c>
      <c r="C65" s="257" t="inlineStr">
        <is>
          <t>KG</t>
        </is>
      </c>
      <c r="D65" s="258" t="n"/>
      <c r="E65" s="1451" t="n"/>
      <c r="F65" s="1311">
        <f>D65*E65</f>
        <v/>
      </c>
    </row>
    <row r="66">
      <c r="A66" s="80" t="inlineStr">
        <is>
          <t>4.15</t>
        </is>
      </c>
      <c r="B66" s="364" t="inlineStr">
        <is>
          <t>Grouting cementoso para reparación estructural</t>
        </is>
      </c>
      <c r="C66" s="257" t="inlineStr">
        <is>
          <t>M²</t>
        </is>
      </c>
      <c r="D66" s="258" t="n"/>
      <c r="E66" s="1451" t="n"/>
      <c r="F66" s="1311">
        <f>D66*E66</f>
        <v/>
      </c>
    </row>
    <row r="67">
      <c r="A67" s="80" t="inlineStr">
        <is>
          <t>4.16</t>
        </is>
      </c>
      <c r="B67" s="364" t="inlineStr">
        <is>
          <t>Grouting epóxico para reparación estructural</t>
        </is>
      </c>
      <c r="C67" s="257" t="inlineStr">
        <is>
          <t>M²</t>
        </is>
      </c>
      <c r="D67" s="258" t="n"/>
      <c r="E67" s="1451" t="n"/>
      <c r="F67" s="1311">
        <f>D67*E67</f>
        <v/>
      </c>
    </row>
    <row r="68">
      <c r="A68" s="80" t="inlineStr">
        <is>
          <t>4.17</t>
        </is>
      </c>
      <c r="B68" s="364" t="inlineStr">
        <is>
          <t>Concreto premezclado o de planta (suministro)</t>
        </is>
      </c>
      <c r="C68" s="257" t="inlineStr">
        <is>
          <t>M³</t>
        </is>
      </c>
      <c r="D68" s="258" t="n"/>
      <c r="E68" s="1451"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451" t="n"/>
      <c r="F72" s="1311">
        <f>D72*E72</f>
        <v/>
      </c>
    </row>
    <row r="73">
      <c r="A73" s="80" t="inlineStr">
        <is>
          <t>5.2</t>
        </is>
      </c>
      <c r="B73" s="364" t="inlineStr">
        <is>
          <t>Mampostería en ladrillo</t>
        </is>
      </c>
      <c r="C73" s="257" t="inlineStr">
        <is>
          <t>M²</t>
        </is>
      </c>
      <c r="D73" s="258" t="n"/>
      <c r="E73" s="1451" t="n"/>
      <c r="F73" s="1311">
        <f>D73*E73</f>
        <v/>
      </c>
    </row>
    <row r="74">
      <c r="A74" s="80" t="inlineStr">
        <is>
          <t>5.3</t>
        </is>
      </c>
      <c r="B74" s="364" t="inlineStr">
        <is>
          <t>Mampostería estructural</t>
        </is>
      </c>
      <c r="C74" s="257" t="inlineStr">
        <is>
          <t>M²</t>
        </is>
      </c>
      <c r="D74" s="258" t="n"/>
      <c r="E74" s="1451" t="n"/>
      <c r="F74" s="1311">
        <f>D74*E74</f>
        <v/>
      </c>
    </row>
    <row r="75">
      <c r="A75" s="80" t="inlineStr">
        <is>
          <t>5.4</t>
        </is>
      </c>
      <c r="B75" s="364" t="inlineStr">
        <is>
          <t>Muros en sistema liviano / drywall</t>
        </is>
      </c>
      <c r="C75" s="257" t="inlineStr">
        <is>
          <t>M²</t>
        </is>
      </c>
      <c r="D75" s="258" t="n"/>
      <c r="E75" s="1451" t="n"/>
      <c r="F75" s="1311">
        <f>D75*E75</f>
        <v/>
      </c>
    </row>
    <row r="76">
      <c r="A76" s="80" t="inlineStr">
        <is>
          <t>5.5</t>
        </is>
      </c>
      <c r="B76" s="364" t="inlineStr">
        <is>
          <t>Dinteles sobre vanos</t>
        </is>
      </c>
      <c r="C76" s="257" t="inlineStr">
        <is>
          <t>ML</t>
        </is>
      </c>
      <c r="D76" s="258" t="n"/>
      <c r="E76" s="1451" t="n"/>
      <c r="F76" s="1311">
        <f>D76*E76</f>
        <v/>
      </c>
    </row>
    <row r="77">
      <c r="A77" s="80" t="inlineStr">
        <is>
          <t>5.6</t>
        </is>
      </c>
      <c r="B77" s="364" t="inlineStr">
        <is>
          <t>Alfajías y remates</t>
        </is>
      </c>
      <c r="C77" s="257" t="inlineStr">
        <is>
          <t>ML</t>
        </is>
      </c>
      <c r="D77" s="258" t="n"/>
      <c r="E77" s="1451" t="n"/>
      <c r="F77" s="1311">
        <f>D77*E77</f>
        <v/>
      </c>
    </row>
    <row r="78">
      <c r="A78" s="80" t="inlineStr">
        <is>
          <t>5.7</t>
        </is>
      </c>
      <c r="B78" s="364" t="inlineStr">
        <is>
          <t>Anclajes y refuerzos de mampostería</t>
        </is>
      </c>
      <c r="C78" s="257" t="inlineStr">
        <is>
          <t>UND</t>
        </is>
      </c>
      <c r="D78" s="258" t="n"/>
      <c r="E78" s="1451" t="n"/>
      <c r="F78" s="1311">
        <f>D78*E78</f>
        <v/>
      </c>
    </row>
    <row r="79">
      <c r="A79" s="80" t="inlineStr">
        <is>
          <t>5.8</t>
        </is>
      </c>
      <c r="B79" s="364" t="inlineStr">
        <is>
          <t>Mampostería en ladrillo tolete a la vista (reforzada)</t>
        </is>
      </c>
      <c r="C79" s="257" t="inlineStr">
        <is>
          <t>M²</t>
        </is>
      </c>
      <c r="D79" s="258" t="n"/>
      <c r="E79" s="1451" t="n"/>
      <c r="F79" s="1311">
        <f>D79*E79</f>
        <v/>
      </c>
    </row>
    <row r="80">
      <c r="A80" s="80" t="inlineStr">
        <is>
          <t>5.9</t>
        </is>
      </c>
      <c r="B80" s="364" t="inlineStr">
        <is>
          <t>Mampostería en ladrillo a la vista (no reforzada)</t>
        </is>
      </c>
      <c r="C80" s="257" t="inlineStr">
        <is>
          <t>M²</t>
        </is>
      </c>
      <c r="D80" s="258" t="n"/>
      <c r="E80" s="1451"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D84" s="1449" t="n"/>
      <c r="E84" s="1452" t="n"/>
      <c r="F84" s="1448">
        <f>D84*E84</f>
        <v/>
      </c>
    </row>
    <row r="85">
      <c r="A85" s="80" t="inlineStr">
        <is>
          <t>6.2</t>
        </is>
      </c>
      <c r="B85" s="364" t="inlineStr">
        <is>
          <t>Cerchas y elementos estructurales</t>
        </is>
      </c>
      <c r="C85" s="257" t="inlineStr">
        <is>
          <t>KG</t>
        </is>
      </c>
      <c r="D85" s="258" t="n"/>
      <c r="E85" s="1451" t="n"/>
      <c r="F85" s="1311">
        <f>D85*E85</f>
        <v/>
      </c>
    </row>
    <row r="86">
      <c r="A86" s="80" t="inlineStr">
        <is>
          <t>6.3</t>
        </is>
      </c>
      <c r="B86" s="364" t="inlineStr">
        <is>
          <t>Suministro e instalación de teja</t>
        </is>
      </c>
      <c r="C86" s="257" t="inlineStr">
        <is>
          <t>M²</t>
        </is>
      </c>
      <c r="D86" s="258" t="n"/>
      <c r="E86" s="1451" t="n"/>
      <c r="F86" s="1311">
        <f>D86*E86</f>
        <v/>
      </c>
    </row>
    <row r="87">
      <c r="A87" s="80" t="inlineStr">
        <is>
          <t>6.4</t>
        </is>
      </c>
      <c r="B87" s="364" t="inlineStr">
        <is>
          <t>Impermeabilización de cubierta</t>
        </is>
      </c>
      <c r="C87" s="257" t="inlineStr">
        <is>
          <t>M²</t>
        </is>
      </c>
      <c r="D87" s="258" t="n"/>
      <c r="E87" s="1451" t="n"/>
      <c r="F87" s="1311">
        <f>D87*E87</f>
        <v/>
      </c>
    </row>
    <row r="88">
      <c r="A88" s="80" t="inlineStr">
        <is>
          <t>6.5</t>
        </is>
      </c>
      <c r="B88" s="364" t="inlineStr">
        <is>
          <t>Aislamiento térmico/acústico</t>
        </is>
      </c>
      <c r="C88" s="257" t="inlineStr">
        <is>
          <t>M²</t>
        </is>
      </c>
      <c r="D88" s="258" t="n"/>
      <c r="E88" s="1451" t="n"/>
      <c r="F88" s="1311">
        <f>D88*E88</f>
        <v/>
      </c>
    </row>
    <row r="89">
      <c r="A89" s="80" t="inlineStr">
        <is>
          <t>6.6</t>
        </is>
      </c>
      <c r="B89" s="364" t="inlineStr">
        <is>
          <t>Canales de aguas lluvias</t>
        </is>
      </c>
      <c r="C89" s="257" t="inlineStr">
        <is>
          <t>ML</t>
        </is>
      </c>
      <c r="D89" s="258" t="n"/>
      <c r="E89" s="1451" t="n"/>
      <c r="F89" s="1311">
        <f>D89*E89</f>
        <v/>
      </c>
    </row>
    <row r="90">
      <c r="A90" s="80" t="inlineStr">
        <is>
          <t>6.7</t>
        </is>
      </c>
      <c r="B90" s="364" t="inlineStr">
        <is>
          <t>Bajantes de aguas lluvias</t>
        </is>
      </c>
      <c r="C90" s="257" t="inlineStr">
        <is>
          <t>ML</t>
        </is>
      </c>
      <c r="D90" s="258" t="n"/>
      <c r="E90" s="1451" t="n"/>
      <c r="F90" s="1311">
        <f>D90*E90</f>
        <v/>
      </c>
    </row>
    <row r="91">
      <c r="A91" s="80" t="inlineStr">
        <is>
          <t>6.8</t>
        </is>
      </c>
      <c r="B91" s="364" t="inlineStr">
        <is>
          <t>Cielo raso Dry Wall</t>
        </is>
      </c>
      <c r="C91" s="257" t="inlineStr">
        <is>
          <t>M²</t>
        </is>
      </c>
      <c r="D91" s="258" t="n"/>
      <c r="E91" s="1451" t="n"/>
      <c r="F91" s="1311">
        <f>D91*E91</f>
        <v/>
      </c>
    </row>
    <row r="92">
      <c r="A92" s="80" t="inlineStr">
        <is>
          <t>6.9</t>
        </is>
      </c>
      <c r="B92" s="364" t="inlineStr">
        <is>
          <t>Cielo raso en lámina acústica de fibra mineral</t>
        </is>
      </c>
      <c r="C92" s="257" t="inlineStr">
        <is>
          <t>M²</t>
        </is>
      </c>
      <c r="D92" s="258" t="n"/>
      <c r="E92" s="1451"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451" t="n"/>
      <c r="F96" s="1311">
        <f>D96*E96</f>
        <v/>
      </c>
    </row>
    <row r="97">
      <c r="A97" s="80" t="inlineStr">
        <is>
          <t>7.2</t>
        </is>
      </c>
      <c r="B97" s="365" t="inlineStr">
        <is>
          <t>Impermeabilización de muros</t>
        </is>
      </c>
      <c r="C97" s="257" t="inlineStr">
        <is>
          <t>M²</t>
        </is>
      </c>
      <c r="D97" s="1449" t="n"/>
      <c r="E97" s="1452" t="n"/>
      <c r="F97" s="1448">
        <f>D97*E97</f>
        <v/>
      </c>
    </row>
    <row r="98">
      <c r="A98" s="80" t="inlineStr">
        <is>
          <t>7.3</t>
        </is>
      </c>
      <c r="B98" s="364" t="inlineStr">
        <is>
          <t>Impermeabilización de zonas húmedas</t>
        </is>
      </c>
      <c r="C98" s="257" t="inlineStr">
        <is>
          <t>M²</t>
        </is>
      </c>
      <c r="D98" s="258" t="n"/>
      <c r="E98" s="1451" t="n"/>
      <c r="F98" s="1311">
        <f>D98*E98</f>
        <v/>
      </c>
    </row>
    <row r="99">
      <c r="A99" s="80" t="inlineStr">
        <is>
          <t>7.4</t>
        </is>
      </c>
      <c r="B99" s="364" t="inlineStr">
        <is>
          <t>Geomembrana HDPE para impermeabilización de terrenos</t>
        </is>
      </c>
      <c r="C99" s="257" t="inlineStr">
        <is>
          <t>M²</t>
        </is>
      </c>
      <c r="D99" s="258" t="n"/>
      <c r="E99" s="1451"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D103" s="1449" t="n"/>
      <c r="E103" s="1452" t="n"/>
      <c r="F103" s="1448">
        <f>D103*E103</f>
        <v/>
      </c>
    </row>
    <row r="104">
      <c r="A104" s="80" t="inlineStr">
        <is>
          <t>8.2</t>
        </is>
      </c>
      <c r="B104" s="364" t="inlineStr">
        <is>
          <t>Pañete / revoque exterior</t>
        </is>
      </c>
      <c r="C104" s="257" t="inlineStr">
        <is>
          <t>M²</t>
        </is>
      </c>
      <c r="D104" s="258" t="n"/>
      <c r="E104" s="1451" t="n"/>
      <c r="F104" s="1311">
        <f>D104*E104</f>
        <v/>
      </c>
    </row>
    <row r="105">
      <c r="A105" s="80" t="inlineStr">
        <is>
          <t>8.3</t>
        </is>
      </c>
      <c r="B105" s="364" t="inlineStr">
        <is>
          <t>Pañete impermeabilizado</t>
        </is>
      </c>
      <c r="C105" s="257" t="inlineStr">
        <is>
          <t>M²</t>
        </is>
      </c>
      <c r="D105" s="258" t="n"/>
      <c r="E105" s="1451" t="n"/>
      <c r="F105" s="1311">
        <f>D105*E105</f>
        <v/>
      </c>
    </row>
    <row r="106">
      <c r="A106" s="80" t="inlineStr">
        <is>
          <t>8.4</t>
        </is>
      </c>
      <c r="B106" s="364" t="inlineStr">
        <is>
          <t>Estuco plástico o tradicional</t>
        </is>
      </c>
      <c r="C106" s="257" t="inlineStr">
        <is>
          <t>M²</t>
        </is>
      </c>
      <c r="D106" s="1449" t="n"/>
      <c r="E106" s="1452" t="n"/>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451" t="n"/>
      <c r="F110" s="1311">
        <f>D110*E110</f>
        <v/>
      </c>
    </row>
    <row r="111">
      <c r="A111" s="80" t="inlineStr">
        <is>
          <t>9.2</t>
        </is>
      </c>
      <c r="B111" s="364" t="inlineStr">
        <is>
          <t>Piso cerámico</t>
        </is>
      </c>
      <c r="C111" s="257" t="inlineStr">
        <is>
          <t>M²</t>
        </is>
      </c>
      <c r="D111" s="258" t="n"/>
      <c r="E111" s="1451" t="n"/>
      <c r="F111" s="1311">
        <f>D111*E111</f>
        <v/>
      </c>
    </row>
    <row r="112">
      <c r="A112" s="80" t="inlineStr">
        <is>
          <t>9.3</t>
        </is>
      </c>
      <c r="B112" s="364" t="inlineStr">
        <is>
          <t>Piso en porcelanato</t>
        </is>
      </c>
      <c r="C112" s="257" t="inlineStr">
        <is>
          <t>M²</t>
        </is>
      </c>
      <c r="D112" s="258" t="n"/>
      <c r="E112" s="1451" t="n"/>
      <c r="F112" s="1311">
        <f>D112*E112</f>
        <v/>
      </c>
    </row>
    <row r="113">
      <c r="A113" s="80" t="inlineStr">
        <is>
          <t>9.4</t>
        </is>
      </c>
      <c r="B113" s="364" t="inlineStr">
        <is>
          <t>Piso vinílico</t>
        </is>
      </c>
      <c r="C113" s="257" t="inlineStr">
        <is>
          <t>M²</t>
        </is>
      </c>
      <c r="D113" s="258" t="n"/>
      <c r="E113" s="1451" t="n"/>
      <c r="F113" s="1311">
        <f>D113*E113</f>
        <v/>
      </c>
    </row>
    <row r="114">
      <c r="A114" s="80" t="inlineStr">
        <is>
          <t>9.5</t>
        </is>
      </c>
      <c r="B114" s="364" t="inlineStr">
        <is>
          <t>Piso laminado</t>
        </is>
      </c>
      <c r="C114" s="257" t="inlineStr">
        <is>
          <t>M²</t>
        </is>
      </c>
      <c r="D114" s="258" t="n"/>
      <c r="E114" s="1451" t="n"/>
      <c r="F114" s="1311">
        <f>D114*E114</f>
        <v/>
      </c>
    </row>
    <row r="115">
      <c r="A115" s="80" t="inlineStr">
        <is>
          <t>9.6</t>
        </is>
      </c>
      <c r="B115" s="364" t="inlineStr">
        <is>
          <t>Enchape cerámico en muros</t>
        </is>
      </c>
      <c r="C115" s="257" t="inlineStr">
        <is>
          <t>M²</t>
        </is>
      </c>
      <c r="D115" s="1449" t="n"/>
      <c r="E115" s="1452" t="n"/>
      <c r="F115" s="1311">
        <f>D115*E115</f>
        <v/>
      </c>
    </row>
    <row r="116">
      <c r="A116" s="80" t="inlineStr">
        <is>
          <t>9.7</t>
        </is>
      </c>
      <c r="B116" s="364" t="inlineStr">
        <is>
          <t>Guardaescoba</t>
        </is>
      </c>
      <c r="C116" s="257" t="inlineStr">
        <is>
          <t>ML</t>
        </is>
      </c>
      <c r="D116" s="258" t="n"/>
      <c r="E116" s="1451" t="n"/>
      <c r="F116" s="1311">
        <f>D116*E116</f>
        <v/>
      </c>
    </row>
    <row r="117">
      <c r="A117" s="80" t="inlineStr">
        <is>
          <t>9.8</t>
        </is>
      </c>
      <c r="B117" s="365" t="inlineStr">
        <is>
          <t>Juntas de dilatación / construcción</t>
        </is>
      </c>
      <c r="C117" s="257" t="inlineStr">
        <is>
          <t>ML</t>
        </is>
      </c>
      <c r="D117" s="1449" t="n"/>
      <c r="E117" s="1452" t="n"/>
      <c r="F117" s="1448">
        <f>D117*E117</f>
        <v/>
      </c>
    </row>
    <row r="118">
      <c r="A118" s="80" t="inlineStr">
        <is>
          <t>9.9</t>
        </is>
      </c>
      <c r="B118" s="365" t="inlineStr">
        <is>
          <t>Piso en concreto afinado con endurecedor de cuarzo</t>
        </is>
      </c>
      <c r="C118" s="257" t="inlineStr">
        <is>
          <t>M²</t>
        </is>
      </c>
      <c r="D118" s="1449" t="n"/>
      <c r="E118" s="1452" t="n"/>
      <c r="F118" s="1448">
        <f>D118*E118</f>
        <v/>
      </c>
    </row>
    <row r="119">
      <c r="A119" s="80" t="inlineStr">
        <is>
          <t>9.10</t>
        </is>
      </c>
      <c r="B119" s="365" t="inlineStr">
        <is>
          <t>Baldosa de granito</t>
        </is>
      </c>
      <c r="C119" s="257" t="inlineStr">
        <is>
          <t>M²</t>
        </is>
      </c>
      <c r="D119" s="1449" t="n"/>
      <c r="E119" s="1452" t="n"/>
      <c r="F119" s="1448">
        <f>D119*E119</f>
        <v/>
      </c>
    </row>
    <row r="120">
      <c r="A120" s="80" t="inlineStr">
        <is>
          <t>9.11</t>
        </is>
      </c>
      <c r="B120" s="365" t="inlineStr">
        <is>
          <t>Enchape en granito pulido</t>
        </is>
      </c>
      <c r="C120" s="257" t="inlineStr">
        <is>
          <t>M²</t>
        </is>
      </c>
      <c r="D120" s="1449" t="n"/>
      <c r="E120" s="1452" t="n"/>
      <c r="F120" s="1448">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451" t="n"/>
      <c r="F124" s="1311">
        <f>D124*E124</f>
        <v/>
      </c>
    </row>
    <row r="125">
      <c r="A125" s="80" t="inlineStr">
        <is>
          <t>10.2</t>
        </is>
      </c>
      <c r="B125" s="364" t="inlineStr">
        <is>
          <t>Pintura exterior</t>
        </is>
      </c>
      <c r="C125" s="257" t="inlineStr">
        <is>
          <t>M²</t>
        </is>
      </c>
      <c r="D125" s="258" t="n"/>
      <c r="E125" s="1451" t="n"/>
      <c r="F125" s="1311">
        <f>D125*E125</f>
        <v/>
      </c>
    </row>
    <row r="126">
      <c r="A126" s="80" t="inlineStr">
        <is>
          <t>10.3</t>
        </is>
      </c>
      <c r="B126" s="364" t="inlineStr">
        <is>
          <t>Pintura esmalte en superficies metálicas/madera</t>
        </is>
      </c>
      <c r="C126" s="257" t="inlineStr">
        <is>
          <t>M²</t>
        </is>
      </c>
      <c r="D126" s="258" t="n"/>
      <c r="E126" s="1451" t="n"/>
      <c r="F126" s="1311">
        <f>D126*E126</f>
        <v/>
      </c>
    </row>
    <row r="127">
      <c r="A127" s="80" t="inlineStr">
        <is>
          <t>10.4</t>
        </is>
      </c>
      <c r="B127" s="364" t="inlineStr">
        <is>
          <t>Pintura anticorrosiva</t>
        </is>
      </c>
      <c r="C127" s="257" t="inlineStr">
        <is>
          <t>M²</t>
        </is>
      </c>
      <c r="D127" s="258" t="n"/>
      <c r="E127" s="1451" t="n"/>
      <c r="F127" s="1311">
        <f>D127*E127</f>
        <v/>
      </c>
    </row>
    <row r="128">
      <c r="A128" s="80" t="inlineStr">
        <is>
          <t>10.5</t>
        </is>
      </c>
      <c r="B128" s="364" t="inlineStr">
        <is>
          <t>Sellador / imprimante</t>
        </is>
      </c>
      <c r="C128" s="257" t="inlineStr">
        <is>
          <t>M²</t>
        </is>
      </c>
      <c r="D128" s="1449" t="n"/>
      <c r="E128" s="1452" t="n"/>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451" t="n"/>
      <c r="F132" s="1311">
        <f>D132*E132</f>
        <v/>
      </c>
    </row>
    <row r="133">
      <c r="A133" s="80" t="inlineStr">
        <is>
          <t>11.2</t>
        </is>
      </c>
      <c r="B133" s="364" t="inlineStr">
        <is>
          <t>Muebles fijos de madera</t>
        </is>
      </c>
      <c r="C133" s="257" t="inlineStr">
        <is>
          <t>ML</t>
        </is>
      </c>
      <c r="D133" s="1449" t="n"/>
      <c r="E133" s="1452" t="n"/>
      <c r="F133" s="1311">
        <f>D133*E133</f>
        <v/>
      </c>
    </row>
    <row r="134">
      <c r="A134" s="80" t="inlineStr">
        <is>
          <t>11.3</t>
        </is>
      </c>
      <c r="B134" s="364" t="inlineStr">
        <is>
          <t>Puertas metálicas</t>
        </is>
      </c>
      <c r="C134" s="257" t="inlineStr">
        <is>
          <t>UND</t>
        </is>
      </c>
      <c r="D134" s="258" t="n"/>
      <c r="E134" s="1451" t="n"/>
      <c r="F134" s="1311">
        <f>D134*E134</f>
        <v/>
      </c>
    </row>
    <row r="135">
      <c r="A135" s="80" t="inlineStr">
        <is>
          <t>11.4</t>
        </is>
      </c>
      <c r="B135" s="365" t="inlineStr">
        <is>
          <t>Barandas metálicas</t>
        </is>
      </c>
      <c r="C135" s="257" t="inlineStr">
        <is>
          <t>ML</t>
        </is>
      </c>
      <c r="D135" s="1449" t="n"/>
      <c r="E135" s="1452" t="n"/>
      <c r="F135" s="1448">
        <f>D135*E135</f>
        <v/>
      </c>
    </row>
    <row r="136">
      <c r="A136" s="80" t="inlineStr">
        <is>
          <t>11.5</t>
        </is>
      </c>
      <c r="B136" s="364" t="inlineStr">
        <is>
          <t>Pasamanos</t>
        </is>
      </c>
      <c r="C136" s="257" t="inlineStr">
        <is>
          <t>ML</t>
        </is>
      </c>
      <c r="D136" s="258" t="n"/>
      <c r="E136" s="1451" t="n"/>
      <c r="F136" s="1311">
        <f>D136*E136</f>
        <v/>
      </c>
    </row>
    <row r="137">
      <c r="A137" s="80" t="inlineStr">
        <is>
          <t>11.6</t>
        </is>
      </c>
      <c r="B137" s="364" t="inlineStr">
        <is>
          <t>Ventanas de aluminio</t>
        </is>
      </c>
      <c r="C137" s="257" t="inlineStr">
        <is>
          <t>M²</t>
        </is>
      </c>
      <c r="D137" s="258" t="n"/>
      <c r="E137" s="1451" t="n"/>
      <c r="F137" s="1311">
        <f>D137*E137</f>
        <v/>
      </c>
    </row>
    <row r="138">
      <c r="A138" s="80" t="inlineStr">
        <is>
          <t>11.7</t>
        </is>
      </c>
      <c r="B138" s="364" t="inlineStr">
        <is>
          <t>Divisiones de aluminio</t>
        </is>
      </c>
      <c r="C138" s="257" t="inlineStr">
        <is>
          <t>M²</t>
        </is>
      </c>
      <c r="D138" s="258" t="n"/>
      <c r="E138" s="1451" t="n"/>
      <c r="F138" s="1311">
        <f>D138*E138</f>
        <v/>
      </c>
    </row>
    <row r="139">
      <c r="A139" s="80" t="inlineStr">
        <is>
          <t>11.8</t>
        </is>
      </c>
      <c r="B139" s="364" t="inlineStr">
        <is>
          <t>Puerta antipánico</t>
        </is>
      </c>
      <c r="C139" s="257" t="inlineStr">
        <is>
          <t>UND</t>
        </is>
      </c>
      <c r="D139" s="258" t="n"/>
      <c r="E139" s="1451"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D143" s="1449" t="n"/>
      <c r="E143" s="1452" t="n"/>
      <c r="F143" s="1311">
        <f>D143*E143</f>
        <v/>
      </c>
    </row>
    <row r="144">
      <c r="A144" s="80" t="inlineStr">
        <is>
          <t>12.2</t>
        </is>
      </c>
      <c r="B144" s="364" t="inlineStr">
        <is>
          <t>Vidrio laminado</t>
        </is>
      </c>
      <c r="C144" s="257" t="inlineStr">
        <is>
          <t>M²</t>
        </is>
      </c>
      <c r="D144" s="258" t="n"/>
      <c r="E144" s="1451" t="n"/>
      <c r="F144" s="1311">
        <f>D144*E144</f>
        <v/>
      </c>
    </row>
    <row r="145">
      <c r="A145" s="80" t="inlineStr">
        <is>
          <t>12.3</t>
        </is>
      </c>
      <c r="B145" s="365" t="inlineStr">
        <is>
          <t>Espejos</t>
        </is>
      </c>
      <c r="C145" s="257" t="inlineStr">
        <is>
          <t>M²</t>
        </is>
      </c>
      <c r="D145" s="1449" t="n"/>
      <c r="E145" s="1452" t="n"/>
      <c r="F145" s="1448">
        <f>D145*E145</f>
        <v/>
      </c>
    </row>
    <row r="146">
      <c r="A146" s="80" t="inlineStr">
        <is>
          <t>12.4</t>
        </is>
      </c>
      <c r="B146" s="364" t="inlineStr">
        <is>
          <t>Sellos y silicona</t>
        </is>
      </c>
      <c r="C146" s="257" t="inlineStr">
        <is>
          <t>ML</t>
        </is>
      </c>
      <c r="D146" s="258" t="n"/>
      <c r="E146" s="1451"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D150" s="1449" t="n"/>
      <c r="E150" s="1452" t="n"/>
      <c r="F150" s="1311">
        <f>D150*E150</f>
        <v/>
      </c>
    </row>
    <row r="151">
      <c r="A151" s="80" t="inlineStr">
        <is>
          <t>13.2</t>
        </is>
      </c>
      <c r="B151" s="364" t="inlineStr">
        <is>
          <t>Tubería de agua caliente</t>
        </is>
      </c>
      <c r="C151" s="257" t="inlineStr">
        <is>
          <t>ML</t>
        </is>
      </c>
      <c r="D151" s="258" t="n"/>
      <c r="E151" s="1451" t="n"/>
      <c r="F151" s="1311">
        <f>D151*E151</f>
        <v/>
      </c>
    </row>
    <row r="152">
      <c r="A152" s="80" t="inlineStr">
        <is>
          <t>13.3</t>
        </is>
      </c>
      <c r="B152" s="364" t="inlineStr">
        <is>
          <t>Válvulas y accesorios hidrosanitarios</t>
        </is>
      </c>
      <c r="C152" s="257" t="inlineStr">
        <is>
          <t>UND</t>
        </is>
      </c>
      <c r="D152" s="1449" t="n"/>
      <c r="E152" s="1452" t="n"/>
      <c r="F152" s="1311">
        <f>D152*E152</f>
        <v/>
      </c>
    </row>
    <row r="153">
      <c r="A153" s="80" t="inlineStr">
        <is>
          <t>13.4</t>
        </is>
      </c>
      <c r="B153" s="364" t="inlineStr">
        <is>
          <t>Tubería sanitaria</t>
        </is>
      </c>
      <c r="C153" s="257" t="inlineStr">
        <is>
          <t>ML</t>
        </is>
      </c>
      <c r="D153" s="258" t="n"/>
      <c r="E153" s="1451" t="n"/>
      <c r="F153" s="1311">
        <f>D153*E153</f>
        <v/>
      </c>
    </row>
    <row r="154">
      <c r="A154" s="80" t="inlineStr">
        <is>
          <t>13.5</t>
        </is>
      </c>
      <c r="B154" s="364" t="inlineStr">
        <is>
          <t>Tubería de aguas lluvias</t>
        </is>
      </c>
      <c r="C154" s="257" t="inlineStr">
        <is>
          <t>ML</t>
        </is>
      </c>
      <c r="D154" s="258" t="n"/>
      <c r="E154" s="1451" t="n"/>
      <c r="F154" s="1311">
        <f>D154*E154</f>
        <v/>
      </c>
    </row>
    <row r="155">
      <c r="A155" s="80" t="inlineStr">
        <is>
          <t>13.6</t>
        </is>
      </c>
      <c r="B155" s="364" t="inlineStr">
        <is>
          <t>Cajas de inspección</t>
        </is>
      </c>
      <c r="C155" s="257" t="inlineStr">
        <is>
          <t>UND</t>
        </is>
      </c>
      <c r="D155" s="258" t="n"/>
      <c r="E155" s="1451" t="n"/>
      <c r="F155" s="1311">
        <f>D155*E155</f>
        <v/>
      </c>
    </row>
    <row r="156">
      <c r="A156" s="80" t="inlineStr">
        <is>
          <t>13.7</t>
        </is>
      </c>
      <c r="B156" s="364" t="inlineStr">
        <is>
          <t>Aparatos sanitarios</t>
        </is>
      </c>
      <c r="C156" s="257" t="inlineStr">
        <is>
          <t>UND</t>
        </is>
      </c>
      <c r="D156" s="258" t="n"/>
      <c r="E156" s="1451" t="n"/>
      <c r="F156" s="1311">
        <f>D156*E156</f>
        <v/>
      </c>
    </row>
    <row r="157">
      <c r="A157" s="80" t="inlineStr">
        <is>
          <t>13.8</t>
        </is>
      </c>
      <c r="B157" s="364" t="inlineStr">
        <is>
          <t>Lavamanos</t>
        </is>
      </c>
      <c r="C157" s="257" t="inlineStr">
        <is>
          <t>UND</t>
        </is>
      </c>
      <c r="D157" s="258" t="n"/>
      <c r="E157" s="1451" t="n"/>
      <c r="F157" s="1311">
        <f>D157*E157</f>
        <v/>
      </c>
    </row>
    <row r="158">
      <c r="A158" s="80" t="inlineStr">
        <is>
          <t>13.9</t>
        </is>
      </c>
      <c r="B158" s="364" t="inlineStr">
        <is>
          <t>Griferías</t>
        </is>
      </c>
      <c r="C158" s="257" t="inlineStr">
        <is>
          <t>UND</t>
        </is>
      </c>
      <c r="D158" s="258" t="n"/>
      <c r="E158" s="1451" t="n"/>
      <c r="F158" s="1311">
        <f>D158*E158</f>
        <v/>
      </c>
    </row>
    <row r="159">
      <c r="A159" s="80" t="inlineStr">
        <is>
          <t>13.10</t>
        </is>
      </c>
      <c r="B159" s="364" t="inlineStr">
        <is>
          <t>Duchas</t>
        </is>
      </c>
      <c r="C159" s="257" t="inlineStr">
        <is>
          <t>UND</t>
        </is>
      </c>
      <c r="D159" s="258" t="n"/>
      <c r="E159" s="1451" t="n"/>
      <c r="F159" s="1311">
        <f>D159*E159</f>
        <v/>
      </c>
    </row>
    <row r="160">
      <c r="A160" s="80" t="inlineStr">
        <is>
          <t>13.11</t>
        </is>
      </c>
      <c r="B160" s="364" t="inlineStr">
        <is>
          <t>Pruebas hidráulicas y de estanqueidad</t>
        </is>
      </c>
      <c r="C160" s="257" t="inlineStr">
        <is>
          <t>GL</t>
        </is>
      </c>
      <c r="D160" s="258" t="n"/>
      <c r="E160" s="1451" t="n"/>
      <c r="F160" s="1311">
        <f>D160*E160</f>
        <v/>
      </c>
    </row>
    <row r="161">
      <c r="A161" s="80" t="inlineStr">
        <is>
          <t>13.12</t>
        </is>
      </c>
      <c r="B161" s="364" t="inlineStr">
        <is>
          <t>Orinal institucional</t>
        </is>
      </c>
      <c r="C161" s="257" t="inlineStr">
        <is>
          <t>UND</t>
        </is>
      </c>
      <c r="D161" s="258" t="n"/>
      <c r="E161" s="1451"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451" t="n"/>
      <c r="F165" s="1311">
        <f>D165*E165</f>
        <v/>
      </c>
    </row>
    <row r="166">
      <c r="A166" s="80" t="inlineStr">
        <is>
          <t>14.2</t>
        </is>
      </c>
      <c r="B166" s="364" t="inlineStr">
        <is>
          <t>Bandejas portacables</t>
        </is>
      </c>
      <c r="C166" s="257" t="inlineStr">
        <is>
          <t>ML</t>
        </is>
      </c>
      <c r="D166" s="258" t="n"/>
      <c r="E166" s="1451" t="n"/>
      <c r="F166" s="1311">
        <f>D166*E166</f>
        <v/>
      </c>
    </row>
    <row r="167">
      <c r="A167" s="80" t="inlineStr">
        <is>
          <t>14.3</t>
        </is>
      </c>
      <c r="B167" s="364" t="inlineStr">
        <is>
          <t>Cajas eléctricas</t>
        </is>
      </c>
      <c r="C167" s="257" t="inlineStr">
        <is>
          <t>UND</t>
        </is>
      </c>
      <c r="D167" s="258" t="n"/>
      <c r="E167" s="1451" t="n"/>
      <c r="F167" s="1311">
        <f>D167*E167</f>
        <v/>
      </c>
    </row>
    <row r="168">
      <c r="A168" s="80" t="inlineStr">
        <is>
          <t>14.4</t>
        </is>
      </c>
      <c r="B168" s="364" t="inlineStr">
        <is>
          <t>Cableado de fuerza</t>
        </is>
      </c>
      <c r="C168" s="257" t="inlineStr">
        <is>
          <t>ML</t>
        </is>
      </c>
      <c r="D168" s="258" t="n"/>
      <c r="E168" s="1451" t="n"/>
      <c r="F168" s="1311">
        <f>D168*E168</f>
        <v/>
      </c>
    </row>
    <row r="169">
      <c r="A169" s="80" t="inlineStr">
        <is>
          <t>14.5</t>
        </is>
      </c>
      <c r="B169" s="364" t="inlineStr">
        <is>
          <t>Cableado de iluminación</t>
        </is>
      </c>
      <c r="C169" s="257" t="inlineStr">
        <is>
          <t>ML</t>
        </is>
      </c>
      <c r="D169" s="258" t="n"/>
      <c r="E169" s="1451" t="n"/>
      <c r="F169" s="1311">
        <f>D169*E169</f>
        <v/>
      </c>
    </row>
    <row r="170">
      <c r="A170" s="80" t="inlineStr">
        <is>
          <t>14.6</t>
        </is>
      </c>
      <c r="B170" s="364" t="inlineStr">
        <is>
          <t>Tableros eléctricos</t>
        </is>
      </c>
      <c r="C170" s="257" t="inlineStr">
        <is>
          <t>UND</t>
        </is>
      </c>
      <c r="D170" s="258" t="n"/>
      <c r="E170" s="1451" t="n"/>
      <c r="F170" s="1311">
        <f>D170*E170</f>
        <v/>
      </c>
    </row>
    <row r="171">
      <c r="A171" s="80" t="inlineStr">
        <is>
          <t>14.7</t>
        </is>
      </c>
      <c r="B171" s="364" t="inlineStr">
        <is>
          <t>Tomacorrientes</t>
        </is>
      </c>
      <c r="C171" s="257" t="inlineStr">
        <is>
          <t>UND</t>
        </is>
      </c>
      <c r="D171" s="258" t="n"/>
      <c r="E171" s="1451" t="n"/>
      <c r="F171" s="1311">
        <f>D171*E171</f>
        <v/>
      </c>
    </row>
    <row r="172">
      <c r="A172" s="80" t="inlineStr">
        <is>
          <t>14.8</t>
        </is>
      </c>
      <c r="B172" s="364" t="inlineStr">
        <is>
          <t>Interruptores</t>
        </is>
      </c>
      <c r="C172" s="257" t="inlineStr">
        <is>
          <t>UND</t>
        </is>
      </c>
      <c r="D172" s="258" t="n"/>
      <c r="E172" s="1451" t="n"/>
      <c r="F172" s="1311">
        <f>D172*E172</f>
        <v/>
      </c>
    </row>
    <row r="173">
      <c r="A173" s="80" t="inlineStr">
        <is>
          <t>14.9</t>
        </is>
      </c>
      <c r="B173" s="364" t="inlineStr">
        <is>
          <t>Luminarias</t>
        </is>
      </c>
      <c r="C173" s="257" t="inlineStr">
        <is>
          <t>UND</t>
        </is>
      </c>
      <c r="D173" s="258" t="n"/>
      <c r="E173" s="1451" t="n"/>
      <c r="F173" s="1311">
        <f>D173*E173</f>
        <v/>
      </c>
    </row>
    <row r="174">
      <c r="A174" s="80" t="inlineStr">
        <is>
          <t>14.10</t>
        </is>
      </c>
      <c r="B174" s="364" t="inlineStr">
        <is>
          <t>Sistema de puesta a tierra</t>
        </is>
      </c>
      <c r="C174" s="257" t="inlineStr">
        <is>
          <t>GL</t>
        </is>
      </c>
      <c r="D174" s="258" t="n"/>
      <c r="E174" s="1451" t="n"/>
      <c r="F174" s="1311">
        <f>D174*E174</f>
        <v/>
      </c>
    </row>
    <row r="175">
      <c r="A175" s="80" t="inlineStr">
        <is>
          <t>14.11</t>
        </is>
      </c>
      <c r="B175" s="364" t="inlineStr">
        <is>
          <t>Pruebas y certificaciones</t>
        </is>
      </c>
      <c r="C175" s="257" t="inlineStr">
        <is>
          <t>GL</t>
        </is>
      </c>
      <c r="D175" s="258" t="n"/>
      <c r="E175" s="1451"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451" t="n"/>
      <c r="F179" s="1311">
        <f>D179*E179</f>
        <v/>
      </c>
    </row>
    <row r="180">
      <c r="A180" s="80" t="inlineStr">
        <is>
          <t>15.2</t>
        </is>
      </c>
      <c r="B180" s="364" t="inlineStr">
        <is>
          <t>Rack de comunicaciones</t>
        </is>
      </c>
      <c r="C180" s="257" t="inlineStr">
        <is>
          <t>UND</t>
        </is>
      </c>
      <c r="D180" s="258" t="n"/>
      <c r="E180" s="1451" t="n"/>
      <c r="F180" s="1311">
        <f>D180*E180</f>
        <v/>
      </c>
    </row>
    <row r="181">
      <c r="A181" s="80" t="inlineStr">
        <is>
          <t>15.3</t>
        </is>
      </c>
      <c r="B181" s="364" t="inlineStr">
        <is>
          <t>Cámaras y sistema CCTV</t>
        </is>
      </c>
      <c r="C181" s="257" t="inlineStr">
        <is>
          <t>UND</t>
        </is>
      </c>
      <c r="D181" s="258" t="n"/>
      <c r="E181" s="1451" t="n"/>
      <c r="F181" s="1311">
        <f>D181*E181</f>
        <v/>
      </c>
    </row>
    <row r="182">
      <c r="A182" s="80" t="inlineStr">
        <is>
          <t>15.4</t>
        </is>
      </c>
      <c r="B182" s="364" t="inlineStr">
        <is>
          <t>Control de acceso</t>
        </is>
      </c>
      <c r="C182" s="257" t="inlineStr">
        <is>
          <t>UND</t>
        </is>
      </c>
      <c r="D182" s="258" t="n"/>
      <c r="E182" s="1451" t="n"/>
      <c r="F182" s="1311">
        <f>D182*E182</f>
        <v/>
      </c>
    </row>
    <row r="183">
      <c r="A183" s="80" t="inlineStr">
        <is>
          <t>15.5</t>
        </is>
      </c>
      <c r="B183" s="364" t="inlineStr">
        <is>
          <t>Sistema de citofonía</t>
        </is>
      </c>
      <c r="C183" s="257" t="inlineStr">
        <is>
          <t>UND</t>
        </is>
      </c>
      <c r="D183" s="258" t="n"/>
      <c r="E183" s="1451" t="n"/>
      <c r="F183" s="1311">
        <f>D183*E183</f>
        <v/>
      </c>
    </row>
    <row r="184">
      <c r="A184" s="80" t="inlineStr">
        <is>
          <t>15.6</t>
        </is>
      </c>
      <c r="B184" s="364" t="inlineStr">
        <is>
          <t>Sistema de detección de incendios</t>
        </is>
      </c>
      <c r="C184" s="257" t="inlineStr">
        <is>
          <t>GL</t>
        </is>
      </c>
      <c r="D184" s="258" t="n"/>
      <c r="E184" s="1451"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451" t="n"/>
      <c r="F188" s="1311">
        <f>D188*E188</f>
        <v/>
      </c>
    </row>
    <row r="189">
      <c r="A189" s="80" t="inlineStr">
        <is>
          <t>16.2</t>
        </is>
      </c>
      <c r="B189" s="364" t="inlineStr">
        <is>
          <t>Ductos de ventilación</t>
        </is>
      </c>
      <c r="C189" s="257" t="inlineStr">
        <is>
          <t>M²</t>
        </is>
      </c>
      <c r="D189" s="258" t="n"/>
      <c r="E189" s="1451" t="n"/>
      <c r="F189" s="1311">
        <f>D189*E189</f>
        <v/>
      </c>
    </row>
    <row r="190">
      <c r="A190" s="80" t="inlineStr">
        <is>
          <t>16.3</t>
        </is>
      </c>
      <c r="B190" s="364" t="inlineStr">
        <is>
          <t>Tubería de refrigerante</t>
        </is>
      </c>
      <c r="C190" s="257" t="inlineStr">
        <is>
          <t>ML</t>
        </is>
      </c>
      <c r="D190" s="258" t="n"/>
      <c r="E190" s="1451" t="n"/>
      <c r="F190" s="1311">
        <f>D190*E190</f>
        <v/>
      </c>
    </row>
    <row r="191">
      <c r="A191" s="80" t="inlineStr">
        <is>
          <t>16.4</t>
        </is>
      </c>
      <c r="B191" s="364" t="inlineStr">
        <is>
          <t>Rejillas y difusores</t>
        </is>
      </c>
      <c r="C191" s="257" t="inlineStr">
        <is>
          <t>UND</t>
        </is>
      </c>
      <c r="D191" s="258" t="n"/>
      <c r="E191" s="1451"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451" t="n"/>
      <c r="F195" s="1311">
        <f>D195*E195</f>
        <v/>
      </c>
    </row>
    <row r="196">
      <c r="A196" s="80" t="inlineStr">
        <is>
          <t>17.2</t>
        </is>
      </c>
      <c r="B196" s="364" t="inlineStr">
        <is>
          <t>Válvulas y accesorios de gas</t>
        </is>
      </c>
      <c r="C196" s="257" t="inlineStr">
        <is>
          <t>UND</t>
        </is>
      </c>
      <c r="D196" s="258" t="n"/>
      <c r="E196" s="1451" t="n"/>
      <c r="F196" s="1311">
        <f>D196*E196</f>
        <v/>
      </c>
    </row>
    <row r="197">
      <c r="A197" s="80" t="inlineStr">
        <is>
          <t>17.3</t>
        </is>
      </c>
      <c r="B197" s="364" t="inlineStr">
        <is>
          <t>Pruebas y certificación</t>
        </is>
      </c>
      <c r="C197" s="257" t="inlineStr">
        <is>
          <t>GL</t>
        </is>
      </c>
      <c r="D197" s="258" t="n"/>
      <c r="E197" s="1451"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451" t="n"/>
      <c r="F201" s="1311">
        <f>D201*E201</f>
        <v/>
      </c>
    </row>
    <row r="202">
      <c r="A202" s="80" t="inlineStr">
        <is>
          <t>18.2</t>
        </is>
      </c>
      <c r="B202" s="364" t="inlineStr">
        <is>
          <t>Placas de concreto exteriores</t>
        </is>
      </c>
      <c r="C202" s="257" t="inlineStr">
        <is>
          <t>M³</t>
        </is>
      </c>
      <c r="D202" s="258" t="n"/>
      <c r="E202" s="1451" t="n"/>
      <c r="F202" s="1311">
        <f>D202*E202</f>
        <v/>
      </c>
    </row>
    <row r="203">
      <c r="A203" s="80" t="inlineStr">
        <is>
          <t>18.3</t>
        </is>
      </c>
      <c r="B203" s="364" t="inlineStr">
        <is>
          <t>Pavimento en adoquín</t>
        </is>
      </c>
      <c r="C203" s="257" t="inlineStr">
        <is>
          <t>M²</t>
        </is>
      </c>
      <c r="D203" s="258" t="n"/>
      <c r="E203" s="1451" t="n"/>
      <c r="F203" s="1311">
        <f>D203*E203</f>
        <v/>
      </c>
    </row>
    <row r="204">
      <c r="A204" s="80" t="inlineStr">
        <is>
          <t>18.4</t>
        </is>
      </c>
      <c r="B204" s="364" t="inlineStr">
        <is>
          <t>Sardineles y bordillos</t>
        </is>
      </c>
      <c r="C204" s="257" t="inlineStr">
        <is>
          <t>ML</t>
        </is>
      </c>
      <c r="D204" s="258" t="n"/>
      <c r="E204" s="1451" t="n"/>
      <c r="F204" s="1311">
        <f>D204*E204</f>
        <v/>
      </c>
    </row>
    <row r="205">
      <c r="A205" s="80" t="inlineStr">
        <is>
          <t>18.5</t>
        </is>
      </c>
      <c r="B205" s="364" t="inlineStr">
        <is>
          <t>Sumideros exteriores</t>
        </is>
      </c>
      <c r="C205" s="257" t="inlineStr">
        <is>
          <t>UND</t>
        </is>
      </c>
      <c r="D205" s="258" t="n"/>
      <c r="E205" s="1451" t="n"/>
      <c r="F205" s="1311">
        <f>D205*E205</f>
        <v/>
      </c>
    </row>
    <row r="206">
      <c r="A206" s="80" t="inlineStr">
        <is>
          <t>18.6</t>
        </is>
      </c>
      <c r="B206" s="364" t="inlineStr">
        <is>
          <t>Suministro y extendido de tierra vegetal</t>
        </is>
      </c>
      <c r="C206" s="257" t="inlineStr">
        <is>
          <t>M³</t>
        </is>
      </c>
      <c r="D206" s="258" t="n"/>
      <c r="E206" s="1451" t="n"/>
      <c r="F206" s="1311">
        <f>D206*E206</f>
        <v/>
      </c>
    </row>
    <row r="207">
      <c r="A207" s="80" t="inlineStr">
        <is>
          <t>18.7</t>
        </is>
      </c>
      <c r="B207" s="364" t="inlineStr">
        <is>
          <t>Siembra y jardinería</t>
        </is>
      </c>
      <c r="C207" s="257" t="inlineStr">
        <is>
          <t>M²</t>
        </is>
      </c>
      <c r="D207" s="258" t="n"/>
      <c r="E207" s="1451" t="n"/>
      <c r="F207" s="1311">
        <f>D207*E207</f>
        <v/>
      </c>
    </row>
    <row r="208">
      <c r="A208" s="80" t="inlineStr">
        <is>
          <t>18.8</t>
        </is>
      </c>
      <c r="B208" s="364" t="inlineStr">
        <is>
          <t>Geotextil para drenaje y filtración</t>
        </is>
      </c>
      <c r="C208" s="257" t="inlineStr">
        <is>
          <t>M²</t>
        </is>
      </c>
      <c r="D208" s="258" t="n"/>
      <c r="E208" s="1451" t="n"/>
      <c r="F208" s="1311">
        <f>D208*E208</f>
        <v/>
      </c>
    </row>
    <row r="209">
      <c r="A209" s="80" t="inlineStr">
        <is>
          <t>18.9</t>
        </is>
      </c>
      <c r="B209" s="364" t="inlineStr">
        <is>
          <t>Gaviones para obras de contención</t>
        </is>
      </c>
      <c r="C209" s="257" t="inlineStr">
        <is>
          <t>M³</t>
        </is>
      </c>
      <c r="D209" s="258" t="n"/>
      <c r="E209" s="1451" t="n"/>
      <c r="F209" s="1311">
        <f>D209*E209</f>
        <v/>
      </c>
    </row>
    <row r="210">
      <c r="A210" s="80" t="inlineStr">
        <is>
          <t>18.10</t>
        </is>
      </c>
      <c r="B210" s="364" t="inlineStr">
        <is>
          <t>Filtro francés (drenaje de terrenos)</t>
        </is>
      </c>
      <c r="C210" s="257" t="inlineStr">
        <is>
          <t>ML</t>
        </is>
      </c>
      <c r="D210" s="258" t="n"/>
      <c r="E210" s="1451" t="n"/>
      <c r="F210" s="1311">
        <f>D210*E210</f>
        <v/>
      </c>
    </row>
    <row r="211">
      <c r="A211" s="80" t="inlineStr">
        <is>
          <t>18.11</t>
        </is>
      </c>
      <c r="B211" s="364" t="inlineStr">
        <is>
          <t>Revegetalización / empradización</t>
        </is>
      </c>
      <c r="C211" s="257" t="inlineStr">
        <is>
          <t>M²</t>
        </is>
      </c>
      <c r="D211" s="258" t="n"/>
      <c r="E211" s="1451"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451" t="n"/>
      <c r="F215" s="1311">
        <f>D215*E215</f>
        <v/>
      </c>
    </row>
    <row r="216">
      <c r="A216" s="80" t="inlineStr">
        <is>
          <t>19.2</t>
        </is>
      </c>
      <c r="B216" s="364" t="inlineStr">
        <is>
          <t>Escaleras metálicas</t>
        </is>
      </c>
      <c r="C216" s="257" t="inlineStr">
        <is>
          <t>KG</t>
        </is>
      </c>
      <c r="D216" s="258" t="n"/>
      <c r="E216" s="1451" t="n"/>
      <c r="F216" s="1311">
        <f>D216*E216</f>
        <v/>
      </c>
    </row>
    <row r="217">
      <c r="A217" s="80" t="inlineStr">
        <is>
          <t>19.3</t>
        </is>
      </c>
      <c r="B217" s="364" t="inlineStr">
        <is>
          <t>Elementos metálicos especiales</t>
        </is>
      </c>
      <c r="C217" s="257" t="inlineStr">
        <is>
          <t>KG</t>
        </is>
      </c>
      <c r="D217" s="258" t="n"/>
      <c r="E217" s="1451" t="n"/>
      <c r="F217" s="1311">
        <f>D217*E217</f>
        <v/>
      </c>
    </row>
    <row r="218">
      <c r="A218" s="80" t="inlineStr">
        <is>
          <t>19.4</t>
        </is>
      </c>
      <c r="B218" s="364" t="inlineStr">
        <is>
          <t>Mobiliario fijo de obra</t>
        </is>
      </c>
      <c r="C218" s="257" t="inlineStr">
        <is>
          <t>UND</t>
        </is>
      </c>
      <c r="D218" s="258" t="n"/>
      <c r="E218" s="1451"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451" t="n"/>
      <c r="F222" s="1311">
        <f>D222*E222</f>
        <v/>
      </c>
    </row>
    <row r="223">
      <c r="A223" s="80" t="inlineStr">
        <is>
          <t>20.2</t>
        </is>
      </c>
      <c r="B223" s="364" t="inlineStr">
        <is>
          <t>Limpieza final para entrega</t>
        </is>
      </c>
      <c r="C223" s="257" t="inlineStr">
        <is>
          <t>M²</t>
        </is>
      </c>
      <c r="D223" s="258" t="n"/>
      <c r="E223" s="1451" t="n"/>
      <c r="F223" s="1311">
        <f>D223*E223</f>
        <v/>
      </c>
    </row>
    <row r="224">
      <c r="A224" s="80" t="inlineStr">
        <is>
          <t>20.3</t>
        </is>
      </c>
      <c r="B224" s="364" t="inlineStr">
        <is>
          <t>Pruebas, puesta en marcha y ajustes</t>
        </is>
      </c>
      <c r="C224" s="257" t="inlineStr">
        <is>
          <t>GL</t>
        </is>
      </c>
      <c r="D224" s="258" t="n"/>
      <c r="E224" s="1451" t="n"/>
      <c r="F224" s="1311">
        <f>D224*E224</f>
        <v/>
      </c>
    </row>
    <row r="225">
      <c r="A225" s="80" t="inlineStr">
        <is>
          <t>20.4</t>
        </is>
      </c>
      <c r="B225" s="364" t="inlineStr">
        <is>
          <t>Actualización de planos récord / as-built</t>
        </is>
      </c>
      <c r="C225" s="257" t="inlineStr">
        <is>
          <t>GL</t>
        </is>
      </c>
      <c r="D225" s="258" t="n"/>
      <c r="E225" s="1451" t="n"/>
      <c r="F225" s="1311">
        <f>D225*E225</f>
        <v/>
      </c>
    </row>
    <row r="226">
      <c r="A226" s="80" t="inlineStr">
        <is>
          <t>20.5</t>
        </is>
      </c>
      <c r="B226" s="364" t="inlineStr">
        <is>
          <t>Entrega, manuales y acta de recibo</t>
        </is>
      </c>
      <c r="C226" s="257" t="inlineStr">
        <is>
          <t>GL</t>
        </is>
      </c>
      <c r="D226" s="258" t="n"/>
      <c r="E226" s="1451"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451"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451" t="n"/>
      <c r="F234" s="1311">
        <f>D234*E234</f>
        <v/>
      </c>
    </row>
    <row r="235">
      <c r="A235" s="80" t="inlineStr">
        <is>
          <t>22.2</t>
        </is>
      </c>
      <c r="B235" s="364" t="inlineStr">
        <is>
          <t>Diseños arquitectónicos, estructurales, hidrosanitarios y eléctricos</t>
        </is>
      </c>
      <c r="C235" s="257" t="inlineStr">
        <is>
          <t>GL</t>
        </is>
      </c>
      <c r="D235" s="258" t="n"/>
      <c r="E235" s="1451" t="n"/>
      <c r="F235" s="1311">
        <f>D235*E235</f>
        <v/>
      </c>
    </row>
    <row r="236">
      <c r="A236" s="80" t="inlineStr">
        <is>
          <t>22.3</t>
        </is>
      </c>
      <c r="B236" s="364" t="inlineStr">
        <is>
          <t>Licencia de construcción y trámites de curaduría urbana</t>
        </is>
      </c>
      <c r="C236" s="257" t="inlineStr">
        <is>
          <t>GL</t>
        </is>
      </c>
      <c r="D236" s="258" t="n"/>
      <c r="E236" s="1451" t="n"/>
      <c r="F236" s="1311">
        <f>D236*E236</f>
        <v/>
      </c>
    </row>
    <row r="237">
      <c r="A237" s="80" t="inlineStr">
        <is>
          <t>22.4</t>
        </is>
      </c>
      <c r="B237" s="364" t="inlineStr">
        <is>
          <t>Póliza de estabilidad de obra y seguros de construcción (todo riesgo)</t>
        </is>
      </c>
      <c r="C237" s="257" t="inlineStr">
        <is>
          <t>GL</t>
        </is>
      </c>
      <c r="D237" s="258" t="n"/>
      <c r="E237" s="1451"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319">
        <f>'Presupuesto '!F25</f>
        <v/>
      </c>
      <c r="D12" s="1320">
        <f>C12/'Presupuesto '!$F$240</f>
        <v/>
      </c>
      <c r="E12" s="1321">
        <f>C12/'Ficha Técnica del Proyecto'!$B$21</f>
        <v/>
      </c>
      <c r="F12" s="625" t="n"/>
    </row>
    <row r="13">
      <c r="A13" s="170" t="inlineStr">
        <is>
          <t>2</t>
        </is>
      </c>
      <c r="B13" s="171" t="inlineStr">
        <is>
          <t>MOVIMIENTO DE TIERRAS</t>
        </is>
      </c>
      <c r="C13" s="1319">
        <f>'Presupuesto '!F39</f>
        <v/>
      </c>
      <c r="D13" s="1320">
        <f>C13/'Presupuesto '!$F$240</f>
        <v/>
      </c>
      <c r="E13" s="1321">
        <f>C13/'Ficha Técnica del Proyecto'!$B$21</f>
        <v/>
      </c>
      <c r="F13" s="625" t="n"/>
    </row>
    <row r="14">
      <c r="A14" s="170" t="inlineStr">
        <is>
          <t>3</t>
        </is>
      </c>
      <c r="B14" s="171" t="inlineStr">
        <is>
          <t>CIMENTACIONES</t>
        </is>
      </c>
      <c r="C14" s="1319">
        <f>'Presupuesto '!F49</f>
        <v/>
      </c>
      <c r="D14" s="1320">
        <f>C14/'Presupuesto '!$F$240</f>
        <v/>
      </c>
      <c r="E14" s="1321">
        <f>C14/'Ficha Técnica del Proyecto'!$B$21</f>
        <v/>
      </c>
      <c r="F14" s="625" t="n"/>
    </row>
    <row r="15">
      <c r="A15" s="170" t="inlineStr">
        <is>
          <t>4</t>
        </is>
      </c>
      <c r="B15" s="171" t="inlineStr">
        <is>
          <t>ESTRUCTURA</t>
        </is>
      </c>
      <c r="C15" s="1319">
        <f>'Presupuesto '!F69</f>
        <v/>
      </c>
      <c r="D15" s="1320">
        <f>C15/'Presupuesto '!$F$240</f>
        <v/>
      </c>
      <c r="E15" s="1321">
        <f>C15/'Ficha Técnica del Proyecto'!$B$21</f>
        <v/>
      </c>
      <c r="F15" s="625" t="n"/>
    </row>
    <row r="16">
      <c r="A16" s="170" t="inlineStr">
        <is>
          <t>5</t>
        </is>
      </c>
      <c r="B16" s="171" t="inlineStr">
        <is>
          <t>MAMPOSTERÍA</t>
        </is>
      </c>
      <c r="C16" s="1319">
        <f>'Presupuesto '!F81</f>
        <v/>
      </c>
      <c r="D16" s="1320">
        <f>C16/'Presupuesto '!$F$240</f>
        <v/>
      </c>
      <c r="E16" s="1321">
        <f>C16/'Ficha Técnica del Proyecto'!$B$21</f>
        <v/>
      </c>
      <c r="F16" s="625" t="n"/>
    </row>
    <row r="17">
      <c r="A17" s="170" t="inlineStr">
        <is>
          <t>6</t>
        </is>
      </c>
      <c r="B17" s="171" t="inlineStr">
        <is>
          <t>CUBIERTAS</t>
        </is>
      </c>
      <c r="C17" s="1319">
        <f>'Presupuesto '!F93</f>
        <v/>
      </c>
      <c r="D17" s="1320">
        <f>C17/'Presupuesto '!$F$240</f>
        <v/>
      </c>
      <c r="E17" s="1321">
        <f>C17/'Ficha Técnica del Proyecto'!$B$21</f>
        <v/>
      </c>
      <c r="F17" s="625" t="n"/>
    </row>
    <row r="18">
      <c r="A18" s="170" t="inlineStr">
        <is>
          <t>7</t>
        </is>
      </c>
      <c r="B18" s="171" t="inlineStr">
        <is>
          <t>IMPERMEABILIZACIONES</t>
        </is>
      </c>
      <c r="C18" s="1319">
        <f>'Presupuesto '!F100</f>
        <v/>
      </c>
      <c r="D18" s="1320">
        <f>C18/'Presupuesto '!$F$240</f>
        <v/>
      </c>
      <c r="E18" s="1321">
        <f>C18/'Ficha Técnica del Proyecto'!$B$21</f>
        <v/>
      </c>
      <c r="F18" s="625" t="n"/>
    </row>
    <row r="19">
      <c r="A19" s="170" t="inlineStr">
        <is>
          <t>8</t>
        </is>
      </c>
      <c r="B19" s="171" t="inlineStr">
        <is>
          <t>PAÑETES Y REVOQUES</t>
        </is>
      </c>
      <c r="C19" s="1319">
        <f>'Presupuesto '!F107</f>
        <v/>
      </c>
      <c r="D19" s="1320">
        <f>C19/'Presupuesto '!$F$240</f>
        <v/>
      </c>
      <c r="E19" s="1321">
        <f>C19/'Ficha Técnica del Proyecto'!$B$21</f>
        <v/>
      </c>
      <c r="F19" s="625" t="n"/>
    </row>
    <row r="20">
      <c r="A20" s="170" t="inlineStr">
        <is>
          <t>9</t>
        </is>
      </c>
      <c r="B20" s="171" t="inlineStr">
        <is>
          <t>PISOS Y ENCHAPES</t>
        </is>
      </c>
      <c r="C20" s="1319">
        <f>'Presupuesto '!F121</f>
        <v/>
      </c>
      <c r="D20" s="1320">
        <f>C20/'Presupuesto '!$F$240</f>
        <v/>
      </c>
      <c r="E20" s="1321">
        <f>C20/'Ficha Técnica del Proyecto'!$B$21</f>
        <v/>
      </c>
      <c r="F20" s="625" t="n"/>
    </row>
    <row r="21">
      <c r="A21" s="170" t="inlineStr">
        <is>
          <t>10</t>
        </is>
      </c>
      <c r="B21" s="171" t="inlineStr">
        <is>
          <t>PINTURA</t>
        </is>
      </c>
      <c r="C21" s="1319">
        <f>'Presupuesto '!F129</f>
        <v/>
      </c>
      <c r="D21" s="1320">
        <f>C21/'Presupuesto '!$F$240</f>
        <v/>
      </c>
      <c r="E21" s="1321">
        <f>C21/'Ficha Técnica del Proyecto'!$B$21</f>
        <v/>
      </c>
      <c r="F21" s="625" t="n"/>
    </row>
    <row r="22">
      <c r="A22" s="170" t="inlineStr">
        <is>
          <t>11</t>
        </is>
      </c>
      <c r="B22" s="171" t="inlineStr">
        <is>
          <t>CARPINTERÍA</t>
        </is>
      </c>
      <c r="C22" s="1319">
        <f>'Presupuesto '!F140</f>
        <v/>
      </c>
      <c r="D22" s="1320">
        <f>C22/'Presupuesto '!$F$240</f>
        <v/>
      </c>
      <c r="E22" s="1321">
        <f>C22/'Ficha Técnica del Proyecto'!$B$21</f>
        <v/>
      </c>
      <c r="F22" s="625" t="n"/>
    </row>
    <row r="23">
      <c r="A23" s="170" t="inlineStr">
        <is>
          <t>12</t>
        </is>
      </c>
      <c r="B23" s="171" t="inlineStr">
        <is>
          <t>VIDRIOS</t>
        </is>
      </c>
      <c r="C23" s="1319">
        <f>'Presupuesto '!F147</f>
        <v/>
      </c>
      <c r="D23" s="1320">
        <f>C23/'Presupuesto '!$F$240</f>
        <v/>
      </c>
      <c r="E23" s="1321">
        <f>C23/'Ficha Técnica del Proyecto'!$B$21</f>
        <v/>
      </c>
      <c r="F23" s="625" t="n"/>
    </row>
    <row r="24">
      <c r="A24" s="170" t="inlineStr">
        <is>
          <t>13</t>
        </is>
      </c>
      <c r="B24" s="171" t="inlineStr">
        <is>
          <t>INSTALACIONES HIDROSANITARIAS</t>
        </is>
      </c>
      <c r="C24" s="1319">
        <f>'Presupuesto '!F249</f>
        <v/>
      </c>
      <c r="D24" s="1320">
        <f>C24/'Presupuesto '!$F$240</f>
        <v/>
      </c>
      <c r="E24" s="1321">
        <f>C24/'Ficha Técnica del Proyecto'!$B$21</f>
        <v/>
      </c>
      <c r="F24" s="625" t="n"/>
    </row>
    <row r="25">
      <c r="A25" s="170" t="inlineStr">
        <is>
          <t>14</t>
        </is>
      </c>
      <c r="B25" s="171" t="inlineStr">
        <is>
          <t>INSTALACIONES ELÉCTRICAS</t>
        </is>
      </c>
      <c r="C25" s="1319">
        <f>'Presupuesto '!F176</f>
        <v/>
      </c>
      <c r="D25" s="1320">
        <f>C25/'Presupuesto '!$F$240</f>
        <v/>
      </c>
      <c r="E25" s="1321">
        <f>C25/'Ficha Técnica del Proyecto'!$B$21</f>
        <v/>
      </c>
      <c r="F25" s="625" t="n"/>
    </row>
    <row r="26">
      <c r="A26" s="170" t="inlineStr">
        <is>
          <t>15</t>
        </is>
      </c>
      <c r="B26" s="171" t="inlineStr">
        <is>
          <t>COMUNICACIONES Y SEGURIDAD</t>
        </is>
      </c>
      <c r="C26" s="1319">
        <f>'Presupuesto '!F185</f>
        <v/>
      </c>
      <c r="D26" s="1320">
        <f>C26/'Presupuesto '!$F$240</f>
        <v/>
      </c>
      <c r="E26" s="1321">
        <f>C26/'Ficha Técnica del Proyecto'!$B$21</f>
        <v/>
      </c>
      <c r="F26" s="625" t="n"/>
    </row>
    <row r="27">
      <c r="A27" s="170" t="inlineStr">
        <is>
          <t>16</t>
        </is>
      </c>
      <c r="B27" s="171" t="inlineStr">
        <is>
          <t>CLIMATIZACIÓN Y VENTILACIÓN</t>
        </is>
      </c>
      <c r="C27" s="1319">
        <f>'Presupuesto '!F192</f>
        <v/>
      </c>
      <c r="D27" s="1320">
        <f>C27/'Presupuesto '!$F$240</f>
        <v/>
      </c>
      <c r="E27" s="1321">
        <f>C27/'Ficha Técnica del Proyecto'!$B$21</f>
        <v/>
      </c>
      <c r="F27" s="625" t="n"/>
    </row>
    <row r="28">
      <c r="A28" s="170" t="inlineStr">
        <is>
          <t>17</t>
        </is>
      </c>
      <c r="B28" s="171" t="inlineStr">
        <is>
          <t>GAS</t>
        </is>
      </c>
      <c r="C28" s="1319">
        <f>'Presupuesto '!F198</f>
        <v/>
      </c>
      <c r="D28" s="1320">
        <f>C28/'Presupuesto '!$F$240</f>
        <v/>
      </c>
      <c r="E28" s="1321">
        <f>C28/'Ficha Técnica del Proyecto'!$B$21</f>
        <v/>
      </c>
      <c r="F28" s="625" t="n"/>
    </row>
    <row r="29">
      <c r="A29" s="170" t="inlineStr">
        <is>
          <t>18</t>
        </is>
      </c>
      <c r="B29" s="171" t="inlineStr">
        <is>
          <t>URBANISMO Y EXTERIORES</t>
        </is>
      </c>
      <c r="C29" s="1319">
        <f>'Presupuesto '!F212</f>
        <v/>
      </c>
      <c r="D29" s="1320">
        <f>C29/'Presupuesto '!$F$240</f>
        <v/>
      </c>
      <c r="E29" s="1321">
        <f>C29/'Ficha Técnica del Proyecto'!$B$21</f>
        <v/>
      </c>
      <c r="F29" s="625" t="n"/>
    </row>
    <row r="30">
      <c r="A30" s="170" t="inlineStr">
        <is>
          <t>19</t>
        </is>
      </c>
      <c r="B30" s="171" t="inlineStr">
        <is>
          <t>OBRAS COMPLEMENTARIAS</t>
        </is>
      </c>
      <c r="C30" s="1319">
        <f>'Presupuesto '!F219</f>
        <v/>
      </c>
      <c r="D30" s="1320">
        <f>C30/'Presupuesto '!$F$240</f>
        <v/>
      </c>
      <c r="E30" s="1321">
        <f>C30/'Ficha Técnica del Proyecto'!$B$21</f>
        <v/>
      </c>
      <c r="F30" s="625" t="n"/>
    </row>
    <row r="31">
      <c r="A31" s="170" t="inlineStr">
        <is>
          <t>20</t>
        </is>
      </c>
      <c r="B31" s="171" t="inlineStr">
        <is>
          <t>ASEO, ENTREGA Y CIERRE</t>
        </is>
      </c>
      <c r="C31" s="1319">
        <f>'Presupuesto '!F227</f>
        <v/>
      </c>
      <c r="D31" s="1320">
        <f>C31/'Presupuesto '!$F$240</f>
        <v/>
      </c>
      <c r="E31" s="1321">
        <f>C31/'Ficha Técnica del Proyecto'!$B$21</f>
        <v/>
      </c>
      <c r="F31" s="625" t="n"/>
    </row>
    <row r="32">
      <c r="A32" s="170" t="inlineStr">
        <is>
          <t>21</t>
        </is>
      </c>
      <c r="B32" s="171" t="inlineStr">
        <is>
          <t>ASCENSORES</t>
        </is>
      </c>
      <c r="C32" s="1319">
        <f>'Presupuesto '!F231</f>
        <v/>
      </c>
      <c r="D32" s="1320">
        <f>C32/'Presupuesto '!$F$240</f>
        <v/>
      </c>
      <c r="E32" s="1321">
        <f>C32/'Ficha Técnica del Proyecto'!$B$21</f>
        <v/>
      </c>
      <c r="F32" s="625" t="n"/>
    </row>
    <row r="33">
      <c r="A33" s="170" t="inlineStr">
        <is>
          <t>22</t>
        </is>
      </c>
      <c r="B33" s="171" t="inlineStr">
        <is>
          <t>GESTIÓN, DISEÑO Y ADMINISTRACIÓN</t>
        </is>
      </c>
      <c r="C33" s="1319">
        <f>'Presupuesto '!F238</f>
        <v/>
      </c>
      <c r="D33" s="1320">
        <f>C33/'Presupuesto '!$F$240</f>
        <v/>
      </c>
      <c r="E33" s="1322">
        <f>C33/'Ficha Técnica del Proyecto'!$B$21</f>
        <v/>
      </c>
      <c r="F33" s="579" t="n"/>
    </row>
    <row r="34">
      <c r="A34" s="172" t="n"/>
      <c r="B34" s="173" t="inlineStr">
        <is>
          <t>COSTO DIRECTO TOTAL</t>
        </is>
      </c>
      <c r="C34" s="1323">
        <f>SUM(C12:C33)</f>
        <v/>
      </c>
      <c r="D34" s="1324">
        <f>C34/'Presupuesto '!$F$240</f>
        <v/>
      </c>
      <c r="E34" s="1325">
        <f>C34/'Ficha Técnica del Proyecto'!$B$21</f>
        <v/>
      </c>
      <c r="F34" s="625" t="n"/>
    </row>
    <row r="35">
      <c r="A35" s="174" t="n"/>
      <c r="B35" s="274" t="n"/>
      <c r="C35" s="274" t="n"/>
      <c r="D35" s="274" t="n"/>
      <c r="E35" s="1326" t="n"/>
      <c r="F35" s="625" t="n"/>
    </row>
    <row r="36" ht="15" customHeight="1" s="550">
      <c r="A36" s="175" t="n"/>
      <c r="B36" s="171" t="inlineStr">
        <is>
          <t>Subtotal AIU (A+I+U)</t>
        </is>
      </c>
      <c r="C36" s="1319">
        <f>'Presupuesto '!F227</f>
        <v/>
      </c>
      <c r="D36" s="176" t="n"/>
      <c r="E36" s="725" t="n"/>
      <c r="F36" s="625" t="n"/>
    </row>
    <row r="37" ht="15" customHeight="1" s="550">
      <c r="A37" s="175" t="n"/>
      <c r="B37" s="171" t="inlineStr">
        <is>
          <t>Costo Directo + AIU</t>
        </is>
      </c>
      <c r="C37" s="1319">
        <f>'Presupuesto '!F228</f>
        <v/>
      </c>
      <c r="D37" s="176" t="n"/>
      <c r="E37" s="725" t="n"/>
      <c r="F37" s="625" t="n"/>
    </row>
    <row r="38" ht="15" customHeight="1" s="550">
      <c r="A38" s="175" t="n"/>
      <c r="B38" s="171" t="inlineStr">
        <is>
          <t>IVA sobre Utilidad</t>
        </is>
      </c>
      <c r="C38" s="1319">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32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32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2026-09-20T05:24:57Z</dcterms:modified>
  <cp:lastModifiedBy>Hugo Fernando Hurtado Ruiz</cp:lastModifiedBy>
  <cp:revision>1</cp:revision>
  <cp:lastPrinted>2026-09-14T01:27:33Z</cp:lastPrinted>
</cp:coreProperties>
</file>