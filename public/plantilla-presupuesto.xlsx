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5.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5.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harts/chart1.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ugof\Documents\PROYECTOS\REFORMAS Y REMODELACIONES\TRABAJO DE SCCP\FORMATOS CONTROL DE PROYECTOS SCCP\"/>
    </mc:Choice>
  </mc:AlternateContent>
  <xr:revisionPtr revIDLastSave="0" documentId="13_ncr:1_{350B091B-7DCE-439F-96E4-F4DC52812A12}" xr6:coauthVersionLast="47" xr6:coauthVersionMax="47" xr10:uidLastSave="{00000000-0000-0000-0000-000000000000}"/>
  <bookViews>
    <workbookView xWindow="-108" yWindow="-108" windowWidth="23256" windowHeight="12456" tabRatio="500" xr2:uid="{00000000-000D-0000-FFFF-FFFF00000000}"/>
  </bookViews>
  <sheets>
    <sheet name="Ficha Técnica del Proyecto" sheetId="1" r:id="rId5"/>
    <sheet name="Presupuesto " sheetId="2" r:id="rId12"/>
    <sheet name="Resumen" sheetId="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3" i="7" l="1"/>
  <c r="H175" i="6"/>
  <c r="L45" i="4"/>
  <c r="Y146" i="3"/>
  <c r="D157" i="18"/>
  <c r="D69" i="17"/>
  <c r="D376" i="19"/>
  <c r="J46" i="15"/>
  <c r="M69" i="16"/>
  <c r="M68" i="15"/>
  <c r="N132" i="16" l="1"/>
  <c r="M67" i="16"/>
  <c r="E67" i="16"/>
  <c r="M68" i="16" s="1"/>
  <c r="G46" i="16"/>
  <c r="A46" i="16"/>
  <c r="G45" i="16"/>
  <c r="A45" i="16"/>
  <c r="G44" i="16"/>
  <c r="A44" i="16"/>
  <c r="G43" i="16"/>
  <c r="A43" i="16"/>
  <c r="G42" i="16"/>
  <c r="A42" i="16"/>
  <c r="G41" i="16"/>
  <c r="A41" i="16"/>
  <c r="G40" i="16"/>
  <c r="A40" i="16"/>
  <c r="G39" i="16"/>
  <c r="A39" i="16"/>
  <c r="G38" i="16"/>
  <c r="A38" i="16"/>
  <c r="G37" i="16"/>
  <c r="A37" i="16"/>
  <c r="G36" i="16"/>
  <c r="A36" i="16"/>
  <c r="G35" i="16"/>
  <c r="A35" i="16"/>
  <c r="G34" i="16"/>
  <c r="A34" i="16"/>
  <c r="G33" i="16"/>
  <c r="A33" i="16"/>
  <c r="G32" i="16"/>
  <c r="A32" i="16"/>
  <c r="G31" i="16"/>
  <c r="A31" i="16"/>
  <c r="G30" i="16"/>
  <c r="A30" i="16"/>
  <c r="G29" i="16"/>
  <c r="A29" i="16"/>
  <c r="G28" i="16"/>
  <c r="A28" i="16"/>
  <c r="G27" i="16"/>
  <c r="A27" i="16"/>
  <c r="G26" i="16"/>
  <c r="A26" i="16"/>
  <c r="G25" i="16"/>
  <c r="A25" i="16"/>
  <c r="N121" i="15"/>
  <c r="M67" i="15"/>
  <c r="M66" i="15"/>
  <c r="E66" i="15"/>
  <c r="G45" i="15"/>
  <c r="A45" i="15"/>
  <c r="G44" i="15"/>
  <c r="A44" i="15"/>
  <c r="G43" i="15"/>
  <c r="A43" i="15"/>
  <c r="G42" i="15"/>
  <c r="A42" i="15"/>
  <c r="G41" i="15"/>
  <c r="A41" i="15"/>
  <c r="G40" i="15"/>
  <c r="A40" i="15"/>
  <c r="G39" i="15"/>
  <c r="A39" i="15"/>
  <c r="G38" i="15"/>
  <c r="A38" i="15"/>
  <c r="G37" i="15"/>
  <c r="A37" i="15"/>
  <c r="G36" i="15"/>
  <c r="A36" i="15"/>
  <c r="G35" i="15"/>
  <c r="A35" i="15"/>
  <c r="G34" i="15"/>
  <c r="A34" i="15"/>
  <c r="G33" i="15"/>
  <c r="A33" i="15"/>
  <c r="G32" i="15"/>
  <c r="A32" i="15"/>
  <c r="G31" i="15"/>
  <c r="A31" i="15"/>
  <c r="G30" i="15"/>
  <c r="A30" i="15"/>
  <c r="G29" i="15"/>
  <c r="A29" i="15"/>
  <c r="G28" i="15"/>
  <c r="A28" i="15"/>
  <c r="G27" i="15"/>
  <c r="A27" i="15"/>
  <c r="G26" i="15"/>
  <c r="A26" i="15"/>
  <c r="G25" i="15"/>
  <c r="A25" i="15"/>
  <c r="G24" i="15"/>
  <c r="A24" i="15"/>
  <c r="M88" i="14"/>
  <c r="N86" i="13"/>
  <c r="E37" i="13"/>
  <c r="N36" i="13"/>
  <c r="K33" i="13"/>
  <c r="J33" i="13"/>
  <c r="I33" i="13"/>
  <c r="K32" i="13"/>
  <c r="J32" i="13"/>
  <c r="I32" i="13"/>
  <c r="K31" i="13"/>
  <c r="J31" i="13"/>
  <c r="I31" i="13"/>
  <c r="K30" i="13"/>
  <c r="J30" i="13"/>
  <c r="I30" i="13"/>
  <c r="K29" i="13"/>
  <c r="J29" i="13"/>
  <c r="I29" i="13"/>
  <c r="K28" i="13"/>
  <c r="J28" i="13"/>
  <c r="I28" i="13"/>
  <c r="K27" i="13"/>
  <c r="J27" i="13"/>
  <c r="I27" i="13"/>
  <c r="K26" i="13"/>
  <c r="J26" i="13"/>
  <c r="I26" i="13"/>
  <c r="M100" i="12"/>
  <c r="D33" i="12"/>
  <c r="H25" i="12"/>
  <c r="H24" i="12"/>
  <c r="H23" i="12"/>
  <c r="H22" i="12"/>
  <c r="H21" i="12"/>
  <c r="H20" i="12"/>
  <c r="H19" i="12"/>
  <c r="H18" i="12"/>
  <c r="H17" i="12"/>
  <c r="H16" i="12"/>
  <c r="K136" i="11"/>
  <c r="F41" i="10"/>
  <c r="C30" i="10"/>
  <c r="C28" i="10"/>
  <c r="E28" i="10" s="1"/>
  <c r="C18" i="10"/>
  <c r="E18" i="10" s="1"/>
  <c r="F232" i="9"/>
  <c r="E229" i="9"/>
  <c r="E226" i="9"/>
  <c r="E225" i="9"/>
  <c r="E224" i="9"/>
  <c r="F219" i="9"/>
  <c r="F218" i="9"/>
  <c r="F217" i="9"/>
  <c r="F220" i="9" s="1"/>
  <c r="F216" i="9"/>
  <c r="F212" i="9"/>
  <c r="F213" i="9" s="1"/>
  <c r="C32" i="10" s="1"/>
  <c r="F208" i="9"/>
  <c r="F207" i="9"/>
  <c r="F206" i="9"/>
  <c r="F205" i="9"/>
  <c r="F204" i="9"/>
  <c r="F200" i="9"/>
  <c r="F199" i="9"/>
  <c r="F198" i="9"/>
  <c r="F197" i="9"/>
  <c r="F201" i="9" s="1"/>
  <c r="F193" i="9"/>
  <c r="F192" i="9"/>
  <c r="F191" i="9"/>
  <c r="F190" i="9"/>
  <c r="F189" i="9"/>
  <c r="F188" i="9"/>
  <c r="F187" i="9"/>
  <c r="F184" i="9"/>
  <c r="F183" i="9"/>
  <c r="F182" i="9"/>
  <c r="F181" i="9"/>
  <c r="F177" i="9"/>
  <c r="F176" i="9"/>
  <c r="F175" i="9"/>
  <c r="F174" i="9"/>
  <c r="F178" i="9" s="1"/>
  <c r="F170" i="9"/>
  <c r="F169" i="9"/>
  <c r="F168" i="9"/>
  <c r="F167" i="9"/>
  <c r="F166" i="9"/>
  <c r="F165" i="9"/>
  <c r="F161" i="9"/>
  <c r="F160" i="9"/>
  <c r="F159" i="9"/>
  <c r="F158" i="9"/>
  <c r="F157" i="9"/>
  <c r="F156" i="9"/>
  <c r="F155" i="9"/>
  <c r="F154" i="9"/>
  <c r="F153" i="9"/>
  <c r="F152" i="9"/>
  <c r="F151" i="9"/>
  <c r="F147" i="9"/>
  <c r="F146" i="9"/>
  <c r="F145" i="9"/>
  <c r="F144" i="9"/>
  <c r="F143" i="9"/>
  <c r="F142" i="9"/>
  <c r="F141" i="9"/>
  <c r="F140" i="9"/>
  <c r="F139" i="9"/>
  <c r="F138" i="9"/>
  <c r="F137" i="9"/>
  <c r="F133" i="9"/>
  <c r="F131" i="9"/>
  <c r="F130" i="9"/>
  <c r="F126" i="9"/>
  <c r="F125" i="9"/>
  <c r="F124" i="9"/>
  <c r="F122" i="9"/>
  <c r="F121" i="9"/>
  <c r="F120" i="9"/>
  <c r="F127" i="9" s="1"/>
  <c r="F116" i="9"/>
  <c r="F115" i="9"/>
  <c r="F114" i="9"/>
  <c r="F113" i="9"/>
  <c r="F112" i="9"/>
  <c r="F107" i="9"/>
  <c r="F106" i="9"/>
  <c r="F105" i="9"/>
  <c r="F104" i="9"/>
  <c r="F103" i="9"/>
  <c r="F109" i="9" s="1"/>
  <c r="C20" i="10" s="1"/>
  <c r="F102" i="9"/>
  <c r="F101" i="9"/>
  <c r="F98" i="9"/>
  <c r="F97" i="9"/>
  <c r="F96" i="9"/>
  <c r="F95" i="9"/>
  <c r="F91" i="9"/>
  <c r="F90" i="9"/>
  <c r="F88" i="9"/>
  <c r="F84" i="9"/>
  <c r="F83" i="9"/>
  <c r="F82" i="9"/>
  <c r="F81" i="9"/>
  <c r="F80" i="9"/>
  <c r="F79" i="9"/>
  <c r="F74" i="9"/>
  <c r="F73" i="9"/>
  <c r="F72" i="9"/>
  <c r="F71" i="9"/>
  <c r="F70" i="9"/>
  <c r="F69" i="9"/>
  <c r="F68" i="9"/>
  <c r="F75" i="9" s="1"/>
  <c r="F64" i="9"/>
  <c r="F63" i="9"/>
  <c r="F62" i="9"/>
  <c r="F61" i="9"/>
  <c r="F59" i="9"/>
  <c r="F58" i="9"/>
  <c r="F57" i="9"/>
  <c r="F56" i="9"/>
  <c r="F55" i="9"/>
  <c r="F54" i="9"/>
  <c r="F53" i="9"/>
  <c r="F51" i="9"/>
  <c r="F47" i="9"/>
  <c r="F46" i="9"/>
  <c r="F45" i="9"/>
  <c r="F44" i="9"/>
  <c r="F43" i="9"/>
  <c r="F42" i="9"/>
  <c r="F41" i="9"/>
  <c r="F37" i="9"/>
  <c r="F36" i="9"/>
  <c r="F35" i="9"/>
  <c r="F34" i="9"/>
  <c r="F33" i="9"/>
  <c r="F32" i="9"/>
  <c r="F31" i="9"/>
  <c r="F30" i="9"/>
  <c r="F29" i="9"/>
  <c r="F28" i="9"/>
  <c r="F27" i="9"/>
  <c r="F23" i="9"/>
  <c r="F22" i="9"/>
  <c r="F21" i="9"/>
  <c r="F20" i="9"/>
  <c r="F19" i="9"/>
  <c r="F18" i="9"/>
  <c r="F17" i="9"/>
  <c r="F16" i="9"/>
  <c r="F24" i="9" s="1"/>
  <c r="F15" i="9"/>
  <c r="M33" i="8"/>
  <c r="T145" i="5"/>
  <c r="S145" i="5"/>
  <c r="Q145" i="5"/>
  <c r="P145" i="5"/>
  <c r="O145" i="5"/>
  <c r="N145" i="5"/>
  <c r="M145" i="5"/>
  <c r="L145" i="5"/>
  <c r="K145" i="5"/>
  <c r="J145" i="5"/>
  <c r="I145" i="5"/>
  <c r="H145" i="5"/>
  <c r="G145" i="5"/>
  <c r="F145" i="5"/>
  <c r="E145" i="5"/>
  <c r="D145" i="5"/>
  <c r="C145" i="5"/>
  <c r="B145" i="5"/>
  <c r="T144" i="5"/>
  <c r="S144" i="5"/>
  <c r="P144" i="5"/>
  <c r="O144" i="5"/>
  <c r="N144" i="5"/>
  <c r="M144" i="5"/>
  <c r="L144" i="5"/>
  <c r="K144" i="5"/>
  <c r="J144" i="5"/>
  <c r="I144" i="5"/>
  <c r="H144" i="5"/>
  <c r="G144" i="5"/>
  <c r="F144" i="5"/>
  <c r="E144" i="5"/>
  <c r="D144" i="5"/>
  <c r="C144" i="5"/>
  <c r="B144" i="5"/>
  <c r="T143" i="5"/>
  <c r="S143" i="5"/>
  <c r="P143" i="5"/>
  <c r="O143" i="5"/>
  <c r="N143" i="5"/>
  <c r="M143" i="5"/>
  <c r="L143" i="5"/>
  <c r="K143" i="5"/>
  <c r="J143" i="5"/>
  <c r="I143" i="5"/>
  <c r="H143" i="5"/>
  <c r="G143" i="5"/>
  <c r="F143" i="5"/>
  <c r="E143" i="5"/>
  <c r="D143" i="5"/>
  <c r="C143" i="5"/>
  <c r="B143" i="5"/>
  <c r="T142" i="5"/>
  <c r="S142" i="5"/>
  <c r="P142" i="5"/>
  <c r="O142" i="5"/>
  <c r="N142" i="5"/>
  <c r="M142" i="5"/>
  <c r="L142" i="5"/>
  <c r="K142" i="5"/>
  <c r="J142" i="5"/>
  <c r="I142" i="5"/>
  <c r="H142" i="5"/>
  <c r="G142" i="5"/>
  <c r="F142" i="5"/>
  <c r="E142" i="5"/>
  <c r="D142" i="5"/>
  <c r="C142" i="5"/>
  <c r="B142" i="5"/>
  <c r="T141" i="5"/>
  <c r="S141" i="5"/>
  <c r="P141" i="5"/>
  <c r="O141" i="5"/>
  <c r="N141" i="5"/>
  <c r="M141" i="5"/>
  <c r="L141" i="5"/>
  <c r="K141" i="5"/>
  <c r="J141" i="5"/>
  <c r="I141" i="5"/>
  <c r="H141" i="5"/>
  <c r="G141" i="5"/>
  <c r="F141" i="5"/>
  <c r="E141" i="5"/>
  <c r="D141" i="5"/>
  <c r="C141" i="5"/>
  <c r="B141" i="5"/>
  <c r="T140" i="5"/>
  <c r="S140" i="5"/>
  <c r="P140" i="5"/>
  <c r="O140" i="5"/>
  <c r="N140" i="5"/>
  <c r="M140" i="5"/>
  <c r="L140" i="5"/>
  <c r="K140" i="5"/>
  <c r="J140" i="5"/>
  <c r="I140" i="5"/>
  <c r="H140" i="5"/>
  <c r="G140" i="5"/>
  <c r="F140" i="5"/>
  <c r="E140" i="5"/>
  <c r="D140" i="5"/>
  <c r="C140" i="5"/>
  <c r="B140" i="5"/>
  <c r="T139" i="5"/>
  <c r="S139" i="5"/>
  <c r="R139" i="5"/>
  <c r="Q139" i="5"/>
  <c r="P139" i="5"/>
  <c r="O139" i="5"/>
  <c r="N139" i="5"/>
  <c r="M139" i="5"/>
  <c r="L139" i="5"/>
  <c r="K139" i="5"/>
  <c r="J139" i="5"/>
  <c r="I139" i="5"/>
  <c r="H139" i="5"/>
  <c r="G139" i="5"/>
  <c r="F139" i="5"/>
  <c r="E139" i="5"/>
  <c r="D139" i="5"/>
  <c r="C139" i="5"/>
  <c r="B139" i="5"/>
  <c r="T138" i="5"/>
  <c r="S138" i="5"/>
  <c r="P138" i="5"/>
  <c r="O138" i="5"/>
  <c r="N138" i="5"/>
  <c r="M138" i="5"/>
  <c r="L138" i="5"/>
  <c r="K138" i="5"/>
  <c r="J138" i="5"/>
  <c r="I138" i="5"/>
  <c r="H138" i="5"/>
  <c r="G138" i="5"/>
  <c r="F138" i="5"/>
  <c r="E138" i="5"/>
  <c r="D138" i="5"/>
  <c r="C138" i="5"/>
  <c r="B138" i="5"/>
  <c r="T137" i="5"/>
  <c r="S137" i="5"/>
  <c r="Q137" i="5"/>
  <c r="P137" i="5"/>
  <c r="O137" i="5"/>
  <c r="N137" i="5"/>
  <c r="M137" i="5"/>
  <c r="L137" i="5"/>
  <c r="K137" i="5"/>
  <c r="J137" i="5"/>
  <c r="I137" i="5"/>
  <c r="H137" i="5"/>
  <c r="G137" i="5"/>
  <c r="F137" i="5"/>
  <c r="E137" i="5"/>
  <c r="D137" i="5"/>
  <c r="C137" i="5"/>
  <c r="B137" i="5"/>
  <c r="T136" i="5"/>
  <c r="S136" i="5"/>
  <c r="P136" i="5"/>
  <c r="O136" i="5"/>
  <c r="N136" i="5"/>
  <c r="M136" i="5"/>
  <c r="L136" i="5"/>
  <c r="K136" i="5"/>
  <c r="J136" i="5"/>
  <c r="I136" i="5"/>
  <c r="H136" i="5"/>
  <c r="G136" i="5"/>
  <c r="F136" i="5"/>
  <c r="E136" i="5"/>
  <c r="D136" i="5"/>
  <c r="C136" i="5"/>
  <c r="B136" i="5"/>
  <c r="T135" i="5"/>
  <c r="S135" i="5"/>
  <c r="Q135" i="5"/>
  <c r="P135" i="5"/>
  <c r="O135" i="5"/>
  <c r="N135" i="5"/>
  <c r="M135" i="5"/>
  <c r="L135" i="5"/>
  <c r="K135" i="5"/>
  <c r="J135" i="5"/>
  <c r="I135" i="5"/>
  <c r="H135" i="5"/>
  <c r="G135" i="5"/>
  <c r="F135" i="5"/>
  <c r="E135" i="5"/>
  <c r="D135" i="5"/>
  <c r="C135" i="5"/>
  <c r="B135" i="5"/>
  <c r="T134" i="5"/>
  <c r="S134" i="5"/>
  <c r="P134" i="5"/>
  <c r="O134" i="5"/>
  <c r="N134" i="5"/>
  <c r="M134" i="5"/>
  <c r="L134" i="5"/>
  <c r="K134" i="5"/>
  <c r="J134" i="5"/>
  <c r="I134" i="5"/>
  <c r="H134" i="5"/>
  <c r="G134" i="5"/>
  <c r="F134" i="5"/>
  <c r="E134" i="5"/>
  <c r="D134" i="5"/>
  <c r="C134" i="5"/>
  <c r="B134" i="5"/>
  <c r="T133" i="5"/>
  <c r="S133" i="5"/>
  <c r="R133" i="5"/>
  <c r="P133" i="5"/>
  <c r="O133" i="5"/>
  <c r="N133" i="5"/>
  <c r="M133" i="5"/>
  <c r="L133" i="5"/>
  <c r="K133" i="5"/>
  <c r="J133" i="5"/>
  <c r="I133" i="5"/>
  <c r="H133" i="5"/>
  <c r="G133" i="5"/>
  <c r="F133" i="5"/>
  <c r="E133" i="5"/>
  <c r="D133" i="5"/>
  <c r="C133" i="5"/>
  <c r="B133" i="5"/>
  <c r="T132" i="5"/>
  <c r="S132" i="5"/>
  <c r="R132" i="5"/>
  <c r="Q132" i="5"/>
  <c r="P132" i="5"/>
  <c r="O132" i="5"/>
  <c r="N132" i="5"/>
  <c r="M132" i="5"/>
  <c r="L132" i="5"/>
  <c r="K132" i="5"/>
  <c r="J132" i="5"/>
  <c r="I132" i="5"/>
  <c r="H132" i="5"/>
  <c r="G132" i="5"/>
  <c r="F132" i="5"/>
  <c r="E132" i="5"/>
  <c r="D132" i="5"/>
  <c r="C132" i="5"/>
  <c r="B132" i="5"/>
  <c r="T131" i="5"/>
  <c r="S131" i="5"/>
  <c r="P131" i="5"/>
  <c r="O131" i="5"/>
  <c r="N131" i="5"/>
  <c r="M131" i="5"/>
  <c r="L131" i="5"/>
  <c r="K131" i="5"/>
  <c r="J131" i="5"/>
  <c r="I131" i="5"/>
  <c r="H131" i="5"/>
  <c r="G131" i="5"/>
  <c r="F131" i="5"/>
  <c r="E131" i="5"/>
  <c r="D131" i="5"/>
  <c r="C131" i="5"/>
  <c r="B131" i="5"/>
  <c r="T130" i="5"/>
  <c r="S130" i="5"/>
  <c r="P130" i="5"/>
  <c r="O130" i="5"/>
  <c r="N130" i="5"/>
  <c r="M130" i="5"/>
  <c r="L130" i="5"/>
  <c r="K130" i="5"/>
  <c r="J130" i="5"/>
  <c r="I130" i="5"/>
  <c r="H130" i="5"/>
  <c r="G130" i="5"/>
  <c r="F130" i="5"/>
  <c r="E130" i="5"/>
  <c r="D130" i="5"/>
  <c r="C130" i="5"/>
  <c r="B130" i="5"/>
  <c r="T129" i="5"/>
  <c r="S129" i="5"/>
  <c r="P129" i="5"/>
  <c r="O129" i="5"/>
  <c r="N129" i="5"/>
  <c r="M129" i="5"/>
  <c r="L129" i="5"/>
  <c r="K129" i="5"/>
  <c r="J129" i="5"/>
  <c r="I129" i="5"/>
  <c r="H129" i="5"/>
  <c r="G129" i="5"/>
  <c r="F129" i="5"/>
  <c r="E129" i="5"/>
  <c r="D129" i="5"/>
  <c r="C129" i="5"/>
  <c r="B129" i="5"/>
  <c r="T128" i="5"/>
  <c r="S128" i="5"/>
  <c r="P128" i="5"/>
  <c r="O128" i="5"/>
  <c r="N128" i="5"/>
  <c r="M128" i="5"/>
  <c r="L128" i="5"/>
  <c r="K128" i="5"/>
  <c r="J128" i="5"/>
  <c r="I128" i="5"/>
  <c r="H128" i="5"/>
  <c r="G128" i="5"/>
  <c r="F128" i="5"/>
  <c r="E128" i="5"/>
  <c r="D128" i="5"/>
  <c r="C128" i="5"/>
  <c r="B128" i="5"/>
  <c r="T127" i="5"/>
  <c r="S127" i="5"/>
  <c r="P127" i="5"/>
  <c r="O127" i="5"/>
  <c r="N127" i="5"/>
  <c r="M127" i="5"/>
  <c r="L127" i="5"/>
  <c r="K127" i="5"/>
  <c r="J127" i="5"/>
  <c r="I127" i="5"/>
  <c r="H127" i="5"/>
  <c r="G127" i="5"/>
  <c r="F127" i="5"/>
  <c r="E127" i="5"/>
  <c r="D127" i="5"/>
  <c r="C127" i="5"/>
  <c r="B127" i="5"/>
  <c r="T126" i="5"/>
  <c r="S126" i="5"/>
  <c r="P126" i="5"/>
  <c r="O126" i="5"/>
  <c r="N126" i="5"/>
  <c r="M126" i="5"/>
  <c r="L126" i="5"/>
  <c r="K126" i="5"/>
  <c r="J126" i="5"/>
  <c r="I126" i="5"/>
  <c r="H126" i="5"/>
  <c r="G126" i="5"/>
  <c r="F126" i="5"/>
  <c r="E126" i="5"/>
  <c r="D126" i="5"/>
  <c r="C126" i="5"/>
  <c r="B126" i="5"/>
  <c r="T125" i="5"/>
  <c r="S125" i="5"/>
  <c r="P125" i="5"/>
  <c r="O125" i="5"/>
  <c r="N125" i="5"/>
  <c r="M125" i="5"/>
  <c r="L125" i="5"/>
  <c r="K125" i="5"/>
  <c r="J125" i="5"/>
  <c r="I125" i="5"/>
  <c r="H125" i="5"/>
  <c r="G125" i="5"/>
  <c r="F125" i="5"/>
  <c r="E125" i="5"/>
  <c r="D125" i="5"/>
  <c r="C125" i="5"/>
  <c r="B125" i="5"/>
  <c r="T124" i="5"/>
  <c r="S124" i="5"/>
  <c r="Q124" i="5"/>
  <c r="P124" i="5"/>
  <c r="O124" i="5"/>
  <c r="N124" i="5"/>
  <c r="M124" i="5"/>
  <c r="L124" i="5"/>
  <c r="K124" i="5"/>
  <c r="J124" i="5"/>
  <c r="I124" i="5"/>
  <c r="H124" i="5"/>
  <c r="G124" i="5"/>
  <c r="F124" i="5"/>
  <c r="E124" i="5"/>
  <c r="D124" i="5"/>
  <c r="C124" i="5"/>
  <c r="B124" i="5"/>
  <c r="T123" i="5"/>
  <c r="S123" i="5"/>
  <c r="P123" i="5"/>
  <c r="O123" i="5"/>
  <c r="N123" i="5"/>
  <c r="M123" i="5"/>
  <c r="L123" i="5"/>
  <c r="K123" i="5"/>
  <c r="J123" i="5"/>
  <c r="I123" i="5"/>
  <c r="H123" i="5"/>
  <c r="G123" i="5"/>
  <c r="F123" i="5"/>
  <c r="E123" i="5"/>
  <c r="D123" i="5"/>
  <c r="C123" i="5"/>
  <c r="B123" i="5"/>
  <c r="T122" i="5"/>
  <c r="S122" i="5"/>
  <c r="P122" i="5"/>
  <c r="O122" i="5"/>
  <c r="N122" i="5"/>
  <c r="M122" i="5"/>
  <c r="L122" i="5"/>
  <c r="K122" i="5"/>
  <c r="J122" i="5"/>
  <c r="I122" i="5"/>
  <c r="H122" i="5"/>
  <c r="G122" i="5"/>
  <c r="F122" i="5"/>
  <c r="E122" i="5"/>
  <c r="D122" i="5"/>
  <c r="C122" i="5"/>
  <c r="B122" i="5"/>
  <c r="T121" i="5"/>
  <c r="S121" i="5"/>
  <c r="P121" i="5"/>
  <c r="O121" i="5"/>
  <c r="N121" i="5"/>
  <c r="M121" i="5"/>
  <c r="L121" i="5"/>
  <c r="K121" i="5"/>
  <c r="J121" i="5"/>
  <c r="I121" i="5"/>
  <c r="H121" i="5"/>
  <c r="G121" i="5"/>
  <c r="F121" i="5"/>
  <c r="E121" i="5"/>
  <c r="D121" i="5"/>
  <c r="C121" i="5"/>
  <c r="B121" i="5"/>
  <c r="T120" i="5"/>
  <c r="S120" i="5"/>
  <c r="P120" i="5"/>
  <c r="O120" i="5"/>
  <c r="N120" i="5"/>
  <c r="M120" i="5"/>
  <c r="L120" i="5"/>
  <c r="K120" i="5"/>
  <c r="J120" i="5"/>
  <c r="I120" i="5"/>
  <c r="H120" i="5"/>
  <c r="G120" i="5"/>
  <c r="F120" i="5"/>
  <c r="E120" i="5"/>
  <c r="D120" i="5"/>
  <c r="C120" i="5"/>
  <c r="B120" i="5"/>
  <c r="T119" i="5"/>
  <c r="S119" i="5"/>
  <c r="P119" i="5"/>
  <c r="O119" i="5"/>
  <c r="N119" i="5"/>
  <c r="M119" i="5"/>
  <c r="L119" i="5"/>
  <c r="K119" i="5"/>
  <c r="J119" i="5"/>
  <c r="I119" i="5"/>
  <c r="H119" i="5"/>
  <c r="G119" i="5"/>
  <c r="F119" i="5"/>
  <c r="E119" i="5"/>
  <c r="D119" i="5"/>
  <c r="C119" i="5"/>
  <c r="B119" i="5"/>
  <c r="T118" i="5"/>
  <c r="S118" i="5"/>
  <c r="P118" i="5"/>
  <c r="O118" i="5"/>
  <c r="N118" i="5"/>
  <c r="M118" i="5"/>
  <c r="L118" i="5"/>
  <c r="K118" i="5"/>
  <c r="J118" i="5"/>
  <c r="I118" i="5"/>
  <c r="H118" i="5"/>
  <c r="G118" i="5"/>
  <c r="F118" i="5"/>
  <c r="E118" i="5"/>
  <c r="D118" i="5"/>
  <c r="C118" i="5"/>
  <c r="B118" i="5"/>
  <c r="T117" i="5"/>
  <c r="S117" i="5"/>
  <c r="P117" i="5"/>
  <c r="O117" i="5"/>
  <c r="N117" i="5"/>
  <c r="M117" i="5"/>
  <c r="L117" i="5"/>
  <c r="K117" i="5"/>
  <c r="J117" i="5"/>
  <c r="I117" i="5"/>
  <c r="H117" i="5"/>
  <c r="G117" i="5"/>
  <c r="F117" i="5"/>
  <c r="E117" i="5"/>
  <c r="D117" i="5"/>
  <c r="C117" i="5"/>
  <c r="B117" i="5"/>
  <c r="T116" i="5"/>
  <c r="S116" i="5"/>
  <c r="P116" i="5"/>
  <c r="O116" i="5"/>
  <c r="N116" i="5"/>
  <c r="M116" i="5"/>
  <c r="L116" i="5"/>
  <c r="K116" i="5"/>
  <c r="J116" i="5"/>
  <c r="I116" i="5"/>
  <c r="H116" i="5"/>
  <c r="G116" i="5"/>
  <c r="F116" i="5"/>
  <c r="E116" i="5"/>
  <c r="D116" i="5"/>
  <c r="C116" i="5"/>
  <c r="B116" i="5"/>
  <c r="T115" i="5"/>
  <c r="S115" i="5"/>
  <c r="P115" i="5"/>
  <c r="O115" i="5"/>
  <c r="N115" i="5"/>
  <c r="M115" i="5"/>
  <c r="L115" i="5"/>
  <c r="K115" i="5"/>
  <c r="J115" i="5"/>
  <c r="I115" i="5"/>
  <c r="H115" i="5"/>
  <c r="G115" i="5"/>
  <c r="F115" i="5"/>
  <c r="E115" i="5"/>
  <c r="D115" i="5"/>
  <c r="C115" i="5"/>
  <c r="B115" i="5"/>
  <c r="T114" i="5"/>
  <c r="S114" i="5"/>
  <c r="P114" i="5"/>
  <c r="O114" i="5"/>
  <c r="N114" i="5"/>
  <c r="M114" i="5"/>
  <c r="L114" i="5"/>
  <c r="K114" i="5"/>
  <c r="J114" i="5"/>
  <c r="I114" i="5"/>
  <c r="H114" i="5"/>
  <c r="G114" i="5"/>
  <c r="F114" i="5"/>
  <c r="E114" i="5"/>
  <c r="D114" i="5"/>
  <c r="C114" i="5"/>
  <c r="B114" i="5"/>
  <c r="T113" i="5"/>
  <c r="S113" i="5"/>
  <c r="R113" i="5"/>
  <c r="Q113" i="5"/>
  <c r="P113" i="5"/>
  <c r="O113" i="5"/>
  <c r="N113" i="5"/>
  <c r="M113" i="5"/>
  <c r="L113" i="5"/>
  <c r="K113" i="5"/>
  <c r="J113" i="5"/>
  <c r="I113" i="5"/>
  <c r="H113" i="5"/>
  <c r="G113" i="5"/>
  <c r="F113" i="5"/>
  <c r="E113" i="5"/>
  <c r="D113" i="5"/>
  <c r="C113" i="5"/>
  <c r="B113" i="5"/>
  <c r="T112" i="5"/>
  <c r="S112" i="5"/>
  <c r="P112" i="5"/>
  <c r="O112" i="5"/>
  <c r="N112" i="5"/>
  <c r="M112" i="5"/>
  <c r="L112" i="5"/>
  <c r="K112" i="5"/>
  <c r="J112" i="5"/>
  <c r="I112" i="5"/>
  <c r="H112" i="5"/>
  <c r="G112" i="5"/>
  <c r="F112" i="5"/>
  <c r="E112" i="5"/>
  <c r="D112" i="5"/>
  <c r="C112" i="5"/>
  <c r="B112" i="5"/>
  <c r="T111" i="5"/>
  <c r="S111" i="5"/>
  <c r="Q111" i="5"/>
  <c r="P111" i="5"/>
  <c r="O111" i="5"/>
  <c r="N111" i="5"/>
  <c r="M111" i="5"/>
  <c r="L111" i="5"/>
  <c r="K111" i="5"/>
  <c r="J111" i="5"/>
  <c r="I111" i="5"/>
  <c r="H111" i="5"/>
  <c r="G111" i="5"/>
  <c r="F111" i="5"/>
  <c r="E111" i="5"/>
  <c r="D111" i="5"/>
  <c r="C111" i="5"/>
  <c r="B111" i="5"/>
  <c r="T110" i="5"/>
  <c r="S110" i="5"/>
  <c r="P110" i="5"/>
  <c r="O110" i="5"/>
  <c r="N110" i="5"/>
  <c r="M110" i="5"/>
  <c r="L110" i="5"/>
  <c r="K110" i="5"/>
  <c r="J110" i="5"/>
  <c r="I110" i="5"/>
  <c r="H110" i="5"/>
  <c r="G110" i="5"/>
  <c r="F110" i="5"/>
  <c r="E110" i="5"/>
  <c r="D110" i="5"/>
  <c r="C110" i="5"/>
  <c r="B110" i="5"/>
  <c r="T109" i="5"/>
  <c r="S109" i="5"/>
  <c r="P109" i="5"/>
  <c r="O109" i="5"/>
  <c r="N109" i="5"/>
  <c r="M109" i="5"/>
  <c r="L109" i="5"/>
  <c r="K109" i="5"/>
  <c r="J109" i="5"/>
  <c r="I109" i="5"/>
  <c r="H109" i="5"/>
  <c r="G109" i="5"/>
  <c r="F109" i="5"/>
  <c r="E109" i="5"/>
  <c r="D109" i="5"/>
  <c r="C109" i="5"/>
  <c r="B109" i="5"/>
  <c r="T108" i="5"/>
  <c r="S108" i="5"/>
  <c r="P108" i="5"/>
  <c r="O108" i="5"/>
  <c r="N108" i="5"/>
  <c r="M108" i="5"/>
  <c r="L108" i="5"/>
  <c r="K108" i="5"/>
  <c r="J108" i="5"/>
  <c r="I108" i="5"/>
  <c r="H108" i="5"/>
  <c r="G108" i="5"/>
  <c r="F108" i="5"/>
  <c r="E108" i="5"/>
  <c r="D108" i="5"/>
  <c r="C108" i="5"/>
  <c r="B108" i="5"/>
  <c r="T107" i="5"/>
  <c r="S107" i="5"/>
  <c r="P107" i="5"/>
  <c r="O107" i="5"/>
  <c r="N107" i="5"/>
  <c r="M107" i="5"/>
  <c r="L107" i="5"/>
  <c r="K107" i="5"/>
  <c r="J107" i="5"/>
  <c r="I107" i="5"/>
  <c r="H107" i="5"/>
  <c r="G107" i="5"/>
  <c r="F107" i="5"/>
  <c r="E107" i="5"/>
  <c r="D107" i="5"/>
  <c r="C107" i="5"/>
  <c r="B107" i="5"/>
  <c r="T106" i="5"/>
  <c r="S106" i="5"/>
  <c r="P106" i="5"/>
  <c r="O106" i="5"/>
  <c r="N106" i="5"/>
  <c r="M106" i="5"/>
  <c r="L106" i="5"/>
  <c r="K106" i="5"/>
  <c r="J106" i="5"/>
  <c r="I106" i="5"/>
  <c r="H106" i="5"/>
  <c r="G106" i="5"/>
  <c r="F106" i="5"/>
  <c r="E106" i="5"/>
  <c r="D106" i="5"/>
  <c r="C106" i="5"/>
  <c r="B106" i="5"/>
  <c r="T105" i="5"/>
  <c r="S105" i="5"/>
  <c r="P105" i="5"/>
  <c r="O105" i="5"/>
  <c r="N105" i="5"/>
  <c r="M105" i="5"/>
  <c r="L105" i="5"/>
  <c r="K105" i="5"/>
  <c r="J105" i="5"/>
  <c r="I105" i="5"/>
  <c r="H105" i="5"/>
  <c r="G105" i="5"/>
  <c r="F105" i="5"/>
  <c r="E105" i="5"/>
  <c r="D105" i="5"/>
  <c r="C105" i="5"/>
  <c r="B105" i="5"/>
  <c r="T104" i="5"/>
  <c r="S104" i="5"/>
  <c r="Q104" i="5"/>
  <c r="P104" i="5"/>
  <c r="O104" i="5"/>
  <c r="N104" i="5"/>
  <c r="M104" i="5"/>
  <c r="L104" i="5"/>
  <c r="K104" i="5"/>
  <c r="J104" i="5"/>
  <c r="I104" i="5"/>
  <c r="H104" i="5"/>
  <c r="G104" i="5"/>
  <c r="F104" i="5"/>
  <c r="E104" i="5"/>
  <c r="D104" i="5"/>
  <c r="C104" i="5"/>
  <c r="B104" i="5"/>
  <c r="T103" i="5"/>
  <c r="S103" i="5"/>
  <c r="P103" i="5"/>
  <c r="O103" i="5"/>
  <c r="N103" i="5"/>
  <c r="M103" i="5"/>
  <c r="L103" i="5"/>
  <c r="K103" i="5"/>
  <c r="J103" i="5"/>
  <c r="I103" i="5"/>
  <c r="H103" i="5"/>
  <c r="G103" i="5"/>
  <c r="F103" i="5"/>
  <c r="E103" i="5"/>
  <c r="D103" i="5"/>
  <c r="C103" i="5"/>
  <c r="B103" i="5"/>
  <c r="T102" i="5"/>
  <c r="S102" i="5"/>
  <c r="P102" i="5"/>
  <c r="O102" i="5"/>
  <c r="N102" i="5"/>
  <c r="M102" i="5"/>
  <c r="L102" i="5"/>
  <c r="K102" i="5"/>
  <c r="J102" i="5"/>
  <c r="I102" i="5"/>
  <c r="H102" i="5"/>
  <c r="G102" i="5"/>
  <c r="F102" i="5"/>
  <c r="E102" i="5"/>
  <c r="D102" i="5"/>
  <c r="C102" i="5"/>
  <c r="B102" i="5"/>
  <c r="T101" i="5"/>
  <c r="S101" i="5"/>
  <c r="P101" i="5"/>
  <c r="O101" i="5"/>
  <c r="N101" i="5"/>
  <c r="M101" i="5"/>
  <c r="L101" i="5"/>
  <c r="K101" i="5"/>
  <c r="J101" i="5"/>
  <c r="I101" i="5"/>
  <c r="H101" i="5"/>
  <c r="G101" i="5"/>
  <c r="F101" i="5"/>
  <c r="E101" i="5"/>
  <c r="D101" i="5"/>
  <c r="C101" i="5"/>
  <c r="B101" i="5"/>
  <c r="T100" i="5"/>
  <c r="S100" i="5"/>
  <c r="Q100" i="5"/>
  <c r="P100" i="5"/>
  <c r="O100" i="5"/>
  <c r="N100" i="5"/>
  <c r="M100" i="5"/>
  <c r="L100" i="5"/>
  <c r="K100" i="5"/>
  <c r="J100" i="5"/>
  <c r="I100" i="5"/>
  <c r="H100" i="5"/>
  <c r="G100" i="5"/>
  <c r="F100" i="5"/>
  <c r="E100" i="5"/>
  <c r="D100" i="5"/>
  <c r="C100" i="5"/>
  <c r="B100" i="5"/>
  <c r="T99" i="5"/>
  <c r="S99" i="5"/>
  <c r="P99" i="5"/>
  <c r="O99" i="5"/>
  <c r="N99" i="5"/>
  <c r="M99" i="5"/>
  <c r="L99" i="5"/>
  <c r="K99" i="5"/>
  <c r="J99" i="5"/>
  <c r="I99" i="5"/>
  <c r="H99" i="5"/>
  <c r="G99" i="5"/>
  <c r="F99" i="5"/>
  <c r="E99" i="5"/>
  <c r="D99" i="5"/>
  <c r="C99" i="5"/>
  <c r="B99" i="5"/>
  <c r="T98" i="5"/>
  <c r="S98" i="5"/>
  <c r="R98" i="5"/>
  <c r="Q98" i="5"/>
  <c r="P98" i="5"/>
  <c r="O98" i="5"/>
  <c r="N98" i="5"/>
  <c r="M98" i="5"/>
  <c r="L98" i="5"/>
  <c r="K98" i="5"/>
  <c r="J98" i="5"/>
  <c r="I98" i="5"/>
  <c r="H98" i="5"/>
  <c r="G98" i="5"/>
  <c r="F98" i="5"/>
  <c r="E98" i="5"/>
  <c r="D98" i="5"/>
  <c r="C98" i="5"/>
  <c r="B98" i="5"/>
  <c r="T97" i="5"/>
  <c r="S97" i="5"/>
  <c r="P97" i="5"/>
  <c r="O97" i="5"/>
  <c r="N97" i="5"/>
  <c r="M97" i="5"/>
  <c r="L97" i="5"/>
  <c r="K97" i="5"/>
  <c r="J97" i="5"/>
  <c r="I97" i="5"/>
  <c r="H97" i="5"/>
  <c r="G97" i="5"/>
  <c r="F97" i="5"/>
  <c r="E97" i="5"/>
  <c r="D97" i="5"/>
  <c r="C97" i="5"/>
  <c r="B97" i="5"/>
  <c r="T96" i="5"/>
  <c r="S96" i="5"/>
  <c r="P96" i="5"/>
  <c r="O96" i="5"/>
  <c r="N96" i="5"/>
  <c r="M96" i="5"/>
  <c r="L96" i="5"/>
  <c r="K96" i="5"/>
  <c r="J96" i="5"/>
  <c r="I96" i="5"/>
  <c r="H96" i="5"/>
  <c r="G96" i="5"/>
  <c r="F96" i="5"/>
  <c r="E96" i="5"/>
  <c r="D96" i="5"/>
  <c r="C96" i="5"/>
  <c r="B96" i="5"/>
  <c r="T95" i="5"/>
  <c r="S95" i="5"/>
  <c r="P95" i="5"/>
  <c r="O95" i="5"/>
  <c r="N95" i="5"/>
  <c r="M95" i="5"/>
  <c r="L95" i="5"/>
  <c r="K95" i="5"/>
  <c r="J95" i="5"/>
  <c r="I95" i="5"/>
  <c r="H95" i="5"/>
  <c r="G95" i="5"/>
  <c r="F95" i="5"/>
  <c r="E95" i="5"/>
  <c r="D95" i="5"/>
  <c r="C95" i="5"/>
  <c r="B95" i="5"/>
  <c r="T94" i="5"/>
  <c r="S94" i="5"/>
  <c r="P94" i="5"/>
  <c r="O94" i="5"/>
  <c r="N94" i="5"/>
  <c r="M94" i="5"/>
  <c r="L94" i="5"/>
  <c r="K94" i="5"/>
  <c r="J94" i="5"/>
  <c r="I94" i="5"/>
  <c r="H94" i="5"/>
  <c r="G94" i="5"/>
  <c r="F94" i="5"/>
  <c r="E94" i="5"/>
  <c r="D94" i="5"/>
  <c r="C94" i="5"/>
  <c r="B94" i="5"/>
  <c r="T93" i="5"/>
  <c r="S93" i="5"/>
  <c r="Q93" i="5"/>
  <c r="P93" i="5"/>
  <c r="O93" i="5"/>
  <c r="N93" i="5"/>
  <c r="M93" i="5"/>
  <c r="L93" i="5"/>
  <c r="K93" i="5"/>
  <c r="J93" i="5"/>
  <c r="I93" i="5"/>
  <c r="H93" i="5"/>
  <c r="G93" i="5"/>
  <c r="F93" i="5"/>
  <c r="E93" i="5"/>
  <c r="D93" i="5"/>
  <c r="C93" i="5"/>
  <c r="B93" i="5"/>
  <c r="T92" i="5"/>
  <c r="S92" i="5"/>
  <c r="P92" i="5"/>
  <c r="O92" i="5"/>
  <c r="N92" i="5"/>
  <c r="M92" i="5"/>
  <c r="L92" i="5"/>
  <c r="K92" i="5"/>
  <c r="J92" i="5"/>
  <c r="I92" i="5"/>
  <c r="H92" i="5"/>
  <c r="G92" i="5"/>
  <c r="F92" i="5"/>
  <c r="E92" i="5"/>
  <c r="D92" i="5"/>
  <c r="C92" i="5"/>
  <c r="B92" i="5"/>
  <c r="T91" i="5"/>
  <c r="S91" i="5"/>
  <c r="Q91" i="5"/>
  <c r="P91" i="5"/>
  <c r="O91" i="5"/>
  <c r="N91" i="5"/>
  <c r="M91" i="5"/>
  <c r="L91" i="5"/>
  <c r="K91" i="5"/>
  <c r="J91" i="5"/>
  <c r="I91" i="5"/>
  <c r="H91" i="5"/>
  <c r="G91" i="5"/>
  <c r="F91" i="5"/>
  <c r="E91" i="5"/>
  <c r="D91" i="5"/>
  <c r="C91" i="5"/>
  <c r="B91" i="5"/>
  <c r="T90" i="5"/>
  <c r="S90" i="5"/>
  <c r="P90" i="5"/>
  <c r="O90" i="5"/>
  <c r="N90" i="5"/>
  <c r="M90" i="5"/>
  <c r="L90" i="5"/>
  <c r="K90" i="5"/>
  <c r="J90" i="5"/>
  <c r="I90" i="5"/>
  <c r="H90" i="5"/>
  <c r="G90" i="5"/>
  <c r="F90" i="5"/>
  <c r="E90" i="5"/>
  <c r="D90" i="5"/>
  <c r="C90" i="5"/>
  <c r="B90" i="5"/>
  <c r="T89" i="5"/>
  <c r="S89" i="5"/>
  <c r="P89" i="5"/>
  <c r="O89" i="5"/>
  <c r="N89" i="5"/>
  <c r="M89" i="5"/>
  <c r="L89" i="5"/>
  <c r="K89" i="5"/>
  <c r="J89" i="5"/>
  <c r="I89" i="5"/>
  <c r="H89" i="5"/>
  <c r="G89" i="5"/>
  <c r="F89" i="5"/>
  <c r="E89" i="5"/>
  <c r="D89" i="5"/>
  <c r="C89" i="5"/>
  <c r="B89" i="5"/>
  <c r="T88" i="5"/>
  <c r="S88" i="5"/>
  <c r="P88" i="5"/>
  <c r="O88" i="5"/>
  <c r="N88" i="5"/>
  <c r="M88" i="5"/>
  <c r="L88" i="5"/>
  <c r="K88" i="5"/>
  <c r="J88" i="5"/>
  <c r="I88" i="5"/>
  <c r="H88" i="5"/>
  <c r="G88" i="5"/>
  <c r="F88" i="5"/>
  <c r="E88" i="5"/>
  <c r="D88" i="5"/>
  <c r="C88" i="5"/>
  <c r="B88" i="5"/>
  <c r="T87" i="5"/>
  <c r="S87" i="5"/>
  <c r="Q87" i="5"/>
  <c r="P87" i="5"/>
  <c r="O87" i="5"/>
  <c r="N87" i="5"/>
  <c r="M87" i="5"/>
  <c r="L87" i="5"/>
  <c r="K87" i="5"/>
  <c r="J87" i="5"/>
  <c r="I87" i="5"/>
  <c r="H87" i="5"/>
  <c r="G87" i="5"/>
  <c r="F87" i="5"/>
  <c r="E87" i="5"/>
  <c r="D87" i="5"/>
  <c r="C87" i="5"/>
  <c r="B87" i="5"/>
  <c r="T86" i="5"/>
  <c r="S86" i="5"/>
  <c r="Q86" i="5"/>
  <c r="P86" i="5"/>
  <c r="O86" i="5"/>
  <c r="N86" i="5"/>
  <c r="M86" i="5"/>
  <c r="L86" i="5"/>
  <c r="K86" i="5"/>
  <c r="J86" i="5"/>
  <c r="I86" i="5"/>
  <c r="H86" i="5"/>
  <c r="G86" i="5"/>
  <c r="F86" i="5"/>
  <c r="E86" i="5"/>
  <c r="D86" i="5"/>
  <c r="C86" i="5"/>
  <c r="B86" i="5"/>
  <c r="T85" i="5"/>
  <c r="S85" i="5"/>
  <c r="P85" i="5"/>
  <c r="O85" i="5"/>
  <c r="N85" i="5"/>
  <c r="M85" i="5"/>
  <c r="L85" i="5"/>
  <c r="K85" i="5"/>
  <c r="J85" i="5"/>
  <c r="I85" i="5"/>
  <c r="H85" i="5"/>
  <c r="G85" i="5"/>
  <c r="F85" i="5"/>
  <c r="E85" i="5"/>
  <c r="D85" i="5"/>
  <c r="C85" i="5"/>
  <c r="B85" i="5"/>
  <c r="T84" i="5"/>
  <c r="S84" i="5"/>
  <c r="P84" i="5"/>
  <c r="O84" i="5"/>
  <c r="N84" i="5"/>
  <c r="M84" i="5"/>
  <c r="L84" i="5"/>
  <c r="K84" i="5"/>
  <c r="J84" i="5"/>
  <c r="I84" i="5"/>
  <c r="H84" i="5"/>
  <c r="G84" i="5"/>
  <c r="F84" i="5"/>
  <c r="E84" i="5"/>
  <c r="D84" i="5"/>
  <c r="C84" i="5"/>
  <c r="B84" i="5"/>
  <c r="T83" i="5"/>
  <c r="S83" i="5"/>
  <c r="P83" i="5"/>
  <c r="O83" i="5"/>
  <c r="N83" i="5"/>
  <c r="M83" i="5"/>
  <c r="L83" i="5"/>
  <c r="K83" i="5"/>
  <c r="J83" i="5"/>
  <c r="I83" i="5"/>
  <c r="H83" i="5"/>
  <c r="G83" i="5"/>
  <c r="F83" i="5"/>
  <c r="E83" i="5"/>
  <c r="D83" i="5"/>
  <c r="C83" i="5"/>
  <c r="B83" i="5"/>
  <c r="T82" i="5"/>
  <c r="S82" i="5"/>
  <c r="P82" i="5"/>
  <c r="O82" i="5"/>
  <c r="N82" i="5"/>
  <c r="M82" i="5"/>
  <c r="L82" i="5"/>
  <c r="K82" i="5"/>
  <c r="J82" i="5"/>
  <c r="I82" i="5"/>
  <c r="H82" i="5"/>
  <c r="G82" i="5"/>
  <c r="F82" i="5"/>
  <c r="E82" i="5"/>
  <c r="D82" i="5"/>
  <c r="C82" i="5"/>
  <c r="B82" i="5"/>
  <c r="T81" i="5"/>
  <c r="S81" i="5"/>
  <c r="P81" i="5"/>
  <c r="O81" i="5"/>
  <c r="N81" i="5"/>
  <c r="M81" i="5"/>
  <c r="L81" i="5"/>
  <c r="K81" i="5"/>
  <c r="J81" i="5"/>
  <c r="I81" i="5"/>
  <c r="H81" i="5"/>
  <c r="G81" i="5"/>
  <c r="F81" i="5"/>
  <c r="E81" i="5"/>
  <c r="D81" i="5"/>
  <c r="C81" i="5"/>
  <c r="B81" i="5"/>
  <c r="T80" i="5"/>
  <c r="S80" i="5"/>
  <c r="Q80" i="5"/>
  <c r="P80" i="5"/>
  <c r="O80" i="5"/>
  <c r="N80" i="5"/>
  <c r="M80" i="5"/>
  <c r="L80" i="5"/>
  <c r="K80" i="5"/>
  <c r="J80" i="5"/>
  <c r="I80" i="5"/>
  <c r="H80" i="5"/>
  <c r="G80" i="5"/>
  <c r="F80" i="5"/>
  <c r="E80" i="5"/>
  <c r="D80" i="5"/>
  <c r="C80" i="5"/>
  <c r="B80" i="5"/>
  <c r="T79" i="5"/>
  <c r="S79" i="5"/>
  <c r="P79" i="5"/>
  <c r="O79" i="5"/>
  <c r="N79" i="5"/>
  <c r="M79" i="5"/>
  <c r="L79" i="5"/>
  <c r="K79" i="5"/>
  <c r="J79" i="5"/>
  <c r="I79" i="5"/>
  <c r="H79" i="5"/>
  <c r="G79" i="5"/>
  <c r="F79" i="5"/>
  <c r="E79" i="5"/>
  <c r="D79" i="5"/>
  <c r="C79" i="5"/>
  <c r="B79" i="5"/>
  <c r="T78" i="5"/>
  <c r="S78" i="5"/>
  <c r="P78" i="5"/>
  <c r="O78" i="5"/>
  <c r="N78" i="5"/>
  <c r="M78" i="5"/>
  <c r="L78" i="5"/>
  <c r="K78" i="5"/>
  <c r="J78" i="5"/>
  <c r="I78" i="5"/>
  <c r="H78" i="5"/>
  <c r="G78" i="5"/>
  <c r="F78" i="5"/>
  <c r="E78" i="5"/>
  <c r="D78" i="5"/>
  <c r="C78" i="5"/>
  <c r="B78" i="5"/>
  <c r="T77" i="5"/>
  <c r="S77" i="5"/>
  <c r="P77" i="5"/>
  <c r="O77" i="5"/>
  <c r="N77" i="5"/>
  <c r="M77" i="5"/>
  <c r="L77" i="5"/>
  <c r="K77" i="5"/>
  <c r="J77" i="5"/>
  <c r="I77" i="5"/>
  <c r="H77" i="5"/>
  <c r="G77" i="5"/>
  <c r="F77" i="5"/>
  <c r="E77" i="5"/>
  <c r="D77" i="5"/>
  <c r="C77" i="5"/>
  <c r="B77" i="5"/>
  <c r="T76" i="5"/>
  <c r="S76" i="5"/>
  <c r="P76" i="5"/>
  <c r="O76" i="5"/>
  <c r="N76" i="5"/>
  <c r="M76" i="5"/>
  <c r="L76" i="5"/>
  <c r="K76" i="5"/>
  <c r="J76" i="5"/>
  <c r="I76" i="5"/>
  <c r="H76" i="5"/>
  <c r="G76" i="5"/>
  <c r="F76" i="5"/>
  <c r="E76" i="5"/>
  <c r="D76" i="5"/>
  <c r="C76" i="5"/>
  <c r="B76" i="5"/>
  <c r="T75" i="5"/>
  <c r="S75" i="5"/>
  <c r="P75" i="5"/>
  <c r="O75" i="5"/>
  <c r="N75" i="5"/>
  <c r="M75" i="5"/>
  <c r="L75" i="5"/>
  <c r="K75" i="5"/>
  <c r="J75" i="5"/>
  <c r="I75" i="5"/>
  <c r="H75" i="5"/>
  <c r="G75" i="5"/>
  <c r="F75" i="5"/>
  <c r="E75" i="5"/>
  <c r="D75" i="5"/>
  <c r="C75" i="5"/>
  <c r="B75" i="5"/>
  <c r="T74" i="5"/>
  <c r="S74" i="5"/>
  <c r="R74" i="5"/>
  <c r="Q74" i="5"/>
  <c r="P74" i="5"/>
  <c r="O74" i="5"/>
  <c r="N74" i="5"/>
  <c r="M74" i="5"/>
  <c r="L74" i="5"/>
  <c r="K74" i="5"/>
  <c r="J74" i="5"/>
  <c r="I74" i="5"/>
  <c r="H74" i="5"/>
  <c r="G74" i="5"/>
  <c r="F74" i="5"/>
  <c r="E74" i="5"/>
  <c r="D74" i="5"/>
  <c r="C74" i="5"/>
  <c r="B74" i="5"/>
  <c r="T73" i="5"/>
  <c r="S73" i="5"/>
  <c r="Q73" i="5"/>
  <c r="P73" i="5"/>
  <c r="O73" i="5"/>
  <c r="N73" i="5"/>
  <c r="M73" i="5"/>
  <c r="L73" i="5"/>
  <c r="K73" i="5"/>
  <c r="J73" i="5"/>
  <c r="I73" i="5"/>
  <c r="H73" i="5"/>
  <c r="G73" i="5"/>
  <c r="F73" i="5"/>
  <c r="E73" i="5"/>
  <c r="D73" i="5"/>
  <c r="C73" i="5"/>
  <c r="B73" i="5"/>
  <c r="T72" i="5"/>
  <c r="S72" i="5"/>
  <c r="P72" i="5"/>
  <c r="O72" i="5"/>
  <c r="N72" i="5"/>
  <c r="M72" i="5"/>
  <c r="L72" i="5"/>
  <c r="K72" i="5"/>
  <c r="J72" i="5"/>
  <c r="I72" i="5"/>
  <c r="H72" i="5"/>
  <c r="G72" i="5"/>
  <c r="F72" i="5"/>
  <c r="E72" i="5"/>
  <c r="D72" i="5"/>
  <c r="C72" i="5"/>
  <c r="B72" i="5"/>
  <c r="T71" i="5"/>
  <c r="S71" i="5"/>
  <c r="P71" i="5"/>
  <c r="O71" i="5"/>
  <c r="N71" i="5"/>
  <c r="M71" i="5"/>
  <c r="L71" i="5"/>
  <c r="K71" i="5"/>
  <c r="J71" i="5"/>
  <c r="I71" i="5"/>
  <c r="H71" i="5"/>
  <c r="G71" i="5"/>
  <c r="F71" i="5"/>
  <c r="E71" i="5"/>
  <c r="D71" i="5"/>
  <c r="C71" i="5"/>
  <c r="B71" i="5"/>
  <c r="T70" i="5"/>
  <c r="S70" i="5"/>
  <c r="P70" i="5"/>
  <c r="O70" i="5"/>
  <c r="N70" i="5"/>
  <c r="M70" i="5"/>
  <c r="L70" i="5"/>
  <c r="K70" i="5"/>
  <c r="J70" i="5"/>
  <c r="I70" i="5"/>
  <c r="H70" i="5"/>
  <c r="G70" i="5"/>
  <c r="F70" i="5"/>
  <c r="E70" i="5"/>
  <c r="D70" i="5"/>
  <c r="C70" i="5"/>
  <c r="B70" i="5"/>
  <c r="T69" i="5"/>
  <c r="S69" i="5"/>
  <c r="P69" i="5"/>
  <c r="O69" i="5"/>
  <c r="N69" i="5"/>
  <c r="M69" i="5"/>
  <c r="L69" i="5"/>
  <c r="K69" i="5"/>
  <c r="J69" i="5"/>
  <c r="I69" i="5"/>
  <c r="H69" i="5"/>
  <c r="G69" i="5"/>
  <c r="F69" i="5"/>
  <c r="E69" i="5"/>
  <c r="D69" i="5"/>
  <c r="C69" i="5"/>
  <c r="B69" i="5"/>
  <c r="T68" i="5"/>
  <c r="S68" i="5"/>
  <c r="P68" i="5"/>
  <c r="O68" i="5"/>
  <c r="N68" i="5"/>
  <c r="M68" i="5"/>
  <c r="L68" i="5"/>
  <c r="K68" i="5"/>
  <c r="J68" i="5"/>
  <c r="I68" i="5"/>
  <c r="H68" i="5"/>
  <c r="G68" i="5"/>
  <c r="F68" i="5"/>
  <c r="E68" i="5"/>
  <c r="D68" i="5"/>
  <c r="C68" i="5"/>
  <c r="B68" i="5"/>
  <c r="T67" i="5"/>
  <c r="S67" i="5"/>
  <c r="Q67" i="5"/>
  <c r="P67" i="5"/>
  <c r="O67" i="5"/>
  <c r="N67" i="5"/>
  <c r="M67" i="5"/>
  <c r="L67" i="5"/>
  <c r="K67" i="5"/>
  <c r="J67" i="5"/>
  <c r="I67" i="5"/>
  <c r="H67" i="5"/>
  <c r="G67" i="5"/>
  <c r="F67" i="5"/>
  <c r="E67" i="5"/>
  <c r="D67" i="5"/>
  <c r="C67" i="5"/>
  <c r="B67" i="5"/>
  <c r="T66" i="5"/>
  <c r="S66" i="5"/>
  <c r="P66" i="5"/>
  <c r="O66" i="5"/>
  <c r="N66" i="5"/>
  <c r="M66" i="5"/>
  <c r="L66" i="5"/>
  <c r="K66" i="5"/>
  <c r="J66" i="5"/>
  <c r="I66" i="5"/>
  <c r="H66" i="5"/>
  <c r="G66" i="5"/>
  <c r="F66" i="5"/>
  <c r="E66" i="5"/>
  <c r="D66" i="5"/>
  <c r="C66" i="5"/>
  <c r="B66" i="5"/>
  <c r="T65" i="5"/>
  <c r="S65" i="5"/>
  <c r="Q65" i="5"/>
  <c r="P65" i="5"/>
  <c r="O65" i="5"/>
  <c r="N65" i="5"/>
  <c r="M65" i="5"/>
  <c r="L65" i="5"/>
  <c r="K65" i="5"/>
  <c r="J65" i="5"/>
  <c r="I65" i="5"/>
  <c r="H65" i="5"/>
  <c r="G65" i="5"/>
  <c r="F65" i="5"/>
  <c r="E65" i="5"/>
  <c r="D65" i="5"/>
  <c r="C65" i="5"/>
  <c r="B65" i="5"/>
  <c r="T64" i="5"/>
  <c r="S64" i="5"/>
  <c r="P64" i="5"/>
  <c r="O64" i="5"/>
  <c r="N64" i="5"/>
  <c r="M64" i="5"/>
  <c r="L64" i="5"/>
  <c r="K64" i="5"/>
  <c r="J64" i="5"/>
  <c r="I64" i="5"/>
  <c r="H64" i="5"/>
  <c r="G64" i="5"/>
  <c r="F64" i="5"/>
  <c r="E64" i="5"/>
  <c r="D64" i="5"/>
  <c r="C64" i="5"/>
  <c r="B64" i="5"/>
  <c r="T63" i="5"/>
  <c r="S63" i="5"/>
  <c r="P63" i="5"/>
  <c r="O63" i="5"/>
  <c r="N63" i="5"/>
  <c r="M63" i="5"/>
  <c r="L63" i="5"/>
  <c r="K63" i="5"/>
  <c r="J63" i="5"/>
  <c r="I63" i="5"/>
  <c r="H63" i="5"/>
  <c r="G63" i="5"/>
  <c r="F63" i="5"/>
  <c r="E63" i="5"/>
  <c r="D63" i="5"/>
  <c r="C63" i="5"/>
  <c r="B63" i="5"/>
  <c r="T62" i="5"/>
  <c r="S62" i="5"/>
  <c r="P62" i="5"/>
  <c r="O62" i="5"/>
  <c r="N62" i="5"/>
  <c r="M62" i="5"/>
  <c r="L62" i="5"/>
  <c r="K62" i="5"/>
  <c r="J62" i="5"/>
  <c r="I62" i="5"/>
  <c r="H62" i="5"/>
  <c r="G62" i="5"/>
  <c r="F62" i="5"/>
  <c r="E62" i="5"/>
  <c r="D62" i="5"/>
  <c r="C62" i="5"/>
  <c r="B62" i="5"/>
  <c r="T61" i="5"/>
  <c r="S61" i="5"/>
  <c r="R61" i="5"/>
  <c r="P61" i="5"/>
  <c r="O61" i="5"/>
  <c r="N61" i="5"/>
  <c r="M61" i="5"/>
  <c r="L61" i="5"/>
  <c r="K61" i="5"/>
  <c r="J61" i="5"/>
  <c r="I61" i="5"/>
  <c r="H61" i="5"/>
  <c r="G61" i="5"/>
  <c r="F61" i="5"/>
  <c r="E61" i="5"/>
  <c r="D61" i="5"/>
  <c r="C61" i="5"/>
  <c r="B61" i="5"/>
  <c r="T60" i="5"/>
  <c r="S60" i="5"/>
  <c r="R60" i="5"/>
  <c r="Q60" i="5"/>
  <c r="P60" i="5"/>
  <c r="O60" i="5"/>
  <c r="N60" i="5"/>
  <c r="M60" i="5"/>
  <c r="L60" i="5"/>
  <c r="K60" i="5"/>
  <c r="J60" i="5"/>
  <c r="I60" i="5"/>
  <c r="H60" i="5"/>
  <c r="G60" i="5"/>
  <c r="F60" i="5"/>
  <c r="E60" i="5"/>
  <c r="D60" i="5"/>
  <c r="C60" i="5"/>
  <c r="B60" i="5"/>
  <c r="T59" i="5"/>
  <c r="S59" i="5"/>
  <c r="P59" i="5"/>
  <c r="O59" i="5"/>
  <c r="N59" i="5"/>
  <c r="M59" i="5"/>
  <c r="L59" i="5"/>
  <c r="K59" i="5"/>
  <c r="J59" i="5"/>
  <c r="I59" i="5"/>
  <c r="H59" i="5"/>
  <c r="G59" i="5"/>
  <c r="F59" i="5"/>
  <c r="E59" i="5"/>
  <c r="D59" i="5"/>
  <c r="C59" i="5"/>
  <c r="B59" i="5"/>
  <c r="T58" i="5"/>
  <c r="S58" i="5"/>
  <c r="P58" i="5"/>
  <c r="O58" i="5"/>
  <c r="N58" i="5"/>
  <c r="M58" i="5"/>
  <c r="L58" i="5"/>
  <c r="K58" i="5"/>
  <c r="J58" i="5"/>
  <c r="I58" i="5"/>
  <c r="H58" i="5"/>
  <c r="G58" i="5"/>
  <c r="F58" i="5"/>
  <c r="E58" i="5"/>
  <c r="D58" i="5"/>
  <c r="C58" i="5"/>
  <c r="B58" i="5"/>
  <c r="T57" i="5"/>
  <c r="S57" i="5"/>
  <c r="P57" i="5"/>
  <c r="O57" i="5"/>
  <c r="N57" i="5"/>
  <c r="M57" i="5"/>
  <c r="L57" i="5"/>
  <c r="K57" i="5"/>
  <c r="J57" i="5"/>
  <c r="I57" i="5"/>
  <c r="H57" i="5"/>
  <c r="G57" i="5"/>
  <c r="F57" i="5"/>
  <c r="E57" i="5"/>
  <c r="D57" i="5"/>
  <c r="C57" i="5"/>
  <c r="B57" i="5"/>
  <c r="T56" i="5"/>
  <c r="S56" i="5"/>
  <c r="P56" i="5"/>
  <c r="O56" i="5"/>
  <c r="N56" i="5"/>
  <c r="M56" i="5"/>
  <c r="L56" i="5"/>
  <c r="K56" i="5"/>
  <c r="J56" i="5"/>
  <c r="I56" i="5"/>
  <c r="H56" i="5"/>
  <c r="G56" i="5"/>
  <c r="F56" i="5"/>
  <c r="E56" i="5"/>
  <c r="D56" i="5"/>
  <c r="C56" i="5"/>
  <c r="B56" i="5"/>
  <c r="T55" i="5"/>
  <c r="S55" i="5"/>
  <c r="P55" i="5"/>
  <c r="O55" i="5"/>
  <c r="N55" i="5"/>
  <c r="M55" i="5"/>
  <c r="L55" i="5"/>
  <c r="K55" i="5"/>
  <c r="J55" i="5"/>
  <c r="I55" i="5"/>
  <c r="H55" i="5"/>
  <c r="G55" i="5"/>
  <c r="F55" i="5"/>
  <c r="E55" i="5"/>
  <c r="D55" i="5"/>
  <c r="C55" i="5"/>
  <c r="B55" i="5"/>
  <c r="T54" i="5"/>
  <c r="S54" i="5"/>
  <c r="P54" i="5"/>
  <c r="O54" i="5"/>
  <c r="N54" i="5"/>
  <c r="M54" i="5"/>
  <c r="L54" i="5"/>
  <c r="K54" i="5"/>
  <c r="J54" i="5"/>
  <c r="I54" i="5"/>
  <c r="H54" i="5"/>
  <c r="G54" i="5"/>
  <c r="F54" i="5"/>
  <c r="E54" i="5"/>
  <c r="D54" i="5"/>
  <c r="C54" i="5"/>
  <c r="B54" i="5"/>
  <c r="T53" i="5"/>
  <c r="S53" i="5"/>
  <c r="P53" i="5"/>
  <c r="O53" i="5"/>
  <c r="N53" i="5"/>
  <c r="M53" i="5"/>
  <c r="L53" i="5"/>
  <c r="K53" i="5"/>
  <c r="J53" i="5"/>
  <c r="I53" i="5"/>
  <c r="H53" i="5"/>
  <c r="G53" i="5"/>
  <c r="F53" i="5"/>
  <c r="E53" i="5"/>
  <c r="D53" i="5"/>
  <c r="C53" i="5"/>
  <c r="B53" i="5"/>
  <c r="T52" i="5"/>
  <c r="S52" i="5"/>
  <c r="Q52" i="5"/>
  <c r="P52" i="5"/>
  <c r="O52" i="5"/>
  <c r="N52" i="5"/>
  <c r="M52" i="5"/>
  <c r="L52" i="5"/>
  <c r="K52" i="5"/>
  <c r="J52" i="5"/>
  <c r="I52" i="5"/>
  <c r="H52" i="5"/>
  <c r="G52" i="5"/>
  <c r="F52" i="5"/>
  <c r="E52" i="5"/>
  <c r="D52" i="5"/>
  <c r="C52" i="5"/>
  <c r="B52" i="5"/>
  <c r="T51" i="5"/>
  <c r="S51" i="5"/>
  <c r="P51" i="5"/>
  <c r="O51" i="5"/>
  <c r="N51" i="5"/>
  <c r="M51" i="5"/>
  <c r="L51" i="5"/>
  <c r="K51" i="5"/>
  <c r="J51" i="5"/>
  <c r="I51" i="5"/>
  <c r="H51" i="5"/>
  <c r="G51" i="5"/>
  <c r="F51" i="5"/>
  <c r="E51" i="5"/>
  <c r="D51" i="5"/>
  <c r="C51" i="5"/>
  <c r="B51" i="5"/>
  <c r="T50" i="5"/>
  <c r="S50" i="5"/>
  <c r="P50" i="5"/>
  <c r="O50" i="5"/>
  <c r="N50" i="5"/>
  <c r="M50" i="5"/>
  <c r="L50" i="5"/>
  <c r="K50" i="5"/>
  <c r="J50" i="5"/>
  <c r="I50" i="5"/>
  <c r="H50" i="5"/>
  <c r="G50" i="5"/>
  <c r="F50" i="5"/>
  <c r="E50" i="5"/>
  <c r="D50" i="5"/>
  <c r="C50" i="5"/>
  <c r="B50" i="5"/>
  <c r="T49" i="5"/>
  <c r="S49" i="5"/>
  <c r="P49" i="5"/>
  <c r="O49" i="5"/>
  <c r="N49" i="5"/>
  <c r="M49" i="5"/>
  <c r="L49" i="5"/>
  <c r="K49" i="5"/>
  <c r="J49" i="5"/>
  <c r="I49" i="5"/>
  <c r="H49" i="5"/>
  <c r="G49" i="5"/>
  <c r="F49" i="5"/>
  <c r="E49" i="5"/>
  <c r="D49" i="5"/>
  <c r="C49" i="5"/>
  <c r="B49" i="5"/>
  <c r="T48" i="5"/>
  <c r="S48" i="5"/>
  <c r="P48" i="5"/>
  <c r="O48" i="5"/>
  <c r="N48" i="5"/>
  <c r="M48" i="5"/>
  <c r="L48" i="5"/>
  <c r="K48" i="5"/>
  <c r="J48" i="5"/>
  <c r="I48" i="5"/>
  <c r="H48" i="5"/>
  <c r="G48" i="5"/>
  <c r="F48" i="5"/>
  <c r="E48" i="5"/>
  <c r="D48" i="5"/>
  <c r="C48" i="5"/>
  <c r="B48" i="5"/>
  <c r="T47" i="5"/>
  <c r="S47" i="5"/>
  <c r="P47" i="5"/>
  <c r="O47" i="5"/>
  <c r="N47" i="5"/>
  <c r="M47" i="5"/>
  <c r="L47" i="5"/>
  <c r="K47" i="5"/>
  <c r="J47" i="5"/>
  <c r="I47" i="5"/>
  <c r="H47" i="5"/>
  <c r="G47" i="5"/>
  <c r="F47" i="5"/>
  <c r="E47" i="5"/>
  <c r="D47" i="5"/>
  <c r="C47" i="5"/>
  <c r="B47" i="5"/>
  <c r="T46" i="5"/>
  <c r="S46" i="5"/>
  <c r="P46" i="5"/>
  <c r="O46" i="5"/>
  <c r="N46" i="5"/>
  <c r="M46" i="5"/>
  <c r="L46" i="5"/>
  <c r="K46" i="5"/>
  <c r="J46" i="5"/>
  <c r="I46" i="5"/>
  <c r="H46" i="5"/>
  <c r="G46" i="5"/>
  <c r="F46" i="5"/>
  <c r="E46" i="5"/>
  <c r="D46" i="5"/>
  <c r="C46" i="5"/>
  <c r="B46" i="5"/>
  <c r="T45" i="5"/>
  <c r="S45" i="5"/>
  <c r="P45" i="5"/>
  <c r="O45" i="5"/>
  <c r="N45" i="5"/>
  <c r="M45" i="5"/>
  <c r="L45" i="5"/>
  <c r="K45" i="5"/>
  <c r="J45" i="5"/>
  <c r="I45" i="5"/>
  <c r="H45" i="5"/>
  <c r="G45" i="5"/>
  <c r="F45" i="5"/>
  <c r="E45" i="5"/>
  <c r="D45" i="5"/>
  <c r="C45" i="5"/>
  <c r="B45" i="5"/>
  <c r="T44" i="5"/>
  <c r="S44" i="5"/>
  <c r="P44" i="5"/>
  <c r="O44" i="5"/>
  <c r="N44" i="5"/>
  <c r="M44" i="5"/>
  <c r="L44" i="5"/>
  <c r="K44" i="5"/>
  <c r="J44" i="5"/>
  <c r="I44" i="5"/>
  <c r="H44" i="5"/>
  <c r="G44" i="5"/>
  <c r="F44" i="5"/>
  <c r="E44" i="5"/>
  <c r="D44" i="5"/>
  <c r="C44" i="5"/>
  <c r="B44" i="5"/>
  <c r="T43" i="5"/>
  <c r="S43" i="5"/>
  <c r="P43" i="5"/>
  <c r="O43" i="5"/>
  <c r="N43" i="5"/>
  <c r="M43" i="5"/>
  <c r="L43" i="5"/>
  <c r="K43" i="5"/>
  <c r="J43" i="5"/>
  <c r="I43" i="5"/>
  <c r="H43" i="5"/>
  <c r="G43" i="5"/>
  <c r="F43" i="5"/>
  <c r="E43" i="5"/>
  <c r="D43" i="5"/>
  <c r="C43" i="5"/>
  <c r="B43" i="5"/>
  <c r="T42" i="5"/>
  <c r="S42" i="5"/>
  <c r="P42" i="5"/>
  <c r="O42" i="5"/>
  <c r="N42" i="5"/>
  <c r="M42" i="5"/>
  <c r="L42" i="5"/>
  <c r="K42" i="5"/>
  <c r="J42" i="5"/>
  <c r="I42" i="5"/>
  <c r="H42" i="5"/>
  <c r="G42" i="5"/>
  <c r="F42" i="5"/>
  <c r="E42" i="5"/>
  <c r="D42" i="5"/>
  <c r="C42" i="5"/>
  <c r="B42" i="5"/>
  <c r="T41" i="5"/>
  <c r="S41" i="5"/>
  <c r="R41" i="5"/>
  <c r="Q41" i="5"/>
  <c r="P41" i="5"/>
  <c r="O41" i="5"/>
  <c r="N41" i="5"/>
  <c r="M41" i="5"/>
  <c r="L41" i="5"/>
  <c r="K41" i="5"/>
  <c r="J41" i="5"/>
  <c r="I41" i="5"/>
  <c r="H41" i="5"/>
  <c r="G41" i="5"/>
  <c r="F41" i="5"/>
  <c r="E41" i="5"/>
  <c r="D41" i="5"/>
  <c r="C41" i="5"/>
  <c r="B41" i="5"/>
  <c r="T40" i="5"/>
  <c r="S40" i="5"/>
  <c r="P40" i="5"/>
  <c r="O40" i="5"/>
  <c r="N40" i="5"/>
  <c r="M40" i="5"/>
  <c r="L40" i="5"/>
  <c r="K40" i="5"/>
  <c r="J40" i="5"/>
  <c r="I40" i="5"/>
  <c r="H40" i="5"/>
  <c r="G40" i="5"/>
  <c r="F40" i="5"/>
  <c r="E40" i="5"/>
  <c r="D40" i="5"/>
  <c r="C40" i="5"/>
  <c r="B40" i="5"/>
  <c r="T39" i="5"/>
  <c r="S39" i="5"/>
  <c r="Q39" i="5"/>
  <c r="P39" i="5"/>
  <c r="O39" i="5"/>
  <c r="N39" i="5"/>
  <c r="M39" i="5"/>
  <c r="L39" i="5"/>
  <c r="K39" i="5"/>
  <c r="J39" i="5"/>
  <c r="I39" i="5"/>
  <c r="H39" i="5"/>
  <c r="G39" i="5"/>
  <c r="F39" i="5"/>
  <c r="E39" i="5"/>
  <c r="D39" i="5"/>
  <c r="C39" i="5"/>
  <c r="B39" i="5"/>
  <c r="T38" i="5"/>
  <c r="S38" i="5"/>
  <c r="P38" i="5"/>
  <c r="O38" i="5"/>
  <c r="N38" i="5"/>
  <c r="M38" i="5"/>
  <c r="L38" i="5"/>
  <c r="K38" i="5"/>
  <c r="J38" i="5"/>
  <c r="I38" i="5"/>
  <c r="H38" i="5"/>
  <c r="G38" i="5"/>
  <c r="F38" i="5"/>
  <c r="E38" i="5"/>
  <c r="D38" i="5"/>
  <c r="C38" i="5"/>
  <c r="B38" i="5"/>
  <c r="T37" i="5"/>
  <c r="S37" i="5"/>
  <c r="P37" i="5"/>
  <c r="O37" i="5"/>
  <c r="N37" i="5"/>
  <c r="M37" i="5"/>
  <c r="L37" i="5"/>
  <c r="K37" i="5"/>
  <c r="J37" i="5"/>
  <c r="I37" i="5"/>
  <c r="H37" i="5"/>
  <c r="G37" i="5"/>
  <c r="F37" i="5"/>
  <c r="E37" i="5"/>
  <c r="D37" i="5"/>
  <c r="C37" i="5"/>
  <c r="B37" i="5"/>
  <c r="T36" i="5"/>
  <c r="S36" i="5"/>
  <c r="P36" i="5"/>
  <c r="O36" i="5"/>
  <c r="N36" i="5"/>
  <c r="M36" i="5"/>
  <c r="L36" i="5"/>
  <c r="K36" i="5"/>
  <c r="J36" i="5"/>
  <c r="I36" i="5"/>
  <c r="H36" i="5"/>
  <c r="G36" i="5"/>
  <c r="F36" i="5"/>
  <c r="E36" i="5"/>
  <c r="D36" i="5"/>
  <c r="C36" i="5"/>
  <c r="B36" i="5"/>
  <c r="T35" i="5"/>
  <c r="S35" i="5"/>
  <c r="P35" i="5"/>
  <c r="O35" i="5"/>
  <c r="N35" i="5"/>
  <c r="M35" i="5"/>
  <c r="L35" i="5"/>
  <c r="K35" i="5"/>
  <c r="J35" i="5"/>
  <c r="I35" i="5"/>
  <c r="H35" i="5"/>
  <c r="G35" i="5"/>
  <c r="F35" i="5"/>
  <c r="E35" i="5"/>
  <c r="D35" i="5"/>
  <c r="C35" i="5"/>
  <c r="B35" i="5"/>
  <c r="T34" i="5"/>
  <c r="S34" i="5"/>
  <c r="P34" i="5"/>
  <c r="O34" i="5"/>
  <c r="N34" i="5"/>
  <c r="M34" i="5"/>
  <c r="L34" i="5"/>
  <c r="K34" i="5"/>
  <c r="J34" i="5"/>
  <c r="I34" i="5"/>
  <c r="H34" i="5"/>
  <c r="G34" i="5"/>
  <c r="F34" i="5"/>
  <c r="E34" i="5"/>
  <c r="D34" i="5"/>
  <c r="C34" i="5"/>
  <c r="B34" i="5"/>
  <c r="T33" i="5"/>
  <c r="S33" i="5"/>
  <c r="P33" i="5"/>
  <c r="O33" i="5"/>
  <c r="N33" i="5"/>
  <c r="M33" i="5"/>
  <c r="L33" i="5"/>
  <c r="K33" i="5"/>
  <c r="J33" i="5"/>
  <c r="I33" i="5"/>
  <c r="H33" i="5"/>
  <c r="G33" i="5"/>
  <c r="F33" i="5"/>
  <c r="E33" i="5"/>
  <c r="D33" i="5"/>
  <c r="C33" i="5"/>
  <c r="B33" i="5"/>
  <c r="T32" i="5"/>
  <c r="S32" i="5"/>
  <c r="P32" i="5"/>
  <c r="O32" i="5"/>
  <c r="N32" i="5"/>
  <c r="M32" i="5"/>
  <c r="L32" i="5"/>
  <c r="K32" i="5"/>
  <c r="J32" i="5"/>
  <c r="I32" i="5"/>
  <c r="H32" i="5"/>
  <c r="G32" i="5"/>
  <c r="F32" i="5"/>
  <c r="E32" i="5"/>
  <c r="D32" i="5"/>
  <c r="C32" i="5"/>
  <c r="B32" i="5"/>
  <c r="T31" i="5"/>
  <c r="S31" i="5"/>
  <c r="P31" i="5"/>
  <c r="O31" i="5"/>
  <c r="N31" i="5"/>
  <c r="M31" i="5"/>
  <c r="L31" i="5"/>
  <c r="K31" i="5"/>
  <c r="J31" i="5"/>
  <c r="I31" i="5"/>
  <c r="H31" i="5"/>
  <c r="G31" i="5"/>
  <c r="F31" i="5"/>
  <c r="E31" i="5"/>
  <c r="D31" i="5"/>
  <c r="C31" i="5"/>
  <c r="B31" i="5"/>
  <c r="T30" i="5"/>
  <c r="S30" i="5"/>
  <c r="P30" i="5"/>
  <c r="O30" i="5"/>
  <c r="N30" i="5"/>
  <c r="M30" i="5"/>
  <c r="L30" i="5"/>
  <c r="K30" i="5"/>
  <c r="J30" i="5"/>
  <c r="I30" i="5"/>
  <c r="H30" i="5"/>
  <c r="G30" i="5"/>
  <c r="F30" i="5"/>
  <c r="E30" i="5"/>
  <c r="D30" i="5"/>
  <c r="C30" i="5"/>
  <c r="B30" i="5"/>
  <c r="T29" i="5"/>
  <c r="S29" i="5"/>
  <c r="P29" i="5"/>
  <c r="O29" i="5"/>
  <c r="N29" i="5"/>
  <c r="M29" i="5"/>
  <c r="L29" i="5"/>
  <c r="K29" i="5"/>
  <c r="J29" i="5"/>
  <c r="I29" i="5"/>
  <c r="H29" i="5"/>
  <c r="G29" i="5"/>
  <c r="F29" i="5"/>
  <c r="E29" i="5"/>
  <c r="D29" i="5"/>
  <c r="C29" i="5"/>
  <c r="B29" i="5"/>
  <c r="T28" i="5"/>
  <c r="S28" i="5"/>
  <c r="Q28" i="5"/>
  <c r="P28" i="5"/>
  <c r="O28" i="5"/>
  <c r="N28" i="5"/>
  <c r="M28" i="5"/>
  <c r="L28" i="5"/>
  <c r="K28" i="5"/>
  <c r="J28" i="5"/>
  <c r="I28" i="5"/>
  <c r="H28" i="5"/>
  <c r="G28" i="5"/>
  <c r="F28" i="5"/>
  <c r="E28" i="5"/>
  <c r="D28" i="5"/>
  <c r="C28" i="5"/>
  <c r="B28" i="5"/>
  <c r="T27" i="5"/>
  <c r="S27" i="5"/>
  <c r="P27" i="5"/>
  <c r="O27" i="5"/>
  <c r="N27" i="5"/>
  <c r="M27" i="5"/>
  <c r="L27" i="5"/>
  <c r="K27" i="5"/>
  <c r="J27" i="5"/>
  <c r="I27" i="5"/>
  <c r="H27" i="5"/>
  <c r="G27" i="5"/>
  <c r="F27" i="5"/>
  <c r="E27" i="5"/>
  <c r="D27" i="5"/>
  <c r="C27" i="5"/>
  <c r="B27" i="5"/>
  <c r="T26" i="5"/>
  <c r="S26" i="5"/>
  <c r="Q26" i="5"/>
  <c r="P26" i="5"/>
  <c r="O26" i="5"/>
  <c r="N26" i="5"/>
  <c r="M26" i="5"/>
  <c r="L26" i="5"/>
  <c r="K26" i="5"/>
  <c r="J26" i="5"/>
  <c r="I26" i="5"/>
  <c r="H26" i="5"/>
  <c r="G26" i="5"/>
  <c r="F26" i="5"/>
  <c r="E26" i="5"/>
  <c r="D26" i="5"/>
  <c r="C26" i="5"/>
  <c r="B26" i="5"/>
  <c r="T25" i="5"/>
  <c r="S25" i="5"/>
  <c r="P25" i="5"/>
  <c r="O25" i="5"/>
  <c r="N25" i="5"/>
  <c r="M25" i="5"/>
  <c r="L25" i="5"/>
  <c r="K25" i="5"/>
  <c r="J25" i="5"/>
  <c r="I25" i="5"/>
  <c r="H25" i="5"/>
  <c r="G25" i="5"/>
  <c r="F25" i="5"/>
  <c r="E25" i="5"/>
  <c r="D25" i="5"/>
  <c r="C25" i="5"/>
  <c r="B25" i="5"/>
  <c r="T24" i="5"/>
  <c r="S24" i="5"/>
  <c r="P24" i="5"/>
  <c r="O24" i="5"/>
  <c r="N24" i="5"/>
  <c r="M24" i="5"/>
  <c r="L24" i="5"/>
  <c r="K24" i="5"/>
  <c r="J24" i="5"/>
  <c r="I24" i="5"/>
  <c r="H24" i="5"/>
  <c r="G24" i="5"/>
  <c r="F24" i="5"/>
  <c r="E24" i="5"/>
  <c r="D24" i="5"/>
  <c r="C24" i="5"/>
  <c r="B24" i="5"/>
  <c r="T23" i="5"/>
  <c r="S23" i="5"/>
  <c r="P23" i="5"/>
  <c r="O23" i="5"/>
  <c r="N23" i="5"/>
  <c r="M23" i="5"/>
  <c r="L23" i="5"/>
  <c r="K23" i="5"/>
  <c r="J23" i="5"/>
  <c r="I23" i="5"/>
  <c r="H23" i="5"/>
  <c r="G23" i="5"/>
  <c r="F23" i="5"/>
  <c r="E23" i="5"/>
  <c r="D23" i="5"/>
  <c r="C23" i="5"/>
  <c r="B23" i="5"/>
  <c r="T22" i="5"/>
  <c r="S22" i="5"/>
  <c r="P22" i="5"/>
  <c r="O22" i="5"/>
  <c r="N22" i="5"/>
  <c r="M22" i="5"/>
  <c r="L22" i="5"/>
  <c r="K22" i="5"/>
  <c r="J22" i="5"/>
  <c r="I22" i="5"/>
  <c r="H22" i="5"/>
  <c r="G22" i="5"/>
  <c r="F22" i="5"/>
  <c r="E22" i="5"/>
  <c r="D22" i="5"/>
  <c r="C22" i="5"/>
  <c r="B22" i="5"/>
  <c r="T21" i="5"/>
  <c r="S21" i="5"/>
  <c r="Q21" i="5"/>
  <c r="P21" i="5"/>
  <c r="O21" i="5"/>
  <c r="N21" i="5"/>
  <c r="M21" i="5"/>
  <c r="L21" i="5"/>
  <c r="K21" i="5"/>
  <c r="J21" i="5"/>
  <c r="I21" i="5"/>
  <c r="H21" i="5"/>
  <c r="G21" i="5"/>
  <c r="F21" i="5"/>
  <c r="E21" i="5"/>
  <c r="D21" i="5"/>
  <c r="C21" i="5"/>
  <c r="B21" i="5"/>
  <c r="T20" i="5"/>
  <c r="S20" i="5"/>
  <c r="P20" i="5"/>
  <c r="O20" i="5"/>
  <c r="N20" i="5"/>
  <c r="M20" i="5"/>
  <c r="L20" i="5"/>
  <c r="K20" i="5"/>
  <c r="J20" i="5"/>
  <c r="I20" i="5"/>
  <c r="H20" i="5"/>
  <c r="G20" i="5"/>
  <c r="F20" i="5"/>
  <c r="E20" i="5"/>
  <c r="D20" i="5"/>
  <c r="C20" i="5"/>
  <c r="B20" i="5"/>
  <c r="T19" i="5"/>
  <c r="S19" i="5"/>
  <c r="R19" i="5"/>
  <c r="P19" i="5"/>
  <c r="O19" i="5"/>
  <c r="N19" i="5"/>
  <c r="M19" i="5"/>
  <c r="L19" i="5"/>
  <c r="K19" i="5"/>
  <c r="J19" i="5"/>
  <c r="I19" i="5"/>
  <c r="H19" i="5"/>
  <c r="G19" i="5"/>
  <c r="F19" i="5"/>
  <c r="E19" i="5"/>
  <c r="D19" i="5"/>
  <c r="C19" i="5"/>
  <c r="B19" i="5"/>
  <c r="T18" i="5"/>
  <c r="S18" i="5"/>
  <c r="P18" i="5"/>
  <c r="O18" i="5"/>
  <c r="N18" i="5"/>
  <c r="M18" i="5"/>
  <c r="L18" i="5"/>
  <c r="K18" i="5"/>
  <c r="J18" i="5"/>
  <c r="I18" i="5"/>
  <c r="H18" i="5"/>
  <c r="G18" i="5"/>
  <c r="F18" i="5"/>
  <c r="E18" i="5"/>
  <c r="D18" i="5"/>
  <c r="C18" i="5"/>
  <c r="B18" i="5"/>
  <c r="T17" i="5"/>
  <c r="S17" i="5"/>
  <c r="P17" i="5"/>
  <c r="O17" i="5"/>
  <c r="N17" i="5"/>
  <c r="M17" i="5"/>
  <c r="L17" i="5"/>
  <c r="K17" i="5"/>
  <c r="J17" i="5"/>
  <c r="I17" i="5"/>
  <c r="H17" i="5"/>
  <c r="G17" i="5"/>
  <c r="F17" i="5"/>
  <c r="E17" i="5"/>
  <c r="D17" i="5"/>
  <c r="C17" i="5"/>
  <c r="B17" i="5"/>
  <c r="T16" i="5"/>
  <c r="S16" i="5"/>
  <c r="P16" i="5"/>
  <c r="O16" i="5"/>
  <c r="N16" i="5"/>
  <c r="M16" i="5"/>
  <c r="L16" i="5"/>
  <c r="K16" i="5"/>
  <c r="J16" i="5"/>
  <c r="I16" i="5"/>
  <c r="H16" i="5"/>
  <c r="G16" i="5"/>
  <c r="F16" i="5"/>
  <c r="E16" i="5"/>
  <c r="D16" i="5"/>
  <c r="C16" i="5"/>
  <c r="B16" i="5"/>
  <c r="T15" i="5"/>
  <c r="S15" i="5"/>
  <c r="Q15" i="5"/>
  <c r="P15" i="5"/>
  <c r="O15" i="5"/>
  <c r="N15" i="5"/>
  <c r="M15" i="5"/>
  <c r="L15" i="5"/>
  <c r="K15" i="5"/>
  <c r="J15" i="5"/>
  <c r="I15" i="5"/>
  <c r="H15" i="5"/>
  <c r="G15" i="5"/>
  <c r="F15" i="5"/>
  <c r="E15" i="5"/>
  <c r="D15" i="5"/>
  <c r="C15" i="5"/>
  <c r="B15" i="5"/>
  <c r="T14" i="5"/>
  <c r="S14" i="5"/>
  <c r="Q14" i="5"/>
  <c r="P14" i="5"/>
  <c r="O14" i="5"/>
  <c r="N14" i="5"/>
  <c r="M14" i="5"/>
  <c r="L14" i="5"/>
  <c r="K14" i="5"/>
  <c r="J14" i="5"/>
  <c r="I14" i="5"/>
  <c r="H14" i="5"/>
  <c r="G14" i="5"/>
  <c r="F14" i="5"/>
  <c r="E14" i="5"/>
  <c r="D14" i="5"/>
  <c r="C14" i="5"/>
  <c r="B14" i="5"/>
  <c r="T13" i="5"/>
  <c r="S13" i="5"/>
  <c r="P13" i="5"/>
  <c r="O13" i="5"/>
  <c r="N13" i="5"/>
  <c r="M13" i="5"/>
  <c r="L13" i="5"/>
  <c r="K13" i="5"/>
  <c r="J13" i="5"/>
  <c r="I13" i="5"/>
  <c r="H13" i="5"/>
  <c r="G13" i="5"/>
  <c r="F13" i="5"/>
  <c r="E13" i="5"/>
  <c r="D13" i="5"/>
  <c r="C13" i="5"/>
  <c r="B13" i="5"/>
  <c r="T12" i="5"/>
  <c r="S12" i="5"/>
  <c r="P12" i="5"/>
  <c r="O12" i="5"/>
  <c r="N12" i="5"/>
  <c r="M12" i="5"/>
  <c r="L12" i="5"/>
  <c r="K12" i="5"/>
  <c r="J12" i="5"/>
  <c r="I12" i="5"/>
  <c r="H12" i="5"/>
  <c r="G12" i="5"/>
  <c r="F12" i="5"/>
  <c r="E12" i="5"/>
  <c r="D12" i="5"/>
  <c r="C12" i="5"/>
  <c r="B12" i="5"/>
  <c r="T11" i="5"/>
  <c r="S11" i="5"/>
  <c r="P11" i="5"/>
  <c r="O11" i="5"/>
  <c r="N11" i="5"/>
  <c r="M11" i="5"/>
  <c r="L11" i="5"/>
  <c r="K11" i="5"/>
  <c r="J11" i="5"/>
  <c r="I11" i="5"/>
  <c r="H11" i="5"/>
  <c r="G11" i="5"/>
  <c r="F11" i="5"/>
  <c r="E11" i="5"/>
  <c r="D11" i="5"/>
  <c r="C11" i="5"/>
  <c r="B11" i="5"/>
  <c r="T10" i="5"/>
  <c r="S10" i="5"/>
  <c r="P10" i="5"/>
  <c r="O10" i="5"/>
  <c r="N10" i="5"/>
  <c r="M10" i="5"/>
  <c r="L10" i="5"/>
  <c r="K10" i="5"/>
  <c r="J10" i="5"/>
  <c r="I10" i="5"/>
  <c r="H10" i="5"/>
  <c r="G10" i="5"/>
  <c r="F10" i="5"/>
  <c r="E10" i="5"/>
  <c r="D10" i="5"/>
  <c r="C10" i="5"/>
  <c r="B10" i="5"/>
  <c r="T9" i="5"/>
  <c r="S9" i="5"/>
  <c r="P9" i="5"/>
  <c r="O9" i="5"/>
  <c r="N9" i="5"/>
  <c r="M9" i="5"/>
  <c r="L9" i="5"/>
  <c r="K9" i="5"/>
  <c r="J9" i="5"/>
  <c r="I9" i="5"/>
  <c r="H9" i="5"/>
  <c r="G9" i="5"/>
  <c r="F9" i="5"/>
  <c r="E9" i="5"/>
  <c r="D9" i="5"/>
  <c r="C9" i="5"/>
  <c r="B9" i="5"/>
  <c r="B34" i="4"/>
  <c r="B33" i="4"/>
  <c r="B32" i="4"/>
  <c r="B31" i="4"/>
  <c r="B30" i="4"/>
  <c r="B29" i="4"/>
  <c r="B28" i="4"/>
  <c r="B27" i="4"/>
  <c r="B26" i="4"/>
  <c r="B25" i="4"/>
  <c r="B24" i="4"/>
  <c r="B23" i="4"/>
  <c r="B22" i="4"/>
  <c r="B21" i="4"/>
  <c r="B20" i="4"/>
  <c r="B19" i="4"/>
  <c r="B18" i="4"/>
  <c r="B17" i="4"/>
  <c r="B16" i="4"/>
  <c r="B15" i="4"/>
  <c r="J11" i="4"/>
  <c r="G11" i="4"/>
  <c r="A11" i="4"/>
  <c r="S145" i="3"/>
  <c r="T145" i="3" s="1"/>
  <c r="R145" i="5" s="1"/>
  <c r="S144" i="3"/>
  <c r="T144" i="3" s="1"/>
  <c r="R144" i="5" s="1"/>
  <c r="S143" i="3"/>
  <c r="S142" i="3"/>
  <c r="Q142" i="5" s="1"/>
  <c r="T141" i="3"/>
  <c r="S141" i="3"/>
  <c r="Q141" i="5" s="1"/>
  <c r="S140" i="3"/>
  <c r="T140" i="3" s="1"/>
  <c r="R140" i="5" s="1"/>
  <c r="S139" i="3"/>
  <c r="T139" i="3" s="1"/>
  <c r="S138" i="3"/>
  <c r="S137" i="3"/>
  <c r="T137" i="3" s="1"/>
  <c r="S136" i="3"/>
  <c r="Q136" i="5" s="1"/>
  <c r="T135" i="3"/>
  <c r="R135" i="5" s="1"/>
  <c r="S135" i="3"/>
  <c r="T134" i="3"/>
  <c r="R134" i="5" s="1"/>
  <c r="S134" i="3"/>
  <c r="Q134" i="5" s="1"/>
  <c r="T133" i="3"/>
  <c r="S133" i="3"/>
  <c r="Q133" i="5" s="1"/>
  <c r="S132" i="3"/>
  <c r="T132" i="3" s="1"/>
  <c r="S131" i="3"/>
  <c r="Q131" i="5" s="1"/>
  <c r="S130" i="3"/>
  <c r="T129" i="3"/>
  <c r="R129" i="5" s="1"/>
  <c r="S129" i="3"/>
  <c r="Q129" i="5" s="1"/>
  <c r="S128" i="3"/>
  <c r="T128" i="3" s="1"/>
  <c r="R128" i="5" s="1"/>
  <c r="T127" i="3"/>
  <c r="S127" i="3"/>
  <c r="Q127" i="5" s="1"/>
  <c r="S126" i="3"/>
  <c r="S125" i="3"/>
  <c r="Q125" i="5" s="1"/>
  <c r="S124" i="3"/>
  <c r="T124" i="3" s="1"/>
  <c r="R124" i="5" s="1"/>
  <c r="S123" i="3"/>
  <c r="Q123" i="5" s="1"/>
  <c r="S122" i="3"/>
  <c r="Q122" i="5" s="1"/>
  <c r="S121" i="3"/>
  <c r="Q121" i="5" s="1"/>
  <c r="S120" i="3"/>
  <c r="T120" i="3" s="1"/>
  <c r="R120" i="5" s="1"/>
  <c r="S119" i="3"/>
  <c r="Q119" i="5" s="1"/>
  <c r="S118" i="3"/>
  <c r="Q118" i="5" s="1"/>
  <c r="S117" i="3"/>
  <c r="T116" i="3"/>
  <c r="R116" i="5" s="1"/>
  <c r="S116" i="3"/>
  <c r="Q116" i="5" s="1"/>
  <c r="S115" i="3"/>
  <c r="T115" i="3" s="1"/>
  <c r="R115" i="5" s="1"/>
  <c r="S114" i="3"/>
  <c r="T113" i="3"/>
  <c r="S113" i="3"/>
  <c r="S112" i="3"/>
  <c r="T112" i="3" s="1"/>
  <c r="R112" i="5" s="1"/>
  <c r="S111" i="3"/>
  <c r="T111" i="3" s="1"/>
  <c r="R111" i="5" s="1"/>
  <c r="S110" i="3"/>
  <c r="Q110" i="5" s="1"/>
  <c r="S109" i="3"/>
  <c r="Q109" i="5" s="1"/>
  <c r="S108" i="3"/>
  <c r="T107" i="3"/>
  <c r="R107" i="5" s="1"/>
  <c r="S107" i="3"/>
  <c r="Q107" i="5" s="1"/>
  <c r="S106" i="3"/>
  <c r="Q106" i="5" s="1"/>
  <c r="S105" i="3"/>
  <c r="Q105" i="5" s="1"/>
  <c r="S104" i="3"/>
  <c r="T104" i="3" s="1"/>
  <c r="R104" i="5" s="1"/>
  <c r="S103" i="3"/>
  <c r="Q103" i="5" s="1"/>
  <c r="S102" i="3"/>
  <c r="S101" i="3"/>
  <c r="Q101" i="5" s="1"/>
  <c r="T100" i="3"/>
  <c r="R100" i="5" s="1"/>
  <c r="S100" i="3"/>
  <c r="S99" i="3"/>
  <c r="T99" i="3" s="1"/>
  <c r="R99" i="5" s="1"/>
  <c r="S98" i="3"/>
  <c r="T98" i="3" s="1"/>
  <c r="S97" i="3"/>
  <c r="Q97" i="5" s="1"/>
  <c r="S96" i="3"/>
  <c r="S95" i="3"/>
  <c r="Q95" i="5" s="1"/>
  <c r="T94" i="3"/>
  <c r="R94" i="5" s="1"/>
  <c r="S94" i="3"/>
  <c r="Q94" i="5" s="1"/>
  <c r="S93" i="3"/>
  <c r="T93" i="3" s="1"/>
  <c r="R93" i="5" s="1"/>
  <c r="S92" i="3"/>
  <c r="Q92" i="5" s="1"/>
  <c r="S91" i="3"/>
  <c r="T91" i="3" s="1"/>
  <c r="R91" i="5" s="1"/>
  <c r="S90" i="3"/>
  <c r="S89" i="3"/>
  <c r="T89" i="3" s="1"/>
  <c r="R89" i="5" s="1"/>
  <c r="T88" i="3"/>
  <c r="R88" i="5" s="1"/>
  <c r="S88" i="3"/>
  <c r="Q88" i="5" s="1"/>
  <c r="T87" i="3"/>
  <c r="R87" i="5" s="1"/>
  <c r="S87" i="3"/>
  <c r="S86" i="3"/>
  <c r="T86" i="3" s="1"/>
  <c r="R86" i="5" s="1"/>
  <c r="S85" i="3"/>
  <c r="Q85" i="5" s="1"/>
  <c r="S84" i="3"/>
  <c r="T83" i="3"/>
  <c r="R83" i="5" s="1"/>
  <c r="S83" i="3"/>
  <c r="Q83" i="5" s="1"/>
  <c r="S82" i="3"/>
  <c r="Q82" i="5" s="1"/>
  <c r="T81" i="3"/>
  <c r="R81" i="5" s="1"/>
  <c r="S81" i="3"/>
  <c r="Q81" i="5" s="1"/>
  <c r="S80" i="3"/>
  <c r="T80" i="3" s="1"/>
  <c r="R80" i="5" s="1"/>
  <c r="S79" i="3"/>
  <c r="Q79" i="5" s="1"/>
  <c r="S78" i="3"/>
  <c r="S77" i="3"/>
  <c r="Q77" i="5" s="1"/>
  <c r="S76" i="3"/>
  <c r="T76" i="3" s="1"/>
  <c r="R76" i="5" s="1"/>
  <c r="S75" i="3"/>
  <c r="Q75" i="5" s="1"/>
  <c r="T74" i="3"/>
  <c r="S74" i="3"/>
  <c r="S73" i="3"/>
  <c r="T73" i="3" s="1"/>
  <c r="R73" i="5" s="1"/>
  <c r="S72" i="3"/>
  <c r="T72" i="3" s="1"/>
  <c r="R72" i="5" s="1"/>
  <c r="S71" i="3"/>
  <c r="T70" i="3"/>
  <c r="R70" i="5" s="1"/>
  <c r="S70" i="3"/>
  <c r="Q70" i="5" s="1"/>
  <c r="S69" i="3"/>
  <c r="Q69" i="5" s="1"/>
  <c r="T68" i="3"/>
  <c r="R68" i="5" s="1"/>
  <c r="S68" i="3"/>
  <c r="Q68" i="5" s="1"/>
  <c r="S67" i="3"/>
  <c r="T67" i="3" s="1"/>
  <c r="R67" i="5" s="1"/>
  <c r="S66" i="3"/>
  <c r="S65" i="3"/>
  <c r="T65" i="3" s="1"/>
  <c r="R65" i="5" s="1"/>
  <c r="T64" i="3"/>
  <c r="S64" i="3"/>
  <c r="Q64" i="5" s="1"/>
  <c r="S63" i="3"/>
  <c r="Q63" i="5" s="1"/>
  <c r="S62" i="3"/>
  <c r="Q62" i="5" s="1"/>
  <c r="T61" i="3"/>
  <c r="S61" i="3"/>
  <c r="Q61" i="5" s="1"/>
  <c r="S60" i="3"/>
  <c r="T60" i="3" s="1"/>
  <c r="S59" i="3"/>
  <c r="Q59" i="5" s="1"/>
  <c r="S58" i="3"/>
  <c r="S57" i="3"/>
  <c r="Q57" i="5" s="1"/>
  <c r="S56" i="3"/>
  <c r="Q56" i="5" s="1"/>
  <c r="T55" i="3"/>
  <c r="R55" i="5" s="1"/>
  <c r="S55" i="3"/>
  <c r="Q55" i="5" s="1"/>
  <c r="S54" i="3"/>
  <c r="S53" i="3"/>
  <c r="T53" i="3" s="1"/>
  <c r="R53" i="5" s="1"/>
  <c r="S52" i="3"/>
  <c r="T52" i="3" s="1"/>
  <c r="R52" i="5" s="1"/>
  <c r="S51" i="3"/>
  <c r="Q51" i="5" s="1"/>
  <c r="S50" i="3"/>
  <c r="T50" i="3" s="1"/>
  <c r="T49" i="3"/>
  <c r="R49" i="5" s="1"/>
  <c r="S49" i="3"/>
  <c r="Q49" i="5" s="1"/>
  <c r="S48" i="3"/>
  <c r="T48" i="3" s="1"/>
  <c r="R48" i="5" s="1"/>
  <c r="S47" i="3"/>
  <c r="Q47" i="5" s="1"/>
  <c r="S46" i="3"/>
  <c r="Q46" i="5" s="1"/>
  <c r="S45" i="3"/>
  <c r="S44" i="3"/>
  <c r="Q44" i="5" s="1"/>
  <c r="S43" i="3"/>
  <c r="Q43" i="5" s="1"/>
  <c r="S42" i="3"/>
  <c r="T41" i="3"/>
  <c r="S41" i="3"/>
  <c r="S40" i="3"/>
  <c r="T40" i="3" s="1"/>
  <c r="R40" i="5" s="1"/>
  <c r="S39" i="3"/>
  <c r="T39" i="3" s="1"/>
  <c r="R39" i="5" s="1"/>
  <c r="T38" i="3"/>
  <c r="R38" i="5" s="1"/>
  <c r="S38" i="3"/>
  <c r="Q38" i="5" s="1"/>
  <c r="S37" i="3"/>
  <c r="Q37" i="5" s="1"/>
  <c r="S36" i="3"/>
  <c r="T35" i="3"/>
  <c r="R35" i="5" s="1"/>
  <c r="S35" i="3"/>
  <c r="Q35" i="5" s="1"/>
  <c r="S34" i="3"/>
  <c r="Q34" i="5" s="1"/>
  <c r="S33" i="3"/>
  <c r="Q33" i="5" s="1"/>
  <c r="S32" i="3"/>
  <c r="T32" i="3" s="1"/>
  <c r="R32" i="5" s="1"/>
  <c r="S31" i="3"/>
  <c r="Q31" i="5" s="1"/>
  <c r="S30" i="3"/>
  <c r="S29" i="3"/>
  <c r="Q29" i="5" s="1"/>
  <c r="T28" i="3"/>
  <c r="R28" i="5" s="1"/>
  <c r="S28" i="3"/>
  <c r="S27" i="3"/>
  <c r="Q27" i="5" s="1"/>
  <c r="S26" i="3"/>
  <c r="T26" i="3" s="1"/>
  <c r="R26" i="5" s="1"/>
  <c r="S25" i="3"/>
  <c r="Q25" i="5" s="1"/>
  <c r="S24" i="3"/>
  <c r="S23" i="3"/>
  <c r="Q23" i="5" s="1"/>
  <c r="T22" i="3"/>
  <c r="R22" i="5" s="1"/>
  <c r="S22" i="3"/>
  <c r="Q22" i="5" s="1"/>
  <c r="S21" i="3"/>
  <c r="T21" i="3" s="1"/>
  <c r="R21" i="5" s="1"/>
  <c r="S20" i="3"/>
  <c r="T20" i="3" s="1"/>
  <c r="R20" i="5" s="1"/>
  <c r="S19" i="3"/>
  <c r="T19" i="3" s="1"/>
  <c r="S18" i="3"/>
  <c r="S17" i="3"/>
  <c r="Q17" i="5" s="1"/>
  <c r="S16" i="3"/>
  <c r="Q16" i="5" s="1"/>
  <c r="T15" i="3"/>
  <c r="R15" i="5" s="1"/>
  <c r="S15" i="3"/>
  <c r="S14" i="3"/>
  <c r="T14" i="3" s="1"/>
  <c r="R14" i="5" s="1"/>
  <c r="S13" i="3"/>
  <c r="Q13" i="5" s="1"/>
  <c r="S12" i="3"/>
  <c r="S11" i="3"/>
  <c r="Q11" i="5" s="1"/>
  <c r="S10" i="3"/>
  <c r="Q10" i="5" s="1"/>
  <c r="T9" i="3"/>
  <c r="S9" i="3"/>
  <c r="Q9" i="5" s="1"/>
  <c r="E32" i="2"/>
  <c r="B29" i="2"/>
  <c r="B13" i="2"/>
  <c r="B16" i="2" s="1"/>
  <c r="F53" i="1"/>
  <c r="F42" i="1"/>
  <c r="F41" i="1"/>
  <c r="F40" i="1"/>
  <c r="F39" i="1"/>
  <c r="F38" i="1"/>
  <c r="F37" i="1"/>
  <c r="F33" i="1"/>
  <c r="F32" i="1"/>
  <c r="F31" i="1"/>
  <c r="F30" i="1"/>
  <c r="F29" i="1"/>
  <c r="F28" i="1"/>
  <c r="F24" i="1"/>
  <c r="F23" i="1"/>
  <c r="F22" i="1"/>
  <c r="F21" i="1"/>
  <c r="F20" i="1"/>
  <c r="F19" i="1"/>
  <c r="F25" i="1" l="1"/>
  <c r="F44" i="1" s="1"/>
  <c r="F43" i="1"/>
  <c r="F46" i="1" s="1"/>
  <c r="R50" i="5"/>
  <c r="C33" i="4"/>
  <c r="D33" i="4" s="1"/>
  <c r="T24" i="3"/>
  <c r="R24" i="5" s="1"/>
  <c r="Q24" i="5"/>
  <c r="R64" i="5"/>
  <c r="R137" i="5"/>
  <c r="T16" i="3"/>
  <c r="R16" i="5" s="1"/>
  <c r="T57" i="3"/>
  <c r="T97" i="3"/>
  <c r="R97" i="5" s="1"/>
  <c r="Q114" i="5"/>
  <c r="T114" i="3"/>
  <c r="R114" i="5" s="1"/>
  <c r="T122" i="3"/>
  <c r="R122" i="5" s="1"/>
  <c r="Q130" i="5"/>
  <c r="T130" i="3"/>
  <c r="Q30" i="5"/>
  <c r="T30" i="3"/>
  <c r="R30" i="5" s="1"/>
  <c r="Q50" i="5"/>
  <c r="Q128" i="5"/>
  <c r="C19" i="10"/>
  <c r="T63" i="3"/>
  <c r="R63" i="5" s="1"/>
  <c r="Q71" i="5"/>
  <c r="T71" i="3"/>
  <c r="T95" i="3"/>
  <c r="T103" i="3"/>
  <c r="R103" i="5" s="1"/>
  <c r="Q89" i="5"/>
  <c r="Q115" i="5"/>
  <c r="F85" i="9"/>
  <c r="C22" i="10"/>
  <c r="T23" i="3"/>
  <c r="R23" i="5" s="1"/>
  <c r="T31" i="3"/>
  <c r="R31" i="5" s="1"/>
  <c r="T56" i="3"/>
  <c r="R56" i="5" s="1"/>
  <c r="T96" i="3"/>
  <c r="R96" i="5" s="1"/>
  <c r="Q96" i="5"/>
  <c r="T121" i="3"/>
  <c r="R121" i="5" s="1"/>
  <c r="T136" i="3"/>
  <c r="R136" i="5" s="1"/>
  <c r="Q76" i="5"/>
  <c r="F38" i="9"/>
  <c r="E32" i="10"/>
  <c r="C22" i="4"/>
  <c r="D22" i="4" s="1"/>
  <c r="T82" i="3"/>
  <c r="R82" i="5" s="1"/>
  <c r="F34" i="1"/>
  <c r="F45" i="1" s="1"/>
  <c r="T10" i="3"/>
  <c r="R10" i="5" s="1"/>
  <c r="Q18" i="5"/>
  <c r="T18" i="3"/>
  <c r="T43" i="3"/>
  <c r="R43" i="5" s="1"/>
  <c r="T51" i="3"/>
  <c r="R51" i="5" s="1"/>
  <c r="T75" i="3"/>
  <c r="R75" i="5" s="1"/>
  <c r="T108" i="3"/>
  <c r="R108" i="5" s="1"/>
  <c r="Q108" i="5"/>
  <c r="R9" i="5"/>
  <c r="Q42" i="5"/>
  <c r="T42" i="3"/>
  <c r="R42" i="5" s="1"/>
  <c r="T36" i="3"/>
  <c r="Q36" i="5"/>
  <c r="R141" i="5"/>
  <c r="T11" i="3"/>
  <c r="R11" i="5" s="1"/>
  <c r="F209" i="9"/>
  <c r="T12" i="3"/>
  <c r="R12" i="5" s="1"/>
  <c r="Q12" i="5"/>
  <c r="T37" i="3"/>
  <c r="R37" i="5" s="1"/>
  <c r="T45" i="3"/>
  <c r="R45" i="5" s="1"/>
  <c r="Q45" i="5"/>
  <c r="T69" i="3"/>
  <c r="R69" i="5" s="1"/>
  <c r="T101" i="3"/>
  <c r="R101" i="5" s="1"/>
  <c r="T142" i="3"/>
  <c r="R142" i="5" s="1"/>
  <c r="F162" i="9"/>
  <c r="F171" i="9"/>
  <c r="E20" i="10"/>
  <c r="C12" i="10"/>
  <c r="C33" i="10"/>
  <c r="T25" i="3"/>
  <c r="R25" i="5" s="1"/>
  <c r="Q58" i="5"/>
  <c r="T58" i="3"/>
  <c r="R58" i="5" s="1"/>
  <c r="F65" i="9"/>
  <c r="C16" i="10"/>
  <c r="T17" i="3"/>
  <c r="R17" i="5" s="1"/>
  <c r="Q90" i="5"/>
  <c r="T90" i="3"/>
  <c r="R90" i="5" s="1"/>
  <c r="T123" i="3"/>
  <c r="T44" i="3"/>
  <c r="R44" i="5" s="1"/>
  <c r="T84" i="3"/>
  <c r="Q84" i="5"/>
  <c r="T109" i="3"/>
  <c r="R109" i="5" s="1"/>
  <c r="T117" i="3"/>
  <c r="Q117" i="5"/>
  <c r="T29" i="3"/>
  <c r="T62" i="3"/>
  <c r="R62" i="5" s="1"/>
  <c r="T77" i="3"/>
  <c r="R77" i="5" s="1"/>
  <c r="Q102" i="5"/>
  <c r="T102" i="3"/>
  <c r="R102" i="5" s="1"/>
  <c r="T110" i="3"/>
  <c r="R110" i="5" s="1"/>
  <c r="C31" i="4"/>
  <c r="D31" i="4" s="1"/>
  <c r="R127" i="5"/>
  <c r="Q143" i="5"/>
  <c r="T143" i="3"/>
  <c r="R143" i="5" s="1"/>
  <c r="Q19" i="5"/>
  <c r="Q32" i="5"/>
  <c r="F148" i="9"/>
  <c r="F194" i="9"/>
  <c r="T13" i="3"/>
  <c r="R13" i="5" s="1"/>
  <c r="T46" i="3"/>
  <c r="R46" i="5" s="1"/>
  <c r="T59" i="3"/>
  <c r="R59" i="5" s="1"/>
  <c r="T79" i="3"/>
  <c r="T92" i="3"/>
  <c r="R92" i="5" s="1"/>
  <c r="Q53" i="5"/>
  <c r="T27" i="3"/>
  <c r="R27" i="5" s="1"/>
  <c r="T125" i="3"/>
  <c r="R125" i="5" s="1"/>
  <c r="Q78" i="5"/>
  <c r="T78" i="3"/>
  <c r="R78" i="5" s="1"/>
  <c r="E30" i="10"/>
  <c r="T33" i="3"/>
  <c r="R33" i="5" s="1"/>
  <c r="Q66" i="5"/>
  <c r="T66" i="3"/>
  <c r="R66" i="5" s="1"/>
  <c r="T118" i="3"/>
  <c r="R118" i="5" s="1"/>
  <c r="T131" i="3"/>
  <c r="R131" i="5" s="1"/>
  <c r="Q40" i="5"/>
  <c r="Q99" i="5"/>
  <c r="Q112" i="5"/>
  <c r="T34" i="3"/>
  <c r="R34" i="5" s="1"/>
  <c r="T47" i="3"/>
  <c r="R47" i="5" s="1"/>
  <c r="Q54" i="5"/>
  <c r="T54" i="3"/>
  <c r="R54" i="5" s="1"/>
  <c r="T106" i="3"/>
  <c r="T119" i="3"/>
  <c r="R119" i="5" s="1"/>
  <c r="Q126" i="5"/>
  <c r="T126" i="3"/>
  <c r="R126" i="5" s="1"/>
  <c r="Q20" i="5"/>
  <c r="Q140" i="5"/>
  <c r="F48" i="9"/>
  <c r="F117" i="9"/>
  <c r="F134" i="9"/>
  <c r="T85" i="3"/>
  <c r="R85" i="5" s="1"/>
  <c r="T105" i="3"/>
  <c r="R105" i="5" s="1"/>
  <c r="Q138" i="5"/>
  <c r="T138" i="3"/>
  <c r="R138" i="5" s="1"/>
  <c r="Q48" i="5"/>
  <c r="Q72" i="5"/>
  <c r="Q120" i="5"/>
  <c r="Q144" i="5"/>
  <c r="C27" i="10"/>
  <c r="H26" i="12"/>
  <c r="D29" i="12" s="1"/>
  <c r="F47" i="1" l="1"/>
  <c r="C15" i="10"/>
  <c r="C18" i="4"/>
  <c r="D18" i="4" s="1"/>
  <c r="R36" i="5"/>
  <c r="L14" i="16"/>
  <c r="D37" i="16"/>
  <c r="L14" i="15"/>
  <c r="D36" i="15"/>
  <c r="D35" i="15"/>
  <c r="C23" i="10"/>
  <c r="C17" i="4"/>
  <c r="D17" i="4" s="1"/>
  <c r="R29" i="5"/>
  <c r="D32" i="12"/>
  <c r="D31" i="12"/>
  <c r="C25" i="10"/>
  <c r="D37" i="15"/>
  <c r="D27" i="10"/>
  <c r="E27" i="10"/>
  <c r="R117" i="5"/>
  <c r="C29" i="4"/>
  <c r="D29" i="4" s="1"/>
  <c r="E33" i="10"/>
  <c r="D33" i="10"/>
  <c r="C19" i="4"/>
  <c r="D19" i="4" s="1"/>
  <c r="R79" i="5"/>
  <c r="C24" i="4"/>
  <c r="D24" i="4" s="1"/>
  <c r="E16" i="10"/>
  <c r="D30" i="16"/>
  <c r="C17" i="10"/>
  <c r="D29" i="15"/>
  <c r="R106" i="5"/>
  <c r="C28" i="4"/>
  <c r="D28" i="4" s="1"/>
  <c r="C21" i="4"/>
  <c r="D21" i="4" s="1"/>
  <c r="C29" i="10"/>
  <c r="D41" i="15"/>
  <c r="C16" i="4"/>
  <c r="D16" i="4" s="1"/>
  <c r="R18" i="5"/>
  <c r="C31" i="10"/>
  <c r="R95" i="5"/>
  <c r="C27" i="4"/>
  <c r="D27" i="4" s="1"/>
  <c r="C15" i="4"/>
  <c r="D15" i="4" s="1"/>
  <c r="C26" i="10"/>
  <c r="D39" i="16"/>
  <c r="D11" i="4"/>
  <c r="R71" i="5"/>
  <c r="C23" i="4"/>
  <c r="D23" i="4" s="1"/>
  <c r="R130" i="5"/>
  <c r="C32" i="4"/>
  <c r="D32" i="4" s="1"/>
  <c r="C21" i="10"/>
  <c r="D33" i="15"/>
  <c r="R123" i="5"/>
  <c r="C30" i="4"/>
  <c r="D30" i="4" s="1"/>
  <c r="D26" i="15"/>
  <c r="C14" i="10"/>
  <c r="D27" i="16"/>
  <c r="D19" i="10"/>
  <c r="E19" i="10"/>
  <c r="D22" i="10"/>
  <c r="E22" i="10"/>
  <c r="R84" i="5"/>
  <c r="C25" i="4"/>
  <c r="D25" i="4" s="1"/>
  <c r="E12" i="10"/>
  <c r="D12" i="10"/>
  <c r="C34" i="4"/>
  <c r="D34" i="4" s="1"/>
  <c r="C26" i="4"/>
  <c r="D26" i="4" s="1"/>
  <c r="D26" i="16"/>
  <c r="C13" i="10"/>
  <c r="D25" i="15"/>
  <c r="R57" i="5"/>
  <c r="C20" i="4"/>
  <c r="D20" i="4" s="1"/>
  <c r="F222" i="9"/>
  <c r="D36" i="16" s="1"/>
  <c r="J36" i="16" l="1"/>
  <c r="H36" i="16"/>
  <c r="I36" i="16"/>
  <c r="E23" i="10"/>
  <c r="D23" i="10"/>
  <c r="D38" i="15"/>
  <c r="E17" i="10"/>
  <c r="D17" i="10"/>
  <c r="E21" i="10"/>
  <c r="D21" i="10"/>
  <c r="J30" i="16"/>
  <c r="I30" i="16"/>
  <c r="H30" i="16"/>
  <c r="I37" i="15"/>
  <c r="H37" i="15"/>
  <c r="J37" i="15"/>
  <c r="J37" i="16"/>
  <c r="H37" i="16"/>
  <c r="I37" i="16"/>
  <c r="D42" i="16"/>
  <c r="F226" i="9"/>
  <c r="F229" i="9" s="1"/>
  <c r="C38" i="10" s="1"/>
  <c r="F234" i="9"/>
  <c r="F225" i="9"/>
  <c r="D42" i="15"/>
  <c r="D30" i="15"/>
  <c r="D41" i="16"/>
  <c r="D31" i="16"/>
  <c r="D43" i="16"/>
  <c r="F224" i="9"/>
  <c r="D44" i="15"/>
  <c r="D39" i="15"/>
  <c r="D35" i="16"/>
  <c r="D29" i="16"/>
  <c r="D32" i="16"/>
  <c r="D33" i="16"/>
  <c r="D28" i="15"/>
  <c r="D34" i="15"/>
  <c r="D32" i="10"/>
  <c r="D32" i="15"/>
  <c r="D45" i="15"/>
  <c r="D46" i="16"/>
  <c r="D28" i="10"/>
  <c r="D40" i="16"/>
  <c r="D30" i="10"/>
  <c r="D18" i="10"/>
  <c r="D20" i="10"/>
  <c r="D31" i="15"/>
  <c r="D44" i="16"/>
  <c r="D40" i="15"/>
  <c r="D25" i="16"/>
  <c r="D24" i="15"/>
  <c r="D45" i="16"/>
  <c r="D34" i="16"/>
  <c r="E31" i="10"/>
  <c r="D31" i="10"/>
  <c r="D16" i="10"/>
  <c r="D25" i="10"/>
  <c r="E25" i="10"/>
  <c r="D43" i="15"/>
  <c r="D38" i="16"/>
  <c r="D14" i="10"/>
  <c r="E14" i="10"/>
  <c r="J39" i="16"/>
  <c r="I39" i="16"/>
  <c r="H39" i="16"/>
  <c r="J26" i="15"/>
  <c r="I26" i="15"/>
  <c r="H26" i="15"/>
  <c r="D26" i="10"/>
  <c r="E26" i="10"/>
  <c r="D27" i="15"/>
  <c r="I35" i="15"/>
  <c r="H35" i="15"/>
  <c r="J35" i="15"/>
  <c r="I25" i="15"/>
  <c r="H25" i="15"/>
  <c r="J25" i="15"/>
  <c r="E15" i="10"/>
  <c r="D15" i="10"/>
  <c r="I29" i="15"/>
  <c r="H29" i="15"/>
  <c r="J29" i="15"/>
  <c r="I36" i="15"/>
  <c r="H36" i="15"/>
  <c r="J36" i="15"/>
  <c r="I33" i="15"/>
  <c r="H33" i="15"/>
  <c r="J33" i="15"/>
  <c r="E13" i="10"/>
  <c r="D13" i="10"/>
  <c r="I41" i="15"/>
  <c r="H41" i="15"/>
  <c r="J41" i="15"/>
  <c r="J26" i="16"/>
  <c r="H26" i="16"/>
  <c r="I26" i="16"/>
  <c r="J27" i="16"/>
  <c r="I27" i="16"/>
  <c r="H27" i="16"/>
  <c r="E29" i="10"/>
  <c r="D29" i="10"/>
  <c r="D28" i="16"/>
  <c r="I43" i="15" l="1"/>
  <c r="H43" i="15"/>
  <c r="J43" i="15"/>
  <c r="J33" i="16"/>
  <c r="I33" i="16"/>
  <c r="H33" i="16"/>
  <c r="J28" i="16"/>
  <c r="I28" i="16"/>
  <c r="H28" i="16"/>
  <c r="J40" i="16"/>
  <c r="I40" i="16"/>
  <c r="H40" i="16"/>
  <c r="J42" i="16"/>
  <c r="I42" i="16"/>
  <c r="H42" i="16"/>
  <c r="J34" i="16"/>
  <c r="I34" i="16"/>
  <c r="H34" i="16"/>
  <c r="J46" i="16"/>
  <c r="I46" i="16"/>
  <c r="H46" i="16"/>
  <c r="J38" i="15"/>
  <c r="I38" i="15"/>
  <c r="H38" i="15"/>
  <c r="J43" i="16"/>
  <c r="H43" i="16"/>
  <c r="I43" i="16"/>
  <c r="J32" i="15"/>
  <c r="I32" i="15"/>
  <c r="H32" i="15"/>
  <c r="H25" i="16"/>
  <c r="H47" i="16" s="1"/>
  <c r="A21" i="16" s="1"/>
  <c r="D47" i="16"/>
  <c r="I25" i="16"/>
  <c r="I47" i="16" s="1"/>
  <c r="D21" i="16" s="1"/>
  <c r="J25" i="16"/>
  <c r="J47" i="16" s="1"/>
  <c r="J40" i="15"/>
  <c r="H40" i="15"/>
  <c r="I40" i="15"/>
  <c r="J34" i="15"/>
  <c r="I34" i="15"/>
  <c r="H34" i="15"/>
  <c r="J30" i="15"/>
  <c r="I30" i="15"/>
  <c r="H30" i="15"/>
  <c r="I27" i="15"/>
  <c r="H27" i="15"/>
  <c r="J27" i="15"/>
  <c r="I31" i="15"/>
  <c r="H31" i="15"/>
  <c r="J31" i="15"/>
  <c r="J32" i="16"/>
  <c r="I32" i="16"/>
  <c r="H32" i="16"/>
  <c r="J29" i="16"/>
  <c r="I29" i="16"/>
  <c r="H29" i="16"/>
  <c r="I35" i="16"/>
  <c r="H35" i="16"/>
  <c r="J35" i="16"/>
  <c r="I39" i="15"/>
  <c r="H39" i="15"/>
  <c r="J39" i="15"/>
  <c r="J44" i="15"/>
  <c r="I44" i="15"/>
  <c r="H44" i="15"/>
  <c r="F227" i="9"/>
  <c r="J45" i="16"/>
  <c r="H45" i="16"/>
  <c r="I45" i="16"/>
  <c r="I45" i="15"/>
  <c r="H45" i="15"/>
  <c r="J45" i="15"/>
  <c r="I24" i="15"/>
  <c r="I46" i="15" s="1"/>
  <c r="D21" i="15" s="1"/>
  <c r="G21" i="15" s="1"/>
  <c r="H24" i="15"/>
  <c r="H46" i="15" s="1"/>
  <c r="A21" i="15" s="1"/>
  <c r="D46" i="15"/>
  <c r="J24" i="15"/>
  <c r="I31" i="16"/>
  <c r="H31" i="16"/>
  <c r="J31" i="16"/>
  <c r="J41" i="16"/>
  <c r="H41" i="16"/>
  <c r="I41" i="16"/>
  <c r="J38" i="16"/>
  <c r="I38" i="16"/>
  <c r="H38" i="16"/>
  <c r="J44" i="16"/>
  <c r="H44" i="16"/>
  <c r="I44" i="16"/>
  <c r="H28" i="15"/>
  <c r="J28" i="15"/>
  <c r="I28" i="15"/>
  <c r="J42" i="15"/>
  <c r="I42" i="15"/>
  <c r="H42" i="15"/>
  <c r="G69" i="16" l="1"/>
  <c r="J21" i="16"/>
  <c r="K22" i="16"/>
  <c r="G21" i="16"/>
  <c r="C36" i="10"/>
  <c r="F228" i="9"/>
  <c r="J21" i="15"/>
  <c r="G68" i="15"/>
  <c r="F231" i="9" l="1"/>
  <c r="C37" i="10"/>
  <c r="C24" i="10" l="1"/>
  <c r="C40" i="10"/>
  <c r="C42" i="10" s="1"/>
  <c r="F235" i="9"/>
  <c r="E24" i="10" l="1"/>
  <c r="D24" i="10"/>
  <c r="C34" i="10"/>
  <c r="D34" i="10" l="1"/>
  <c r="E34"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I26" authorId="0" shapeId="0" xr:uid="{00000000-0006-0000-0C00-000001000000}">
      <text>
        <r>
          <rPr>
            <sz val="11"/>
            <color theme="1"/>
            <rFont val="Calibri"/>
            <family val="2"/>
            <charset val="1"/>
          </rPr>
          <t>Cantidad acumulada = cantidad anterior + cantidad del presente acta.</t>
        </r>
      </text>
    </comment>
    <comment ref="J26" authorId="0" shapeId="0" xr:uid="{00000000-0006-0000-0C00-000002000000}">
      <text>
        <r>
          <rPr>
            <sz val="11"/>
            <color theme="1"/>
            <rFont val="Calibri"/>
            <family val="2"/>
            <charset val="1"/>
          </rPr>
          <t>Saldo = cantidad contractual - cantidad acumulada. No permite saldos negativos.</t>
        </r>
      </text>
    </comment>
    <comment ref="K26" authorId="0" shapeId="0" xr:uid="{00000000-0006-0000-0C00-000003000000}">
      <text>
        <r>
          <rPr>
            <sz val="11"/>
            <color theme="1"/>
            <rFont val="Calibri"/>
            <family val="2"/>
            <charset val="1"/>
          </rPr>
          <t>% ejecución = cantidad acumulada / cantidad contractual.</t>
        </r>
      </text>
    </comment>
  </commentList>
</comments>
</file>

<file path=xl/sharedStrings.xml><?xml version="1.0" encoding="utf-8"?>
<sst xmlns="http://schemas.openxmlformats.org/spreadsheetml/2006/main" count="5620" uniqueCount="2783">
  <si>
    <t>ANÁLISIS DE PRECIOS UNITARIOS</t>
  </si>
  <si>
    <t>CONTROL DOCUMENTAL</t>
  </si>
  <si>
    <t>Código</t>
  </si>
  <si>
    <t>m2</t>
  </si>
  <si>
    <t>1 Topógrafo + 1 Cadenero 1o</t>
  </si>
  <si>
    <t>m2/jornada</t>
  </si>
  <si>
    <t>REFORMAS Y REMODELACIONES</t>
  </si>
  <si>
    <t>RYR-AP-001</t>
  </si>
  <si>
    <t>DISEÑAMOS, RENOVAMOS Y CONSTRUIMOS ESPACIOS QUE INSPIRAN</t>
  </si>
  <si>
    <t>Versión</t>
  </si>
  <si>
    <t>Fecha de Emisión</t>
  </si>
  <si>
    <t>10/09/2026</t>
  </si>
  <si>
    <t>Página</t>
  </si>
  <si>
    <t>1 de 1</t>
  </si>
  <si>
    <t>LOCALIZACIÓN Y REPLANTEO</t>
  </si>
  <si>
    <t>IDENTIFICACIÓN DEL PROYECTO</t>
  </si>
  <si>
    <t>Proyecto</t>
  </si>
  <si>
    <t>No de Contrato</t>
  </si>
  <si>
    <t>Contratista</t>
  </si>
  <si>
    <t>Ubicación</t>
  </si>
  <si>
    <t>1.</t>
  </si>
  <si>
    <t>MATERIALES</t>
  </si>
  <si>
    <t>Descripción</t>
  </si>
  <si>
    <t>Und</t>
  </si>
  <si>
    <t>Cant.</t>
  </si>
  <si>
    <t>Vr Unit.</t>
  </si>
  <si>
    <t>Subtotal</t>
  </si>
  <si>
    <t>SUBTOTAL MATERIALES</t>
  </si>
  <si>
    <t>2.</t>
  </si>
  <si>
    <t>MANO DE OBRA</t>
  </si>
  <si>
    <t>SUBTOTAL MANO DE OBRA</t>
  </si>
  <si>
    <t>3.</t>
  </si>
  <si>
    <t>EQUIPOS Y HERRAMIENTAS</t>
  </si>
  <si>
    <t>SUBTOTAL EQUIPOS Y HERRAMIENTAS</t>
  </si>
  <si>
    <t xml:space="preserve">                Materiales</t>
  </si>
  <si>
    <t xml:space="preserve">                Mano de Obra</t>
  </si>
  <si>
    <t xml:space="preserve">                Equipos y herramientas</t>
  </si>
  <si>
    <t>TOTAL DIRECTO UNITARIO</t>
  </si>
  <si>
    <t>ELABORADO POR</t>
  </si>
  <si>
    <t>Vo. Bo. INTERVENTORÍA:</t>
  </si>
  <si>
    <t>FIRMA:</t>
  </si>
  <si>
    <t>NOMBRE:</t>
  </si>
  <si>
    <t>CARGO:</t>
  </si>
  <si>
    <t>REV. 10/09/2026</t>
  </si>
  <si>
    <t>FICHA TÉCNICA DEL PROYECTO</t>
  </si>
  <si>
    <t>RYR-FT-001</t>
  </si>
  <si>
    <t>DATOS GENERALES DEL PROYECTO</t>
  </si>
  <si>
    <t>Número de pisos (torre)</t>
  </si>
  <si>
    <t>pisos</t>
  </si>
  <si>
    <t>Número de sótanos (parqueaderos)</t>
  </si>
  <si>
    <t>niveles</t>
  </si>
  <si>
    <t>Área del lote</t>
  </si>
  <si>
    <t>m²</t>
  </si>
  <si>
    <t>Área construida típica por piso</t>
  </si>
  <si>
    <t>Área construida - torre (12 pisos)</t>
  </si>
  <si>
    <t>Área construida - sótanos (2 niveles)</t>
  </si>
  <si>
    <t>Área cubierta / cuarto de máquinas / tanques</t>
  </si>
  <si>
    <t>ÁREA TOTAL CONSTRUIDA</t>
  </si>
  <si>
    <t>Número de apartamentos</t>
  </si>
  <si>
    <t>und</t>
  </si>
  <si>
    <t>Área promedio por apartamento (vendible)</t>
  </si>
  <si>
    <t>Número de parqueaderos</t>
  </si>
  <si>
    <t>Número de ascensores</t>
  </si>
  <si>
    <t>Altura total aproximada (sótano a cubierta)</t>
  </si>
  <si>
    <t>m</t>
  </si>
  <si>
    <t>PARÁMETROS ECONÓMICOS DEL PRESUPUESTO</t>
  </si>
  <si>
    <t>Administración (A)</t>
  </si>
  <si>
    <t>% s/costo directo</t>
  </si>
  <si>
    <t>Imprevistos (I)</t>
  </si>
  <si>
    <t>Utilidad (U)</t>
  </si>
  <si>
    <t>IVA sobre Utilidad</t>
  </si>
  <si>
    <t>% s/utilidad (Ley 1943 / práctica AIU en Colombia)</t>
  </si>
  <si>
    <t>AIU TOTAL (A+I+U)</t>
  </si>
  <si>
    <t>FUENTES Y NOTAS METODOLÓGICAS</t>
  </si>
  <si>
    <t>1. Precios de referencia investigados para Bogotá D.C., 2026 (2° semestre). Son precios promedio de mercado; cada obra requiere cotización formal con proveedores.</t>
  </si>
  <si>
    <t>2. Rango de costo directo de construcción en Bogotá 2026 según fuentes de mercado: $2.200.000 - $3.800.000 COP/m² (Aliados de Obras, 2026); promedio de estabilización Ene-Abr 2026: ~$3.050.000 COP/m².</t>
  </si>
  <si>
    <t>3. Concreto 3000 PSI para estructura con formaletería: referencia ~$868.306 COP/m³ (Listado de Precios Unitarios, Secretaría de Infraestructura / Fidubogotá, ajustado a 2026).</t>
  </si>
  <si>
    <t>4. Acero de refuerzo figurado e instalado: referencia ~$6.500-7.000 COP/kg (Comando Construcciones, 2026; incremento por alza del 23,7% en el SMMLV 2026 según DANE-ICOCED).</t>
  </si>
  <si>
    <t>5. Ascensor eléctrico para edificio de 10+ pisos, alta velocidad, instalado: $450M-$750M COP por unidad (OTA Vertical, 2026). Se tomó valor medio.</t>
  </si>
  <si>
    <t>6. Índice de Costos de la Construcción de Edificaciones (ICOCED-DANE): variación interanual ene.2025-ene.2026 de +8,7% en Bogotá, impulsada por incremento salarial.</t>
  </si>
  <si>
    <t>7. AIU recomendado para edificaciones en Colombia: 25%-30% sobre costos directos (Administración 10-12%, Imprevistos 3-5%, Utilidad 10-15%). Se usó 26% (10%+4%+12%).</t>
  </si>
  <si>
    <t>8. IVA: en Colombia, para contratos de obra el IVA se causa típicamente sobre el componente de Utilidad (AIU), no sobre el costo directo de materiales de construcción de vivienda (parcialmente exentos). Verificar con contador/tributarista para el régimen aplicable a cada proyecto.</t>
  </si>
  <si>
    <t>9. Este documento es una ESTIMACIÓN DE PRESUPUESTO (clase de precisión ±15-20%), útil para prefactibilidad y anteproyecto. No reemplaza un presupuesto detallado con cubicación (cantidades de obra) tomada de planos definitivos y cotizaciones de proveedores.</t>
  </si>
  <si>
    <t>10. Celdas en color AZUL = dato de entrada editable. Celdas en NEGRO = fórmula (se recalculan automáticamente). Cambie cantidades y precios unitarios en la hoja 'Presupuesto' según su proyecto real.</t>
  </si>
  <si>
    <t>CANTIDADES DE OBRA</t>
  </si>
  <si>
    <t>RYR-CO-005</t>
  </si>
  <si>
    <t>ID</t>
  </si>
  <si>
    <t>Capítulo</t>
  </si>
  <si>
    <t>Subcapítulo</t>
  </si>
  <si>
    <t>Código actividad</t>
  </si>
  <si>
    <t>Actividad específica</t>
  </si>
  <si>
    <t>Ubicación / Frente</t>
  </si>
  <si>
    <t>Plano / Detalle</t>
  </si>
  <si>
    <t>Rev.</t>
  </si>
  <si>
    <t>Unidad</t>
  </si>
  <si>
    <t>Largo</t>
  </si>
  <si>
    <t>Ancho</t>
  </si>
  <si>
    <t>Alto / Prof.</t>
  </si>
  <si>
    <t>Espesor</t>
  </si>
  <si>
    <t>N° elementos</t>
  </si>
  <si>
    <t>Repeticiones</t>
  </si>
  <si>
    <t>Factor</t>
  </si>
  <si>
    <t>Deducción</t>
  </si>
  <si>
    <t>Desperdicio %</t>
  </si>
  <si>
    <t>Cantidad neta</t>
  </si>
  <si>
    <t>Cantidad final</t>
  </si>
  <si>
    <t>Fórmula / criterio</t>
  </si>
  <si>
    <t>Observación técnica</t>
  </si>
  <si>
    <t>Responsable</t>
  </si>
  <si>
    <t>Fecha</t>
  </si>
  <si>
    <t>Estado</t>
  </si>
  <si>
    <t>MQ-001</t>
  </si>
  <si>
    <t>PRELIMINARES</t>
  </si>
  <si>
    <t>Preliminares generales</t>
  </si>
  <si>
    <t>01.01.01</t>
  </si>
  <si>
    <t>Localización y Replanteo</t>
  </si>
  <si>
    <t>ml</t>
  </si>
  <si>
    <t>Pendiente</t>
  </si>
  <si>
    <t>MQ-002</t>
  </si>
  <si>
    <t>01.01.02</t>
  </si>
  <si>
    <t>Cerramiento provisional de obra</t>
  </si>
  <si>
    <t>MQ-003</t>
  </si>
  <si>
    <t>01.01.03</t>
  </si>
  <si>
    <t>Instalación de campamento y oficinas provisionales</t>
  </si>
  <si>
    <t>MQ-004</t>
  </si>
  <si>
    <t>01.01.04</t>
  </si>
  <si>
    <t>Adecuación de área de almacenamiento</t>
  </si>
  <si>
    <t>MQ-005</t>
  </si>
  <si>
    <t>01.01.05</t>
  </si>
  <si>
    <t>Señalización preventiva e informativa de obra</t>
  </si>
  <si>
    <t>MQ-006</t>
  </si>
  <si>
    <t>01.01.06</t>
  </si>
  <si>
    <t>Instalaciones provisionales de agua y energía</t>
  </si>
  <si>
    <t>gl</t>
  </si>
  <si>
    <t>MQ-007</t>
  </si>
  <si>
    <t>01.01.07</t>
  </si>
  <si>
    <t>Protección de elementos existentes</t>
  </si>
  <si>
    <t>MQ-008</t>
  </si>
  <si>
    <t>01.01.08</t>
  </si>
  <si>
    <t>Desmonte y limpieza inicial</t>
  </si>
  <si>
    <t>MQ-009</t>
  </si>
  <si>
    <t>01.01.09</t>
  </si>
  <si>
    <t>Demoliciones preliminares</t>
  </si>
  <si>
    <t>m³</t>
  </si>
  <si>
    <t>MQ-010</t>
  </si>
  <si>
    <t>MOVIMIENTO DE TIERRAS</t>
  </si>
  <si>
    <t>Excavaciones</t>
  </si>
  <si>
    <t>02.01.01</t>
  </si>
  <si>
    <t>Excavación manual en material común</t>
  </si>
  <si>
    <t>MQ-011</t>
  </si>
  <si>
    <t>02.01.02</t>
  </si>
  <si>
    <t>Excavación mecánica</t>
  </si>
  <si>
    <t>MQ-012</t>
  </si>
  <si>
    <t>02.01.03</t>
  </si>
  <si>
    <t>Excavación en roca</t>
  </si>
  <si>
    <t>MQ-013</t>
  </si>
  <si>
    <t>02.01.04</t>
  </si>
  <si>
    <t>Perfilado y conformación de excavaciones</t>
  </si>
  <si>
    <t>MQ-014</t>
  </si>
  <si>
    <t>Rellenos</t>
  </si>
  <si>
    <t>02.02.01</t>
  </si>
  <si>
    <t>Relleno con material seleccionado compactado</t>
  </si>
  <si>
    <t>MQ-015</t>
  </si>
  <si>
    <t>02.02.02</t>
  </si>
  <si>
    <t>Relleno con material proveniente de excavación</t>
  </si>
  <si>
    <t>MQ-016</t>
  </si>
  <si>
    <t>02.02.03</t>
  </si>
  <si>
    <t>Suministro, extendido y compactación de subbase</t>
  </si>
  <si>
    <t>MQ-017</t>
  </si>
  <si>
    <t>02.02.04</t>
  </si>
  <si>
    <t>Suministro, extendido y compactación de base granular</t>
  </si>
  <si>
    <t>MQ-018</t>
  </si>
  <si>
    <t>Retiro</t>
  </si>
  <si>
    <t>02.03.01</t>
  </si>
  <si>
    <t>Cargue de material sobrante</t>
  </si>
  <si>
    <t>MQ-019</t>
  </si>
  <si>
    <t>02.03.02</t>
  </si>
  <si>
    <t>Transporte de material sobrante</t>
  </si>
  <si>
    <t>MQ-020</t>
  </si>
  <si>
    <t>02.03.03</t>
  </si>
  <si>
    <t>Disposición final de sobrantes</t>
  </si>
  <si>
    <t>MQ-021</t>
  </si>
  <si>
    <t>CIMENTACIONES</t>
  </si>
  <si>
    <t>Concreto</t>
  </si>
  <si>
    <t>03.01.01</t>
  </si>
  <si>
    <t>Concreto de limpieza / solado</t>
  </si>
  <si>
    <t>MQ-022</t>
  </si>
  <si>
    <t>03.01.02</t>
  </si>
  <si>
    <t>Concreto para zapatas</t>
  </si>
  <si>
    <t>MQ-023</t>
  </si>
  <si>
    <t>03.01.03</t>
  </si>
  <si>
    <t>Concreto para vigas de cimentación</t>
  </si>
  <si>
    <t>MQ-024</t>
  </si>
  <si>
    <t>03.01.04</t>
  </si>
  <si>
    <t>Concreto para losas de cimentación</t>
  </si>
  <si>
    <t>MQ-025</t>
  </si>
  <si>
    <t>03.01.05</t>
  </si>
  <si>
    <t>Concreto para pedestales</t>
  </si>
  <si>
    <t>MQ-026</t>
  </si>
  <si>
    <t>Acero</t>
  </si>
  <si>
    <t>03.02.01</t>
  </si>
  <si>
    <t>Acero de refuerzo en cimentación</t>
  </si>
  <si>
    <t>kg</t>
  </si>
  <si>
    <t>MQ-027</t>
  </si>
  <si>
    <t>Formaleta</t>
  </si>
  <si>
    <t>03.03.01</t>
  </si>
  <si>
    <t>Formaleta para elementos de cimentación</t>
  </si>
  <si>
    <t>MQ-028</t>
  </si>
  <si>
    <t>ESTRUCTURA</t>
  </si>
  <si>
    <t>04.01.01</t>
  </si>
  <si>
    <t>Concreto para columnas</t>
  </si>
  <si>
    <t>MQ-029</t>
  </si>
  <si>
    <t>04.01.02</t>
  </si>
  <si>
    <t>Concreto para vigas</t>
  </si>
  <si>
    <t>MQ-030</t>
  </si>
  <si>
    <t>04.01.03</t>
  </si>
  <si>
    <t>Concreto para losas</t>
  </si>
  <si>
    <t>MQ-031</t>
  </si>
  <si>
    <t>04.01.04</t>
  </si>
  <si>
    <t>Concreto para escaleras</t>
  </si>
  <si>
    <t>MQ-032</t>
  </si>
  <si>
    <t>04.01.05</t>
  </si>
  <si>
    <t>Concreto para muros estructurales</t>
  </si>
  <si>
    <t>MQ-033</t>
  </si>
  <si>
    <t>04.02.01</t>
  </si>
  <si>
    <t>Acero de refuerzo de columnas</t>
  </si>
  <si>
    <t>MQ-034</t>
  </si>
  <si>
    <t>04.02.02</t>
  </si>
  <si>
    <t>Acero de refuerzo de vigas</t>
  </si>
  <si>
    <t>MQ-035</t>
  </si>
  <si>
    <t>04.02.03</t>
  </si>
  <si>
    <t>Acero de refuerzo de losas</t>
  </si>
  <si>
    <t>MQ-036</t>
  </si>
  <si>
    <t>04.03.01</t>
  </si>
  <si>
    <t>Formaleta de columnas</t>
  </si>
  <si>
    <t>MQ-037</t>
  </si>
  <si>
    <t>04.03.02</t>
  </si>
  <si>
    <t>Formaleta de vigas</t>
  </si>
  <si>
    <t>MQ-038</t>
  </si>
  <si>
    <t>04.03.03</t>
  </si>
  <si>
    <t>Formaleta de losas</t>
  </si>
  <si>
    <t>MQ-039</t>
  </si>
  <si>
    <t>04.03.04</t>
  </si>
  <si>
    <t>Formaleta de escaleras</t>
  </si>
  <si>
    <t>MQ-040</t>
  </si>
  <si>
    <t>Estructura metálica</t>
  </si>
  <si>
    <t>04.04.01</t>
  </si>
  <si>
    <t>Suministro y montaje de perfiles metálicos</t>
  </si>
  <si>
    <t>MQ-041</t>
  </si>
  <si>
    <t>04.04.02</t>
  </si>
  <si>
    <t>Placas, pernos y conexiones metálicas</t>
  </si>
  <si>
    <t>MQ-042</t>
  </si>
  <si>
    <t>MAMPOSTERÍA</t>
  </si>
  <si>
    <t>Muros</t>
  </si>
  <si>
    <t>05.01.01</t>
  </si>
  <si>
    <t>Mampostería en bloque de concreto</t>
  </si>
  <si>
    <t>MQ-043</t>
  </si>
  <si>
    <t>05.01.02</t>
  </si>
  <si>
    <t>Mampostería en ladrillo</t>
  </si>
  <si>
    <t>MQ-044</t>
  </si>
  <si>
    <t>05.01.03</t>
  </si>
  <si>
    <t>Mampostería estructural</t>
  </si>
  <si>
    <t>MQ-045</t>
  </si>
  <si>
    <t>05.01.04</t>
  </si>
  <si>
    <t>Muros en sistema liviano / drywall</t>
  </si>
  <si>
    <t>MQ-046</t>
  </si>
  <si>
    <t>Complementarios</t>
  </si>
  <si>
    <t>05.02.01</t>
  </si>
  <si>
    <t>Dinteles sobre vanos</t>
  </si>
  <si>
    <t>MQ-047</t>
  </si>
  <si>
    <t>05.02.02</t>
  </si>
  <si>
    <t>Alfajías y remates</t>
  </si>
  <si>
    <t>MQ-048</t>
  </si>
  <si>
    <t>05.02.03</t>
  </si>
  <si>
    <t>Anclajes y refuerzos de mampostería</t>
  </si>
  <si>
    <t>MQ-049</t>
  </si>
  <si>
    <t>CUBIERTAS</t>
  </si>
  <si>
    <t>Estructura</t>
  </si>
  <si>
    <t>06.01.01</t>
  </si>
  <si>
    <t>Estructura metálica o de madera para cubierta</t>
  </si>
  <si>
    <t>MQ-050</t>
  </si>
  <si>
    <t>06.01.02</t>
  </si>
  <si>
    <t>Cerchas y elementos estructurales</t>
  </si>
  <si>
    <t>MQ-051</t>
  </si>
  <si>
    <t>Cubierta</t>
  </si>
  <si>
    <t>06.02.01</t>
  </si>
  <si>
    <t>Suministro e instalación de teja</t>
  </si>
  <si>
    <t>MQ-052</t>
  </si>
  <si>
    <t>06.02.02</t>
  </si>
  <si>
    <t>Impermeabilización de cubierta</t>
  </si>
  <si>
    <t>MQ-053</t>
  </si>
  <si>
    <t>06.02.03</t>
  </si>
  <si>
    <t>Aislamiento térmico/acústico</t>
  </si>
  <si>
    <t>MQ-054</t>
  </si>
  <si>
    <t>Canales</t>
  </si>
  <si>
    <t>06.03.01</t>
  </si>
  <si>
    <t>Canales de aguas lluvias</t>
  </si>
  <si>
    <t>MQ-055</t>
  </si>
  <si>
    <t>06.03.02</t>
  </si>
  <si>
    <t>Bajantes de aguas lluvias</t>
  </si>
  <si>
    <t>MQ-056</t>
  </si>
  <si>
    <t>IMPERMEABILIZACIONES</t>
  </si>
  <si>
    <t>Superficies</t>
  </si>
  <si>
    <t>07.01.01</t>
  </si>
  <si>
    <t>Impermeabilización de losas y terrazas</t>
  </si>
  <si>
    <t>MQ-057</t>
  </si>
  <si>
    <t>07.01.02</t>
  </si>
  <si>
    <t>Impermeabilización de muros</t>
  </si>
  <si>
    <t>MQ-058</t>
  </si>
  <si>
    <t>07.01.03</t>
  </si>
  <si>
    <t>Impermeabilización de zonas húmedas</t>
  </si>
  <si>
    <t>MQ-059</t>
  </si>
  <si>
    <t>PAÑETES Y REVOQUES</t>
  </si>
  <si>
    <t>Pañetes</t>
  </si>
  <si>
    <t>08.01.01</t>
  </si>
  <si>
    <t>Pañete / revoque interior</t>
  </si>
  <si>
    <t>MQ-060</t>
  </si>
  <si>
    <t>08.01.02</t>
  </si>
  <si>
    <t>Pañete / revoque exterior</t>
  </si>
  <si>
    <t>MQ-061</t>
  </si>
  <si>
    <t>08.01.03</t>
  </si>
  <si>
    <t>Pañete impermeabilizado</t>
  </si>
  <si>
    <t>MQ-062</t>
  </si>
  <si>
    <t>08.01.04</t>
  </si>
  <si>
    <t>Estuco plástico o tradicional</t>
  </si>
  <si>
    <t>MQ-063</t>
  </si>
  <si>
    <t>PISOS Y ENCHAPES</t>
  </si>
  <si>
    <t>Pisos</t>
  </si>
  <si>
    <t>09.01.01</t>
  </si>
  <si>
    <t>Mortero de nivelación</t>
  </si>
  <si>
    <t>MQ-064</t>
  </si>
  <si>
    <t>09.01.02</t>
  </si>
  <si>
    <t>Piso cerámico</t>
  </si>
  <si>
    <t>MQ-065</t>
  </si>
  <si>
    <t>09.01.03</t>
  </si>
  <si>
    <t>Piso en porcelanato</t>
  </si>
  <si>
    <t>MQ-066</t>
  </si>
  <si>
    <t>09.01.04</t>
  </si>
  <si>
    <t>Piso vinílico</t>
  </si>
  <si>
    <t>MQ-067</t>
  </si>
  <si>
    <t>09.01.05</t>
  </si>
  <si>
    <t>Piso laminado</t>
  </si>
  <si>
    <t>MQ-068</t>
  </si>
  <si>
    <t>Enchapes</t>
  </si>
  <si>
    <t>09.02.01</t>
  </si>
  <si>
    <t>Enchape cerámico en muros</t>
  </si>
  <si>
    <t>MQ-069</t>
  </si>
  <si>
    <t>09.02.02</t>
  </si>
  <si>
    <t>Guardaescoba</t>
  </si>
  <si>
    <t>MQ-070</t>
  </si>
  <si>
    <t>09.02.03</t>
  </si>
  <si>
    <t>Juntas de dilatación / construcción</t>
  </si>
  <si>
    <t>MQ-071</t>
  </si>
  <si>
    <t>PINTURA</t>
  </si>
  <si>
    <t>Pintura</t>
  </si>
  <si>
    <t>10.01.01</t>
  </si>
  <si>
    <t>Pintura vinílica interior</t>
  </si>
  <si>
    <t>MQ-072</t>
  </si>
  <si>
    <t>10.01.02</t>
  </si>
  <si>
    <t>Pintura exterior</t>
  </si>
  <si>
    <t>MQ-073</t>
  </si>
  <si>
    <t>10.01.03</t>
  </si>
  <si>
    <t>Pintura esmalte en superficies metálicas/madera</t>
  </si>
  <si>
    <t>MQ-074</t>
  </si>
  <si>
    <t>10.01.04</t>
  </si>
  <si>
    <t>Pintura anticorrosiva</t>
  </si>
  <si>
    <t>MQ-075</t>
  </si>
  <si>
    <t>10.01.05</t>
  </si>
  <si>
    <t>Sellador / imprimante</t>
  </si>
  <si>
    <t>MQ-076</t>
  </si>
  <si>
    <t>CARPINTERÍA</t>
  </si>
  <si>
    <t>Madera</t>
  </si>
  <si>
    <t>11.01.01</t>
  </si>
  <si>
    <t>Puertas de madera</t>
  </si>
  <si>
    <t>MQ-077</t>
  </si>
  <si>
    <t>11.01.02</t>
  </si>
  <si>
    <t>Muebles fijos de madera</t>
  </si>
  <si>
    <t>MQ-078</t>
  </si>
  <si>
    <t>Metálica</t>
  </si>
  <si>
    <t>11.02.01</t>
  </si>
  <si>
    <t>Puertas metálicas</t>
  </si>
  <si>
    <t>MQ-079</t>
  </si>
  <si>
    <t>11.02.02</t>
  </si>
  <si>
    <t>Barandas metálicas</t>
  </si>
  <si>
    <t>MQ-080</t>
  </si>
  <si>
    <t>11.02.03</t>
  </si>
  <si>
    <t>Pasamanos</t>
  </si>
  <si>
    <t>MQ-081</t>
  </si>
  <si>
    <t>Aluminio</t>
  </si>
  <si>
    <t>11.03.01</t>
  </si>
  <si>
    <t>Ventanas de aluminio</t>
  </si>
  <si>
    <t>MQ-082</t>
  </si>
  <si>
    <t>11.03.02</t>
  </si>
  <si>
    <t>Divisiones de aluminio</t>
  </si>
  <si>
    <t>MQ-083</t>
  </si>
  <si>
    <t>VIDRIOS</t>
  </si>
  <si>
    <t>Vidriería</t>
  </si>
  <si>
    <t>12.01.01</t>
  </si>
  <si>
    <t>Vidrio templado</t>
  </si>
  <si>
    <t>MQ-084</t>
  </si>
  <si>
    <t>12.01.02</t>
  </si>
  <si>
    <t>Vidrio laminado</t>
  </si>
  <si>
    <t>MQ-085</t>
  </si>
  <si>
    <t>12.01.03</t>
  </si>
  <si>
    <t>Espejos</t>
  </si>
  <si>
    <t>MQ-086</t>
  </si>
  <si>
    <t>12.01.04</t>
  </si>
  <si>
    <t>Sellos y silicona</t>
  </si>
  <si>
    <t>MQ-087</t>
  </si>
  <si>
    <t>INSTALACIONES HIDROSANITARIAS</t>
  </si>
  <si>
    <t>Agua potable</t>
  </si>
  <si>
    <t>13.01.01</t>
  </si>
  <si>
    <t>Tubería de agua fría</t>
  </si>
  <si>
    <t>MQ-088</t>
  </si>
  <si>
    <t>13.01.02</t>
  </si>
  <si>
    <t>Tubería de agua caliente</t>
  </si>
  <si>
    <t>MQ-089</t>
  </si>
  <si>
    <t>13.01.03</t>
  </si>
  <si>
    <t>Válvulas y accesorios</t>
  </si>
  <si>
    <t>MQ-090</t>
  </si>
  <si>
    <t>Desagües</t>
  </si>
  <si>
    <t>13.02.01</t>
  </si>
  <si>
    <t>Tubería sanitaria</t>
  </si>
  <si>
    <t>MQ-091</t>
  </si>
  <si>
    <t>13.02.02</t>
  </si>
  <si>
    <t>Tubería de aguas lluvias</t>
  </si>
  <si>
    <t>MQ-092</t>
  </si>
  <si>
    <t>13.02.03</t>
  </si>
  <si>
    <t>Cajas de inspección</t>
  </si>
  <si>
    <t>MQ-093</t>
  </si>
  <si>
    <t>Aparatos</t>
  </si>
  <si>
    <t>13.03.01</t>
  </si>
  <si>
    <t>Aparatos sanitarios</t>
  </si>
  <si>
    <t>MQ-094</t>
  </si>
  <si>
    <t>13.03.02</t>
  </si>
  <si>
    <t>Lavamanos</t>
  </si>
  <si>
    <t>MQ-095</t>
  </si>
  <si>
    <t>13.03.03</t>
  </si>
  <si>
    <t>Griferías</t>
  </si>
  <si>
    <t>MQ-096</t>
  </si>
  <si>
    <t>13.03.04</t>
  </si>
  <si>
    <t>Duchas</t>
  </si>
  <si>
    <t>MQ-097</t>
  </si>
  <si>
    <t>Pruebas</t>
  </si>
  <si>
    <t>13.04.01</t>
  </si>
  <si>
    <t>Pruebas hidráulicas y de estanqueidad</t>
  </si>
  <si>
    <t>MQ-098</t>
  </si>
  <si>
    <t>INSTALACIONES ELÉCTRICAS</t>
  </si>
  <si>
    <t>Canalizaciones</t>
  </si>
  <si>
    <t>14.01.01</t>
  </si>
  <si>
    <t>Tubería/conduit eléctrica</t>
  </si>
  <si>
    <t>MQ-099</t>
  </si>
  <si>
    <t>14.01.02</t>
  </si>
  <si>
    <t>Bandejas portacables</t>
  </si>
  <si>
    <t>MQ-100</t>
  </si>
  <si>
    <t>14.01.03</t>
  </si>
  <si>
    <t>Cajas eléctricas</t>
  </si>
  <si>
    <t>MQ-101</t>
  </si>
  <si>
    <t>Cableado</t>
  </si>
  <si>
    <t>14.02.01</t>
  </si>
  <si>
    <t>Cableado de fuerza</t>
  </si>
  <si>
    <t>MQ-102</t>
  </si>
  <si>
    <t>14.02.02</t>
  </si>
  <si>
    <t>Cableado de iluminación</t>
  </si>
  <si>
    <t>MQ-103</t>
  </si>
  <si>
    <t>14.02.03</t>
  </si>
  <si>
    <t>Tableros eléctricos</t>
  </si>
  <si>
    <t>MQ-104</t>
  </si>
  <si>
    <t>14.03.01</t>
  </si>
  <si>
    <t>Tomacorrientes</t>
  </si>
  <si>
    <t>MQ-105</t>
  </si>
  <si>
    <t>14.03.02</t>
  </si>
  <si>
    <t>Interruptores</t>
  </si>
  <si>
    <t>MQ-106</t>
  </si>
  <si>
    <t>14.03.03</t>
  </si>
  <si>
    <t>Luminarias</t>
  </si>
  <si>
    <t>MQ-107</t>
  </si>
  <si>
    <t>Puesta a tierra</t>
  </si>
  <si>
    <t>14.04.01</t>
  </si>
  <si>
    <t>Sistema de puesta a tierra</t>
  </si>
  <si>
    <t>MQ-108</t>
  </si>
  <si>
    <t>14.05.01</t>
  </si>
  <si>
    <t>Pruebas y certificaciones</t>
  </si>
  <si>
    <t>MQ-109</t>
  </si>
  <si>
    <t>COMUNICACIONES Y SEGURIDAD</t>
  </si>
  <si>
    <t>Datos</t>
  </si>
  <si>
    <t>15.01.01</t>
  </si>
  <si>
    <t>Cableado estructurado de datos</t>
  </si>
  <si>
    <t>MQ-110</t>
  </si>
  <si>
    <t>15.01.02</t>
  </si>
  <si>
    <t>Rack de comunicaciones</t>
  </si>
  <si>
    <t>MQ-111</t>
  </si>
  <si>
    <t>Seguridad</t>
  </si>
  <si>
    <t>15.02.01</t>
  </si>
  <si>
    <t>Cámaras y sistema CCTV</t>
  </si>
  <si>
    <t>MQ-112</t>
  </si>
  <si>
    <t>15.02.02</t>
  </si>
  <si>
    <t>Control de acceso</t>
  </si>
  <si>
    <t>MQ-113</t>
  </si>
  <si>
    <t>15.02.03</t>
  </si>
  <si>
    <t>Sistema de citofonía</t>
  </si>
  <si>
    <t>MQ-114</t>
  </si>
  <si>
    <t>Detección</t>
  </si>
  <si>
    <t>15.03.01</t>
  </si>
  <si>
    <t>Sistema de detección de incendios</t>
  </si>
  <si>
    <t>MQ-115</t>
  </si>
  <si>
    <t>CLIMATIZACIÓN Y VENTILACIÓN</t>
  </si>
  <si>
    <t>HVAC</t>
  </si>
  <si>
    <t>16.01.01</t>
  </si>
  <si>
    <t>Equipos de aire acondicionado</t>
  </si>
  <si>
    <t>MQ-116</t>
  </si>
  <si>
    <t>16.01.02</t>
  </si>
  <si>
    <t>Ductos de ventilación</t>
  </si>
  <si>
    <t>MQ-117</t>
  </si>
  <si>
    <t>16.01.03</t>
  </si>
  <si>
    <t>Tubería de refrigerante</t>
  </si>
  <si>
    <t>MQ-118</t>
  </si>
  <si>
    <t>16.01.04</t>
  </si>
  <si>
    <t>Rejillas y difusores</t>
  </si>
  <si>
    <t>MQ-119</t>
  </si>
  <si>
    <t>GAS</t>
  </si>
  <si>
    <t>Red de gas</t>
  </si>
  <si>
    <t>17.01.01</t>
  </si>
  <si>
    <t>Red interna de gas</t>
  </si>
  <si>
    <t>MQ-120</t>
  </si>
  <si>
    <t>17.01.02</t>
  </si>
  <si>
    <t>MQ-121</t>
  </si>
  <si>
    <t>17.01.03</t>
  </si>
  <si>
    <t>Pruebas y certificación</t>
  </si>
  <si>
    <t>MQ-122</t>
  </si>
  <si>
    <t>URBANISMO Y EXTERIORES</t>
  </si>
  <si>
    <t>Pavimentos</t>
  </si>
  <si>
    <t>18.01.01</t>
  </si>
  <si>
    <t>Construcción de andenes</t>
  </si>
  <si>
    <t>MQ-123</t>
  </si>
  <si>
    <t>18.01.02</t>
  </si>
  <si>
    <t>Placas de concreto exteriores</t>
  </si>
  <si>
    <t>MQ-124</t>
  </si>
  <si>
    <t>18.01.03</t>
  </si>
  <si>
    <t>Pavimento en adoquín</t>
  </si>
  <si>
    <t>MQ-125</t>
  </si>
  <si>
    <t>Bordillos</t>
  </si>
  <si>
    <t>18.02.01</t>
  </si>
  <si>
    <t>Sardineles y bordillos</t>
  </si>
  <si>
    <t>MQ-126</t>
  </si>
  <si>
    <t>Drenajes</t>
  </si>
  <si>
    <t>18.03.01</t>
  </si>
  <si>
    <t>Sumideros exteriores</t>
  </si>
  <si>
    <t>MQ-127</t>
  </si>
  <si>
    <t>Paisajismo</t>
  </si>
  <si>
    <t>18.04.01</t>
  </si>
  <si>
    <t>Suministro y extendido de tierra vegetal</t>
  </si>
  <si>
    <t>MQ-128</t>
  </si>
  <si>
    <t>18.04.02</t>
  </si>
  <si>
    <t>Siembra y jardinería</t>
  </si>
  <si>
    <t>MQ-129</t>
  </si>
  <si>
    <t>OBRAS COMPLEMENTARIAS</t>
  </si>
  <si>
    <t>Metálicas</t>
  </si>
  <si>
    <t>19.01.01</t>
  </si>
  <si>
    <t>Rejas metálicas</t>
  </si>
  <si>
    <t>MQ-130</t>
  </si>
  <si>
    <t>19.01.02</t>
  </si>
  <si>
    <t>Escaleras metálicas</t>
  </si>
  <si>
    <t>MQ-131</t>
  </si>
  <si>
    <t>19.01.03</t>
  </si>
  <si>
    <t>Elementos metálicos especiales</t>
  </si>
  <si>
    <t>MQ-132</t>
  </si>
  <si>
    <t>Mobiliario</t>
  </si>
  <si>
    <t>19.02.01</t>
  </si>
  <si>
    <t>Mobiliario fijo de obra</t>
  </si>
  <si>
    <t>MQ-133</t>
  </si>
  <si>
    <t>ASEO, ENTREGA Y CIERRE</t>
  </si>
  <si>
    <t>Limpieza</t>
  </si>
  <si>
    <t>20.01.01</t>
  </si>
  <si>
    <t>Limpieza gruesa y fina de obra</t>
  </si>
  <si>
    <t>MQ-134</t>
  </si>
  <si>
    <t>20.01.02</t>
  </si>
  <si>
    <t>Limpieza final para entrega</t>
  </si>
  <si>
    <t>MQ-135</t>
  </si>
  <si>
    <t>20.02.01</t>
  </si>
  <si>
    <t>Pruebas, puesta en marcha y ajustes</t>
  </si>
  <si>
    <t>MQ-136</t>
  </si>
  <si>
    <t>Documentación</t>
  </si>
  <si>
    <t>Actualización de planos récord / as-built</t>
  </si>
  <si>
    <t>MQ-137</t>
  </si>
  <si>
    <t>Entrega</t>
  </si>
  <si>
    <t>20.02.02</t>
  </si>
  <si>
    <t>Entrega, manuales y acta de recibo</t>
  </si>
  <si>
    <t>RYR-CO-001</t>
  </si>
  <si>
    <t>CONTROL MAESTRO DE CANTIDADES DE OBRA — TODAS LAS ACTIVIDADES</t>
  </si>
  <si>
    <t>Catálogo detallado para medición: preliminares • tierras • cimentación • estructura • mampostería • cubiertas • acabados • instalaciones • exteriores • cierre</t>
  </si>
  <si>
    <t>ACTIVIDADES CATALOGADAS</t>
  </si>
  <si>
    <t>CANTIDADES CALCULADAS</t>
  </si>
  <si>
    <t>ACTIVIDADES APROBADAS</t>
  </si>
  <si>
    <t>PENDIENTES</t>
  </si>
  <si>
    <t>CONTROL POR CAPÍTULO</t>
  </si>
  <si>
    <t>Actividades</t>
  </si>
  <si>
    <t>Calculadas</t>
  </si>
  <si>
    <t>Pendientes</t>
  </si>
  <si>
    <t>FLUJO DE TRABAJO RECOMENDADO</t>
  </si>
  <si>
    <t>1. Seleccionar actividad específica.</t>
  </si>
  <si>
    <t>2. Registrar ubicación y plano/revisión.</t>
  </si>
  <si>
    <t>3. Medir dimensiones y número de elementos.</t>
  </si>
  <si>
    <t>4. Registrar deducciones y desperdicio justificado.</t>
  </si>
  <si>
    <t>5. Revisar cantidad neta y final.</t>
  </si>
  <si>
    <t>6. Contrastar con presupuesto/APU y aprobar.</t>
  </si>
  <si>
    <t>NOTA: el catálogo reúne actividades típicas y debe adaptarse al alcance contractual de cada proyecto. No todas las partidas aplican a todas las obras. Antes de utilizar una cantidad en presupuesto, compras, actas o avance, verifique planos vigentes, especificaciones, APU y condiciones contractuales.</t>
  </si>
  <si>
    <t>RYR-CO-006</t>
  </si>
  <si>
    <t>ID cálculo</t>
  </si>
  <si>
    <t>ID cantidad</t>
  </si>
  <si>
    <t>Actividad</t>
  </si>
  <si>
    <t>Plano</t>
  </si>
  <si>
    <t>Alto/Prof.</t>
  </si>
  <si>
    <t>Criterio matemático</t>
  </si>
  <si>
    <t>Fuente / soporte</t>
  </si>
  <si>
    <t>Observaciones</t>
  </si>
  <si>
    <t>CAL-001</t>
  </si>
  <si>
    <t>Validar contra plano, especificación y medición de campo</t>
  </si>
  <si>
    <t>CAL-002</t>
  </si>
  <si>
    <t>CAL-003</t>
  </si>
  <si>
    <t>CAL-004</t>
  </si>
  <si>
    <t>CAL-005</t>
  </si>
  <si>
    <t>CAL-006</t>
  </si>
  <si>
    <t>CAL-007</t>
  </si>
  <si>
    <t>CAL-008</t>
  </si>
  <si>
    <t>CAL-009</t>
  </si>
  <si>
    <t>CAL-010</t>
  </si>
  <si>
    <t>CAL-011</t>
  </si>
  <si>
    <t>CAL-012</t>
  </si>
  <si>
    <t>CAL-013</t>
  </si>
  <si>
    <t>CAL-014</t>
  </si>
  <si>
    <t>CAL-015</t>
  </si>
  <si>
    <t>CAL-016</t>
  </si>
  <si>
    <t>CAL-017</t>
  </si>
  <si>
    <t>CAL-018</t>
  </si>
  <si>
    <t>CAL-019</t>
  </si>
  <si>
    <t>CAL-020</t>
  </si>
  <si>
    <t>CAL-021</t>
  </si>
  <si>
    <t>CAL-022</t>
  </si>
  <si>
    <t>CAL-023</t>
  </si>
  <si>
    <t>CAL-024</t>
  </si>
  <si>
    <t>CAL-025</t>
  </si>
  <si>
    <t>CAL-026</t>
  </si>
  <si>
    <t>CAL-027</t>
  </si>
  <si>
    <t>CAL-028</t>
  </si>
  <si>
    <t>CAL-029</t>
  </si>
  <si>
    <t>CAL-030</t>
  </si>
  <si>
    <t>CAL-031</t>
  </si>
  <si>
    <t>CAL-032</t>
  </si>
  <si>
    <t>CAL-033</t>
  </si>
  <si>
    <t>CAL-034</t>
  </si>
  <si>
    <t>CAL-035</t>
  </si>
  <si>
    <t>CAL-036</t>
  </si>
  <si>
    <t>CAL-037</t>
  </si>
  <si>
    <t>CAL-038</t>
  </si>
  <si>
    <t>CAL-039</t>
  </si>
  <si>
    <t>CAL-040</t>
  </si>
  <si>
    <t>CAL-041</t>
  </si>
  <si>
    <t>CAL-042</t>
  </si>
  <si>
    <t>CAL-043</t>
  </si>
  <si>
    <t>CAL-044</t>
  </si>
  <si>
    <t>CAL-045</t>
  </si>
  <si>
    <t>CAL-046</t>
  </si>
  <si>
    <t>CAL-047</t>
  </si>
  <si>
    <t>CAL-048</t>
  </si>
  <si>
    <t>CAL-049</t>
  </si>
  <si>
    <t>CAL-050</t>
  </si>
  <si>
    <t>CAL-051</t>
  </si>
  <si>
    <t>CAL-052</t>
  </si>
  <si>
    <t>CAL-053</t>
  </si>
  <si>
    <t>CAL-054</t>
  </si>
  <si>
    <t>CAL-055</t>
  </si>
  <si>
    <t>CAL-056</t>
  </si>
  <si>
    <t>CAL-057</t>
  </si>
  <si>
    <t>CAL-058</t>
  </si>
  <si>
    <t>CAL-059</t>
  </si>
  <si>
    <t>CAL-060</t>
  </si>
  <si>
    <t>CAL-061</t>
  </si>
  <si>
    <t>CAL-062</t>
  </si>
  <si>
    <t>CAL-063</t>
  </si>
  <si>
    <t>CAL-064</t>
  </si>
  <si>
    <t>CAL-065</t>
  </si>
  <si>
    <t>CAL-066</t>
  </si>
  <si>
    <t>CAL-067</t>
  </si>
  <si>
    <t>CAL-068</t>
  </si>
  <si>
    <t>CAL-069</t>
  </si>
  <si>
    <t>CAL-070</t>
  </si>
  <si>
    <t>CAL-071</t>
  </si>
  <si>
    <t>CAL-072</t>
  </si>
  <si>
    <t>CAL-073</t>
  </si>
  <si>
    <t>CAL-074</t>
  </si>
  <si>
    <t>CAL-075</t>
  </si>
  <si>
    <t>CAL-076</t>
  </si>
  <si>
    <t>CAL-077</t>
  </si>
  <si>
    <t>CAL-078</t>
  </si>
  <si>
    <t>CAL-079</t>
  </si>
  <si>
    <t>CAL-080</t>
  </si>
  <si>
    <t>CAL-081</t>
  </si>
  <si>
    <t>CAL-082</t>
  </si>
  <si>
    <t>CAL-083</t>
  </si>
  <si>
    <t>CAL-084</t>
  </si>
  <si>
    <t>CAL-085</t>
  </si>
  <si>
    <t>CAL-086</t>
  </si>
  <si>
    <t>CAL-087</t>
  </si>
  <si>
    <t>CAL-088</t>
  </si>
  <si>
    <t>CAL-089</t>
  </si>
  <si>
    <t>CAL-090</t>
  </si>
  <si>
    <t>CAL-091</t>
  </si>
  <si>
    <t>CAL-092</t>
  </si>
  <si>
    <t>CAL-093</t>
  </si>
  <si>
    <t>CAL-094</t>
  </si>
  <si>
    <t>CAL-095</t>
  </si>
  <si>
    <t>CAL-096</t>
  </si>
  <si>
    <t>CAL-097</t>
  </si>
  <si>
    <t>CAL-098</t>
  </si>
  <si>
    <t>CAL-099</t>
  </si>
  <si>
    <t>CAL-100</t>
  </si>
  <si>
    <t>CAL-101</t>
  </si>
  <si>
    <t>CAL-102</t>
  </si>
  <si>
    <t>CAL-103</t>
  </si>
  <si>
    <t>CAL-104</t>
  </si>
  <si>
    <t>CAL-105</t>
  </si>
  <si>
    <t>CAL-106</t>
  </si>
  <si>
    <t>CAL-107</t>
  </si>
  <si>
    <t>CAL-108</t>
  </si>
  <si>
    <t>CAL-109</t>
  </si>
  <si>
    <t>CAL-110</t>
  </si>
  <si>
    <t>CAL-111</t>
  </si>
  <si>
    <t>CAL-112</t>
  </si>
  <si>
    <t>CAL-113</t>
  </si>
  <si>
    <t>CAL-114</t>
  </si>
  <si>
    <t>CAL-115</t>
  </si>
  <si>
    <t>CAL-116</t>
  </si>
  <si>
    <t>CAL-117</t>
  </si>
  <si>
    <t>CAL-118</t>
  </si>
  <si>
    <t>CAL-119</t>
  </si>
  <si>
    <t>CAL-120</t>
  </si>
  <si>
    <t>CAL-121</t>
  </si>
  <si>
    <t>CAL-122</t>
  </si>
  <si>
    <t>CAL-123</t>
  </si>
  <si>
    <t>CAL-124</t>
  </si>
  <si>
    <t>CAL-125</t>
  </si>
  <si>
    <t>CAL-126</t>
  </si>
  <si>
    <t>CAL-127</t>
  </si>
  <si>
    <t>CAL-128</t>
  </si>
  <si>
    <t>CAL-129</t>
  </si>
  <si>
    <t>CAL-130</t>
  </si>
  <si>
    <t>CAL-131</t>
  </si>
  <si>
    <t>CAL-132</t>
  </si>
  <si>
    <t>CAL-133</t>
  </si>
  <si>
    <t>CAL-134</t>
  </si>
  <si>
    <t>CAL-135</t>
  </si>
  <si>
    <t>CAL-136</t>
  </si>
  <si>
    <t>CAL-137</t>
  </si>
  <si>
    <t>CATÁLOGO MAESTRO DE ACTIVIDADES</t>
  </si>
  <si>
    <t>RYR-CO-002</t>
  </si>
  <si>
    <t>CATÁLOGO MAESTRO DE ACTIVIDADES — REFORMAS Y REMODELACIONES</t>
  </si>
  <si>
    <t>CÓD. ACTIVIDAD</t>
  </si>
  <si>
    <t>SUBCAPÍTULO</t>
  </si>
  <si>
    <t>GRUPO</t>
  </si>
  <si>
    <t>ACTIVIDAD ESPECÍFICA</t>
  </si>
  <si>
    <t>UNIDAD</t>
  </si>
  <si>
    <t>MÉTODO SUGERIDO</t>
  </si>
  <si>
    <t>01  |  PRELIMINARES</t>
  </si>
  <si>
    <t>Localización y replanteo</t>
  </si>
  <si>
    <t>Replanteo general de ejes y niveles</t>
  </si>
  <si>
    <t>Longitud × N° elementos × repeticiones − deducciones</t>
  </si>
  <si>
    <t>Cerramiento provisional</t>
  </si>
  <si>
    <t>Campamento</t>
  </si>
  <si>
    <t>Largo × Ancho × N° elementos × repeticiones − deducciones</t>
  </si>
  <si>
    <t>Almacenamiento</t>
  </si>
  <si>
    <t>Señalización</t>
  </si>
  <si>
    <t>N° elementos × repeticiones − deducciones</t>
  </si>
  <si>
    <t>Servicios provisionales</t>
  </si>
  <si>
    <t>Según alcance contractual / presupuesto</t>
  </si>
  <si>
    <t>Protecciones</t>
  </si>
  <si>
    <t>Desmonte</t>
  </si>
  <si>
    <t>Demoliciones</t>
  </si>
  <si>
    <t>Largo × Ancho × Alto/Prof. × N° elementos × repeticiones − deducciones</t>
  </si>
  <si>
    <t>02  |  MOVIMIENTO DE TIERRAS</t>
  </si>
  <si>
    <t>Excavación manual</t>
  </si>
  <si>
    <t>Perfilado</t>
  </si>
  <si>
    <t>Relleno seleccionado</t>
  </si>
  <si>
    <t>Relleno material excavación</t>
  </si>
  <si>
    <t>Subbase</t>
  </si>
  <si>
    <t>Base granular</t>
  </si>
  <si>
    <t>Cargue</t>
  </si>
  <si>
    <t>Transporte</t>
  </si>
  <si>
    <t>Disposición</t>
  </si>
  <si>
    <t>03  |  CIMENTACIONES</t>
  </si>
  <si>
    <t>Solados</t>
  </si>
  <si>
    <t>Zapatas</t>
  </si>
  <si>
    <t>Vigas de cimentación</t>
  </si>
  <si>
    <t>Losas de cimentación</t>
  </si>
  <si>
    <t>Pedestales</t>
  </si>
  <si>
    <t>Acero de refuerzo</t>
  </si>
  <si>
    <t>Peso/despiece × N° elementos × repeticiones</t>
  </si>
  <si>
    <t>Formaleta cimentación</t>
  </si>
  <si>
    <t>04  |  ESTRUCTURA</t>
  </si>
  <si>
    <t>Columnas</t>
  </si>
  <si>
    <t>Vigas</t>
  </si>
  <si>
    <t>Losas</t>
  </si>
  <si>
    <t>Escaleras</t>
  </si>
  <si>
    <t>Muros estructurales</t>
  </si>
  <si>
    <t>Acero columnas</t>
  </si>
  <si>
    <t>Acero vigas</t>
  </si>
  <si>
    <t>Acero losas</t>
  </si>
  <si>
    <t>Formaleta columnas</t>
  </si>
  <si>
    <t>Formaleta vigas</t>
  </si>
  <si>
    <t>Formaleta losas</t>
  </si>
  <si>
    <t>Formaleta escaleras</t>
  </si>
  <si>
    <t>Perfiles metálicos</t>
  </si>
  <si>
    <t>Placas y conexiones</t>
  </si>
  <si>
    <t>05  |  MAMPOSTERÍA</t>
  </si>
  <si>
    <t>Bloque</t>
  </si>
  <si>
    <t>Ladrillo</t>
  </si>
  <si>
    <t>Ladrillo estructural</t>
  </si>
  <si>
    <t>Divisiones livianas</t>
  </si>
  <si>
    <t>Dinteles</t>
  </si>
  <si>
    <t>Alfajías</t>
  </si>
  <si>
    <t>Anclajes</t>
  </si>
  <si>
    <t>06  |  CUBIERTAS</t>
  </si>
  <si>
    <t>Estructura cubierta</t>
  </si>
  <si>
    <t>Cerchas</t>
  </si>
  <si>
    <t>Teja</t>
  </si>
  <si>
    <t>Impermeabilización cubierta</t>
  </si>
  <si>
    <t>Aislamiento</t>
  </si>
  <si>
    <t>Bajantes</t>
  </si>
  <si>
    <t>07  |  IMPERMEABILIZACIONES</t>
  </si>
  <si>
    <t>Impermeabilización losas</t>
  </si>
  <si>
    <t>Impermeabilización muros</t>
  </si>
  <si>
    <t>Impermeabilización baños</t>
  </si>
  <si>
    <t>08  |  PAÑETES Y REVOQUES</t>
  </si>
  <si>
    <t>Pañete interior</t>
  </si>
  <si>
    <t>Pañete exterior</t>
  </si>
  <si>
    <t>Pañete impermeable</t>
  </si>
  <si>
    <t>Estuco</t>
  </si>
  <si>
    <t>09  |  PISOS Y ENCHAPES</t>
  </si>
  <si>
    <t>Mortero nivelación</t>
  </si>
  <si>
    <t>Cerámica piso</t>
  </si>
  <si>
    <t>Porcelanato</t>
  </si>
  <si>
    <t>Enchape muro</t>
  </si>
  <si>
    <t>Juntas</t>
  </si>
  <si>
    <t>10  |  PINTURA</t>
  </si>
  <si>
    <t>Vinilo interior</t>
  </si>
  <si>
    <t>Vinilo exterior</t>
  </si>
  <si>
    <t>Esmalte</t>
  </si>
  <si>
    <t>Anticorrosivo</t>
  </si>
  <si>
    <t>Sellador</t>
  </si>
  <si>
    <t>11  |  CARPINTERÍA</t>
  </si>
  <si>
    <t>Puertas madera</t>
  </si>
  <si>
    <t>Muebles</t>
  </si>
  <si>
    <t>Barandas</t>
  </si>
  <si>
    <t>Ventanas</t>
  </si>
  <si>
    <t>Divisiones</t>
  </si>
  <si>
    <t>12  |  VIDRIOS</t>
  </si>
  <si>
    <t>Sellos</t>
  </si>
  <si>
    <t>13  |  INSTALACIONES HIDROSANITARIAS</t>
  </si>
  <si>
    <t>Red agua fría</t>
  </si>
  <si>
    <t>Red agua caliente</t>
  </si>
  <si>
    <t>Válvulas</t>
  </si>
  <si>
    <t>Red sanitaria</t>
  </si>
  <si>
    <t>Red lluvias</t>
  </si>
  <si>
    <t>Cajas inspección</t>
  </si>
  <si>
    <t>Sanitarios</t>
  </si>
  <si>
    <t>Prueba hidráulica</t>
  </si>
  <si>
    <t>14  |  INSTALACIONES ELÉCTRICAS</t>
  </si>
  <si>
    <t>Tubería eléctrica</t>
  </si>
  <si>
    <t>Bandejas</t>
  </si>
  <si>
    <t>Cajas</t>
  </si>
  <si>
    <t>Cableado fuerza</t>
  </si>
  <si>
    <t>Cableado iluminación</t>
  </si>
  <si>
    <t>Tableros</t>
  </si>
  <si>
    <t>Sistema puesta a tierra</t>
  </si>
  <si>
    <t>Pruebas eléctricas</t>
  </si>
  <si>
    <t>15  |  COMUNICACIONES Y SEGURIDAD</t>
  </si>
  <si>
    <t>Red de datos</t>
  </si>
  <si>
    <t>Rack</t>
  </si>
  <si>
    <t>CCTV</t>
  </si>
  <si>
    <t>Control acceso</t>
  </si>
  <si>
    <t>Citofonía</t>
  </si>
  <si>
    <t>Detección incendios</t>
  </si>
  <si>
    <t>16  |  CLIMATIZACIÓN Y VENTILACIÓN</t>
  </si>
  <si>
    <t>Equipos</t>
  </si>
  <si>
    <t>Ductos</t>
  </si>
  <si>
    <t>Tubería refrigerante</t>
  </si>
  <si>
    <t>Rejillas</t>
  </si>
  <si>
    <t>17  |  GAS</t>
  </si>
  <si>
    <t>Tubería gas</t>
  </si>
  <si>
    <t>Válvulas gas</t>
  </si>
  <si>
    <t>Pruebas gas</t>
  </si>
  <si>
    <t>18  |  URBANISMO Y EXTERIORES</t>
  </si>
  <si>
    <t>Andenes</t>
  </si>
  <si>
    <t>Placa concreto</t>
  </si>
  <si>
    <t>Adoquín</t>
  </si>
  <si>
    <t>Sardineles</t>
  </si>
  <si>
    <t>Sumideros</t>
  </si>
  <si>
    <t>Tierra vegetal</t>
  </si>
  <si>
    <t>Jardinería</t>
  </si>
  <si>
    <t>19  |  OBRAS COMPLEMENTARIAS</t>
  </si>
  <si>
    <t>Rejas</t>
  </si>
  <si>
    <t>Estructuras especiales</t>
  </si>
  <si>
    <t>Mobiliario fijo</t>
  </si>
  <si>
    <t>20  |  ASEO, ENTREGA Y CIERRE</t>
  </si>
  <si>
    <t>Limpieza general</t>
  </si>
  <si>
    <t>Limpieza final</t>
  </si>
  <si>
    <t>Puesta en marcha</t>
  </si>
  <si>
    <t>Planos récord</t>
  </si>
  <si>
    <t>Entrega final</t>
  </si>
  <si>
    <t>21  |  ASCENSORES</t>
  </si>
  <si>
    <t>21.01.01</t>
  </si>
  <si>
    <t>Equipos de transporte vertical</t>
  </si>
  <si>
    <t>Ascensores</t>
  </si>
  <si>
    <t>Suministro e instalación de ascensor eléctrico</t>
  </si>
  <si>
    <t>Según ficha técnica del fabricante</t>
  </si>
  <si>
    <t>22  |  GESTIÓN, DISEÑO Y ADMINISTRACIÓN</t>
  </si>
  <si>
    <t>22.01.01</t>
  </si>
  <si>
    <t>Estudios y diseños</t>
  </si>
  <si>
    <t>Estudios técnicos</t>
  </si>
  <si>
    <t>Estudio de suelos y geotecnia</t>
  </si>
  <si>
    <t>Según alcance contractual</t>
  </si>
  <si>
    <t>22.01.02</t>
  </si>
  <si>
    <t>Diseños</t>
  </si>
  <si>
    <t>Diseños arquitectónicos, estructurales, hidrosanitarios y eléctricos</t>
  </si>
  <si>
    <t>22.02.01</t>
  </si>
  <si>
    <t>Trámites y pólizas</t>
  </si>
  <si>
    <t>Trámites</t>
  </si>
  <si>
    <t>Licencia de construcción y trámites de curaduría urbana</t>
  </si>
  <si>
    <t>22.02.02</t>
  </si>
  <si>
    <t>Pólizas</t>
  </si>
  <si>
    <t>Póliza de estabilidad de obra y seguros de construcción (todo riesgo)</t>
  </si>
  <si>
    <t>REGISTRO DE PLANOS Y REVISIONES</t>
  </si>
  <si>
    <t>RYR-CO-003</t>
  </si>
  <si>
    <t xml:space="preserve">Página </t>
  </si>
  <si>
    <t>Código plano</t>
  </si>
  <si>
    <t>Disciplina</t>
  </si>
  <si>
    <t>Título</t>
  </si>
  <si>
    <t>Revisión</t>
  </si>
  <si>
    <t>Actividades relacionadas</t>
  </si>
  <si>
    <t>ARQ-001</t>
  </si>
  <si>
    <t>Arquitectura</t>
  </si>
  <si>
    <t>Planta general</t>
  </si>
  <si>
    <t>R01</t>
  </si>
  <si>
    <t>Vigente</t>
  </si>
  <si>
    <t>Preliminares / mampostería / acabados</t>
  </si>
  <si>
    <t>Ing. Residente</t>
  </si>
  <si>
    <t>EST-101</t>
  </si>
  <si>
    <t>Estructural</t>
  </si>
  <si>
    <t>Cimentación</t>
  </si>
  <si>
    <t>R02</t>
  </si>
  <si>
    <t>Cimentaciones / estructura</t>
  </si>
  <si>
    <t>HID-201</t>
  </si>
  <si>
    <t>Hidrosanitaria</t>
  </si>
  <si>
    <t>Redes hidrosanitarias</t>
  </si>
  <si>
    <t>Instalaciones hidrosanitarias</t>
  </si>
  <si>
    <t>ELE-301</t>
  </si>
  <si>
    <t>Eléctrica</t>
  </si>
  <si>
    <t>Fuerza e iluminación</t>
  </si>
  <si>
    <t>Instalaciones eléctricas</t>
  </si>
  <si>
    <t>INSTRUCTIVO DE USO</t>
  </si>
  <si>
    <t>RYR-CO-004</t>
  </si>
  <si>
    <t>REFORMAS Y REMODELACIONES — INSTRUCTIVO DE CANTIDADES</t>
  </si>
  <si>
    <t>1. IDENTIFICAR</t>
  </si>
  <si>
    <t>Use el código y actividad específica del catálogo; defina ubicación/frente y plano/revisión.</t>
  </si>
  <si>
    <t>2. MEDIR</t>
  </si>
  <si>
    <t>Ingrese solo las dimensiones aplicables a la actividad: largo, ancho, alto/profundidad, espesor y número de elementos.</t>
  </si>
  <si>
    <t>3. REPETIR</t>
  </si>
  <si>
    <t>Use N° de elementos para componentes repetitivos y Repeticiones para módulos o conjuntos.</t>
  </si>
  <si>
    <t>4. DEDUCIR</t>
  </si>
  <si>
    <t>Registre vanos, vacíos u otros descuentos en Deducción y explique el criterio.</t>
  </si>
  <si>
    <t>5. DESPERDICIO</t>
  </si>
  <si>
    <t>Ingrese el porcentaje como decimal (5% = 0,05) solo si está técnicamente o contractualmente sustentado.</t>
  </si>
  <si>
    <t>6. TRAZABILIDAD</t>
  </si>
  <si>
    <t>Toda cantidad debe poder rastrearse a plano, detalle, especificación, medición de campo o documento contractual.</t>
  </si>
  <si>
    <t>7. VALIDAR</t>
  </si>
  <si>
    <t>Compare contra presupuesto, APU, planos y medición de campo; documente diferencias.</t>
  </si>
  <si>
    <t>8. APROBAR</t>
  </si>
  <si>
    <t>Cambie el Estado a Aprobada solo después de la revisión técnica.</t>
  </si>
  <si>
    <t>PRESUPUESTO DE OBRA</t>
  </si>
  <si>
    <t>RYR-PP-001</t>
  </si>
  <si>
    <t>IDENTIFICACIÓN DE PROYECTO</t>
  </si>
  <si>
    <t>Bogotá D.C. - Precios de referencia de mercado 2026 - Valores en pesos colombianos (COP), sin decimales</t>
  </si>
  <si>
    <t>Ítem</t>
  </si>
  <si>
    <t>Cantidad</t>
  </si>
  <si>
    <t>Precio Unitario</t>
  </si>
  <si>
    <t>Valor Total</t>
  </si>
  <si>
    <t>1</t>
  </si>
  <si>
    <t>1.1</t>
  </si>
  <si>
    <t>ML</t>
  </si>
  <si>
    <t>1.2</t>
  </si>
  <si>
    <t>1.3</t>
  </si>
  <si>
    <t>M²</t>
  </si>
  <si>
    <t>1.4</t>
  </si>
  <si>
    <t>1.5</t>
  </si>
  <si>
    <t>UND</t>
  </si>
  <si>
    <t>1.6</t>
  </si>
  <si>
    <t>GL</t>
  </si>
  <si>
    <t>1.7</t>
  </si>
  <si>
    <t>1.8</t>
  </si>
  <si>
    <t>1.9</t>
  </si>
  <si>
    <t>M³</t>
  </si>
  <si>
    <t>SUBTOTAL CAPÍTULO 1 - PRELIMINARES</t>
  </si>
  <si>
    <t>2</t>
  </si>
  <si>
    <t>2.1</t>
  </si>
  <si>
    <t>2.2</t>
  </si>
  <si>
    <t>2.3</t>
  </si>
  <si>
    <t>2.4</t>
  </si>
  <si>
    <t>2.5</t>
  </si>
  <si>
    <t>2.6</t>
  </si>
  <si>
    <t>2.7</t>
  </si>
  <si>
    <t>2.8</t>
  </si>
  <si>
    <t>2.9</t>
  </si>
  <si>
    <t>2.10</t>
  </si>
  <si>
    <t>2.11</t>
  </si>
  <si>
    <t>SUBTOTAL CAPÍTULO 2 - MOVIMIENTO DE TIERRAS</t>
  </si>
  <si>
    <t>3</t>
  </si>
  <si>
    <t>3.1</t>
  </si>
  <si>
    <t>3.2</t>
  </si>
  <si>
    <t>3.3</t>
  </si>
  <si>
    <t>3.4</t>
  </si>
  <si>
    <t>3.5</t>
  </si>
  <si>
    <t>3.6</t>
  </si>
  <si>
    <t>KG</t>
  </si>
  <si>
    <t>3.7</t>
  </si>
  <si>
    <t>SUBTOTAL CAPÍTULO 3 - CIMENTACIONES</t>
  </si>
  <si>
    <t>4</t>
  </si>
  <si>
    <t>4.1</t>
  </si>
  <si>
    <t>4.2</t>
  </si>
  <si>
    <t>4.3</t>
  </si>
  <si>
    <t>4.4</t>
  </si>
  <si>
    <t>4.5</t>
  </si>
  <si>
    <t>4.6</t>
  </si>
  <si>
    <t>4.7</t>
  </si>
  <si>
    <t>4.8</t>
  </si>
  <si>
    <t>4.9</t>
  </si>
  <si>
    <t>4.10</t>
  </si>
  <si>
    <t>4.11</t>
  </si>
  <si>
    <t>4.12</t>
  </si>
  <si>
    <t>4.13</t>
  </si>
  <si>
    <t>4.14</t>
  </si>
  <si>
    <t>SUBTOTAL CAPÍTULO 4 - ESTRUCTURA</t>
  </si>
  <si>
    <t>5</t>
  </si>
  <si>
    <t>5.1</t>
  </si>
  <si>
    <t>5.2</t>
  </si>
  <si>
    <t>5.3</t>
  </si>
  <si>
    <t>5.4</t>
  </si>
  <si>
    <t>5.5</t>
  </si>
  <si>
    <t>5.6</t>
  </si>
  <si>
    <t>5.7</t>
  </si>
  <si>
    <t>SUBTOTAL CAPÍTULO 5 - MAMPOSTERÍA</t>
  </si>
  <si>
    <t>6</t>
  </si>
  <si>
    <t>6.1</t>
  </si>
  <si>
    <t>6.2</t>
  </si>
  <si>
    <t>6.3</t>
  </si>
  <si>
    <t>6.4</t>
  </si>
  <si>
    <t>6.5</t>
  </si>
  <si>
    <t>6.6</t>
  </si>
  <si>
    <t>6.7</t>
  </si>
  <si>
    <t>SUBTOTAL CAPÍTULO 6 - CUBIERTAS</t>
  </si>
  <si>
    <t>7</t>
  </si>
  <si>
    <t>7.1</t>
  </si>
  <si>
    <t>7.2</t>
  </si>
  <si>
    <t>7.3</t>
  </si>
  <si>
    <t>SUBTOTAL CAPÍTULO 7 - IMPERMEABILIZACIONES</t>
  </si>
  <si>
    <t>8</t>
  </si>
  <si>
    <t>8.1</t>
  </si>
  <si>
    <t>8.2</t>
  </si>
  <si>
    <t>8.3</t>
  </si>
  <si>
    <t>8.4</t>
  </si>
  <si>
    <t>SUBTOTAL CAPÍTULO 8 - PAÑETES Y REVOQUES</t>
  </si>
  <si>
    <t>9</t>
  </si>
  <si>
    <t>9.1</t>
  </si>
  <si>
    <t>9.2</t>
  </si>
  <si>
    <t>9.3</t>
  </si>
  <si>
    <t>9.4</t>
  </si>
  <si>
    <t>9.5</t>
  </si>
  <si>
    <t>9.6</t>
  </si>
  <si>
    <t>9.7</t>
  </si>
  <si>
    <t>9.8</t>
  </si>
  <si>
    <t>SUBTOTAL CAPÍTULO 9 - PISOS Y ENCHAPES</t>
  </si>
  <si>
    <t>10</t>
  </si>
  <si>
    <t>10.1</t>
  </si>
  <si>
    <t>10.2</t>
  </si>
  <si>
    <t>10.3</t>
  </si>
  <si>
    <t>10.4</t>
  </si>
  <si>
    <t>10.5</t>
  </si>
  <si>
    <t>SUBTOTAL CAPÍTULO 10 - PINTURA</t>
  </si>
  <si>
    <t>11</t>
  </si>
  <si>
    <t>11.1</t>
  </si>
  <si>
    <t>11.2</t>
  </si>
  <si>
    <t>11.3</t>
  </si>
  <si>
    <t>11.4</t>
  </si>
  <si>
    <t>11.5</t>
  </si>
  <si>
    <t>11.6</t>
  </si>
  <si>
    <t>11.7</t>
  </si>
  <si>
    <t>SUBTOTAL CAPÍTULO 11 - CARPINTERÍA</t>
  </si>
  <si>
    <t>12</t>
  </si>
  <si>
    <t>12.1</t>
  </si>
  <si>
    <t>12.2</t>
  </si>
  <si>
    <t>12.3</t>
  </si>
  <si>
    <t>12.4</t>
  </si>
  <si>
    <t>SUBTOTAL CAPÍTULO 12 - VIDRIOS</t>
  </si>
  <si>
    <t>13</t>
  </si>
  <si>
    <t>13.1</t>
  </si>
  <si>
    <t>13.2</t>
  </si>
  <si>
    <t>13.3</t>
  </si>
  <si>
    <t>13.4</t>
  </si>
  <si>
    <t>13.5</t>
  </si>
  <si>
    <t>13.6</t>
  </si>
  <si>
    <t>13.7</t>
  </si>
  <si>
    <t>13.8</t>
  </si>
  <si>
    <t>13.9</t>
  </si>
  <si>
    <t>13.10</t>
  </si>
  <si>
    <t>13.11</t>
  </si>
  <si>
    <t>SUBTOTAL CAPÍTULO 13 - INSTALACIONES HIDROSANITARIAS</t>
  </si>
  <si>
    <t>14</t>
  </si>
  <si>
    <t>14.1</t>
  </si>
  <si>
    <t>14.2</t>
  </si>
  <si>
    <t>14.3</t>
  </si>
  <si>
    <t>14.4</t>
  </si>
  <si>
    <t>14.5</t>
  </si>
  <si>
    <t>14.6</t>
  </si>
  <si>
    <t>14.7</t>
  </si>
  <si>
    <t>14.8</t>
  </si>
  <si>
    <t>14.9</t>
  </si>
  <si>
    <t>14.10</t>
  </si>
  <si>
    <t>14.11</t>
  </si>
  <si>
    <t>SUBTOTAL CAPÍTULO 14 - INSTALACIONES ELÉCTRICAS</t>
  </si>
  <si>
    <t>15</t>
  </si>
  <si>
    <t>15.1</t>
  </si>
  <si>
    <t>15.2</t>
  </si>
  <si>
    <t>15.3</t>
  </si>
  <si>
    <t>15.4</t>
  </si>
  <si>
    <t>15.5</t>
  </si>
  <si>
    <t>15.6</t>
  </si>
  <si>
    <t>SUBTOTAL CAPÍTULO 15 - COMUNICACIONES Y SEGURIDAD</t>
  </si>
  <si>
    <t>16</t>
  </si>
  <si>
    <t>16.1</t>
  </si>
  <si>
    <t>16.2</t>
  </si>
  <si>
    <t>16.3</t>
  </si>
  <si>
    <t>16.4</t>
  </si>
  <si>
    <t>SUBTOTAL CAPÍTULO 16 - CLIMATIZACIÓN Y VENTILACIÓN</t>
  </si>
  <si>
    <t>17</t>
  </si>
  <si>
    <t>17.1</t>
  </si>
  <si>
    <t>17.2</t>
  </si>
  <si>
    <t>17.3</t>
  </si>
  <si>
    <t>SUBTOTAL CAPÍTULO 17 - GAS</t>
  </si>
  <si>
    <t>18</t>
  </si>
  <si>
    <t>18.1</t>
  </si>
  <si>
    <t>18.2</t>
  </si>
  <si>
    <t>18.3</t>
  </si>
  <si>
    <t>18.4</t>
  </si>
  <si>
    <t>18.5</t>
  </si>
  <si>
    <t>18.6</t>
  </si>
  <si>
    <t>18.7</t>
  </si>
  <si>
    <t>SUBTOTAL CAPÍTULO 18 - URBANISMO Y EXTERIORES</t>
  </si>
  <si>
    <t>19</t>
  </si>
  <si>
    <t>19.1</t>
  </si>
  <si>
    <t>19.2</t>
  </si>
  <si>
    <t>19.3</t>
  </si>
  <si>
    <t>19.4</t>
  </si>
  <si>
    <t>SUBTOTAL CAPÍTULO 19 - OBRAS COMPLEMENTARIAS</t>
  </si>
  <si>
    <t>20</t>
  </si>
  <si>
    <t>20.1</t>
  </si>
  <si>
    <t>20.2</t>
  </si>
  <si>
    <t>20.3</t>
  </si>
  <si>
    <t>20.4</t>
  </si>
  <si>
    <t>20.5</t>
  </si>
  <si>
    <t>SUBTOTAL CAPÍTULO 20 - ASEO, ENTREGA Y CIERRE</t>
  </si>
  <si>
    <t>21</t>
  </si>
  <si>
    <t>ASCENSORES</t>
  </si>
  <si>
    <t>21.1</t>
  </si>
  <si>
    <t>SUBTOTAL CAPÍTULO 21 - ASCENSORES</t>
  </si>
  <si>
    <t>22</t>
  </si>
  <si>
    <t>GESTIÓN, DISEÑO Y ADMINISTRACIÓN</t>
  </si>
  <si>
    <t>22.1</t>
  </si>
  <si>
    <t>22.2</t>
  </si>
  <si>
    <t>22.3</t>
  </si>
  <si>
    <t>22.4</t>
  </si>
  <si>
    <t>SUBTOTAL CAPÍTULO 22 - GESTIÓN, DISEÑO Y ADMINISTRACIÓN</t>
  </si>
  <si>
    <t>COSTO DIRECTO TOTAL (suma de capítulos 1 a 14)</t>
  </si>
  <si>
    <t>SUBTOTAL AIU (A+I+U)</t>
  </si>
  <si>
    <t>COSTO DIRECTO + AIU</t>
  </si>
  <si>
    <t>IVA sobre Utilidad (19%)</t>
  </si>
  <si>
    <t>PRESUPUESTO TOTAL DE OBRA</t>
  </si>
  <si>
    <t>Costo por m² construido (sobre Costo Directo Total)</t>
  </si>
  <si>
    <t>Costo por m² construido (sobre Presupuesto Total)</t>
  </si>
  <si>
    <t>RESUMEN EJECUTIVO DEL PRESUPUESTO</t>
  </si>
  <si>
    <t>RYR-RS-001</t>
  </si>
  <si>
    <t>Participación de cada capítulo dentro del Costo Directo Total</t>
  </si>
  <si>
    <t>Cap.</t>
  </si>
  <si>
    <t>Valor (COP)</t>
  </si>
  <si>
    <t>% Participación</t>
  </si>
  <si>
    <t>$/m² construido</t>
  </si>
  <si>
    <t>COSTO DIRECTO TOTAL</t>
  </si>
  <si>
    <t>Subtotal AIU (A+I+U)</t>
  </si>
  <si>
    <t>Costo Directo + AIU</t>
  </si>
  <si>
    <t>Costo por m² construido (Presupuesto Total)</t>
  </si>
  <si>
    <t xml:space="preserve">CRONOGRAMA DE OBRA </t>
  </si>
  <si>
    <t>RYR-CR-001</t>
  </si>
  <si>
    <t>Inicio: 07/09/2026   |   Fin: 24/12/2027   |   Duración: 474 días calendario (≈15.6 meses)   |   Las filas resaltadas en rojo son RUTA CRÍTICA (holgura = 0)</t>
  </si>
  <si>
    <t>DISEÑAMOS, RENOVAMOS Y CONSTRUIMOS ESPACIOS QUE INSPIRAN.</t>
  </si>
  <si>
    <t>Objeto del Contrato</t>
  </si>
  <si>
    <t>No del Contrato</t>
  </si>
  <si>
    <t>Especialidad</t>
  </si>
  <si>
    <t>WBS</t>
  </si>
  <si>
    <t>NOMBRE DE TAREA</t>
  </si>
  <si>
    <t>DURACIÓN (d.h.)</t>
  </si>
  <si>
    <t>INICIO</t>
  </si>
  <si>
    <t>FIN</t>
  </si>
  <si>
    <t>HOLGURA (d.h.)</t>
  </si>
  <si>
    <t>CRÍTICA</t>
  </si>
  <si>
    <t>RECURSOS ASIGNADOS</t>
  </si>
  <si>
    <t>0</t>
  </si>
  <si>
    <t>EDIFICIO DE APARTAMENTOS 12 PISOS - BOGOTÁ D.C.</t>
  </si>
  <si>
    <t>FASE 1 - PRELIMINARES, ESTUDIOS Y DISEÑOS</t>
  </si>
  <si>
    <t xml:space="preserve">    Estudios y diseños</t>
  </si>
  <si>
    <t>1.1.1</t>
  </si>
  <si>
    <t xml:space="preserve">        Estudio de suelos y geotecnia</t>
  </si>
  <si>
    <t>1.1.2</t>
  </si>
  <si>
    <t xml:space="preserve">        Diseño arquitectónico y estructural</t>
  </si>
  <si>
    <t>1.1.3</t>
  </si>
  <si>
    <t xml:space="preserve">        Diseño hidrosanitario, eléctrico y de gas</t>
  </si>
  <si>
    <t>1.1.4</t>
  </si>
  <si>
    <t xml:space="preserve">        Trámite y expedición de licencia de construcción (curaduría)</t>
  </si>
  <si>
    <t xml:space="preserve">    Preliminares en el predio</t>
  </si>
  <si>
    <t>1.2.1</t>
  </si>
  <si>
    <t xml:space="preserve">        Cerramiento provisional, campamento y oficina de obra</t>
  </si>
  <si>
    <t>1.2.2</t>
  </si>
  <si>
    <t xml:space="preserve">        Localización y replanteo topográfico general</t>
  </si>
  <si>
    <t>1.2.3</t>
  </si>
  <si>
    <t xml:space="preserve">        Descapote, demolición de estructuras existentes y limpieza</t>
  </si>
  <si>
    <t>1.2.4</t>
  </si>
  <si>
    <t xml:space="preserve">        HITO: Inicio de obra civil (fin de preliminares)</t>
  </si>
  <si>
    <t>FASE 2 - EXCAVACIÓN Y CIMENTACIÓN</t>
  </si>
  <si>
    <t xml:space="preserve">    Excavación y contención</t>
  </si>
  <si>
    <t>2.1.1</t>
  </si>
  <si>
    <t xml:space="preserve">        Excavación mecánica de sótanos (2 niveles)</t>
  </si>
  <si>
    <t>2.1.2</t>
  </si>
  <si>
    <t xml:space="preserve">        Cargue, transporte y disposición final de material sobrante</t>
  </si>
  <si>
    <t>2.1.3</t>
  </si>
  <si>
    <t xml:space="preserve">        Entibado y contención perimetral (pantalla anclada)</t>
  </si>
  <si>
    <t xml:space="preserve">    Cimentación en concreto</t>
  </si>
  <si>
    <t>2.2.1</t>
  </si>
  <si>
    <t xml:space="preserve">        Solado o cimiento ciclópeo de limpieza</t>
  </si>
  <si>
    <t>2.2.2</t>
  </si>
  <si>
    <t xml:space="preserve">        Armado de acero de refuerzo - zapatas, dados y arranques de columna</t>
  </si>
  <si>
    <t>2.2.3</t>
  </si>
  <si>
    <t xml:space="preserve">        Fundida de zapatas y dados en concreto 3000 PSI</t>
  </si>
  <si>
    <t>2.2.4</t>
  </si>
  <si>
    <t xml:space="preserve">        Armado de acero de refuerzo - muros de contención</t>
  </si>
  <si>
    <t>2.2.5</t>
  </si>
  <si>
    <t xml:space="preserve">        Formaleta y fundida de muros de contención en concreto reforzado 3000 PSI</t>
  </si>
  <si>
    <t>2.2.6</t>
  </si>
  <si>
    <t xml:space="preserve">        Vigas de cimentación (armado y fundida)</t>
  </si>
  <si>
    <t>2.2.7</t>
  </si>
  <si>
    <t xml:space="preserve">        Losa de cimentación / placa contrapiso sótano e=0.15m</t>
  </si>
  <si>
    <t>2.2.8</t>
  </si>
  <si>
    <t xml:space="preserve">        Impermeabilización de cimentación y muros de contención</t>
  </si>
  <si>
    <t>2.2.9</t>
  </si>
  <si>
    <t xml:space="preserve">        HITO: Cimentación terminada</t>
  </si>
  <si>
    <t>FASE 3 - ESTRUCTURA EN CONCRETO (SUPERESTRUCTURA)</t>
  </si>
  <si>
    <t xml:space="preserve">    Estructura de sótanos</t>
  </si>
  <si>
    <t>3.1.1</t>
  </si>
  <si>
    <t xml:space="preserve">        Estructura sótano 1 (columnas, vigas, placa)</t>
  </si>
  <si>
    <t>3.1.2</t>
  </si>
  <si>
    <t xml:space="preserve">        Estructura sótano 2 (columnas, vigas, placa)</t>
  </si>
  <si>
    <t xml:space="preserve">    Estructura de la torre (pisos 1 a 12)</t>
  </si>
  <si>
    <t>3.2.1</t>
  </si>
  <si>
    <t xml:space="preserve">        Estructura piso 1 (columnas, vigas, placa de entrepiso)</t>
  </si>
  <si>
    <t>3.2.2</t>
  </si>
  <si>
    <t xml:space="preserve">        Estructura piso 2 (columnas, vigas, placa de entrepiso)</t>
  </si>
  <si>
    <t>3.2.3</t>
  </si>
  <si>
    <t xml:space="preserve">        Estructura piso 3 (columnas, vigas, placa de entrepiso)</t>
  </si>
  <si>
    <t>3.2.4</t>
  </si>
  <si>
    <t xml:space="preserve">        Estructura piso 4 (columnas, vigas, placa de entrepiso)</t>
  </si>
  <si>
    <t>3.2.5</t>
  </si>
  <si>
    <t xml:space="preserve">        Estructura piso 5 (columnas, vigas, placa de entrepiso)</t>
  </si>
  <si>
    <t>3.2.6</t>
  </si>
  <si>
    <t xml:space="preserve">        Estructura piso 6 (columnas, vigas, placa de entrepiso)</t>
  </si>
  <si>
    <t>3.2.7</t>
  </si>
  <si>
    <t xml:space="preserve">        Estructura piso 7 (columnas, vigas, placa de entrepiso)</t>
  </si>
  <si>
    <t>3.2.8</t>
  </si>
  <si>
    <t xml:space="preserve">        Estructura piso 8 (columnas, vigas, placa de entrepiso)</t>
  </si>
  <si>
    <t>3.2.9</t>
  </si>
  <si>
    <t xml:space="preserve">        Estructura piso 9 (columnas, vigas, placa de entrepiso)</t>
  </si>
  <si>
    <t>3.2.10</t>
  </si>
  <si>
    <t xml:space="preserve">        Estructura piso 10 (columnas, vigas, placa de entrepiso)</t>
  </si>
  <si>
    <t>3.2.11</t>
  </si>
  <si>
    <t xml:space="preserve">        Estructura piso 11 (columnas, vigas, placa de entrepiso)</t>
  </si>
  <si>
    <t>3.2.12</t>
  </si>
  <si>
    <t xml:space="preserve">        Estructura piso 12 (columnas, vigas, placa de entrepiso)</t>
  </si>
  <si>
    <t xml:space="preserve">    Cubierta y remates estructurales</t>
  </si>
  <si>
    <t>3.3.1</t>
  </si>
  <si>
    <t xml:space="preserve">        Placa de cubierta y cuarto de máquinas</t>
  </si>
  <si>
    <t>3.3.2</t>
  </si>
  <si>
    <t xml:space="preserve">        Losa de tanque elevado</t>
  </si>
  <si>
    <t>3.3.3</t>
  </si>
  <si>
    <t xml:space="preserve">        HITO: Estructura de la torre terminada (topo de obra gris)</t>
  </si>
  <si>
    <t>FASE 4 - MAMPOSTERÍA Y PAÑETES</t>
  </si>
  <si>
    <t>4.0.1</t>
  </si>
  <si>
    <t xml:space="preserve">        Mampostería y pañetes - sótanos</t>
  </si>
  <si>
    <t>4.0.2</t>
  </si>
  <si>
    <t xml:space="preserve">        Mampostería y pañetes - pisos 1 a 4</t>
  </si>
  <si>
    <t>4.0.3</t>
  </si>
  <si>
    <t xml:space="preserve">        Mampostería y pañetes - pisos 5 a 8</t>
  </si>
  <si>
    <t>4.0.4</t>
  </si>
  <si>
    <t xml:space="preserve">        Mampostería y pañetes - pisos 9 a 12</t>
  </si>
  <si>
    <t>4.0.5</t>
  </si>
  <si>
    <t xml:space="preserve">        HITO: Mampostería y pañetes terminados</t>
  </si>
  <si>
    <t>FASE 5 - CUBIERTA E IMPERMEABILIZACIONES</t>
  </si>
  <si>
    <t>5.0.1</t>
  </si>
  <si>
    <t xml:space="preserve">        Cubierta en teja termoacústica sobre estructura metálica</t>
  </si>
  <si>
    <t>5.0.2</t>
  </si>
  <si>
    <t xml:space="preserve">        Impermeabilización de cubiertas, terrazas y balcones</t>
  </si>
  <si>
    <t>5.0.3</t>
  </si>
  <si>
    <t xml:space="preserve">        Canales, bajantes de aguas lluvias y cuarto de máquinas/tanques</t>
  </si>
  <si>
    <t>5.0.4</t>
  </si>
  <si>
    <t xml:space="preserve">        HITO: Edificio bajo cubierta (dry-in)</t>
  </si>
  <si>
    <t>FASE 6 - INSTALACIONES HIDROSANITARIAS</t>
  </si>
  <si>
    <t>6.0.1</t>
  </si>
  <si>
    <t xml:space="preserve">        Redes hidrosanitarias (punto agua/desagüe) - pisos 1 a 4</t>
  </si>
  <si>
    <t>6.0.2</t>
  </si>
  <si>
    <t xml:space="preserve">        Redes hidrosanitarias (punto agua/desagüe) - pisos 5 a 8</t>
  </si>
  <si>
    <t>6.0.3</t>
  </si>
  <si>
    <t xml:space="preserve">        Redes hidrosanitarias (punto agua/desagüe) - pisos 9 a 12</t>
  </si>
  <si>
    <t>6.0.4</t>
  </si>
  <si>
    <t xml:space="preserve">        Cuarto de bombas, tanques de reserva y sistema hidroneumático</t>
  </si>
  <si>
    <t>6.0.5</t>
  </si>
  <si>
    <t xml:space="preserve">        Red contra incendio (gabinetes, red húmeda, siamesa)</t>
  </si>
  <si>
    <t>6.0.6</t>
  </si>
  <si>
    <t xml:space="preserve">        Instalación de aparatos sanitarios y grifería</t>
  </si>
  <si>
    <t>6.0.7</t>
  </si>
  <si>
    <t xml:space="preserve">        HITO: Instalaciones hidrosanitarias terminadas</t>
  </si>
  <si>
    <t>FASE 7 - INSTALACIONES ELÉCTRICAS Y ESPECIALES</t>
  </si>
  <si>
    <t>7.0.1</t>
  </si>
  <si>
    <t xml:space="preserve">        Acometida eléctrica y subestación / transformador</t>
  </si>
  <si>
    <t>7.0.2</t>
  </si>
  <si>
    <t xml:space="preserve">        Redes eléctricas internas (puntos, tuberías) - pisos 1 a 4</t>
  </si>
  <si>
    <t>7.0.3</t>
  </si>
  <si>
    <t xml:space="preserve">        Redes eléctricas internas (puntos, tuberías) - pisos 5 a 8</t>
  </si>
  <si>
    <t>7.0.4</t>
  </si>
  <si>
    <t xml:space="preserve">        Redes eléctricas internas (puntos, tuberías) - pisos 9 a 12</t>
  </si>
  <si>
    <t>7.0.5</t>
  </si>
  <si>
    <t xml:space="preserve">        Tableros de distribución por piso y tablero general</t>
  </si>
  <si>
    <t>7.0.6</t>
  </si>
  <si>
    <t xml:space="preserve">        Sistema de puesta a tierra y pararrayos</t>
  </si>
  <si>
    <t>7.0.7</t>
  </si>
  <si>
    <t xml:space="preserve">        Planta eléctrica de emergencia</t>
  </si>
  <si>
    <t>7.0.8</t>
  </si>
  <si>
    <t xml:space="preserve">        Citofonía / portería eléctrica y control de acceso</t>
  </si>
  <si>
    <t>7.0.9</t>
  </si>
  <si>
    <t xml:space="preserve">        Cableado estructurado (voz, datos, TV)</t>
  </si>
  <si>
    <t>7.0.10</t>
  </si>
  <si>
    <t xml:space="preserve">        Iluminación de zonas comunes y exteriores</t>
  </si>
  <si>
    <t>7.0.11</t>
  </si>
  <si>
    <t xml:space="preserve">        HITO: Instalaciones eléctricas terminadas</t>
  </si>
  <si>
    <t>FASE 8 - INSTALACIÓN DE GAS NATURAL</t>
  </si>
  <si>
    <t>8.0.1</t>
  </si>
  <si>
    <t xml:space="preserve">        Acometida y sistema de medición centralizada de gas</t>
  </si>
  <si>
    <t>8.0.2</t>
  </si>
  <si>
    <t xml:space="preserve">        Red interna de gas natural - pisos 1 a 4</t>
  </si>
  <si>
    <t>8.0.3</t>
  </si>
  <si>
    <t xml:space="preserve">        Red interna de gas natural - pisos 5 a 8</t>
  </si>
  <si>
    <t>8.0.4</t>
  </si>
  <si>
    <t xml:space="preserve">        Red interna de gas natural - pisos 9 a 12</t>
  </si>
  <si>
    <t>8.0.5</t>
  </si>
  <si>
    <t xml:space="preserve">        HITO: Instalación de gas terminada</t>
  </si>
  <si>
    <t>FASE 9 - ASCENSORES</t>
  </si>
  <si>
    <t>9.0.1</t>
  </si>
  <si>
    <t xml:space="preserve">        Compra y fabricación de ascensores (long-lead)</t>
  </si>
  <si>
    <t>9.0.2</t>
  </si>
  <si>
    <t xml:space="preserve">        Foso y cuarto de máquinas (obra civil)</t>
  </si>
  <si>
    <t>9.0.3</t>
  </si>
  <si>
    <t xml:space="preserve">        Montaje de guías, cabina y equipos</t>
  </si>
  <si>
    <t>9.0.4</t>
  </si>
  <si>
    <t xml:space="preserve">        Pruebas, puesta en marcha y certificación</t>
  </si>
  <si>
    <t>9.0.5</t>
  </si>
  <si>
    <t xml:space="preserve">        HITO: Ascensores operativos y certificados</t>
  </si>
  <si>
    <t>FASE 10 - CARPINTERÍA METÁLICA Y DE MADERA</t>
  </si>
  <si>
    <t>10.0.1</t>
  </si>
  <si>
    <t xml:space="preserve">        Ventanería en aluminio y vidrio (fachada)</t>
  </si>
  <si>
    <t>10.0.2</t>
  </si>
  <si>
    <t xml:space="preserve">        Baranda metálica de escaleras y balcones</t>
  </si>
  <si>
    <t>10.0.3</t>
  </si>
  <si>
    <t xml:space="preserve">        Puertas cortafuego en escaleras de emergencia</t>
  </si>
  <si>
    <t>10.0.4</t>
  </si>
  <si>
    <t xml:space="preserve">        Puertas de madera, puerta de acceso, closets y muebles de cocina</t>
  </si>
  <si>
    <t>10.0.5</t>
  </si>
  <si>
    <t xml:space="preserve">        HITO: Carpintería terminada</t>
  </si>
  <si>
    <t>FASE 11 - ACABADOS</t>
  </si>
  <si>
    <t>11.0.1</t>
  </si>
  <si>
    <t xml:space="preserve">        Pisos, enchapes, cielo raso y pintura - pisos 1 a 4</t>
  </si>
  <si>
    <t>11.0.2</t>
  </si>
  <si>
    <t xml:space="preserve">        Pisos, enchapes, cielo raso y pintura - pisos 5 a 8</t>
  </si>
  <si>
    <t>11.0.3</t>
  </si>
  <si>
    <t xml:space="preserve">        Pisos, enchapes, cielo raso y pintura - pisos 9 a 12</t>
  </si>
  <si>
    <t>11.0.4</t>
  </si>
  <si>
    <t xml:space="preserve">        Piso en zonas comunes (granito/porcelanato alto tráfico)</t>
  </si>
  <si>
    <t>11.0.5</t>
  </si>
  <si>
    <t xml:space="preserve">        Estuco y pintura de fachada</t>
  </si>
  <si>
    <t>11.0.6</t>
  </si>
  <si>
    <t xml:space="preserve">        HITO: Acabados terminados</t>
  </si>
  <si>
    <t>FASE 12 - FACHADA</t>
  </si>
  <si>
    <t>12.0.1</t>
  </si>
  <si>
    <t xml:space="preserve">        Fachada en sistema de muro cortina / paneles arquitectónicos</t>
  </si>
  <si>
    <t>12.0.2</t>
  </si>
  <si>
    <t xml:space="preserve">        Aislamiento térmico y acústico de fachada</t>
  </si>
  <si>
    <t>12.0.3</t>
  </si>
  <si>
    <t xml:space="preserve">        HITO: Fachada terminada</t>
  </si>
  <si>
    <t>FASE 13 - URBANISMO Y OBRAS EXTERIORES</t>
  </si>
  <si>
    <t>13.0.1</t>
  </si>
  <si>
    <t xml:space="preserve">        Cerramiento definitivo, portería y control vehicular</t>
  </si>
  <si>
    <t>13.0.2</t>
  </si>
  <si>
    <t xml:space="preserve">        Andenes, accesos peatonales y vehiculares</t>
  </si>
  <si>
    <t>13.0.3</t>
  </si>
  <si>
    <t xml:space="preserve">        Demarcación y señalización de parqueaderos</t>
  </si>
  <si>
    <t>13.0.4</t>
  </si>
  <si>
    <t xml:space="preserve">        Zonas verdes, paisajismo y riego</t>
  </si>
  <si>
    <t>13.0.5</t>
  </si>
  <si>
    <t xml:space="preserve">        Cuarto de basuras, shut de residuos y amoblamiento zonas comunes</t>
  </si>
  <si>
    <t>13.0.6</t>
  </si>
  <si>
    <t xml:space="preserve">        HITO: Obras exteriores y urbanismo terminadas</t>
  </si>
  <si>
    <t>FASE 14 - ASEO GENERAL, VARIOS Y ENTREGA</t>
  </si>
  <si>
    <t>14.0.1</t>
  </si>
  <si>
    <t xml:space="preserve">        Aseo general y limpieza fina de entrega</t>
  </si>
  <si>
    <t>14.0.2</t>
  </si>
  <si>
    <t xml:space="preserve">        Dotación contra incendios y señalización final</t>
  </si>
  <si>
    <t>14.0.3</t>
  </si>
  <si>
    <t xml:space="preserve">        Pólizas de estabilidad y seguros todo riesgo (trámite)</t>
  </si>
  <si>
    <t>14.0.4</t>
  </si>
  <si>
    <t xml:space="preserve">        Planos récord, manual de propiedad horizontal y actas de entrega</t>
  </si>
  <si>
    <t>14.0.5</t>
  </si>
  <si>
    <t xml:space="preserve">        HITO FINAL: Entrega de la obra</t>
  </si>
  <si>
    <t xml:space="preserve">MEMORIAS DE CÁLCULO
</t>
  </si>
  <si>
    <t xml:space="preserve">REFORMAS Y REMODELACIONES                                        </t>
  </si>
  <si>
    <t>RYR-MC-001</t>
  </si>
  <si>
    <t>01  |  IDENTIFICACIÓN DEL PROYECTO Y DE LA ACTIVIDAD</t>
  </si>
  <si>
    <t>Proyecto / Obra</t>
  </si>
  <si>
    <t>Área / Frente</t>
  </si>
  <si>
    <t>Contratante</t>
  </si>
  <si>
    <t>Memoria No.</t>
  </si>
  <si>
    <t>Actividad / Ítem</t>
  </si>
  <si>
    <t>1.3.1</t>
  </si>
  <si>
    <t>02  |  MEDICIÓN DE CAMPO / DATOS DE ENTRADA</t>
  </si>
  <si>
    <t>N°</t>
  </si>
  <si>
    <t>DESCRIPCIÓN</t>
  </si>
  <si>
    <t>CANT.</t>
  </si>
  <si>
    <t>LARGO</t>
  </si>
  <si>
    <t>ANCHO</t>
  </si>
  <si>
    <t>ALTO / PESO</t>
  </si>
  <si>
    <t>FACTOR</t>
  </si>
  <si>
    <t>RESULTADO</t>
  </si>
  <si>
    <t>OBSERVACIÓN</t>
  </si>
  <si>
    <t>m3</t>
  </si>
  <si>
    <t>TOTAL CANTIDAD CALCULADA</t>
  </si>
  <si>
    <t>03  |  RESUMEN Y CONTROL DE CANTIDADES</t>
  </si>
  <si>
    <t>Cantidad calculada</t>
  </si>
  <si>
    <t>Cantidad contractual</t>
  </si>
  <si>
    <t>Saldo contractual</t>
  </si>
  <si>
    <t>% ejecutado</t>
  </si>
  <si>
    <t>04  |  DESARROLLO MATEMÁTICO Y CRITERIO DE MEDICIÓN</t>
  </si>
  <si>
    <t>CRITERIO
Producto de las dimensiones, cantidades y factores registrados. Ajustar el factor cuando aplique.</t>
  </si>
  <si>
    <t>OPERACIÓN AUTOMÁTICA
Resultado por registro = PRODUCTO(CANT., LARGO, ANCHO, ALTO/PESO, FACTOR)</t>
  </si>
  <si>
    <t>RESULTADO
=H23</t>
  </si>
  <si>
    <t>05  |  SOPORTE GRÁFICO</t>
  </si>
  <si>
    <t>FOTOGRAFÍA 01</t>
  </si>
  <si>
    <t>FOTOGRAFÍA 02</t>
  </si>
  <si>
    <t>INSERTAR FOTOGRAFÍA</t>
  </si>
  <si>
    <t>Pie de foto / fecha / ubicación: ____________________</t>
  </si>
  <si>
    <t>FOTOGRAFÍA 03</t>
  </si>
  <si>
    <t>FOTOGRAFÍA 04</t>
  </si>
  <si>
    <t>06  |  ESQUEMA DE LA ESTRUCTURA / ELEMENTO INTERVENIDO</t>
  </si>
  <si>
    <t>INSERTAR AQUÍ ESQUEMA, CROQUIS, DETALLE CONSTRUCTIVO O PLANO
Indicar ejes, cotas, niveles, espesores, diámetros, longitudes y referencias necesarias para verificar la medición.</t>
  </si>
  <si>
    <t>REFERENCIAS
Plano: __________________
Detalle: _________________
Escala: _________________
Cota / nivel: ____________
Observación: _____________</t>
  </si>
  <si>
    <t>07  |  RESPONSABLES Y TRAZABILIDAD</t>
  </si>
  <si>
    <t>ELABORÓ</t>
  </si>
  <si>
    <t>REVISÓ</t>
  </si>
  <si>
    <t>APROBÓ</t>
  </si>
  <si>
    <t>Nombre / cargo / firma</t>
  </si>
  <si>
    <t>ACTA DE OBRA</t>
  </si>
  <si>
    <t>RYR-AO-001</t>
  </si>
  <si>
    <t>01</t>
  </si>
  <si>
    <t>Fecha emisión</t>
  </si>
  <si>
    <t>2026-09-13</t>
  </si>
  <si>
    <t>1. IDENTIFICACIÓN DEL ACTA Y DEL PROYECTO</t>
  </si>
  <si>
    <t>Acta No.</t>
  </si>
  <si>
    <t>Tipo de acta</t>
  </si>
  <si>
    <t>Avance de obra</t>
  </si>
  <si>
    <t>BORRADOR</t>
  </si>
  <si>
    <t>Contrato No</t>
  </si>
  <si>
    <t xml:space="preserve">Interventoría </t>
  </si>
  <si>
    <t>Fecha del acta</t>
  </si>
  <si>
    <t>Desde</t>
  </si>
  <si>
    <t>Hasta</t>
  </si>
  <si>
    <t>Período hasta</t>
  </si>
  <si>
    <t>Objeto / alcance resumido</t>
  </si>
  <si>
    <t>2. PARTICIPANTES Y CONTROL DEL PERÍODO</t>
  </si>
  <si>
    <t>Días Contractuales</t>
  </si>
  <si>
    <t>Días de Avance</t>
  </si>
  <si>
    <t>% Tiempo de Avance</t>
  </si>
  <si>
    <t>Interventor</t>
  </si>
  <si>
    <t xml:space="preserve">Cargo </t>
  </si>
  <si>
    <t>3. AVANCE FÍSICO Y CANTIDADES EJECUTADAS</t>
  </si>
  <si>
    <t>Actividad / partida</t>
  </si>
  <si>
    <t>Cant. contractual</t>
  </si>
  <si>
    <t>Cant. anterior</t>
  </si>
  <si>
    <t>Cant. acta</t>
  </si>
  <si>
    <t>Cant. acumulada</t>
  </si>
  <si>
    <t>Saldo</t>
  </si>
  <si>
    <t>% ejecución</t>
  </si>
  <si>
    <t>Observación</t>
  </si>
  <si>
    <t>4. CONTROL ECONÓMICO DEL ACTA</t>
  </si>
  <si>
    <t>Valor contractual</t>
  </si>
  <si>
    <t>Valor actas anteriores</t>
  </si>
  <si>
    <t>Valor presente acta</t>
  </si>
  <si>
    <t xml:space="preserve">% ejecutado </t>
  </si>
  <si>
    <t>Anticipo (si aplica)</t>
  </si>
  <si>
    <t>Amortización acta</t>
  </si>
  <si>
    <t xml:space="preserve">Retenciones </t>
  </si>
  <si>
    <t>5. VERIFICACIÓN DE CALIDAD, SST Y AMBIENTAL</t>
  </si>
  <si>
    <t xml:space="preserve">Calidad </t>
  </si>
  <si>
    <t>SST</t>
  </si>
  <si>
    <t>Ambiental</t>
  </si>
  <si>
    <t>CUMPLE</t>
  </si>
  <si>
    <t>Referencia</t>
  </si>
  <si>
    <t>6. OBSERVACIONES, NO CONFORMIDADES, RIESGOS Y COMPROMISOS</t>
  </si>
  <si>
    <t>No.</t>
  </si>
  <si>
    <t>Descripción / hallazgo</t>
  </si>
  <si>
    <t>Clasificación</t>
  </si>
  <si>
    <t>Acción / compromiso</t>
  </si>
  <si>
    <t>Fecha compromiso</t>
  </si>
  <si>
    <t>7. EVIDENCIA DE EJECUCIÓN Y ACEPTACIÓN</t>
  </si>
  <si>
    <t>8. DECLARACIÓN Y CIERRE DEL ACTA</t>
  </si>
  <si>
    <t>Con la suscripción de la presente acta, las partes dejan constancia de la información registrada, del avance y/o actividades verificadas durante el período indicado, así como de las observaciones y compromisos consignados. La aceptación queda sujeta al contrato, especificaciones técnicas, requisitos legales y demás documentos aplicables al proyecto.</t>
  </si>
  <si>
    <t>9. APROBACIONES Y FIRMAS</t>
  </si>
  <si>
    <t>ELABORÓ / CONTRATISTA</t>
  </si>
  <si>
    <t>REVISÓ / SUPERVISIÓN</t>
  </si>
  <si>
    <t>APROBÓ / CONTRATANTE</t>
  </si>
  <si>
    <t>FECHA</t>
  </si>
  <si>
    <t>Firma / nombre / cargo</t>
  </si>
  <si>
    <t>10. REFERENTES NORMATIVOS Y CONTROL DE INFORMACIÓN DOCUMENTADA</t>
  </si>
  <si>
    <t>Registrar en el proyecto las normas, reglamentos, especificaciones, planos, contrato y requisitos legales aplicables. Esta plantilla está diseñada como herramienta de control documental y trazabilidad, alineada con buenas prácticas de información documentada y gestión de calidad, SST y ambiental; no constituye por sí sola una certificación de conformidad.</t>
  </si>
  <si>
    <t>REFORMAS Y REMODELACIONES  |  Documento controlado  |  Código RYR-AO-001  |  Versión 01</t>
  </si>
  <si>
    <t>NOTA DE CONTROL: Una vez diligenciada y aprobada, conservar el acta conforme al procedimiento de control de información documentada de la organización.</t>
  </si>
  <si>
    <t>INFORME DIARIO DE AVANCE DE OBRA</t>
  </si>
  <si>
    <t>RYR-ID-001</t>
  </si>
  <si>
    <t>IDENTIFICACIÓN DEL INFORME Y DEL PROYECTO</t>
  </si>
  <si>
    <t>Hora de Entrada</t>
  </si>
  <si>
    <t>Hora de Apertura Permiso de Trabajo</t>
  </si>
  <si>
    <t>Hora de Salida</t>
  </si>
  <si>
    <t>Informe No</t>
  </si>
  <si>
    <t>UBICACIÓN</t>
  </si>
  <si>
    <t>ITEM</t>
  </si>
  <si>
    <t>DESCRIPCIÓN DEL ITEM</t>
  </si>
  <si>
    <t>CONTRACTUAL</t>
  </si>
  <si>
    <t>ACUMULADO ANTERIOR</t>
  </si>
  <si>
    <t xml:space="preserve"> AVANCE DIARIO</t>
  </si>
  <si>
    <t>NUEVO ACUMULADO</t>
  </si>
  <si>
    <t xml:space="preserve">OTRAS ACTIVIDADES </t>
  </si>
  <si>
    <t>DESCRIPCIÓN DE ACTIVIDADES</t>
  </si>
  <si>
    <t>ACUMULADO</t>
  </si>
  <si>
    <t>OBSERVACIONES</t>
  </si>
  <si>
    <t>RECURSOS</t>
  </si>
  <si>
    <t>EQUIPOS</t>
  </si>
  <si>
    <t>CARGO</t>
  </si>
  <si>
    <t>TIEMPO</t>
  </si>
  <si>
    <t>ASPECTOS PROBLEMÁTICOS</t>
  </si>
  <si>
    <t>PLAN DE ACCIÓN</t>
  </si>
  <si>
    <t>HORAS PERDIDAS</t>
  </si>
  <si>
    <t>ASPECTOS HSE</t>
  </si>
  <si>
    <t>MOTIVO</t>
  </si>
  <si>
    <t>TOTAL(HORAS)</t>
  </si>
  <si>
    <t>CHARLA DEL DÍA</t>
  </si>
  <si>
    <t>OBSERVACIONES HSE</t>
  </si>
  <si>
    <t>REGISTRO FOTOGRÁFICO</t>
  </si>
  <si>
    <t>INFORME SEMANAL</t>
  </si>
  <si>
    <t>RYR-IS-001</t>
  </si>
  <si>
    <t>Presupuesto Total del Contrato</t>
  </si>
  <si>
    <t>Mes</t>
  </si>
  <si>
    <t>Elaborado Por</t>
  </si>
  <si>
    <t>RESUMEN EJECUTIVO</t>
  </si>
  <si>
    <t>AVANCE TÉCNICO Y ECONÓMICO DEL PROYECTO (POR CAPÍTULO)</t>
  </si>
  <si>
    <t>AVANCE PROGRAMADO GLOBAL</t>
  </si>
  <si>
    <t>AVANCE REAL GLOBAL</t>
  </si>
  <si>
    <t>DIFERENCIA</t>
  </si>
  <si>
    <t>% EJECUTADO FINANCIERO</t>
  </si>
  <si>
    <t>CAPÍTULO</t>
  </si>
  <si>
    <t>PESO %</t>
  </si>
  <si>
    <t>PROG. %</t>
  </si>
  <si>
    <t>REAL %</t>
  </si>
  <si>
    <t>DIF. %</t>
  </si>
  <si>
    <t>PROG. POND. %</t>
  </si>
  <si>
    <t>REAL POND. %</t>
  </si>
  <si>
    <t>VALOR EJECUTADO ($)</t>
  </si>
  <si>
    <t>TOTAL</t>
  </si>
  <si>
    <t>ACTIVIDADES MÁS RELEVANTES DEL PERÍODO</t>
  </si>
  <si>
    <t>DESCRIPCIÓN DE LA ACTIVIDAD</t>
  </si>
  <si>
    <t>AVANCE DEL PERÍODO</t>
  </si>
  <si>
    <t>RESPONSABLE</t>
  </si>
  <si>
    <t>AVANCE FINANCIERO Y ADMINISTRATIVO</t>
  </si>
  <si>
    <t>INGRESOS DEL PERÍODO</t>
  </si>
  <si>
    <t>EGRESOS / GASTOS DEL PERÍODO</t>
  </si>
  <si>
    <t>CONCEPTO</t>
  </si>
  <si>
    <t>VALOR ($)</t>
  </si>
  <si>
    <t>TOTAL INGRESOS</t>
  </si>
  <si>
    <t>TOTAL EGRESOS</t>
  </si>
  <si>
    <t>BALANCE DEL PERÍODO (INGRESOS - EGRESOS)</t>
  </si>
  <si>
    <t>PRESUPUESTO EJECUTADO ACUMULADO ($)</t>
  </si>
  <si>
    <t>% EJECUTADO vs PRESUPUESTO</t>
  </si>
  <si>
    <t>ASPECTOS HSE Y AMBIENTALES</t>
  </si>
  <si>
    <t>HORAS HOMBRE TRABAJADAS</t>
  </si>
  <si>
    <t>ASPECTOS AMBIENTALES / NO CONFORMIDADES</t>
  </si>
  <si>
    <t>FIRMAS</t>
  </si>
  <si>
    <t>REVISADO POR</t>
  </si>
  <si>
    <t>APROBADO POR</t>
  </si>
  <si>
    <t>INFORME MENSUAL DE AVANCE DE OBRA</t>
  </si>
  <si>
    <t>RYR-IM-001</t>
  </si>
  <si>
    <t>Elaborado por</t>
  </si>
  <si>
    <t>AVANCE REAL ACUMULADO AL INICIO DEL PERÍODO (%)</t>
  </si>
  <si>
    <t>AVANCE DE ESTE PERÍODO (%)</t>
  </si>
  <si>
    <t>CATÁLOGO DE MANO DE OBRA</t>
  </si>
  <si>
    <t>PRECIO DE REFERENCIA ($)</t>
  </si>
  <si>
    <t>CÓDIGO</t>
  </si>
  <si>
    <t>Armador</t>
  </si>
  <si>
    <t>día</t>
  </si>
  <si>
    <t>A0100130</t>
  </si>
  <si>
    <t>Ayudante</t>
  </si>
  <si>
    <t>A0100150</t>
  </si>
  <si>
    <t>Cadenero</t>
  </si>
  <si>
    <t>A0010010</t>
  </si>
  <si>
    <t>Calculista</t>
  </si>
  <si>
    <t>A0100181</t>
  </si>
  <si>
    <t>Cortador</t>
  </si>
  <si>
    <t>A0100140</t>
  </si>
  <si>
    <t>Cuadrilla de desmontaje (10 personas)</t>
  </si>
  <si>
    <t>A0100010</t>
  </si>
  <si>
    <t>Cuadrilla de fabricación</t>
  </si>
  <si>
    <t>A0100180</t>
  </si>
  <si>
    <t>Cuadrilla de Un Oficial y (2) Obreros.</t>
  </si>
  <si>
    <t>A0041004</t>
  </si>
  <si>
    <t>Cuadrilla de un oficial y (4) Obreros.</t>
  </si>
  <si>
    <t>A0041006</t>
  </si>
  <si>
    <t>Dibujante</t>
  </si>
  <si>
    <t>A0100170</t>
  </si>
  <si>
    <t>Dibujante 2</t>
  </si>
  <si>
    <t>A0100182</t>
  </si>
  <si>
    <t>Estudios, análisis e informes</t>
  </si>
  <si>
    <t>Un</t>
  </si>
  <si>
    <t>A0100120</t>
  </si>
  <si>
    <t>Ingeniero de montaje y prueba</t>
  </si>
  <si>
    <t>A0100070</t>
  </si>
  <si>
    <t>Ingeniero de Montaje y Prueba Pilote (1)</t>
  </si>
  <si>
    <t>A0100069</t>
  </si>
  <si>
    <t>Ingeniero Especialista prueba de  integridad</t>
  </si>
  <si>
    <t>A0100082</t>
  </si>
  <si>
    <t>Ingeniero Geotecnista</t>
  </si>
  <si>
    <t>A0100071</t>
  </si>
  <si>
    <t>Ingeniero supervisor</t>
  </si>
  <si>
    <t>A0100020</t>
  </si>
  <si>
    <t>Ingeniero supervisor y director de prueba</t>
  </si>
  <si>
    <t>A0100080</t>
  </si>
  <si>
    <t>Ingeniero Supervisor y Director de Prueba Pilote</t>
  </si>
  <si>
    <t>A0100081</t>
  </si>
  <si>
    <t>Inspector</t>
  </si>
  <si>
    <t>A0100160</t>
  </si>
  <si>
    <t>Inspector de fabricación y montaje</t>
  </si>
  <si>
    <t>A0020010</t>
  </si>
  <si>
    <t>1 Oficial y 1 Obrero.</t>
  </si>
  <si>
    <t>A0041008</t>
  </si>
  <si>
    <t>Maestro</t>
  </si>
  <si>
    <t>A0100030</t>
  </si>
  <si>
    <t>Obrero (10)</t>
  </si>
  <si>
    <t>A0030100</t>
  </si>
  <si>
    <t>Obrero (2)</t>
  </si>
  <si>
    <t>A0030020</t>
  </si>
  <si>
    <t>Obrero (3)</t>
  </si>
  <si>
    <t>A0030030</t>
  </si>
  <si>
    <t>Obrero (4)</t>
  </si>
  <si>
    <t>A0030040</t>
  </si>
  <si>
    <t>Obrero (5)</t>
  </si>
  <si>
    <t>A0030050</t>
  </si>
  <si>
    <t>Obrero (6)</t>
  </si>
  <si>
    <t>A0030060</t>
  </si>
  <si>
    <t>Obrero (7)</t>
  </si>
  <si>
    <t>A0030070</t>
  </si>
  <si>
    <t>Obrero (8)</t>
  </si>
  <si>
    <t>A0030080</t>
  </si>
  <si>
    <t>Obrero (9)</t>
  </si>
  <si>
    <t>A0030090</t>
  </si>
  <si>
    <t>Obrero (prueba de carga)</t>
  </si>
  <si>
    <t>A0100060</t>
  </si>
  <si>
    <t>Obreros de incado (2)</t>
  </si>
  <si>
    <t>A0030120</t>
  </si>
  <si>
    <t>Obreros de izado (2)</t>
  </si>
  <si>
    <t>A0030110</t>
  </si>
  <si>
    <t>Oficial</t>
  </si>
  <si>
    <t>A0040010</t>
  </si>
  <si>
    <t>Oficial  Obrero (3) Cuadrilla de un oficial y 3 Obreros.</t>
  </si>
  <si>
    <t>A0041002</t>
  </si>
  <si>
    <t>Oficial (2)</t>
  </si>
  <si>
    <t>A0040020</t>
  </si>
  <si>
    <t>Oficial (3)</t>
  </si>
  <si>
    <t>A0040030</t>
  </si>
  <si>
    <t>Oficial + 3 Ayudantes (armado e inyección de anclajes)</t>
  </si>
  <si>
    <t>A0100050</t>
  </si>
  <si>
    <t>Oficial experto en desmontaje</t>
  </si>
  <si>
    <t>A0041000</t>
  </si>
  <si>
    <t>Oficial experto en explosivos</t>
  </si>
  <si>
    <t>A0041001</t>
  </si>
  <si>
    <t>Operador prueba de integridad</t>
  </si>
  <si>
    <t>A0100092</t>
  </si>
  <si>
    <t>Paletero</t>
  </si>
  <si>
    <t>A0050010</t>
  </si>
  <si>
    <t>Paletero (2)</t>
  </si>
  <si>
    <t>A0050020</t>
  </si>
  <si>
    <t>Perforador</t>
  </si>
  <si>
    <t>A0060010</t>
  </si>
  <si>
    <t>Perforador + Ayudante1 + Ayudante2</t>
  </si>
  <si>
    <t>A0100040</t>
  </si>
  <si>
    <t>Personal requerido para el diseño y fabricación de estructura metálica. (incluye un calista, un dibujante y la cuadrilla de Fabricación) De esta ultima no hay detalle de que personal la compone.</t>
  </si>
  <si>
    <t>A0040001</t>
  </si>
  <si>
    <t>Rastrillero</t>
  </si>
  <si>
    <t>A0070010</t>
  </si>
  <si>
    <t>Rastrilleros (2)</t>
  </si>
  <si>
    <t>A0070020</t>
  </si>
  <si>
    <t>Soldador</t>
  </si>
  <si>
    <t>A0080010</t>
  </si>
  <si>
    <t>Soldador (2)</t>
  </si>
  <si>
    <t>A0010083</t>
  </si>
  <si>
    <t>Soldador 1A</t>
  </si>
  <si>
    <t>A0080012</t>
  </si>
  <si>
    <t>Soldador experto en montaje y pruebas</t>
  </si>
  <si>
    <t>A0100090</t>
  </si>
  <si>
    <t>A0100091</t>
  </si>
  <si>
    <t>Topógrafo</t>
  </si>
  <si>
    <t>A0090010</t>
  </si>
  <si>
    <t>Obrero</t>
  </si>
  <si>
    <t>A0030010</t>
  </si>
  <si>
    <t>Viáticos ingeniero y director</t>
  </si>
  <si>
    <t>A0100100</t>
  </si>
  <si>
    <t>Viáticos soldadores</t>
  </si>
  <si>
    <t>A0100110</t>
  </si>
  <si>
    <t>Celador</t>
  </si>
  <si>
    <t>A0040110</t>
  </si>
  <si>
    <t>Andamiaje para Aplicar la Carga (Equipos Sustituto de la Tara)</t>
  </si>
  <si>
    <t>C0010011</t>
  </si>
  <si>
    <t>Aspersor manual</t>
  </si>
  <si>
    <t>h</t>
  </si>
  <si>
    <t>C0010010</t>
  </si>
  <si>
    <t>Barredora mecánica de cepillo de 3658 mm ; 6 m3</t>
  </si>
  <si>
    <t>C0010020</t>
  </si>
  <si>
    <t>Bomba de concreto, Producción: 30 m3/h, POTENCIA: 67 HP, MAX PRESION DE CONCRETO: 1150 PSI</t>
  </si>
  <si>
    <t>C0010030</t>
  </si>
  <si>
    <t>Bomba de inyección de lechada</t>
  </si>
  <si>
    <t>C0010040</t>
  </si>
  <si>
    <t>Bomba eléctrica para accionar la celda</t>
  </si>
  <si>
    <t>C0010034</t>
  </si>
  <si>
    <t>Bomba para gato de tensionamiento</t>
  </si>
  <si>
    <t>C0010050</t>
  </si>
  <si>
    <t>Buldozer Potencia al volante de 305 HP, motor de 2100 RPM, longitud de hoja 6,39m.</t>
  </si>
  <si>
    <t>C0010053</t>
  </si>
  <si>
    <t>Buldozer, Potencia al volante de 140 HP, motor de 2200 RPM, longitud de hoja 4,80m.</t>
  </si>
  <si>
    <t>C0010052</t>
  </si>
  <si>
    <t>Buldozer, Potencia al volante de 80 HP, motor de 2400 RPM, longitud de hoja 3,99m,</t>
  </si>
  <si>
    <t>C0010051</t>
  </si>
  <si>
    <t>Caldera para pintura termoplástica</t>
  </si>
  <si>
    <t>C0010961</t>
  </si>
  <si>
    <t>Calentador a gas</t>
  </si>
  <si>
    <t>C0010090</t>
  </si>
  <si>
    <t>Camabaja</t>
  </si>
  <si>
    <t>C0010125</t>
  </si>
  <si>
    <t>Camión 350</t>
  </si>
  <si>
    <t>C0010100</t>
  </si>
  <si>
    <t>Camión de Slurry</t>
  </si>
  <si>
    <t>C0010110</t>
  </si>
  <si>
    <t>Camioneta D-300</t>
  </si>
  <si>
    <t>C0010120</t>
  </si>
  <si>
    <t>Camisa</t>
  </si>
  <si>
    <t>C0010124</t>
  </si>
  <si>
    <t>Camisa para Pilote D=1.20m</t>
  </si>
  <si>
    <t>Kg</t>
  </si>
  <si>
    <t>C0010123</t>
  </si>
  <si>
    <t>Cargador : Potencia en el volante 110 hp, Clasificación de RPM del motor 2300.</t>
  </si>
  <si>
    <t>C0010130</t>
  </si>
  <si>
    <t>Cargador : Potencia en el volante 125 hp, Clasificación de RPM del motor 2300.</t>
  </si>
  <si>
    <t>C0010140</t>
  </si>
  <si>
    <t>Carrotanque de agua(1000 Galones)</t>
  </si>
  <si>
    <t>C0010150</t>
  </si>
  <si>
    <t>Carrotanque Irrigador de asfalto, 1000 GALONES DE CAPACIDAD</t>
  </si>
  <si>
    <t>C0010160</t>
  </si>
  <si>
    <t>Cizalla manual de 90 cm.</t>
  </si>
  <si>
    <t>C0010170</t>
  </si>
  <si>
    <t>Compactador de Rodillo POTENCIA: 99HP, PESO: 8 ton</t>
  </si>
  <si>
    <t>C0010211</t>
  </si>
  <si>
    <t>Compactador manual (SALTARIN) Peso de operación (Kg.) 52, Fuerza de impacto por golpe (KN) 12.</t>
  </si>
  <si>
    <t>C0010200</t>
  </si>
  <si>
    <t>Compactador manual de rodillo</t>
  </si>
  <si>
    <t>C0010210</t>
  </si>
  <si>
    <t>Compactador manual vibratorio (CANGURO) (Apisonadores)</t>
  </si>
  <si>
    <t>C0010220</t>
  </si>
  <si>
    <t>COMPACTADOR MANUAL VIBRATORIO (RANA) con motor de 6 HP</t>
  </si>
  <si>
    <t>C0010190</t>
  </si>
  <si>
    <t>Compactador neumático de Potencia 70 HP, peso de 13 ton</t>
  </si>
  <si>
    <t>C0010230</t>
  </si>
  <si>
    <t>Compactador neumático peso 3,5 ton</t>
  </si>
  <si>
    <t>C0010213</t>
  </si>
  <si>
    <t>Compactador tipo  POTENCIA: 105 HP, PESO: 6 ton</t>
  </si>
  <si>
    <t>C0010212</t>
  </si>
  <si>
    <t>Compactador vibratorio tipo DD-20</t>
  </si>
  <si>
    <t>C0010240</t>
  </si>
  <si>
    <t>Compresor (barrido y soplado)</t>
  </si>
  <si>
    <t>C0010250</t>
  </si>
  <si>
    <t>Compresor 120 HP, con martillo.</t>
  </si>
  <si>
    <t>C0010270</t>
  </si>
  <si>
    <t>Compresor 80 HP, con martillo.</t>
  </si>
  <si>
    <t>C0010260</t>
  </si>
  <si>
    <t>Compresor para penetrar roca</t>
  </si>
  <si>
    <t>C0010280</t>
  </si>
  <si>
    <t>Cortadora de pavimento</t>
  </si>
  <si>
    <t>C0010291</t>
  </si>
  <si>
    <t>Cortadora de pavimento, Máxima profundidad de corte: 160 mm. Capacidad de disco: desde 12´´ hasta 18´´ de diámetro. Peso operacional: 135 kg, 13.5 hp de potencia</t>
  </si>
  <si>
    <t>C0010290</t>
  </si>
  <si>
    <t>Derretidora de asfalto (crafco o similar)</t>
  </si>
  <si>
    <t>C0010311</t>
  </si>
  <si>
    <t>Diferencial</t>
  </si>
  <si>
    <t>C0010301</t>
  </si>
  <si>
    <t>Diferencial de 2 ton.</t>
  </si>
  <si>
    <t>C0010300</t>
  </si>
  <si>
    <t>Diferencial de 3 ton</t>
  </si>
  <si>
    <t>C0010310</t>
  </si>
  <si>
    <t>Equipo autopropulsado para pintura termoplástica</t>
  </si>
  <si>
    <t>C0010351</t>
  </si>
  <si>
    <t>Equipo de acarreo interno</t>
  </si>
  <si>
    <t>C0010314</t>
  </si>
  <si>
    <t>Equipo de control (bandas sonoras reduce velocidad) (Termohigometros, Termómetros, Galgas, etc.)</t>
  </si>
  <si>
    <t>C0010320</t>
  </si>
  <si>
    <t>Equipo de Medición (Deformimetros Eléctricos, Mecánicos, Celdas de Carga,  Etc.)</t>
  </si>
  <si>
    <t>C0010401</t>
  </si>
  <si>
    <t>Equipo de oxicorte, Capacidad de corte: hasta 6´´ (152mm)</t>
  </si>
  <si>
    <t>C0010330</t>
  </si>
  <si>
    <t>Equipo de oxigeno y soldadura</t>
  </si>
  <si>
    <t>C0010382</t>
  </si>
  <si>
    <t>Equipo de perforación (TRACKDRILL), potencia 40 HP, 2100 golpes / minuto</t>
  </si>
  <si>
    <t>C0010340</t>
  </si>
  <si>
    <t>Equipo de pintura (Compresor), Presión máxima de trabajo 3300 psi.</t>
  </si>
  <si>
    <t>C0010350</t>
  </si>
  <si>
    <t>Equipo de rayos X y/o ultrasonido</t>
  </si>
  <si>
    <t>C0010352</t>
  </si>
  <si>
    <t>Equipo de Sand Blastin y Pintura COMPRESOR 250cfm a 100 psi. PULMON de 70 gal (250 lt.) para 160 psi</t>
  </si>
  <si>
    <t>C0010381</t>
  </si>
  <si>
    <t>Equipo de Soldadura</t>
  </si>
  <si>
    <t>C0010361</t>
  </si>
  <si>
    <t>Equipo de soldadura 250 AMP</t>
  </si>
  <si>
    <t>C0010360</t>
  </si>
  <si>
    <t>Equipo de soldadura 400</t>
  </si>
  <si>
    <t>C0010370</t>
  </si>
  <si>
    <t>Equipo de soldadura 600</t>
  </si>
  <si>
    <t>C0010380</t>
  </si>
  <si>
    <t>Equipo de soldadura y de acetileno (incluye soldadura)</t>
  </si>
  <si>
    <t>C0010384</t>
  </si>
  <si>
    <t>Equipo de topografía</t>
  </si>
  <si>
    <t>C0010390</t>
  </si>
  <si>
    <t>Equipo de topografía Teodolito electrónico con abertura de anteojo de 42 mm. Aumento del anteojo: 30x.Distancia mínima de enfoque: 1.0 m. Precisión: 5´´. Compensador con rango de trabajo ±3´.</t>
  </si>
  <si>
    <t>C0010383</t>
  </si>
  <si>
    <t>Equipo de transporte (Camiones, Grúas, Volquetas, etc.)</t>
  </si>
  <si>
    <t>C0010394</t>
  </si>
  <si>
    <t>Equipo manual aplicador (bandas sonoras reduce velocidad)</t>
  </si>
  <si>
    <t>C0010400</t>
  </si>
  <si>
    <t>Esparcidor de gravilla, Ancho de esparcimiento 3100mm, Velocidad de trabajo 10—20km2/h</t>
  </si>
  <si>
    <t>C0010410</t>
  </si>
  <si>
    <t>Estación Total con precisión angular de 6´´. Precisión lineal 2 mm ± 2 ppm</t>
  </si>
  <si>
    <t>C0010420</t>
  </si>
  <si>
    <t>Formaleta Metálica</t>
  </si>
  <si>
    <t>C0010443</t>
  </si>
  <si>
    <t>Formaleta metálica (concreto hidráulico)</t>
  </si>
  <si>
    <t>C0010430</t>
  </si>
  <si>
    <t>Formaleta metálica (tubería de concreto reforzado)</t>
  </si>
  <si>
    <t>C0010440</t>
  </si>
  <si>
    <t>Formaleta metálica para tubo de 900</t>
  </si>
  <si>
    <t>C0010442</t>
  </si>
  <si>
    <t>Formaleta para camisa de pilote</t>
  </si>
  <si>
    <t>C0010450</t>
  </si>
  <si>
    <t>Fresadora de pavimento, potencia 255 HP, peso 19 Ton, PROFUNDIDAD DE CORTE 305 mm</t>
  </si>
  <si>
    <t>C0010460</t>
  </si>
  <si>
    <t>Fresadora y recicladora de pavimento, potencia 430 HP, peso 20 Ton</t>
  </si>
  <si>
    <t>C0010470</t>
  </si>
  <si>
    <t>Gato para tensionamiento, fuerza Max 200 ton, área de tensión 314 cm2.</t>
  </si>
  <si>
    <t>C0010480</t>
  </si>
  <si>
    <t>Grúa (capacidad 15 ton)</t>
  </si>
  <si>
    <t>C0010490</t>
  </si>
  <si>
    <t>Grúa (Transporte en Obra)</t>
  </si>
  <si>
    <t>C0010511</t>
  </si>
  <si>
    <t>Grúa 10 ton</t>
  </si>
  <si>
    <t>C0010500</t>
  </si>
  <si>
    <t>Grúa con barreno o máquina piloteadora</t>
  </si>
  <si>
    <t>C0010502</t>
  </si>
  <si>
    <t>Grúa con torre</t>
  </si>
  <si>
    <t>C0010510</t>
  </si>
  <si>
    <t>Grúa Con Torre (2)</t>
  </si>
  <si>
    <t>C0010512</t>
  </si>
  <si>
    <t>Grúa con torre capacidad 1 ton en la punta.</t>
  </si>
  <si>
    <t>C0010491</t>
  </si>
  <si>
    <t>Grúa telescópica de 50 Ton.</t>
  </si>
  <si>
    <t>C0010520</t>
  </si>
  <si>
    <t>Guadañadora, Cilindraje 41.5 cm3, Longitud del mango 1450 mm, Peso 7.4 kg</t>
  </si>
  <si>
    <t>C0010530</t>
  </si>
  <si>
    <t>Manómetro cable de acero para bajar la celda</t>
  </si>
  <si>
    <t>C0010544</t>
  </si>
  <si>
    <t>Máquina hidrosembradora</t>
  </si>
  <si>
    <t>C0010541</t>
  </si>
  <si>
    <t>Maquina térmica pegatachas</t>
  </si>
  <si>
    <t>C0010540</t>
  </si>
  <si>
    <t>Mezcladora de concreto 1 bulto</t>
  </si>
  <si>
    <t>C0010550</t>
  </si>
  <si>
    <t>Montacargas</t>
  </si>
  <si>
    <t>C0010560</t>
  </si>
  <si>
    <t>Motobomba 3 PULGADAS (incluye operario)</t>
  </si>
  <si>
    <t>C0010570</t>
  </si>
  <si>
    <t>Motobomba 4 pulgadas</t>
  </si>
  <si>
    <t>C0010580</t>
  </si>
  <si>
    <t>Motobomba 6´´ diámetro de bombeo de 2 m3/seg</t>
  </si>
  <si>
    <t>C0010590</t>
  </si>
  <si>
    <t>Motobomba de concreto</t>
  </si>
  <si>
    <t>C0010600</t>
  </si>
  <si>
    <t>Motoniveladora  potencia 215 HP, ancho de cuchilla 4,27 m, peso 18 ton.</t>
  </si>
  <si>
    <t>C0010610</t>
  </si>
  <si>
    <t>Motoniveladora, potencia 140 HP, ancho de cuchilla 3,66 m, peso 11 ton.</t>
  </si>
  <si>
    <t>C0010611</t>
  </si>
  <si>
    <t>Motosierra, 93.6 cm3 - 7.1 HP, 45-90 cm - 7.9 kg</t>
  </si>
  <si>
    <t>C0010620</t>
  </si>
  <si>
    <t>Motosoldador, 300 amperios</t>
  </si>
  <si>
    <t>C0010621</t>
  </si>
  <si>
    <t>Pala auxiliar de piloteadora</t>
  </si>
  <si>
    <t>C0010630</t>
  </si>
  <si>
    <t>Pala grúa con martillos</t>
  </si>
  <si>
    <t>C0010640</t>
  </si>
  <si>
    <t>Piloteadora</t>
  </si>
  <si>
    <t>C0010650</t>
  </si>
  <si>
    <t>Piloteadora potencia 250KW, RPM 1800, fuerza elevadora 200KN</t>
  </si>
  <si>
    <t>C0010651</t>
  </si>
  <si>
    <t>Planta de asfalto en caliente</t>
  </si>
  <si>
    <t>C0010660</t>
  </si>
  <si>
    <t>Planta de asfalto en frio</t>
  </si>
  <si>
    <t>C0010670</t>
  </si>
  <si>
    <t>Planta eléctrica</t>
  </si>
  <si>
    <t>C0010680</t>
  </si>
  <si>
    <t>Planta trituradora</t>
  </si>
  <si>
    <t>C0010690</t>
  </si>
  <si>
    <t>Pluma capacidad 100 kg</t>
  </si>
  <si>
    <t>C0010700</t>
  </si>
  <si>
    <t>Puente grúa</t>
  </si>
  <si>
    <t>C0010704</t>
  </si>
  <si>
    <t>Pulidora (8500 REV)</t>
  </si>
  <si>
    <t>C0010710</t>
  </si>
  <si>
    <t>Pulvimixer</t>
  </si>
  <si>
    <t>C0010720</t>
  </si>
  <si>
    <t>Recicladora, potencia 430HP</t>
  </si>
  <si>
    <t>C0010730</t>
  </si>
  <si>
    <t>Regla vibratoria, de longitud de 3 a 5 m, motor de 3600 rpm, potencia 6 HP</t>
  </si>
  <si>
    <t>C0010740</t>
  </si>
  <si>
    <t>Retrocargador CAT 510</t>
  </si>
  <si>
    <t>C0010760</t>
  </si>
  <si>
    <t>Retrocargador, pala de 1,1 m3 de capacidad, profundidad de excavación de 4.400 mm y una altura de 5.680 mm</t>
  </si>
  <si>
    <t>C0010750</t>
  </si>
  <si>
    <t>Retroexcavadora 428 doble trasmisión</t>
  </si>
  <si>
    <t>C0010770</t>
  </si>
  <si>
    <t>Retroexcavadora A25C</t>
  </si>
  <si>
    <t>C0010780</t>
  </si>
  <si>
    <t>Retroexcavadora E-200 con martillo neumático</t>
  </si>
  <si>
    <t>C0010800</t>
  </si>
  <si>
    <t>Retroexcavadora E-200 sobre orugas trabajo en rio</t>
  </si>
  <si>
    <t>C0010820</t>
  </si>
  <si>
    <t>Retroexcavadora E-200 sobre orugas</t>
  </si>
  <si>
    <t>C0010810</t>
  </si>
  <si>
    <t>Retroexcavadora sobre llantas</t>
  </si>
  <si>
    <t>C0010831</t>
  </si>
  <si>
    <t>Retroexcavadora sobre llantas JD 410</t>
  </si>
  <si>
    <t>C0010830</t>
  </si>
  <si>
    <t>Retroexcavadora sobre llantas, motor 62HP, Profundidad de excavación de 5.41 metros.</t>
  </si>
  <si>
    <t>C0010822</t>
  </si>
  <si>
    <t>Retroexcavadora sobre oruga, potencia 138 HP, balde de 1,5 m3.</t>
  </si>
  <si>
    <t>C0010790</t>
  </si>
  <si>
    <t>Retroexcavadora Tipo E-200 o  Equivalente</t>
  </si>
  <si>
    <t>C0010811</t>
  </si>
  <si>
    <t>Retroexcavadora, Potencia en el Volante 78 HP 2200 RPM</t>
  </si>
  <si>
    <t>C0010765</t>
  </si>
  <si>
    <t>Ruteadora</t>
  </si>
  <si>
    <t>C0010840</t>
  </si>
  <si>
    <t>Sensor de Impacto para prueba de integridad tipo</t>
  </si>
  <si>
    <t>C0010841</t>
  </si>
  <si>
    <t>Taco metálico o puntal (escamas en concreto)</t>
  </si>
  <si>
    <t>C0010850</t>
  </si>
  <si>
    <t>Taladro de 1/2´´, pulidora, lijadora y circular para corte extremo superior</t>
  </si>
  <si>
    <t>C0010853</t>
  </si>
  <si>
    <t>Taladro de 1/2´´, pulidora, lijadora y circular</t>
  </si>
  <si>
    <t>C0010854</t>
  </si>
  <si>
    <t>Taladro industrial</t>
  </si>
  <si>
    <t>C0010855</t>
  </si>
  <si>
    <t>Tara (Recebo, Agua, Etc.)</t>
  </si>
  <si>
    <t>C0010859</t>
  </si>
  <si>
    <t>Tarifa de transporte</t>
  </si>
  <si>
    <t>C0010860</t>
  </si>
  <si>
    <t>Tarifa de transporte (agregados pétreos)</t>
  </si>
  <si>
    <t>m3k</t>
  </si>
  <si>
    <t>C0010861</t>
  </si>
  <si>
    <t>Tarifa de transporte de concreto hidráulico en mixer</t>
  </si>
  <si>
    <t>C0010901</t>
  </si>
  <si>
    <t>Tarifa de transporte de estructuras metálicas</t>
  </si>
  <si>
    <t>kgk</t>
  </si>
  <si>
    <t>C0010870</t>
  </si>
  <si>
    <t>Tarifa de transporte de estructuras metálicas en obra</t>
  </si>
  <si>
    <t>C0010880</t>
  </si>
  <si>
    <t>Tarifa de transporte de mezclas para bacheo</t>
  </si>
  <si>
    <t>C0010900</t>
  </si>
  <si>
    <t>Tarifa de transporte de mezclas</t>
  </si>
  <si>
    <t>C0010890</t>
  </si>
  <si>
    <t>Tarifa de Transporte de Postes</t>
  </si>
  <si>
    <t>C0010903</t>
  </si>
  <si>
    <t>Tarifa de transporte para agregados de mezclas asfálticas</t>
  </si>
  <si>
    <t>C0010862</t>
  </si>
  <si>
    <t>Tarifa de Trasporte de especies vegetales</t>
  </si>
  <si>
    <t>C0010902</t>
  </si>
  <si>
    <t>Terminadora de asfalto (Finisher), potencia 130 HP, peso 15 ton.</t>
  </si>
  <si>
    <t>C0010911</t>
  </si>
  <si>
    <t>Terminadora de asfalto (Finisher), potencia en el volante 174 HP, R=20M3/H, velocidad de desplazamiento 114 m/min</t>
  </si>
  <si>
    <t>C0010910</t>
  </si>
  <si>
    <t>Vehículo delineador</t>
  </si>
  <si>
    <t>C0010920</t>
  </si>
  <si>
    <t>Vehículo delineador R=1500 M/H</t>
  </si>
  <si>
    <t>C0010921</t>
  </si>
  <si>
    <t>Vibrador de concreto (incluye operario)</t>
  </si>
  <si>
    <t>C0010930</t>
  </si>
  <si>
    <t>Vibrador de concreto, Motor de 3 hp a 18.000 rpm Mangueras de 4 mt</t>
  </si>
  <si>
    <t>C0010922</t>
  </si>
  <si>
    <t>Vibrocompactador, tipo benitìn, de peso 700 kg a 1.5 toneladas</t>
  </si>
  <si>
    <t>C0010180</t>
  </si>
  <si>
    <t>Vibrocompatador Dynapac (10 ton)</t>
  </si>
  <si>
    <t>C0010940</t>
  </si>
  <si>
    <t>Vibrocompatador Dynapac C15</t>
  </si>
  <si>
    <t>C0010950</t>
  </si>
  <si>
    <t>Vibrocompatador, potencia 153 HP, peso 10 Ton.</t>
  </si>
  <si>
    <t>C0010923</t>
  </si>
  <si>
    <t>Volqueta 6 m3</t>
  </si>
  <si>
    <t>C0010960</t>
  </si>
  <si>
    <t>CATÁLOGO DE MATERIALES</t>
  </si>
  <si>
    <t>Acero A-36 para estructura metálica</t>
  </si>
  <si>
    <t>B0020001</t>
  </si>
  <si>
    <t>Acero A-37</t>
  </si>
  <si>
    <t>B0020004</t>
  </si>
  <si>
    <t>Acero A-40</t>
  </si>
  <si>
    <t>B0020002</t>
  </si>
  <si>
    <t>Acero PDR-60</t>
  </si>
  <si>
    <t>B0020003</t>
  </si>
  <si>
    <t>Acero suministrado y figurado PDR 60</t>
  </si>
  <si>
    <t>B002001</t>
  </si>
  <si>
    <t>Aditivo Acelerante de Fraguado</t>
  </si>
  <si>
    <t>B003003</t>
  </si>
  <si>
    <t>Aditivo curador</t>
  </si>
  <si>
    <t>B0030001</t>
  </si>
  <si>
    <t>Adoquín color 10X20X6</t>
  </si>
  <si>
    <t>B0043070</t>
  </si>
  <si>
    <t>Adoquín e=8cm</t>
  </si>
  <si>
    <t>B0043080</t>
  </si>
  <si>
    <t>Adoquín grama 10X20X6</t>
  </si>
  <si>
    <t>B0043090</t>
  </si>
  <si>
    <t>Adoquín Gris E=10 Cm</t>
  </si>
  <si>
    <t>B0043071</t>
  </si>
  <si>
    <t>Aglomerante Estabilizador</t>
  </si>
  <si>
    <t>lt</t>
  </si>
  <si>
    <t>B0063201</t>
  </si>
  <si>
    <t>Agregado para concreto hidráulico</t>
  </si>
  <si>
    <t>B0053100</t>
  </si>
  <si>
    <t>Agregado para tratamiento superf. Doble</t>
  </si>
  <si>
    <t>B0053110</t>
  </si>
  <si>
    <t>Agregado para tratamiento superf. Simple</t>
  </si>
  <si>
    <t>B0053120</t>
  </si>
  <si>
    <t>Agregado para tratamiento superficial doble (primer riego)</t>
  </si>
  <si>
    <t>B0053112</t>
  </si>
  <si>
    <t>Agregado para tratamiento superficial doble (segundo riego)</t>
  </si>
  <si>
    <t>B0053114</t>
  </si>
  <si>
    <t>Agregado petreo para mezclas asfálticas</t>
  </si>
  <si>
    <t>B0053130</t>
  </si>
  <si>
    <t>Agregado Petreo para Triturar (Crudo)</t>
  </si>
  <si>
    <t>B0053191</t>
  </si>
  <si>
    <t>Agregado Petreo para TSS</t>
  </si>
  <si>
    <t>B0053131</t>
  </si>
  <si>
    <t>Agregado tipo LA 10 (lechadas)</t>
  </si>
  <si>
    <t>B0053160</t>
  </si>
  <si>
    <t>Agregado tipo LA 13 (lechadas)</t>
  </si>
  <si>
    <t>B0053150</t>
  </si>
  <si>
    <t>Agregado tipo LA 4 (lechadas)</t>
  </si>
  <si>
    <t>B0053180</t>
  </si>
  <si>
    <t>Agregado tipo LA 5 (lechadas)</t>
  </si>
  <si>
    <t>B0053170</t>
  </si>
  <si>
    <t>Agregados seleccionados (tamaño máximo 1´´) (bandas sonoras reduce velocidad)</t>
  </si>
  <si>
    <t>B0053190</t>
  </si>
  <si>
    <t>Agua</t>
  </si>
  <si>
    <t>B0063200</t>
  </si>
  <si>
    <t>Alambre de púa calibre 12 (350 m)</t>
  </si>
  <si>
    <t>B0073210</t>
  </si>
  <si>
    <t>Alambre Galvanizado Aleación Zn-5A1-Mm</t>
  </si>
  <si>
    <t>B0073211</t>
  </si>
  <si>
    <t>Alambre Galvanizado Aleación Zn-5A1-Mm Y Pvc</t>
  </si>
  <si>
    <t>B0073222</t>
  </si>
  <si>
    <t>Alambre galvanizado No. 12</t>
  </si>
  <si>
    <t>B0073220</t>
  </si>
  <si>
    <t>Alambre Galvanizado Zinc Y Pvc</t>
  </si>
  <si>
    <t>B0073221</t>
  </si>
  <si>
    <t>Alambre Negro Para Amarre</t>
  </si>
  <si>
    <t>B026012</t>
  </si>
  <si>
    <t>Alambre negro para amarre calibre 18</t>
  </si>
  <si>
    <t>B0073230</t>
  </si>
  <si>
    <t>Almohadillas de neopreno dureza 60 (35cm*45cm*5cm con 2 laminas de 3mm)</t>
  </si>
  <si>
    <t>B031001</t>
  </si>
  <si>
    <t>Amortiguadores (Para Defensas Metálicas), Incluye Tornillos</t>
  </si>
  <si>
    <t>B026011</t>
  </si>
  <si>
    <t>Anclaje para fijación del manto</t>
  </si>
  <si>
    <t>B0113260</t>
  </si>
  <si>
    <t>Anclajes o Cuñas para el tensionamiento</t>
  </si>
  <si>
    <t>B0013770</t>
  </si>
  <si>
    <t>Anfo</t>
  </si>
  <si>
    <t>B0013270</t>
  </si>
  <si>
    <t>Angulo de 1-1/2´´ x 1/4´´ (cerramiento en malla)</t>
  </si>
  <si>
    <t>B0013280</t>
  </si>
  <si>
    <t>Antisol blanco (presentación 20 kg)</t>
  </si>
  <si>
    <t>B0063290</t>
  </si>
  <si>
    <t>Árbol de 0.6 m (Protector)</t>
  </si>
  <si>
    <t>B0303300</t>
  </si>
  <si>
    <t>Árbol de 1.2 m (Paisajístico)</t>
  </si>
  <si>
    <t>B0303310</t>
  </si>
  <si>
    <t>Arena de sello (fina)</t>
  </si>
  <si>
    <t>B0093320</t>
  </si>
  <si>
    <t>Arena de soporte (media)</t>
  </si>
  <si>
    <t>B0093330</t>
  </si>
  <si>
    <t>Arena de Trituración</t>
  </si>
  <si>
    <t>B0093321</t>
  </si>
  <si>
    <t>Arena de trituración (sellos de arena-afalto)</t>
  </si>
  <si>
    <t>B009111</t>
  </si>
  <si>
    <t>Arena lavada</t>
  </si>
  <si>
    <t>B0093350</t>
  </si>
  <si>
    <t>Armadura de Acero</t>
  </si>
  <si>
    <t>B0013281</t>
  </si>
  <si>
    <t>Asfalto AP 190 (BREA)</t>
  </si>
  <si>
    <t>B0083360</t>
  </si>
  <si>
    <t>Asfalto liquido</t>
  </si>
  <si>
    <t>B008007</t>
  </si>
  <si>
    <t>Asfalto liquido RC 250</t>
  </si>
  <si>
    <t>gal</t>
  </si>
  <si>
    <t>B008009</t>
  </si>
  <si>
    <t>Barras de transferencia de carga (1'')</t>
  </si>
  <si>
    <t>B0013380</t>
  </si>
  <si>
    <t>Barras de unión de 1/2´´</t>
  </si>
  <si>
    <t>B0013390</t>
  </si>
  <si>
    <t>Base Granular reciclada en obra</t>
  </si>
  <si>
    <t>B0013400</t>
  </si>
  <si>
    <t>Bentonita</t>
  </si>
  <si>
    <t>B0013410</t>
  </si>
  <si>
    <t>Biomanto</t>
  </si>
  <si>
    <t>B0013420</t>
  </si>
  <si>
    <t>Biomanto Temporal  300 Gr/M2</t>
  </si>
  <si>
    <t>B0013435</t>
  </si>
  <si>
    <t>Bolsacreto de 1m3</t>
  </si>
  <si>
    <t>B0013430</t>
  </si>
  <si>
    <t>Bordillo Prefabricado En Concreto Ref.A85 Ntc-4109, 0,20 X 0,35 X 0.80 M</t>
  </si>
  <si>
    <t>B0013436</t>
  </si>
  <si>
    <t>Botella de gas propano (40 lb) (5% de oxígeno)</t>
  </si>
  <si>
    <t>B0013432</t>
  </si>
  <si>
    <t>Botella de oxígeno (1800 lb)</t>
  </si>
  <si>
    <t>B0013434</t>
  </si>
  <si>
    <t>Cable de 1/2´´ (para anclajes)</t>
  </si>
  <si>
    <t>B0320001</t>
  </si>
  <si>
    <t>Cal</t>
  </si>
  <si>
    <t>B0013450</t>
  </si>
  <si>
    <t>Camisa metálica en acero A-37</t>
  </si>
  <si>
    <t>B0013460</t>
  </si>
  <si>
    <t>Camisas y Formaleta en Concreto</t>
  </si>
  <si>
    <t>B0013470</t>
  </si>
  <si>
    <t>Captafaro, Incluye Tornillos</t>
  </si>
  <si>
    <t>B0013480</t>
  </si>
  <si>
    <t>Celda especial de carga</t>
  </si>
  <si>
    <t>B0013484</t>
  </si>
  <si>
    <t>Cemento Asfaltico 40-50</t>
  </si>
  <si>
    <t>B0103501</t>
  </si>
  <si>
    <t>Cemento Asfaltico 60-70</t>
  </si>
  <si>
    <t>B0103490</t>
  </si>
  <si>
    <t>Cemento Asfaltico 80-100</t>
  </si>
  <si>
    <t>B0103500</t>
  </si>
  <si>
    <t>Cemento Asfaltico con grano de Caucho Reciclado</t>
  </si>
  <si>
    <t>B0103555</t>
  </si>
  <si>
    <t>Cemento Asfáltico</t>
  </si>
  <si>
    <t>B0103491</t>
  </si>
  <si>
    <t>Cemento Asfáltico Modificado Con Grano De Caucho Reciclado Tipo I</t>
  </si>
  <si>
    <t>B0103551</t>
  </si>
  <si>
    <t>Cemento Asfáltico Modificado Con Grano De Caucho Reciclado Tipo Il</t>
  </si>
  <si>
    <t>B0103552</t>
  </si>
  <si>
    <t>Cemento Asfáltico Modificado Con Grano De Caucho Reciclado Tipo lll</t>
  </si>
  <si>
    <t>B0103553</t>
  </si>
  <si>
    <t>Cemento asfaltico modificado con polímeros tipo I</t>
  </si>
  <si>
    <t>B0103510</t>
  </si>
  <si>
    <t>Cemento asfaltico modificado con polímeros tipo II</t>
  </si>
  <si>
    <t>B0103520</t>
  </si>
  <si>
    <t>Cemento asfaltico modificado con polímeros tipo III</t>
  </si>
  <si>
    <t>B0103530</t>
  </si>
  <si>
    <t>Cemento asfaltico modificado con polímeros tipo IV</t>
  </si>
  <si>
    <t>B0103540</t>
  </si>
  <si>
    <t>Cemento Asfaltico Modificado Con Polímeros Tipo V</t>
  </si>
  <si>
    <t>B0103554</t>
  </si>
  <si>
    <t>Cemento asfaltico modificado con polímeros tipo V</t>
  </si>
  <si>
    <t>B0103550</t>
  </si>
  <si>
    <t>Cemento gris</t>
  </si>
  <si>
    <t>B0100001</t>
  </si>
  <si>
    <t>Cemento Hidráulico adicionado, Norma ASTM C595 Tipo _______</t>
  </si>
  <si>
    <t>B0103557</t>
  </si>
  <si>
    <t>Cemento Porthland Norma ASTM C150 Tipo _______</t>
  </si>
  <si>
    <t>B0103556</t>
  </si>
  <si>
    <t>Cespedones</t>
  </si>
  <si>
    <t>B0303570</t>
  </si>
  <si>
    <t>Cicatrizante (para remoción de especies vegetales)</t>
  </si>
  <si>
    <t>B0013580</t>
  </si>
  <si>
    <t>Cinta Sika PVC 0,22</t>
  </si>
  <si>
    <t>B0013590</t>
  </si>
  <si>
    <t>Cintilla de poliuretano (sikarod)</t>
  </si>
  <si>
    <t>B0013600</t>
  </si>
  <si>
    <t>Cintilla De Poliuretano (Sikarod) (Pavimentos De Concreto Hidráulico)</t>
  </si>
  <si>
    <t>B0013601</t>
  </si>
  <si>
    <t>Cloruro de calcio</t>
  </si>
  <si>
    <t>B0013610</t>
  </si>
  <si>
    <t>Cloruro De Calcio En Esferas (Pellets)</t>
  </si>
  <si>
    <t>B0013772</t>
  </si>
  <si>
    <t>Cloruro De Calcio En Hojuelas (Flakes)</t>
  </si>
  <si>
    <t>B0013771</t>
  </si>
  <si>
    <t>Cloruro De Calcio Liquido</t>
  </si>
  <si>
    <t>B0013611</t>
  </si>
  <si>
    <t>Concreto hidráulico para pavimento MR-20</t>
  </si>
  <si>
    <t>B0133680</t>
  </si>
  <si>
    <t>Concreto hidráulico para pavimento MR-36</t>
  </si>
  <si>
    <t>B0133690</t>
  </si>
  <si>
    <t>Concreto hidráulico para pavimento MR-43 (FastracK)(acelerado a 24 horas)</t>
  </si>
  <si>
    <t>B0133700</t>
  </si>
  <si>
    <t>Concreto hidráulico para pavimento MR-43</t>
  </si>
  <si>
    <t>B0133710</t>
  </si>
  <si>
    <t>Concreto hidráulico para pavimento MR-45</t>
  </si>
  <si>
    <t>B0133720</t>
  </si>
  <si>
    <t>Concreto Resistencia  14 (Mpa)</t>
  </si>
  <si>
    <t>B0123660</t>
  </si>
  <si>
    <t>Concreto Resistencia  21 (Mpa)</t>
  </si>
  <si>
    <t>B0123650</t>
  </si>
  <si>
    <t>Concreto Resistencia  28 (Mpa)</t>
  </si>
  <si>
    <t>B0123671</t>
  </si>
  <si>
    <t>B0123620</t>
  </si>
  <si>
    <t>Concreto Resistencia  32 (Mpa)</t>
  </si>
  <si>
    <t>B0123640</t>
  </si>
  <si>
    <t>Concreto Resistencia  35 (Mpa)</t>
  </si>
  <si>
    <t>B0123630</t>
  </si>
  <si>
    <t>Concreto resistencia 14 (MPA) (Ciclopeo)</t>
  </si>
  <si>
    <t>B0123670</t>
  </si>
  <si>
    <t>Cordón detonante</t>
  </si>
  <si>
    <t>B0013730</t>
  </si>
  <si>
    <t>Costal de fibra o fique</t>
  </si>
  <si>
    <t>B0013740</t>
  </si>
  <si>
    <t>B0013750</t>
  </si>
  <si>
    <t>Cuneta prefabricada de concreto tipo V de (0,8*0,3*0,22)</t>
  </si>
  <si>
    <t>B0013760</t>
  </si>
  <si>
    <t>Cuneta Prefabricada En Concreto Perfil U O V Ref.Cu004 Ntc-4109, 0,20 X 0,30 X 1.0 M</t>
  </si>
  <si>
    <t>B0013761</t>
  </si>
  <si>
    <t>Defensa Metálica De 4,13 M Galvanizada</t>
  </si>
  <si>
    <t>B0013773</t>
  </si>
  <si>
    <t>Delineador De Corona</t>
  </si>
  <si>
    <t>B0013781</t>
  </si>
  <si>
    <t>Delineador de corona en forma de A de lámina galvanizada calibre 16 de (1.55*25) cm</t>
  </si>
  <si>
    <t>B0013780</t>
  </si>
  <si>
    <t>Derechos de explotación de material pétreo</t>
  </si>
  <si>
    <t>B0013794</t>
  </si>
  <si>
    <t>Derechos de explotación y/o disposición de materiales</t>
  </si>
  <si>
    <t>B0013790</t>
  </si>
  <si>
    <t>Disolvente para pintura (TINNER)</t>
  </si>
  <si>
    <t>B014001</t>
  </si>
  <si>
    <t>Disolvente para pintura Trafico (acrílico)</t>
  </si>
  <si>
    <t>B014002</t>
  </si>
  <si>
    <t>Disposición de material de derrumbe</t>
  </si>
  <si>
    <t>B0013820</t>
  </si>
  <si>
    <t>Ductos para tensionimiento</t>
  </si>
  <si>
    <t>B0013830</t>
  </si>
  <si>
    <t>Emulsión Asfáltica de Rotura Lenta CRL</t>
  </si>
  <si>
    <t>B020011</t>
  </si>
  <si>
    <t>Emulsión Asfáltica de Rotura Media Modificada Con Polímeros CRM-m</t>
  </si>
  <si>
    <t>B020012</t>
  </si>
  <si>
    <t>Emulsión asfáltica de rotura media modificada con polímeros CRMm</t>
  </si>
  <si>
    <t>B020010</t>
  </si>
  <si>
    <t>Emulsión CRL-0</t>
  </si>
  <si>
    <t>B020001</t>
  </si>
  <si>
    <t>Emulsión CRL-1</t>
  </si>
  <si>
    <t>B020002</t>
  </si>
  <si>
    <t>Emulsión CRL-1h</t>
  </si>
  <si>
    <t>B020003</t>
  </si>
  <si>
    <t>Emulsión CRL-1hm</t>
  </si>
  <si>
    <t>B020004</t>
  </si>
  <si>
    <t>Emulsión CRM</t>
  </si>
  <si>
    <t>B020005</t>
  </si>
  <si>
    <t>Emulsión CRR-1</t>
  </si>
  <si>
    <t>B020007</t>
  </si>
  <si>
    <t>Emulsión CRR-1m</t>
  </si>
  <si>
    <t>B020006</t>
  </si>
  <si>
    <t>Emulsión CRR-2</t>
  </si>
  <si>
    <t>B020008</t>
  </si>
  <si>
    <t>Emulsión CRR-2m</t>
  </si>
  <si>
    <t>B020009</t>
  </si>
  <si>
    <t>Escolta y transporte (una tarifa por cada m3 escoltado y transportado)</t>
  </si>
  <si>
    <t>B015012</t>
  </si>
  <si>
    <t>Escolta y trasporte (Tarifa Porcentual de 40 %) por cada Metro Cubico exportado y trasportado</t>
  </si>
  <si>
    <t>%</t>
  </si>
  <si>
    <t>B015002</t>
  </si>
  <si>
    <t>Esferas reflectivas</t>
  </si>
  <si>
    <t>B0013940</t>
  </si>
  <si>
    <t>Estacas, Pintura, Tachuelas, Hilo (localización de estructuras y carreteras)</t>
  </si>
  <si>
    <t>glo</t>
  </si>
  <si>
    <t>B0013950</t>
  </si>
  <si>
    <t>Estacón en madera viva diámetro mayor a 10 cm, L=2 m</t>
  </si>
  <si>
    <t>B0013960</t>
  </si>
  <si>
    <t>Estoperol en resina de 11X3 cm</t>
  </si>
  <si>
    <t>B0013970</t>
  </si>
  <si>
    <t>Explosivos  75% (INDUGEL)</t>
  </si>
  <si>
    <t>lb</t>
  </si>
  <si>
    <t>B0013980</t>
  </si>
  <si>
    <t>Fertilizante Orgánico Mineral</t>
  </si>
  <si>
    <t>B0013991</t>
  </si>
  <si>
    <t>FORMALETA (Depende para que sea el Concreto)</t>
  </si>
  <si>
    <t>B021007</t>
  </si>
  <si>
    <t>Formaleta (gaviones, juntas de bordillos, juntas de cunetas, muros, concretos clase D,E, F y G)</t>
  </si>
  <si>
    <t>B021001</t>
  </si>
  <si>
    <t>Formaleta concreto clase A,B y C</t>
  </si>
  <si>
    <t>B021003</t>
  </si>
  <si>
    <t>B021002</t>
  </si>
  <si>
    <t>Formaleta para baranda de concreto</t>
  </si>
  <si>
    <t>B021004</t>
  </si>
  <si>
    <t>Formaleta para muros</t>
  </si>
  <si>
    <t>B021005</t>
  </si>
  <si>
    <t>Formaleta, platina y accesorios (escamas en concreto)</t>
  </si>
  <si>
    <t>B021006</t>
  </si>
  <si>
    <t>Fulminantes</t>
  </si>
  <si>
    <t>B0014040</t>
  </si>
  <si>
    <t>Fundente</t>
  </si>
  <si>
    <t>B0014050</t>
  </si>
  <si>
    <t>Gas propano</t>
  </si>
  <si>
    <t>B0014060</t>
  </si>
  <si>
    <t>Geodren circular diámetro 100 mm y altura 2.00 M</t>
  </si>
  <si>
    <t>B028001</t>
  </si>
  <si>
    <t>Geodren planar Diamet 100 mm y h=0.50</t>
  </si>
  <si>
    <t>B028002</t>
  </si>
  <si>
    <t>Geodren planar Diamet 100 mm y h=1.00</t>
  </si>
  <si>
    <t>B028003</t>
  </si>
  <si>
    <t>Geodren planar Diamet 100 mm y h=2.00</t>
  </si>
  <si>
    <t>B028004</t>
  </si>
  <si>
    <t>Geomalla Biaxial Para Refuerzo Pbx-11</t>
  </si>
  <si>
    <t>B0014112</t>
  </si>
  <si>
    <t>B0264112</t>
  </si>
  <si>
    <t>Geomalla Biaxial Para Refuerzo Pbx-12</t>
  </si>
  <si>
    <t>B0014113</t>
  </si>
  <si>
    <t>B0264113</t>
  </si>
  <si>
    <t>Geomalla en fibra de vidrio GLASGRID 8511</t>
  </si>
  <si>
    <t>B026010</t>
  </si>
  <si>
    <t>B026013</t>
  </si>
  <si>
    <t>Geomalla Forgrid UX100</t>
  </si>
  <si>
    <t>M2</t>
  </si>
  <si>
    <t>B0264116</t>
  </si>
  <si>
    <t>Geomalla Fort Gird UX-50</t>
  </si>
  <si>
    <t>B0264115</t>
  </si>
  <si>
    <t>Geomalla Tipo Asphalt</t>
  </si>
  <si>
    <t>B0014114</t>
  </si>
  <si>
    <t>B0264114</t>
  </si>
  <si>
    <t>Geomalla Uniaxial Pbx-11</t>
  </si>
  <si>
    <t>B0014111</t>
  </si>
  <si>
    <t>B0264111</t>
  </si>
  <si>
    <t>Geoterxtil T-4000 o similar</t>
  </si>
  <si>
    <t>B025002</t>
  </si>
  <si>
    <t>Geotextil Forte Grid UX-165</t>
  </si>
  <si>
    <t>B025100</t>
  </si>
  <si>
    <t>Geotextil Fortex BX-40</t>
  </si>
  <si>
    <t>B025101</t>
  </si>
  <si>
    <t>Geotextil No Tejido</t>
  </si>
  <si>
    <t>B025003</t>
  </si>
  <si>
    <t>Geotextil No Tejido para reparación</t>
  </si>
  <si>
    <t>B025004</t>
  </si>
  <si>
    <t>Geotextil Nt Repav 450 O Similar (Proveedores Pavco, Lafayet, Geomatrix, Tensar, Omnes U Otros)</t>
  </si>
  <si>
    <t>B025008</t>
  </si>
  <si>
    <t>Geotextil Nt-2500 O Similar (Proveedores, Pavco, Geomatrix, Tensar, Omnes U Otros)</t>
  </si>
  <si>
    <t>B025005</t>
  </si>
  <si>
    <t>Geotextil NT-3000 o similar (proveedores, Tensar, Omnes u otros)</t>
  </si>
  <si>
    <t>B025006</t>
  </si>
  <si>
    <t>Geotextil T-2100 O Similar (Proveedores Pavco, Lafayet, Geomatrix, Tensar, Omnes U Otros)</t>
  </si>
  <si>
    <t>B025011</t>
  </si>
  <si>
    <t>Geotextil T-2400 O Similar (Proveedores Lafayet, Pavco, Geomatrix, Tensar, Omnes U Otros)</t>
  </si>
  <si>
    <t>B025001</t>
  </si>
  <si>
    <t>Geotextil Tejido</t>
  </si>
  <si>
    <t>B025007</t>
  </si>
  <si>
    <t>B025009</t>
  </si>
  <si>
    <t>Grapas</t>
  </si>
  <si>
    <t>B0014180</t>
  </si>
  <si>
    <t>Grata de limpieza</t>
  </si>
  <si>
    <t>B0014184</t>
  </si>
  <si>
    <t>Gravilla</t>
  </si>
  <si>
    <t>B0014181</t>
  </si>
  <si>
    <t>Guadua</t>
  </si>
  <si>
    <t>B0014185</t>
  </si>
  <si>
    <t>Impermeabilizante para Concreto</t>
  </si>
  <si>
    <t>B0014191</t>
  </si>
  <si>
    <t>Impermeabilizante para concreto</t>
  </si>
  <si>
    <t>B033011</t>
  </si>
  <si>
    <t>Imprimante y puente de adherencia</t>
  </si>
  <si>
    <t>B0014190</t>
  </si>
  <si>
    <t>Junta elastomérica Jeene (J 8097VV)</t>
  </si>
  <si>
    <t>B021008</t>
  </si>
  <si>
    <t>Lamina 1,22 X 2,44 X 1/2´´</t>
  </si>
  <si>
    <t>B0014231</t>
  </si>
  <si>
    <t>Lamina 1,22 X 2,44 X 1/4´´</t>
  </si>
  <si>
    <t>B0014232</t>
  </si>
  <si>
    <t>Láminas impermeabilizantes</t>
  </si>
  <si>
    <t>B0014200</t>
  </si>
  <si>
    <t>Lechada Para Ductos (Acero De Preesfuerzo)</t>
  </si>
  <si>
    <t>B0014233</t>
  </si>
  <si>
    <t>Lechada para ductos (tensionamiento)</t>
  </si>
  <si>
    <t>B0014210</t>
  </si>
  <si>
    <t>Limpiador 1/4 de galón (anclajes)</t>
  </si>
  <si>
    <t>B0014220</t>
  </si>
  <si>
    <t>Listón en guadua para empradizar</t>
  </si>
  <si>
    <t>B0014230</t>
  </si>
  <si>
    <t>Lubricante Pvc X 500 G</t>
  </si>
  <si>
    <t>B0014234</t>
  </si>
  <si>
    <t>Malla Ciclónica Para Gaviones Galvanizada Aleación Zn-5A1-Mm Cal 12 (2M3)</t>
  </si>
  <si>
    <t>B033005</t>
  </si>
  <si>
    <t>Malla Ciclónica Para Gaviones Galvanizada Aleación Zn-5A1-Mm Y Plastificada Pvc Cal 12 (2M3)</t>
  </si>
  <si>
    <t>B033009</t>
  </si>
  <si>
    <t>Malla Ciclónica Para Gaviones Galvanizada Y Plastificada Con Pvc Cal 12 (2M3)</t>
  </si>
  <si>
    <t>B033006</t>
  </si>
  <si>
    <t>Malla Electrosoldada de 5/16</t>
  </si>
  <si>
    <t>B033010</t>
  </si>
  <si>
    <t>Malla eslabonada, calibre 10, 6 ojos</t>
  </si>
  <si>
    <t>B033001</t>
  </si>
  <si>
    <t>Malla Para Colchagaviones Espesor 0,30 M</t>
  </si>
  <si>
    <t>B033003</t>
  </si>
  <si>
    <t>Malla para gaviones (2M3)</t>
  </si>
  <si>
    <t>B033002</t>
  </si>
  <si>
    <t>Manguera De Alta Presión</t>
  </si>
  <si>
    <t>B0014235</t>
  </si>
  <si>
    <t>Manguera de alta presión</t>
  </si>
  <si>
    <t>B0014254</t>
  </si>
  <si>
    <t>Manguera de polietileno de 3´´</t>
  </si>
  <si>
    <t>B0014260</t>
  </si>
  <si>
    <t>Manto de refuerzo de vegetación tipo 5A</t>
  </si>
  <si>
    <t>B0014265</t>
  </si>
  <si>
    <t>Manto Permanente (Protección de Taludes)</t>
  </si>
  <si>
    <t>B0014267</t>
  </si>
  <si>
    <t>Manto Temporal (Protección de Taludes)</t>
  </si>
  <si>
    <t>B0014266</t>
  </si>
  <si>
    <t>Material  de afirmado de la Zona</t>
  </si>
  <si>
    <t>B0014281</t>
  </si>
  <si>
    <t>Material  Granular Tipo SBG</t>
  </si>
  <si>
    <t>B0014271</t>
  </si>
  <si>
    <t>Material de afirmado</t>
  </si>
  <si>
    <t>B0014270</t>
  </si>
  <si>
    <t>Material de Base</t>
  </si>
  <si>
    <t>B0014291</t>
  </si>
  <si>
    <t>Material de base (gradación 1)</t>
  </si>
  <si>
    <t>B0014300</t>
  </si>
  <si>
    <t>Material de base (gradación 2)</t>
  </si>
  <si>
    <t>B0014310</t>
  </si>
  <si>
    <t>Material de base (gradación 3)</t>
  </si>
  <si>
    <t>B0014320</t>
  </si>
  <si>
    <t>Material de base procesado en planta (gradación 1, 2)</t>
  </si>
  <si>
    <t>B0014322</t>
  </si>
  <si>
    <t>Material de base reciclada (manejo)</t>
  </si>
  <si>
    <t>B0014292</t>
  </si>
  <si>
    <t>Material de la zona (para estabilizar bases)</t>
  </si>
  <si>
    <t>B0014330</t>
  </si>
  <si>
    <t>Material de Recebo Para Relleno</t>
  </si>
  <si>
    <t>B0014373</t>
  </si>
  <si>
    <t>Material de Remoción</t>
  </si>
  <si>
    <t>B0014411</t>
  </si>
  <si>
    <t>Material de Sub- Base CBR=20%</t>
  </si>
  <si>
    <t>B0014340</t>
  </si>
  <si>
    <t>Material de Sub- Base CBR=30%</t>
  </si>
  <si>
    <t>B0014350</t>
  </si>
  <si>
    <t>Material de Sub Base CBR=40%</t>
  </si>
  <si>
    <t>B0014361</t>
  </si>
  <si>
    <t>Material de Sub- Base para bacheo</t>
  </si>
  <si>
    <t>B0014370</t>
  </si>
  <si>
    <t>Material de Sub- Base procesado en planta (tipo 1 o tipo 2)</t>
  </si>
  <si>
    <t>B0014372</t>
  </si>
  <si>
    <t>Material drenante (3´´)</t>
  </si>
  <si>
    <t>B0014380</t>
  </si>
  <si>
    <t>Material filtrante (6´´)</t>
  </si>
  <si>
    <t>B0014390</t>
  </si>
  <si>
    <t>Material Granular Tipo  BG</t>
  </si>
  <si>
    <t>B0014272</t>
  </si>
  <si>
    <t>Material para pedraplén</t>
  </si>
  <si>
    <t>B0014400</t>
  </si>
  <si>
    <t>Material para solado y atraque</t>
  </si>
  <si>
    <t>B0014402</t>
  </si>
  <si>
    <t>Material seleccionado para Relleno</t>
  </si>
  <si>
    <t>B0014410</t>
  </si>
  <si>
    <t>Mecha Lenta</t>
  </si>
  <si>
    <t>B0014420</t>
  </si>
  <si>
    <t>Mezcla abierta en caliente MAC-1</t>
  </si>
  <si>
    <t>B0014430</t>
  </si>
  <si>
    <t>Mezcla abierta en caliente MAC-2</t>
  </si>
  <si>
    <t>B0014440</t>
  </si>
  <si>
    <t>Mezcla abierta en caliente MAC-3</t>
  </si>
  <si>
    <t>B0014450</t>
  </si>
  <si>
    <t>Mezcla Abierta en Frio  MAF-25</t>
  </si>
  <si>
    <t>M3</t>
  </si>
  <si>
    <t>B0014542</t>
  </si>
  <si>
    <t>Mezcla Abierta en Frío MAF-19</t>
  </si>
  <si>
    <t>B0014461</t>
  </si>
  <si>
    <t>Mezcla Abierta en Frio MAF-38</t>
  </si>
  <si>
    <t>B0014469</t>
  </si>
  <si>
    <t>Mezcla Densa en caliente MDC-0</t>
  </si>
  <si>
    <t>B0014490</t>
  </si>
  <si>
    <t>Mezcla Densa en caliente MDC-10</t>
  </si>
  <si>
    <t>B0014501</t>
  </si>
  <si>
    <t>Mezcla densa en Caliente MDC-19</t>
  </si>
  <si>
    <t>B0014502</t>
  </si>
  <si>
    <t>Mezcla densa en Caliente MDC-25</t>
  </si>
  <si>
    <t>B0014511</t>
  </si>
  <si>
    <t>Mezcla Densa en Frio MDF-19</t>
  </si>
  <si>
    <t>B0014531</t>
  </si>
  <si>
    <t>Mezcla Densa en Frio MDF-25</t>
  </si>
  <si>
    <t>B0014541</t>
  </si>
  <si>
    <t>Mezcla Densa en Frio MDF-38</t>
  </si>
  <si>
    <t>B0014551</t>
  </si>
  <si>
    <t>Mezcla Densa en Frio para Bacheo</t>
  </si>
  <si>
    <t>B0014552</t>
  </si>
  <si>
    <t>Mezcla discontinua en caliente F-1</t>
  </si>
  <si>
    <t>B0014560</t>
  </si>
  <si>
    <t>Mezcla discontinua en caliente F-2</t>
  </si>
  <si>
    <t>B0014570</t>
  </si>
  <si>
    <t>Mezcla discontinua en caliente M-1</t>
  </si>
  <si>
    <t>B0014580</t>
  </si>
  <si>
    <t>Mezcla discontinua en caliente M-2</t>
  </si>
  <si>
    <t>B0014590</t>
  </si>
  <si>
    <t>Mezcla Fértil</t>
  </si>
  <si>
    <t>B0014601</t>
  </si>
  <si>
    <t>Mezcla gruesa en caliente tipo MGC-1</t>
  </si>
  <si>
    <t>B0014600</t>
  </si>
  <si>
    <t>Mezcla Semidensa en Caliente MSC-19</t>
  </si>
  <si>
    <t>B0014421</t>
  </si>
  <si>
    <t>Mortero 1:3</t>
  </si>
  <si>
    <t>B0014610</t>
  </si>
  <si>
    <t>Mortero 1:3 De recubrimiento</t>
  </si>
  <si>
    <t>B0014611</t>
  </si>
  <si>
    <t>Mortero 1:3 Para Anillos</t>
  </si>
  <si>
    <t>B0014236</t>
  </si>
  <si>
    <t>Mortero alta resistencia (Eucocrete)</t>
  </si>
  <si>
    <t>B0014240</t>
  </si>
  <si>
    <t>Mulch Orgánico</t>
  </si>
  <si>
    <t>B0014237</t>
  </si>
  <si>
    <t>Nutrientes (para remoción de especies vegetales) (dap, triple 15 o similar) (ítem 201.9)</t>
  </si>
  <si>
    <t>B0014620</t>
  </si>
  <si>
    <t>Obra falsa concreto clase A y B (puntal de 3m metálico)</t>
  </si>
  <si>
    <t>B0014630</t>
  </si>
  <si>
    <t>Oxigeno industrial</t>
  </si>
  <si>
    <t>B0014640</t>
  </si>
  <si>
    <t>Paral en madera rolliza de 3´´ (tablestacados)</t>
  </si>
  <si>
    <t>B0014650</t>
  </si>
  <si>
    <t>Paral en madera rolliza de 5´´ y 4,5m de longitud (tablestacados)</t>
  </si>
  <si>
    <t>B0014660</t>
  </si>
  <si>
    <t>Paral en madera rolliza de 6´´ y 5m de longitud (tablestacados)</t>
  </si>
  <si>
    <t>B0014670</t>
  </si>
  <si>
    <t>Paral en madera rolliza de 6´´ y 8m de longitud (tablestacados)</t>
  </si>
  <si>
    <t>B0014680</t>
  </si>
  <si>
    <t>Pegante epóxico</t>
  </si>
  <si>
    <t>B0014690</t>
  </si>
  <si>
    <t>Perfil Hea 200</t>
  </si>
  <si>
    <t>B0014701</t>
  </si>
  <si>
    <t>Piedra para Concreto Ciclópeo (Rajón o Canto Rodado)</t>
  </si>
  <si>
    <t>B0014702</t>
  </si>
  <si>
    <t>Piedra para concreto ciclópeo (rajón o canto rodado)</t>
  </si>
  <si>
    <t>B0014700</t>
  </si>
  <si>
    <t>Piedra para gavión</t>
  </si>
  <si>
    <t>B0014710</t>
  </si>
  <si>
    <t>Pilote de madera diam mayor a 18 cm.</t>
  </si>
  <si>
    <t>B0014720</t>
  </si>
  <si>
    <t>Pilote en madera barbosco de 15*15</t>
  </si>
  <si>
    <t>B0014730</t>
  </si>
  <si>
    <t>Pintura acrílica pura para tráfico</t>
  </si>
  <si>
    <t>B0014740</t>
  </si>
  <si>
    <t>Pintura acrílica, esmalte o similar</t>
  </si>
  <si>
    <t>B0014750</t>
  </si>
  <si>
    <t>B0014760</t>
  </si>
  <si>
    <t>Pintura Impermeabilizante</t>
  </si>
  <si>
    <t>g</t>
  </si>
  <si>
    <t>B0014238</t>
  </si>
  <si>
    <t>Pintura Imprimante</t>
  </si>
  <si>
    <t>B0014239</t>
  </si>
  <si>
    <t>Piscina de decantación de (3*3*1)</t>
  </si>
  <si>
    <t>B0014770</t>
  </si>
  <si>
    <t>Plastificante (Sikament)</t>
  </si>
  <si>
    <t>B0014772</t>
  </si>
  <si>
    <t>Platina de 1´´ x 1/4´´ (cerramiento en malla)</t>
  </si>
  <si>
    <t>B0014780</t>
  </si>
  <si>
    <t>Poste de madera para cercas</t>
  </si>
  <si>
    <t>B0014790</t>
  </si>
  <si>
    <t>Poste en angulo de 2*2*1/4 de 3,5m para señal</t>
  </si>
  <si>
    <t>B0014800</t>
  </si>
  <si>
    <t>Poste kilometraje</t>
  </si>
  <si>
    <t>B0014810</t>
  </si>
  <si>
    <t>Postes De Concreto Para Cercas 2,00 Mts</t>
  </si>
  <si>
    <t>B0014831</t>
  </si>
  <si>
    <t>Postes de concreto para cercas</t>
  </si>
  <si>
    <t>B0014820</t>
  </si>
  <si>
    <t>Postes para defensa metálica (1,80m)</t>
  </si>
  <si>
    <t>B0014830</t>
  </si>
  <si>
    <t>Puntilla</t>
  </si>
  <si>
    <t>B0014840</t>
  </si>
  <si>
    <t>Químico estabilizante (PROBASE)</t>
  </si>
  <si>
    <t>B0014850</t>
  </si>
  <si>
    <t>Refuerzo de 3/8'' 60000 psi</t>
  </si>
  <si>
    <t>B0014860</t>
  </si>
  <si>
    <t>Resina termoplástica</t>
  </si>
  <si>
    <t>B0014870</t>
  </si>
  <si>
    <t>Salida en PVC D=2´´</t>
  </si>
  <si>
    <t>B0014880</t>
  </si>
  <si>
    <t>Sección De Tope Defensa Metálica</t>
  </si>
  <si>
    <t>B0014893</t>
  </si>
  <si>
    <t>Sección final de defensa metálica</t>
  </si>
  <si>
    <t>B0014890</t>
  </si>
  <si>
    <t>Sección tope</t>
  </si>
  <si>
    <t>B0014892</t>
  </si>
  <si>
    <t>Sello de silicona o sellador autonivelante</t>
  </si>
  <si>
    <t>B0014900</t>
  </si>
  <si>
    <t>Semilla Para Empradizar Tipo Braquiaria</t>
  </si>
  <si>
    <t>B0014894</t>
  </si>
  <si>
    <t>Semillas para empradizar</t>
  </si>
  <si>
    <t>B0014910</t>
  </si>
  <si>
    <t>Señal (grupo 1) tablero en lamina galvanizada de 90*90 cm, calibre 16 reflectivo tipo 1./ incluye poste)</t>
  </si>
  <si>
    <t>B0014920</t>
  </si>
  <si>
    <t>Señal (grupo 1). Tablero en lámina galvanizada de 75cm*75cm, calibre 16, reflectivo tipo 1/ incluye poste )</t>
  </si>
  <si>
    <t>B0014930</t>
  </si>
  <si>
    <t>Señal (grupo 2). Tablero en lámina galvanizado de 1,2m*0,4m, calibre 16, reflectivo tipo 1.</t>
  </si>
  <si>
    <t>B0014940</t>
  </si>
  <si>
    <t>Señal (grupo 3 ferrocarril) (SP-54). Tablero en lámina galvanizado de 2,4m*0,3m, calibre 16, reflectivo tipo 1.</t>
  </si>
  <si>
    <t>B0014950</t>
  </si>
  <si>
    <t>Señal (grupo 4). Tablero en lámina galvanizado de 60cm*75cm, calibre 16, reflectivo tipo 1. (delineador de curva horizontal)</t>
  </si>
  <si>
    <t>B0014960</t>
  </si>
  <si>
    <t>Señal (grupo 5). Tablero en lámina galvanizado de 0,90m*1,13m, calibre 16, reflectivo tipo 1.</t>
  </si>
  <si>
    <t>B0014970</t>
  </si>
  <si>
    <t>Señal temporal preventiva</t>
  </si>
  <si>
    <t>B0014980</t>
  </si>
  <si>
    <t>Sika Color C</t>
  </si>
  <si>
    <t>B0014895</t>
  </si>
  <si>
    <t>Sika Top 122</t>
  </si>
  <si>
    <t>B0014898</t>
  </si>
  <si>
    <t>Sika Top Armatec 108</t>
  </si>
  <si>
    <t>B0014897</t>
  </si>
  <si>
    <t>Sikadur 32 Primer</t>
  </si>
  <si>
    <t>B0014896</t>
  </si>
  <si>
    <t>Sikaset L - Acelerante</t>
  </si>
  <si>
    <t>B0014899</t>
  </si>
  <si>
    <t>Soldadura 6013 de 1/8</t>
  </si>
  <si>
    <t>B0015000</t>
  </si>
  <si>
    <t>Soldadura 7018</t>
  </si>
  <si>
    <t>B0015010</t>
  </si>
  <si>
    <t>Soldadura E70XX o en arco sumergido</t>
  </si>
  <si>
    <t>B0015032</t>
  </si>
  <si>
    <t>Soldadura en PVC 1/8 de galón (anclajes)</t>
  </si>
  <si>
    <t>B0015020</t>
  </si>
  <si>
    <t>Soldadura L-70</t>
  </si>
  <si>
    <t>B0015030</t>
  </si>
  <si>
    <t>Superplastificante Sikament</t>
  </si>
  <si>
    <t>B0015040</t>
  </si>
  <si>
    <t>Tabla burda en madera aserrada (0,30*0,03*3,00)</t>
  </si>
  <si>
    <t>B0015050</t>
  </si>
  <si>
    <t>Tablero en lámina galvanizada de 1,2 cm*0,4 cm, calibre 16, reflectivo tipo 1.</t>
  </si>
  <si>
    <t>B0015064</t>
  </si>
  <si>
    <t>Tablero en lámina galvanizada de 2,4 m*30 cm, calibre 16, reflectivo tipo 1.</t>
  </si>
  <si>
    <t>B0015066</t>
  </si>
  <si>
    <t>Tablero en lámina galvanizada de 60 cm*75cm, calibre 16, reflectivo tipo 1</t>
  </si>
  <si>
    <t>B0015063</t>
  </si>
  <si>
    <t>Tablero en lámina galvanizada de 75cm*75cm, calibre 16, reflectivo tipo 1. Incluye poste de 2*2*1/4´´</t>
  </si>
  <si>
    <t>B0015062</t>
  </si>
  <si>
    <t>Tablero en lámina galvanizado de 0,90m*1,13m, calibre 16, reflectivo tipo 1.</t>
  </si>
  <si>
    <t>B0015068</t>
  </si>
  <si>
    <t>Tablestaca de madera aserrada (0.25x0.03x3)</t>
  </si>
  <si>
    <t>B0015071</t>
  </si>
  <si>
    <t>Tablestaca en madera aserrada (0,25*0,05*3)</t>
  </si>
  <si>
    <t>B0015060</t>
  </si>
  <si>
    <t>Tablestaca en madera aserrada (0,3*0,03*3)</t>
  </si>
  <si>
    <t>B0015070</t>
  </si>
  <si>
    <t>Tablestaca metálica (riel de 70 lb/yarda)</t>
  </si>
  <si>
    <t>B0015080</t>
  </si>
  <si>
    <t>Tacha reflectiva</t>
  </si>
  <si>
    <t>B0015090</t>
  </si>
  <si>
    <t>Tachón en resina de (50*15*8) cm</t>
  </si>
  <si>
    <t>B0015100</t>
  </si>
  <si>
    <t>Tapón en PVC RD21 de 1´´ (para anclaje)</t>
  </si>
  <si>
    <t>B0015110</t>
  </si>
  <si>
    <t>Tierra abonada</t>
  </si>
  <si>
    <t>B0015130</t>
  </si>
  <si>
    <t>Tierra común</t>
  </si>
  <si>
    <t>B0015120</t>
  </si>
  <si>
    <t>Tornillos de Unión de D= 12 mm</t>
  </si>
  <si>
    <t>B0015141</t>
  </si>
  <si>
    <t>Tornillos para defensa metálica</t>
  </si>
  <si>
    <t>B0015140</t>
  </si>
  <si>
    <t>Torón de tensionmiento 1/2´´ o 5/8´´</t>
  </si>
  <si>
    <t>B0015150</t>
  </si>
  <si>
    <t>Tramo Curvo De 4,13 M Galvanizado</t>
  </si>
  <si>
    <t>B0015162</t>
  </si>
  <si>
    <t>Tramo Final O Terminal 2,5 Mm, De 71 Cm Galvanizado</t>
  </si>
  <si>
    <t>B0015161</t>
  </si>
  <si>
    <t>Tramo recto para defensas metálicas (4,13m)</t>
  </si>
  <si>
    <t>B0015160</t>
  </si>
  <si>
    <t>Transductores Electrónicos (Incluye Cables, Protección Contra El Concreto Y Panel De Lectura)</t>
  </si>
  <si>
    <t>B0014901</t>
  </si>
  <si>
    <t>Transductores electrónicos (incluye cables, protección contra el concreto y panel de lectura)</t>
  </si>
  <si>
    <t>B0015164</t>
  </si>
  <si>
    <t>Transductores Mecánicos (Incluye Cables, Protección Contra El Concreto Y Panel De Lectura)</t>
  </si>
  <si>
    <t>B0014902</t>
  </si>
  <si>
    <t>Transductores mecánicos (incluye cables, protección contra el concreto y panel de lectura)</t>
  </si>
  <si>
    <t>B0015166</t>
  </si>
  <si>
    <t>Triturado tamaño 1/2''</t>
  </si>
  <si>
    <t>B0015350</t>
  </si>
  <si>
    <t>Trompetas de 12 torones (tensionamiento)</t>
  </si>
  <si>
    <t>B0015170</t>
  </si>
  <si>
    <t>Tubería D=4´´ tipo pesado, E=2mm (baranda metálica)</t>
  </si>
  <si>
    <t>B0015180</t>
  </si>
  <si>
    <t>Tubería de 10´´ PAA vaciado tremi de 4 mts</t>
  </si>
  <si>
    <t>B0015230</t>
  </si>
  <si>
    <t>Tubería de Plástico</t>
  </si>
  <si>
    <t>B0015233</t>
  </si>
  <si>
    <t>Tubería en H de D=1/4´´, H=1.40m, A=0.20m (baranda metálica)</t>
  </si>
  <si>
    <t>B0015190</t>
  </si>
  <si>
    <t>Tubería Perforada en PVC de 2´´</t>
  </si>
  <si>
    <t>B0015200</t>
  </si>
  <si>
    <t>Tubería Petrolera 7´´</t>
  </si>
  <si>
    <t>B0015340</t>
  </si>
  <si>
    <t>Tubería Pvc Alcantarillado D= 24´´</t>
  </si>
  <si>
    <t>B0015231</t>
  </si>
  <si>
    <t>Tubería Pvc Alcantarillado D= 36´´</t>
  </si>
  <si>
    <t>B0015232</t>
  </si>
  <si>
    <t>Tubería PVC de 1´´ (para escamas en concreto)</t>
  </si>
  <si>
    <t>B0015220</t>
  </si>
  <si>
    <t>Tubería PVC RD21 de 1´´ (para anclajes)</t>
  </si>
  <si>
    <t>B0015210</t>
  </si>
  <si>
    <t>Tubo concreto clase C, D=0,25 m</t>
  </si>
  <si>
    <t>B0015254</t>
  </si>
  <si>
    <t>Tubo concreto reforzado 900mm (tipo 1)</t>
  </si>
  <si>
    <t>B0015240</t>
  </si>
  <si>
    <t>Tubo concreto reforzado 900mm (tipo 2)</t>
  </si>
  <si>
    <t>B0015250</t>
  </si>
  <si>
    <t>Tubo concreto simple 450 mm</t>
  </si>
  <si>
    <t>B0015260</t>
  </si>
  <si>
    <t>Tubo concreto simple 500 mm</t>
  </si>
  <si>
    <t>B0015270</t>
  </si>
  <si>
    <t>Tubo concreto simple 600 mm</t>
  </si>
  <si>
    <t>B0015280</t>
  </si>
  <si>
    <t>Tubo concreto simple 750 mm</t>
  </si>
  <si>
    <t>B0015290</t>
  </si>
  <si>
    <t>Tubo corrugado de acero galvanizado MP-68</t>
  </si>
  <si>
    <t>B0015300</t>
  </si>
  <si>
    <t>Tubo metálico con recubrimiento bituminoso de lámina calibre 12 y diámetro de 60''</t>
  </si>
  <si>
    <t>B0015360</t>
  </si>
  <si>
    <t>Tubo metálico de alta resistencia</t>
  </si>
  <si>
    <t>B0015304</t>
  </si>
  <si>
    <t>Tubo Metálico De Alta Resistencia</t>
  </si>
  <si>
    <t>B0015305</t>
  </si>
  <si>
    <t>Tubo para cerramiento, calibre 16 de 2,7m (cerramientos en malla)</t>
  </si>
  <si>
    <t>B0015310</t>
  </si>
  <si>
    <t>Unión en PVC D=2´´</t>
  </si>
  <si>
    <t>B0015330</t>
  </si>
  <si>
    <t>Unión en PVC RD21 de 1´´ (para anclajes)</t>
  </si>
  <si>
    <t>B0015320</t>
  </si>
  <si>
    <t>Uniones especiales de alta resistencia para tubería</t>
  </si>
  <si>
    <t>B0015334</t>
  </si>
  <si>
    <t>Uniones Especiales De Alta Resistencia Para Tubería</t>
  </si>
  <si>
    <t>B0015362</t>
  </si>
  <si>
    <t>Varilla 5/8</t>
  </si>
  <si>
    <t>B0015361</t>
  </si>
  <si>
    <t>CÓDIGOS</t>
  </si>
  <si>
    <t>CATÁLOGO DE EQUIPOS Y HERRAMIENTAS</t>
  </si>
  <si>
    <t>RYR-CO-009</t>
  </si>
  <si>
    <t>RYR-CO-007</t>
  </si>
  <si>
    <t>RYR-CO-008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</si>
</sst>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 #,##0.00"/>
    <numFmt numFmtId="165" formatCode="_-&quot;$ &quot;* #,##0.00_-;&quot;-$ &quot;* #,##0.00_-;_-&quot;$ &quot;* \-??_-;_-@_-"/>
    <numFmt numFmtId="166" formatCode="0.000"/>
    <numFmt numFmtId="167" formatCode="0.0%"/>
    <numFmt numFmtId="168" formatCode="&quot;$ &quot;#,##0"/>
    <numFmt numFmtId="169" formatCode="dd/mm/yyyy"/>
    <numFmt numFmtId="171" formatCode="&quot;$&quot;\ #,##0.00"/>
  </numFmts>
  <fonts count="163"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i/>
      <sz val="8"/>
      <color rgb="FF8A8F99"/>
      <name val="Cambria"/>
      <family val="1"/>
      <charset val="1"/>
    </font>
    <font>
      <sz val="11"/>
      <color theme="1"/>
      <name val="Tahoma"/>
      <family val="2"/>
      <charset val="1"/>
    </font>
    <font>
      <sz val="10"/>
      <name val="Tahoma"/>
      <family val="2"/>
      <charset val="1"/>
    </font>
    <font>
      <sz val="16"/>
      <color rgb="FFFFFFFF"/>
      <name val="Franklin Gothic Demi Cond"/>
      <family val="2"/>
      <charset val="1"/>
    </font>
    <font>
      <i/>
      <sz val="9"/>
      <color theme="3" tint="-0.499984740745262"/>
      <name val="Arial"/>
      <family val="2"/>
      <charset val="1"/>
    </font>
    <font>
      <b/>
      <sz val="16"/>
      <color rgb="FFFFFFFF"/>
      <name val="Arial"/>
      <family val="2"/>
      <charset val="1"/>
    </font>
    <font>
      <b/>
      <sz val="9"/>
      <color theme="0"/>
      <name val="Arial"/>
      <family val="2"/>
      <charset val="1"/>
    </font>
    <font>
      <b/>
      <sz val="9"/>
      <color theme="3" tint="-0.499984740745262"/>
      <name val="Arial"/>
      <family val="2"/>
      <charset val="1"/>
    </font>
    <font>
      <b/>
      <sz val="9"/>
      <color rgb="FFFFFFFF"/>
      <name val="Arial"/>
      <family val="2"/>
      <charset val="1"/>
    </font>
    <font>
      <b/>
      <sz val="9"/>
      <name val="Arial"/>
      <family val="2"/>
      <charset val="1"/>
    </font>
    <font>
      <sz val="9"/>
      <name val="Arial"/>
      <family val="2"/>
      <charset val="1"/>
    </font>
    <font>
      <sz val="7"/>
      <color rgb="FF8A8F99"/>
      <name val="Cambria"/>
      <family val="1"/>
      <charset val="1"/>
    </font>
    <font>
      <b/>
      <sz val="11"/>
      <color rgb="FFFFFFFF"/>
      <name val="Calibri"/>
      <family val="2"/>
      <charset val="1"/>
    </font>
    <font>
      <b/>
      <sz val="8"/>
      <color rgb="FF17365D"/>
      <name val="Calibri"/>
      <family val="2"/>
      <charset val="1"/>
    </font>
    <font>
      <b/>
      <sz val="11"/>
      <color theme="1"/>
      <name val="Calibri"/>
      <family val="2"/>
      <charset val="1"/>
    </font>
    <font>
      <b/>
      <sz val="10"/>
      <color rgb="FFFFFFFF"/>
      <name val="Calibri"/>
      <family val="2"/>
      <charset val="1"/>
    </font>
    <font>
      <b/>
      <sz val="11"/>
      <color rgb="FF17365D"/>
      <name val="Calibri"/>
      <family val="2"/>
      <charset val="1"/>
    </font>
    <font>
      <b/>
      <sz val="11"/>
      <color rgb="FF203040"/>
      <name val="Calibri"/>
      <family val="2"/>
      <charset val="1"/>
    </font>
    <font>
      <i/>
      <sz val="9"/>
      <color rgb="FF666666"/>
      <name val="Calibri"/>
      <family val="2"/>
      <charset val="1"/>
    </font>
    <font>
      <sz val="10"/>
      <color rgb="FF666666"/>
      <name val="Calibri"/>
      <family val="2"/>
      <charset val="1"/>
    </font>
    <font>
      <b/>
      <u/>
      <sz val="8"/>
      <color rgb="FF203040"/>
      <name val="Calibri"/>
      <family val="2"/>
      <charset val="1"/>
    </font>
    <font>
      <sz val="11"/>
      <color theme="1"/>
      <name val="Calibri"/>
      <family val="2"/>
      <charset val="1"/>
    </font>
    <font>
      <b/>
      <sz val="11"/>
      <color theme="0"/>
      <name val="Calibri"/>
      <family val="2"/>
      <scheme val="minor"/>
    </font>
    <font>
      <b/>
      <sz val="11"/>
      <color theme="1"/>
      <name val="Calibri"/>
      <family val="2"/>
      <scheme val="minor"/>
    </font>
    <font>
      <sz val="11"/>
      <color theme="0"/>
      <name val="Calibri"/>
      <family val="2"/>
      <scheme val="minor"/>
    </font>
    <font>
      <sz val="10"/>
      <color theme="1"/>
      <name val="Calibri"/>
      <family val="2"/>
      <charset val="1"/>
    </font>
    <font>
      <b/>
      <sz val="16"/>
      <color theme="0"/>
      <name val="Arial"/>
      <family val="2"/>
    </font>
    <font>
      <sz val="10"/>
      <color theme="0"/>
      <name val="Calibri"/>
      <family val="2"/>
      <scheme val="minor"/>
    </font>
    <font>
      <sz val="10"/>
      <name val="Calibri"/>
      <family val="2"/>
      <scheme val="minor"/>
    </font>
    <font>
      <sz val="10"/>
      <color theme="1"/>
      <name val="Calibri"/>
      <family val="2"/>
      <scheme val="minor"/>
    </font>
    <font>
      <b/>
      <sz val="9"/>
      <color theme="3" tint="-0.499984740745262"/>
      <name val="Calibri"/>
      <family val="2"/>
      <scheme val="minor"/>
    </font>
    <font>
      <sz val="11"/>
      <name val="Calibri"/>
      <family val="2"/>
      <scheme val="minor"/>
    </font>
    <font>
      <b/>
      <sz val="11"/>
      <color theme="3" tint="-0.499984740745262"/>
      <name val="Calibri"/>
      <family val="2"/>
      <scheme val="minor"/>
    </font>
    <font>
      <sz val="10"/>
      <color theme="3" tint="-0.499984740745262"/>
      <name val="Calibri"/>
      <family val="2"/>
      <scheme val="minor"/>
    </font>
    <font>
      <b/>
      <sz val="11"/>
      <color rgb="FFFFFFFF"/>
      <name val="Calibri"/>
      <family val="2"/>
      <scheme val="minor"/>
    </font>
    <font>
      <b/>
      <sz val="10"/>
      <color rgb="FFFFFFFF"/>
      <name val="Calibri"/>
      <family val="2"/>
      <scheme val="minor"/>
    </font>
    <font>
      <sz val="9"/>
      <name val="Calibri"/>
      <family val="2"/>
    </font>
    <font>
      <sz val="10"/>
      <color theme="0"/>
      <name val="Calibri"/>
      <family val="2"/>
    </font>
    <font>
      <sz val="10"/>
      <color rgb="FFFFFFFF"/>
      <name val="Calibri"/>
      <family val="2"/>
    </font>
    <font>
      <sz val="11"/>
      <color theme="1"/>
      <name val="Calibri"/>
      <family val="2"/>
    </font>
    <font>
      <sz val="11"/>
      <color theme="3" tint="-0.499984740745262"/>
      <name val="Calibri"/>
      <family val="2"/>
    </font>
    <font>
      <sz val="10"/>
      <color theme="1"/>
      <name val="Calibri"/>
      <family val="2"/>
    </font>
    <font>
      <b/>
      <sz val="10"/>
      <color theme="3" tint="-0.499984740745262"/>
      <name val="Calibri"/>
      <family val="2"/>
    </font>
    <font>
      <sz val="11"/>
      <color theme="0"/>
      <name val="Calibri"/>
      <family val="2"/>
    </font>
    <font>
      <sz val="11"/>
      <name val="Calibri"/>
      <family val="2"/>
    </font>
    <font>
      <i/>
      <sz val="8.5"/>
      <name val="Calibri"/>
      <family val="2"/>
    </font>
    <font>
      <b/>
      <sz val="10"/>
      <color rgb="FF17365D"/>
      <name val="Calibri"/>
      <family val="2"/>
      <scheme val="minor"/>
    </font>
    <font>
      <b/>
      <sz val="10"/>
      <color rgb="FF17365D"/>
      <name val="Calibri"/>
      <family val="2"/>
    </font>
    <font>
      <b/>
      <sz val="11"/>
      <color rgb="FFFFFFFF"/>
      <name val="Calibri"/>
      <family val="2"/>
    </font>
    <font>
      <b/>
      <sz val="11"/>
      <name val="Calibri"/>
      <family val="2"/>
      <scheme val="minor"/>
    </font>
    <font>
      <b/>
      <sz val="10"/>
      <color theme="0"/>
      <name val="Calibri"/>
      <family val="2"/>
      <scheme val="minor"/>
    </font>
    <font>
      <b/>
      <sz val="10"/>
      <color theme="3" tint="-0.499984740745262"/>
      <name val="Calibri"/>
      <family val="2"/>
      <scheme val="minor"/>
    </font>
    <font>
      <b/>
      <sz val="10"/>
      <color theme="0"/>
      <name val="Calibri"/>
      <family val="2"/>
    </font>
    <font>
      <b/>
      <sz val="10"/>
      <name val="Calibri"/>
      <family val="2"/>
      <scheme val="minor"/>
    </font>
    <font>
      <b/>
      <sz val="9"/>
      <color theme="3" tint="-0.499984740745262"/>
      <name val="Calibri"/>
      <family val="2"/>
    </font>
    <font>
      <sz val="10"/>
      <name val="Calibri"/>
      <family val="2"/>
    </font>
    <font>
      <b/>
      <sz val="8"/>
      <color theme="1"/>
      <name val="Calibri"/>
      <family val="2"/>
      <scheme val="minor"/>
    </font>
    <font>
      <b/>
      <sz val="10"/>
      <name val="Calibri"/>
      <family val="2"/>
    </font>
    <font>
      <b/>
      <sz val="11"/>
      <color theme="1"/>
      <name val="Calibri"/>
      <family val="2"/>
    </font>
    <font>
      <b/>
      <sz val="11"/>
      <color theme="3" tint="-0.499984740745262"/>
      <name val="Calibri"/>
      <family val="2"/>
    </font>
    <font>
      <b/>
      <sz val="11"/>
      <color theme="0"/>
      <name val="Calibri"/>
      <family val="2"/>
    </font>
    <font>
      <b/>
      <sz val="9"/>
      <color rgb="FF17365D"/>
      <name val="Calibri"/>
      <family val="2"/>
    </font>
    <font>
      <b/>
      <sz val="9"/>
      <color rgb="FF17365D"/>
      <name val="Calibri"/>
      <family val="2"/>
      <scheme val="minor"/>
    </font>
    <font>
      <b/>
      <sz val="28"/>
      <color theme="0"/>
      <name val="Arial"/>
      <family val="2"/>
    </font>
    <font>
      <b/>
      <sz val="9"/>
      <name val="Calibri"/>
      <family val="2"/>
    </font>
    <font>
      <i/>
      <sz val="9"/>
      <color theme="0" tint="-0.34998626667073579"/>
      <name val="Calibri"/>
      <family val="2"/>
      <scheme val="minor"/>
    </font>
    <font>
      <i/>
      <sz val="9"/>
      <color rgb="FF4A4A4A"/>
      <name val="Calibri"/>
      <family val="2"/>
      <scheme val="minor"/>
    </font>
    <font>
      <b/>
      <sz val="11"/>
      <color rgb="FF17365D"/>
      <name val="Calibri"/>
      <family val="2"/>
      <scheme val="minor"/>
    </font>
    <font>
      <sz val="11"/>
      <color theme="0" tint="-0.499984740745262"/>
      <name val="Calibri"/>
      <family val="2"/>
    </font>
    <font>
      <sz val="10"/>
      <color rgb="FF0000FF"/>
      <name val="Calibri"/>
      <family val="2"/>
    </font>
    <font>
      <i/>
      <sz val="8"/>
      <color rgb="FF7F7F7F"/>
      <name val="Calibri"/>
      <family val="2"/>
    </font>
    <font>
      <b/>
      <sz val="10"/>
      <color rgb="FF17365D"/>
      <name val="Calibri"/>
      <family val="2"/>
      <charset val="1"/>
    </font>
    <font>
      <b/>
      <sz val="10"/>
      <color theme="1"/>
      <name val="Calibri"/>
      <family val="2"/>
      <charset val="1"/>
    </font>
    <font>
      <b/>
      <i/>
      <sz val="8"/>
      <color theme="1"/>
      <name val="Calibri"/>
      <family val="2"/>
      <charset val="1"/>
    </font>
    <font>
      <b/>
      <sz val="9"/>
      <color theme="0"/>
      <name val="Calibri"/>
      <family val="2"/>
    </font>
    <font>
      <b/>
      <sz val="9"/>
      <color rgb="FFFFFFFF"/>
      <name val="Calibri"/>
      <family val="2"/>
    </font>
    <font>
      <b/>
      <sz val="11"/>
      <color rgb="FF17365D"/>
      <name val="Calibri"/>
      <family val="2"/>
    </font>
    <font>
      <b/>
      <sz val="11"/>
      <color theme="0" tint="-0.34998626667073579"/>
      <name val="Calibri"/>
      <family val="2"/>
      <charset val="1"/>
    </font>
    <font>
      <b/>
      <sz val="9"/>
      <color rgb="FF17365D"/>
      <name val="Arial"/>
      <family val="2"/>
      <charset val="1"/>
    </font>
    <font>
      <b/>
      <sz val="14"/>
      <color rgb="FF17365D"/>
      <name val="Arial"/>
      <family val="2"/>
    </font>
    <font>
      <b/>
      <sz val="16"/>
      <color theme="0"/>
      <name val="Calibri"/>
      <family val="2"/>
      <scheme val="minor"/>
    </font>
    <font>
      <b/>
      <sz val="14"/>
      <color theme="0"/>
      <name val="Calibri"/>
      <family val="2"/>
      <scheme val="minor"/>
    </font>
    <font>
      <b/>
      <i/>
      <sz val="10"/>
      <color theme="0" tint="-0.34998626667073579"/>
      <name val="Calibri"/>
      <family val="2"/>
    </font>
    <font>
      <b/>
      <i/>
      <sz val="9"/>
      <color theme="0" tint="-0.34998626667073579"/>
      <name val="Calibri"/>
      <family val="2"/>
      <scheme val="minor"/>
    </font>
    <font>
      <b/>
      <sz val="10"/>
      <color theme="0" tint="-0.34998626667073579"/>
      <name val="Calibri"/>
      <family val="2"/>
    </font>
    <font>
      <b/>
      <i/>
      <sz val="10"/>
      <color theme="0" tint="-0.34998626667073579"/>
      <name val="Calibri"/>
      <family val="2"/>
      <scheme val="minor"/>
    </font>
    <font>
      <b/>
      <sz val="10"/>
      <color rgb="FFFFFFFF"/>
      <name val="Calibri"/>
      <family val="2"/>
    </font>
    <font>
      <b/>
      <sz val="11"/>
      <color theme="0"/>
      <name val="Arial"/>
      <family val="2"/>
    </font>
    <font>
      <b/>
      <i/>
      <sz val="8"/>
      <color theme="3" tint="-0.499984740745262"/>
      <name val="Calibri"/>
      <family val="2"/>
      <scheme val="minor"/>
    </font>
    <font>
      <i/>
      <sz val="10"/>
      <color theme="3" tint="-0.499984740745262"/>
      <name val="Arial"/>
      <family val="2"/>
      <charset val="1"/>
    </font>
    <font>
      <i/>
      <sz val="8"/>
      <name val="Cambria"/>
      <family val="1"/>
      <charset val="1"/>
    </font>
    <font>
      <sz val="12"/>
      <color rgb="FF17365D"/>
      <name val="Calibri"/>
      <family val="2"/>
      <scheme val="minor"/>
    </font>
    <font>
      <b/>
      <sz val="12"/>
      <color rgb="FF17365D"/>
      <name val="Calibri"/>
      <family val="2"/>
      <scheme val="minor"/>
    </font>
    <font>
      <sz val="11"/>
      <name val="Calibri"/>
      <family val="2"/>
      <charset val="1"/>
    </font>
    <font>
      <b/>
      <sz val="8"/>
      <color theme="3" tint="-0.499984740745262"/>
      <name val="Calibri"/>
      <family val="2"/>
      <scheme val="minor"/>
    </font>
    <font>
      <sz val="11"/>
      <color rgb="FF17365D"/>
      <name val="Calibri"/>
      <family val="2"/>
      <scheme val="minor"/>
    </font>
    <font>
      <b/>
      <sz val="12"/>
      <color rgb="FFFFFFFF"/>
      <name val="Arial"/>
      <family val="2"/>
    </font>
    <font>
      <b/>
      <sz val="10"/>
      <color rgb="FF0F243E"/>
      <name val="Calibri"/>
      <family val="2"/>
      <scheme val="minor"/>
    </font>
    <font>
      <b/>
      <sz val="16"/>
      <name val="Arial"/>
      <family val="2"/>
    </font>
    <font>
      <b/>
      <sz val="16"/>
      <name val="Arial"/>
      <family val="2"/>
      <charset val="1"/>
    </font>
    <font>
      <i/>
      <sz val="8"/>
      <color rgb="FF1F2933"/>
      <name val="Calibri"/>
      <family val="2"/>
      <scheme val="minor"/>
    </font>
    <font>
      <sz val="8"/>
      <color theme="1"/>
      <name val="Calibri"/>
      <family val="2"/>
      <scheme val="minor"/>
    </font>
    <font>
      <i/>
      <sz val="10"/>
      <name val="Arial"/>
      <family val="2"/>
    </font>
    <font>
      <i/>
      <sz val="11"/>
      <name val="Arial"/>
      <family val="2"/>
    </font>
    <font>
      <b/>
      <sz val="11"/>
      <color rgb="FFFFFFFF"/>
      <name val="Arial"/>
      <family val="2"/>
    </font>
    <font>
      <b/>
      <sz val="11"/>
      <name val="Calibri"/>
      <family val="2"/>
    </font>
    <font>
      <i/>
      <sz val="8"/>
      <name val="Calibri"/>
      <family val="2"/>
    </font>
    <font>
      <sz val="8"/>
      <color rgb="FF17365D"/>
      <name val="Calibri"/>
      <family val="2"/>
    </font>
    <font>
      <i/>
      <sz val="11"/>
      <name val="Calibri"/>
      <family val="2"/>
    </font>
    <font>
      <b/>
      <sz val="16"/>
      <name val="Calibri"/>
      <family val="2"/>
    </font>
    <font>
      <b/>
      <sz val="16"/>
      <color rgb="FF17365D"/>
      <name val="Calibri"/>
      <family val="2"/>
    </font>
    <font>
      <b/>
      <sz val="16"/>
      <color rgb="FF17365D"/>
      <name val="Arial"/>
      <family val="2"/>
    </font>
    <font>
      <b/>
      <sz val="22"/>
      <color rgb="FFFFFFFF"/>
      <name val="Arial"/>
      <family val="2"/>
    </font>
    <font>
      <sz val="11"/>
      <color theme="1"/>
      <name val="Arial"/>
      <family val="2"/>
    </font>
    <font>
      <b/>
      <sz val="16"/>
      <color rgb="FF142B44"/>
      <name val="Arial"/>
      <family val="2"/>
    </font>
    <font>
      <b/>
      <sz val="10"/>
      <color rgb="FF1F2933"/>
      <name val="Calibri"/>
      <family val="2"/>
      <scheme val="minor"/>
    </font>
    <font>
      <b/>
      <i/>
      <sz val="11"/>
      <color theme="0" tint="-0.249977111117893"/>
      <name val="Calibri"/>
      <family val="2"/>
      <scheme val="minor"/>
    </font>
    <font>
      <i/>
      <sz val="11"/>
      <color theme="0" tint="-0.249977111117893"/>
      <name val="Calibri"/>
      <family val="2"/>
      <scheme val="minor"/>
    </font>
    <font>
      <b/>
      <sz val="11"/>
      <color rgb="FF002060"/>
      <name val="Calibri"/>
      <family val="2"/>
      <scheme val="minor"/>
    </font>
    <font>
      <b/>
      <i/>
      <sz val="11"/>
      <color theme="0" tint="-0.249977111117893"/>
      <name val="Calibri"/>
      <family val="2"/>
    </font>
    <font>
      <sz val="11"/>
      <color rgb="FF1F2933"/>
      <name val="Calibri"/>
      <family val="2"/>
      <scheme val="minor"/>
    </font>
    <font>
      <b/>
      <sz val="11"/>
      <color rgb="FF1F2933"/>
      <name val="Calibri"/>
      <family val="2"/>
      <scheme val="minor"/>
    </font>
    <font>
      <b/>
      <sz val="11"/>
      <color rgb="FF0F243E"/>
      <name val="Calibri"/>
      <family val="2"/>
      <scheme val="minor"/>
    </font>
    <font>
      <b/>
      <sz val="11"/>
      <color rgb="FF142B44"/>
      <name val="Calibri"/>
      <family val="2"/>
      <scheme val="minor"/>
    </font>
    <font>
      <b/>
      <sz val="10"/>
      <color rgb="FFFFFFFF"/>
      <name val="Tahoma"/>
      <family val="2"/>
    </font>
    <font>
      <b/>
      <sz val="11"/>
      <color rgb="FFFFFFFF"/>
      <name val="Cambria"/>
      <family val="1"/>
    </font>
    <font>
      <b/>
      <sz val="13"/>
      <color rgb="FF1B2A45"/>
      <name val="Arial"/>
      <family val="2"/>
    </font>
    <font>
      <sz val="8"/>
      <color rgb="FF8A8F99"/>
      <name val="Calibri"/>
      <family val="2"/>
    </font>
    <font>
      <b/>
      <sz val="22"/>
      <color rgb="FFFFFFFF"/>
      <name val="Calibri"/>
      <family val="2"/>
      <scheme val="minor"/>
    </font>
    <font>
      <b/>
      <sz val="18"/>
      <color rgb="FFFFFFFF"/>
      <name val="Calibri"/>
      <family val="2"/>
      <scheme val="minor"/>
    </font>
    <font>
      <i/>
      <sz val="10"/>
      <color rgb="FF404040"/>
      <name val="Calibri"/>
      <family val="2"/>
      <scheme val="minor"/>
    </font>
    <font>
      <i/>
      <sz val="10"/>
      <color theme="1"/>
      <name val="Calibri"/>
      <family val="2"/>
      <scheme val="minor"/>
    </font>
    <font>
      <b/>
      <sz val="9"/>
      <color rgb="FFFFFFFF"/>
      <name val="Calibri"/>
      <family val="2"/>
      <scheme val="minor"/>
    </font>
    <font>
      <sz val="9"/>
      <color theme="1"/>
      <name val="Calibri"/>
      <family val="2"/>
      <scheme val="minor"/>
    </font>
    <font>
      <sz val="9"/>
      <color theme="1"/>
      <name val="Calibri"/>
      <family val="2"/>
      <charset val="1"/>
    </font>
    <font>
      <sz val="9"/>
      <name val="Calibri"/>
      <family val="2"/>
      <scheme val="minor"/>
    </font>
    <font>
      <b/>
      <sz val="9"/>
      <color theme="1"/>
      <name val="Calibri"/>
      <family val="2"/>
      <scheme val="minor"/>
    </font>
    <font>
      <b/>
      <sz val="9"/>
      <color theme="0"/>
      <name val="Calibri"/>
      <family val="2"/>
      <scheme val="minor"/>
    </font>
    <font>
      <b/>
      <sz val="9"/>
      <color theme="1"/>
      <name val="Calibri"/>
      <family val="2"/>
    </font>
    <font>
      <i/>
      <sz val="9"/>
      <name val="Calibri"/>
      <family val="2"/>
    </font>
    <font>
      <b/>
      <sz val="9"/>
      <color rgb="FFFFFFFF"/>
      <name val="Arial"/>
      <family val="2"/>
    </font>
    <font>
      <sz val="9"/>
      <color theme="1"/>
      <name val="Arial"/>
      <family val="2"/>
    </font>
    <font>
      <sz val="11"/>
      <color rgb="FF17365D"/>
      <name val="Calibri"/>
      <family val="2"/>
      <charset val="1"/>
    </font>
    <font>
      <sz val="11"/>
      <color rgb="FF17365D"/>
      <name val="Calibri"/>
      <family val="2"/>
    </font>
    <font>
      <sz val="10"/>
      <color rgb="FF8A8F99"/>
      <name val="Calibri"/>
      <family val="2"/>
    </font>
    <font>
      <b/>
      <sz val="16"/>
      <color rgb="FFFFFFFF"/>
      <name val="Arial"/>
      <family val="2"/>
    </font>
    <font>
      <b/>
      <sz val="8.5"/>
      <color rgb="FF17365D"/>
      <name val="Tahoma"/>
      <family val="2"/>
    </font>
    <font>
      <b/>
      <sz val="16"/>
      <color theme="1"/>
      <name val="Calibri"/>
      <family val="2"/>
    </font>
    <font>
      <i/>
      <sz val="11"/>
      <color theme="1"/>
      <name val="Calibri"/>
      <family val="2"/>
    </font>
    <font>
      <i/>
      <sz val="9"/>
      <color theme="1"/>
      <name val="Calibri"/>
      <family val="2"/>
    </font>
    <font>
      <i/>
      <sz val="10"/>
      <name val="Calibri"/>
      <family val="2"/>
    </font>
    <font>
      <b/>
      <sz val="12"/>
      <color theme="3" tint="-0.499984740745262"/>
      <name val="Calibri"/>
      <family val="2"/>
      <scheme val="minor"/>
    </font>
    <font>
      <sz val="12"/>
      <color theme="1"/>
      <name val="Calibri"/>
      <family val="2"/>
    </font>
    <font>
      <b/>
      <sz val="12"/>
      <color theme="1"/>
      <name val="Calibri"/>
      <family val="2"/>
      <scheme val="minor"/>
    </font>
    <font>
      <sz val="14"/>
      <color theme="1"/>
      <name val="Calibri"/>
      <family val="2"/>
    </font>
    <font>
      <sz val="10"/>
      <color rgb="FF17365D"/>
      <name val="Calibri"/>
      <family val="2"/>
      <scheme val="minor"/>
    </font>
    <font>
      <b/>
      <i/>
      <sz val="10"/>
      <color theme="0" tint="-0.249977111117893"/>
      <name val="Calibri"/>
      <family val="2"/>
    </font>
  </fonts>
  <fills count="77">
    <fill>
      <patternFill patternType="none"/>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86"/>
        <bgColor rgb="FFD9D9D9"/>
      </patternFill>
    </fill>
    <fill>
      <patternFill patternType="solid">
        <fgColor theme="0" tint="-0.14999847407452621"/>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5"/>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4.9989318521683403E-2"/>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4.9989318521683403E-2"/>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2"/>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1"/>
        <bgColor indexed="64"/>
      </patternFill>
    </fill>
    <fill>
      <patternFill patternType="solid">
        <fgColor theme="4"/>
        <bgColor indexed="64"/>
      </patternFill>
    </fill>
    <fill>
      <patternFill patternType="solid">
        <fgColor rgb="FFD39A12"/>
        <bgColor rgb="FF1B2A45"/>
      </patternFill>
    </fill>
  </fills>
  <borders count="37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86"/>
      </top>
      <bottom style="thin">
        <color theme="4" tint="0.59987182226020086"/>
      </bottom>
      <diagonal/>
    </border>
    <border>
      <left/>
      <right/>
      <top style="thin">
        <color rgb="FFB7C3D0"/>
      </top>
      <bottom style="thin">
        <color rgb="FFB7C3D0"/>
      </bottom>
      <diagonal/>
    </border>
    <border>
      <left/>
      <right/>
      <top style="thin">
        <color theme="4" tint="0.59987182226020086"/>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86"/>
      </left>
      <right style="thin">
        <color auto="1"/>
      </right>
      <top style="thin">
        <color theme="4" tint="0.59987182226020086"/>
      </top>
      <bottom style="thin">
        <color theme="4" tint="0.59987182226020086"/>
      </bottom>
      <diagonal/>
    </border>
    <border>
      <left style="thin">
        <color rgb="FFB7C3D0"/>
      </left>
      <right style="thin">
        <color theme="4" tint="0.59987182226020086"/>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4" tint="0.59996337778862885"/>
      </bottom>
      <diagonal/>
    </border>
    <border>
      <left/>
      <right/>
      <top/>
      <bottom style="thin">
        <color theme="0"/>
      </bottom>
      <diagonal/>
    </border>
    <border>
      <left/>
      <right/>
      <top/>
      <bottom style="thin">
        <color theme="4" tint="0.59996337778862885"/>
      </bottom>
      <diagonal/>
    </border>
    <border>
      <left/>
      <right/>
      <top style="thin">
        <color theme="4" tint="0.59996337778862885"/>
      </top>
      <bottom/>
      <diagonal/>
    </border>
    <border>
      <left style="thin">
        <color theme="0"/>
      </left>
      <right/>
      <top/>
      <bottom/>
      <diagonal/>
    </border>
    <border>
      <left/>
      <right style="thin">
        <color theme="4" tint="0.59996337778862885"/>
      </right>
      <top style="thin">
        <color theme="4" tint="0.59996337778862885"/>
      </top>
      <bottom/>
      <diagonal/>
    </border>
    <border>
      <left style="thin">
        <color theme="4" tint="0.59996337778862885"/>
      </left>
      <right/>
      <top/>
      <bottom style="thin">
        <color theme="4" tint="0.59996337778862885"/>
      </bottom>
      <diagonal/>
    </border>
    <border>
      <left/>
      <right style="thin">
        <color theme="4" tint="0.59996337778862885"/>
      </right>
      <top/>
      <bottom style="thin">
        <color theme="4" tint="0.59996337778862885"/>
      </bottom>
      <diagonal/>
    </border>
    <border>
      <left style="thin">
        <color theme="4" tint="0.59996337778862885"/>
      </left>
      <right/>
      <top style="thin">
        <color theme="4" tint="0.59996337778862885"/>
      </top>
      <bottom style="thin">
        <color theme="4" tint="0.59996337778862885"/>
      </bottom>
      <diagonal/>
    </border>
    <border>
      <left/>
      <right style="thin">
        <color theme="4" tint="0.59996337778862885"/>
      </right>
      <top style="thin">
        <color theme="4" tint="0.59996337778862885"/>
      </top>
      <bottom style="thin">
        <color theme="4" tint="0.59996337778862885"/>
      </bottom>
      <diagonal/>
    </border>
    <border>
      <left style="thin">
        <color theme="4" tint="0.59996337778862885"/>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5"/>
      </right>
      <top/>
      <bottom/>
      <diagonal/>
    </border>
    <border>
      <left/>
      <right/>
      <top/>
      <bottom style="medium">
        <color theme="4" tint="0.59996337778862885"/>
      </bottom>
      <diagonal/>
    </border>
    <border>
      <left/>
      <right/>
      <top style="thin">
        <color theme="0" tint="-0.14990691854609822"/>
      </top>
      <bottom/>
      <diagonal/>
    </border>
    <border>
      <left/>
      <right style="thin">
        <color theme="0" tint="-0.14990691854609822"/>
      </right>
      <top style="thin">
        <color theme="0" tint="-0.14990691854609822"/>
      </top>
      <bottom/>
      <diagonal/>
    </border>
    <border>
      <left style="thin">
        <color theme="0" tint="-0.14990691854609822"/>
      </left>
      <right/>
      <top/>
      <bottom/>
      <diagonal/>
    </border>
    <border>
      <left/>
      <right style="thin">
        <color theme="0" tint="-0.14990691854609822"/>
      </right>
      <top/>
      <bottom/>
      <diagonal/>
    </border>
    <border>
      <left style="thin">
        <color theme="0" tint="-0.14990691854609822"/>
      </left>
      <right/>
      <top/>
      <bottom style="thin">
        <color theme="0" tint="-0.14990691854609822"/>
      </bottom>
      <diagonal/>
    </border>
    <border>
      <left/>
      <right/>
      <top/>
      <bottom style="thin">
        <color theme="0" tint="-0.14990691854609822"/>
      </bottom>
      <diagonal/>
    </border>
    <border>
      <left/>
      <right style="thin">
        <color theme="0" tint="-0.14990691854609822"/>
      </right>
      <top/>
      <bottom style="thin">
        <color theme="0" tint="-0.14990691854609822"/>
      </bottom>
      <diagonal/>
    </border>
    <border>
      <left/>
      <right/>
      <top style="medium">
        <color auto="1"/>
      </top>
      <bottom/>
      <diagonal/>
    </border>
    <border>
      <left/>
      <right/>
      <top style="thin">
        <color theme="0"/>
      </top>
      <bottom style="medium">
        <color auto="1"/>
      </bottom>
      <diagonal/>
    </border>
    <border>
      <left/>
      <right/>
      <top style="medium">
        <color theme="4" tint="0.59996337778862885"/>
      </top>
      <bottom style="thin">
        <color theme="4" tint="0.59996337778862885"/>
      </bottom>
      <diagonal/>
    </border>
    <border>
      <left/>
      <right/>
      <top style="thin">
        <color theme="4" tint="0.59996337778862885"/>
      </top>
      <bottom style="medium">
        <color theme="4" tint="0.59996337778862885"/>
      </bottom>
      <diagonal/>
    </border>
    <border>
      <left/>
      <right/>
      <top style="thin">
        <color auto="1"/>
      </top>
      <bottom style="thin">
        <color theme="4" tint="0.59996337778862885"/>
      </bottom>
      <diagonal/>
    </border>
    <border>
      <left/>
      <right/>
      <top style="thin">
        <color theme="4" tint="0.59996337778862885"/>
      </top>
      <bottom style="thin">
        <color auto="1"/>
      </bottom>
      <diagonal/>
    </border>
    <border>
      <left/>
      <right/>
      <top style="thin">
        <color theme="0" tint="-0.34998626667073579"/>
      </top>
      <bottom style="thin">
        <color theme="0" tint="-0.34998626667073579"/>
      </bottom>
      <diagonal/>
    </border>
    <border>
      <left/>
      <right/>
      <top style="thin">
        <color auto="1"/>
      </top>
      <bottom style="thin">
        <color theme="0" tint="-0.34998626667073579"/>
      </bottom>
      <diagonal/>
    </border>
    <border>
      <left/>
      <right/>
      <top/>
      <bottom style="thin">
        <color theme="0" tint="-0.34998626667073579"/>
      </bottom>
      <diagonal/>
    </border>
    <border>
      <left style="thin">
        <color theme="0" tint="-0.34998626667073579"/>
      </left>
      <right/>
      <top style="thin">
        <color theme="0" tint="-0.34998626667073579"/>
      </top>
      <bottom style="thin">
        <color theme="4" tint="0.59996337778862885"/>
      </bottom>
      <diagonal/>
    </border>
    <border>
      <left/>
      <right/>
      <top style="thin">
        <color theme="0" tint="-0.34998626667073579"/>
      </top>
      <bottom style="thin">
        <color theme="4" tint="0.59996337778862885"/>
      </bottom>
      <diagonal/>
    </border>
    <border>
      <left/>
      <right style="thin">
        <color theme="0" tint="-0.34998626667073579"/>
      </right>
      <top style="thin">
        <color theme="0" tint="-0.34998626667073579"/>
      </top>
      <bottom style="thin">
        <color theme="4" tint="0.59996337778862885"/>
      </bottom>
      <diagonal/>
    </border>
    <border>
      <left style="thin">
        <color theme="0" tint="-0.34998626667073579"/>
      </left>
      <right/>
      <top style="thin">
        <color theme="4" tint="0.59996337778862885"/>
      </top>
      <bottom style="thin">
        <color theme="4" tint="0.59996337778862885"/>
      </bottom>
      <diagonal/>
    </border>
    <border>
      <left/>
      <right style="thin">
        <color theme="0" tint="-0.34998626667073579"/>
      </right>
      <top style="thin">
        <color theme="4" tint="0.59996337778862885"/>
      </top>
      <bottom style="thin">
        <color theme="4" tint="0.59996337778862885"/>
      </bottom>
      <diagonal/>
    </border>
    <border>
      <left style="thin">
        <color theme="0" tint="-0.34998626667073579"/>
      </left>
      <right style="thin">
        <color auto="1"/>
      </right>
      <top/>
      <bottom/>
      <diagonal/>
    </border>
    <border>
      <left style="thin">
        <color theme="0" tint="-0.34998626667073579"/>
      </left>
      <right/>
      <top style="medium">
        <color auto="1"/>
      </top>
      <bottom style="thin">
        <color auto="1"/>
      </bottom>
      <diagonal/>
    </border>
    <border>
      <left/>
      <right style="thin">
        <color theme="0" tint="-0.34998626667073579"/>
      </right>
      <top style="medium">
        <color auto="1"/>
      </top>
      <bottom style="thin">
        <color auto="1"/>
      </bottom>
      <diagonal/>
    </border>
    <border>
      <left style="thin">
        <color theme="0" tint="-0.34998626667073579"/>
      </left>
      <right style="thin">
        <color auto="1"/>
      </right>
      <top/>
      <bottom style="thin">
        <color auto="1"/>
      </bottom>
      <diagonal/>
    </border>
    <border>
      <left style="thin">
        <color theme="0" tint="-0.34998626667073579"/>
      </left>
      <right/>
      <top style="thin">
        <color auto="1"/>
      </top>
      <bottom/>
      <diagonal/>
    </border>
    <border>
      <left/>
      <right style="thin">
        <color theme="0" tint="-0.34998626667073579"/>
      </right>
      <top style="thin">
        <color auto="1"/>
      </top>
      <bottom/>
      <diagonal/>
    </border>
    <border>
      <left style="thin">
        <color theme="0" tint="-0.34998626667073579"/>
      </left>
      <right/>
      <top/>
      <bottom style="medium">
        <color theme="4" tint="0.59996337778862885"/>
      </bottom>
      <diagonal/>
    </border>
    <border>
      <left/>
      <right style="thin">
        <color theme="0" tint="-0.34998626667073579"/>
      </right>
      <top/>
      <bottom style="medium">
        <color theme="4" tint="0.59996337778862885"/>
      </bottom>
      <diagonal/>
    </border>
    <border>
      <left style="thin">
        <color theme="0" tint="-0.34998626667073579"/>
      </left>
      <right/>
      <top style="medium">
        <color theme="4" tint="0.59996337778862885"/>
      </top>
      <bottom style="thin">
        <color theme="4" tint="0.59996337778862885"/>
      </bottom>
      <diagonal/>
    </border>
    <border>
      <left/>
      <right style="thin">
        <color theme="0" tint="-0.34998626667073579"/>
      </right>
      <top style="medium">
        <color theme="4" tint="0.59996337778862885"/>
      </top>
      <bottom style="thin">
        <color theme="4" tint="0.59996337778862885"/>
      </bottom>
      <diagonal/>
    </border>
    <border>
      <left style="thin">
        <color theme="0" tint="-0.34998626667073579"/>
      </left>
      <right/>
      <top style="thin">
        <color theme="4" tint="0.59996337778862885"/>
      </top>
      <bottom style="medium">
        <color theme="4" tint="0.59996337778862885"/>
      </bottom>
      <diagonal/>
    </border>
    <border>
      <left/>
      <right style="thin">
        <color theme="0" tint="-0.34998626667073579"/>
      </right>
      <top style="thin">
        <color theme="4" tint="0.59996337778862885"/>
      </top>
      <bottom style="medium">
        <color theme="4" tint="0.59996337778862885"/>
      </bottom>
      <diagonal/>
    </border>
    <border>
      <left style="thin">
        <color theme="0" tint="-0.34998626667073579"/>
      </left>
      <right style="medium">
        <color auto="1"/>
      </right>
      <top style="medium">
        <color theme="4" tint="0.59996337778862885"/>
      </top>
      <bottom style="thin">
        <color theme="0"/>
      </bottom>
      <diagonal/>
    </border>
    <border>
      <left style="thin">
        <color theme="0" tint="-0.34998626667073579"/>
      </left>
      <right/>
      <top style="thin">
        <color theme="0"/>
      </top>
      <bottom style="medium">
        <color auto="1"/>
      </bottom>
      <diagonal/>
    </border>
    <border>
      <left/>
      <right style="thin">
        <color theme="0" tint="-0.34998626667073579"/>
      </right>
      <top style="thin">
        <color theme="0"/>
      </top>
      <bottom style="medium">
        <color auto="1"/>
      </bottom>
      <diagonal/>
    </border>
    <border>
      <left style="thin">
        <color auto="1"/>
      </left>
      <right style="thin">
        <color theme="0" tint="-0.34998626667073579"/>
      </right>
      <top/>
      <bottom style="thin">
        <color auto="1"/>
      </bottom>
      <diagonal/>
    </border>
    <border>
      <left style="thin">
        <color theme="0" tint="-0.34998626667073579"/>
      </left>
      <right/>
      <top style="thin">
        <color auto="1"/>
      </top>
      <bottom style="thin">
        <color theme="4" tint="0.59996337778862885"/>
      </bottom>
      <diagonal/>
    </border>
    <border>
      <left/>
      <right style="thin">
        <color theme="0" tint="-0.34998626667073579"/>
      </right>
      <top style="thin">
        <color auto="1"/>
      </top>
      <bottom style="thin">
        <color theme="4" tint="0.59996337778862885"/>
      </bottom>
      <diagonal/>
    </border>
    <border>
      <left style="thin">
        <color theme="0" tint="-0.34998626667073579"/>
      </left>
      <right/>
      <top style="thin">
        <color theme="4" tint="0.59996337778862885"/>
      </top>
      <bottom style="thin">
        <color auto="1"/>
      </bottom>
      <diagonal/>
    </border>
    <border>
      <left/>
      <right style="thin">
        <color theme="0" tint="-0.34998626667073579"/>
      </right>
      <top style="thin">
        <color theme="4" tint="0.59996337778862885"/>
      </top>
      <bottom style="thin">
        <color auto="1"/>
      </bottom>
      <diagonal/>
    </border>
    <border>
      <left style="thin">
        <color theme="0" tint="-0.34998626667073579"/>
      </left>
      <right style="medium">
        <color auto="1"/>
      </right>
      <top style="thin">
        <color auto="1"/>
      </top>
      <bottom style="thin">
        <color theme="4" tint="0.39994506668294322"/>
      </bottom>
      <diagonal/>
    </border>
    <border>
      <left style="thin">
        <color theme="0" tint="-0.34998626667073579"/>
      </left>
      <right style="medium">
        <color auto="1"/>
      </right>
      <top style="thin">
        <color theme="4" tint="0.39994506668294322"/>
      </top>
      <bottom style="thin">
        <color theme="4" tint="0.39994506668294322"/>
      </bottom>
      <diagonal/>
    </border>
    <border>
      <left style="thin">
        <color theme="0" tint="-0.34998626667073579"/>
      </left>
      <right style="medium">
        <color auto="1"/>
      </right>
      <top style="thin">
        <color theme="4" tint="0.39994506668294322"/>
      </top>
      <bottom style="thin">
        <color auto="1"/>
      </bottom>
      <diagonal/>
    </border>
    <border>
      <left style="thin">
        <color theme="0" tint="-0.34998626667073579"/>
      </left>
      <right/>
      <top style="thin">
        <color auto="1"/>
      </top>
      <bottom style="thin">
        <color auto="1"/>
      </bottom>
      <diagonal/>
    </border>
    <border>
      <left style="thin">
        <color theme="0" tint="-0.34998626667073579"/>
      </left>
      <right style="thin">
        <color auto="1"/>
      </right>
      <top style="thin">
        <color auto="1"/>
      </top>
      <bottom style="thin">
        <color auto="1"/>
      </bottom>
      <diagonal/>
    </border>
    <border>
      <left/>
      <right style="thin">
        <color theme="0" tint="-0.34998626667073579"/>
      </right>
      <top/>
      <bottom/>
      <diagonal/>
    </border>
    <border>
      <left style="thin">
        <color theme="0" tint="-0.34998626667073579"/>
      </left>
      <right/>
      <top/>
      <bottom/>
      <diagonal/>
    </border>
    <border>
      <left style="thin">
        <color theme="0" tint="-0.34998626667073579"/>
      </left>
      <right/>
      <top/>
      <bottom style="thin">
        <color theme="0" tint="-0.14990691854609822"/>
      </bottom>
      <diagonal/>
    </border>
    <border>
      <left style="thin">
        <color theme="0" tint="-0.34998626667073579"/>
      </left>
      <right/>
      <top/>
      <bottom style="thin">
        <color auto="1"/>
      </bottom>
      <diagonal/>
    </border>
    <border>
      <left style="thin">
        <color theme="0" tint="-0.34998626667073579"/>
      </left>
      <right/>
      <top style="thin">
        <color auto="1"/>
      </top>
      <bottom style="thin">
        <color theme="0" tint="-0.34998626667073579"/>
      </bottom>
      <diagonal/>
    </border>
    <border>
      <left/>
      <right style="thin">
        <color theme="0" tint="-0.34998626667073579"/>
      </right>
      <top style="thin">
        <color auto="1"/>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diagonal/>
    </border>
    <border>
      <left/>
      <right style="thin">
        <color theme="0" tint="-0.34998626667073579"/>
      </right>
      <top style="thin">
        <color theme="0" tint="-0.34998626667073579"/>
      </top>
      <bottom/>
      <diagonal/>
    </border>
    <border>
      <left/>
      <right style="thin">
        <color theme="0" tint="-0.34998626667073579"/>
      </right>
      <top/>
      <bottom style="thin">
        <color rgb="FFB7C3D0"/>
      </bottom>
      <diagonal/>
    </border>
    <border>
      <left/>
      <right style="thin">
        <color theme="0" tint="-0.34998626667073579"/>
      </right>
      <top style="thin">
        <color rgb="FFB7C3D0"/>
      </top>
      <bottom style="thin">
        <color rgb="FFB7C3D0"/>
      </bottom>
      <diagonal/>
    </border>
    <border>
      <left style="thin">
        <color theme="0" tint="-0.34998626667073579"/>
      </left>
      <right/>
      <top/>
      <bottom style="thin">
        <color theme="0" tint="-0.34998626667073579"/>
      </bottom>
      <diagonal/>
    </border>
    <border>
      <left/>
      <right style="thin">
        <color theme="0" tint="-0.34998626667073579"/>
      </right>
      <top style="thin">
        <color rgb="FFB7C3D0"/>
      </top>
      <bottom style="thin">
        <color theme="0" tint="-0.34998626667073579"/>
      </bottom>
      <diagonal/>
    </border>
    <border>
      <left style="thin">
        <color theme="0" tint="-0.34998626667073579"/>
      </left>
      <right/>
      <top/>
      <bottom style="thin">
        <color theme="3" tint="-0.499984740745262"/>
      </bottom>
      <diagonal/>
    </border>
    <border>
      <left/>
      <right style="thin">
        <color theme="0" tint="-0.34998626667073579"/>
      </right>
      <top style="thin">
        <color rgb="FFB7C3D0"/>
      </top>
      <bottom/>
      <diagonal/>
    </border>
    <border>
      <left style="thin">
        <color theme="0" tint="-0.34998626667073579"/>
      </left>
      <right/>
      <top/>
      <bottom style="thin">
        <color theme="0"/>
      </bottom>
      <diagonal/>
    </border>
    <border>
      <left/>
      <right style="thin">
        <color theme="0" tint="-0.34998626667073579"/>
      </right>
      <top/>
      <bottom style="thin">
        <color theme="4" tint="0.59996337778862885"/>
      </bottom>
      <diagonal/>
    </border>
    <border>
      <left style="thin">
        <color theme="0" tint="-0.34998626667073579"/>
      </left>
      <right/>
      <top/>
      <bottom style="thin">
        <color rgb="FFBFBFBF"/>
      </bottom>
      <diagonal/>
    </border>
    <border>
      <left style="thin">
        <color theme="0" tint="-0.34998626667073579"/>
      </left>
      <right/>
      <top style="thin">
        <color rgb="FFBFBFBF"/>
      </top>
      <bottom style="thin">
        <color rgb="FFBFBFBF"/>
      </bottom>
      <diagonal/>
    </border>
    <border>
      <left style="thin">
        <color theme="0" tint="-0.34998626667073579"/>
      </left>
      <right/>
      <top style="thin">
        <color rgb="FFBFBFBF"/>
      </top>
      <bottom style="thin">
        <color theme="0" tint="-0.34998626667073579"/>
      </bottom>
      <diagonal/>
    </border>
    <border>
      <left/>
      <right/>
      <top style="thin">
        <color theme="4" tint="0.59996337778862885"/>
      </top>
      <bottom style="thin">
        <color theme="0" tint="-0.34998626667073579"/>
      </bottom>
      <diagonal/>
    </border>
    <border>
      <left/>
      <right style="thin">
        <color theme="0" tint="-0.34998626667073579"/>
      </right>
      <top style="thin">
        <color theme="4" tint="0.59996337778862885"/>
      </top>
      <bottom style="thin">
        <color theme="0" tint="-0.34998626667073579"/>
      </bottom>
      <diagonal/>
    </border>
    <border>
      <left/>
      <right style="thin">
        <color theme="0" tint="-0.34998626667073579"/>
      </right>
      <top/>
      <bottom style="thin">
        <color theme="3" tint="-0.499984740745262"/>
      </bottom>
      <diagonal/>
    </border>
    <border>
      <left/>
      <right style="thin">
        <color theme="0" tint="-0.34998626667073579"/>
      </right>
      <top style="thin">
        <color rgb="FFEAF0F6"/>
      </top>
      <bottom/>
      <diagonal/>
    </border>
    <border>
      <left style="thin">
        <color theme="0" tint="-0.34998626667073579"/>
      </left>
      <right/>
      <top/>
      <bottom style="thin">
        <color theme="4" tint="0.59996337778862885"/>
      </bottom>
      <diagonal/>
    </border>
    <border>
      <left/>
      <right style="thin">
        <color theme="0" tint="-0.34998626667073579"/>
      </right>
      <top style="thin">
        <color theme="4" tint="0.59996337778862885"/>
      </top>
      <bottom/>
      <diagonal/>
    </border>
    <border>
      <left style="thin">
        <color theme="4" tint="0.59996337778862885"/>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style="thin">
        <color rgb="FFB7C3D0"/>
      </right>
      <top style="thin">
        <color rgb="FFB7C3D0"/>
      </top>
      <bottom style="thin">
        <color rgb="FFB7C3D0"/>
      </bottom>
      <diagonal/>
    </border>
    <border>
      <left style="thin">
        <color theme="0" tint="-0.34998626667073579"/>
      </left>
      <right/>
      <top style="thin">
        <color rgb="FFB7C3D0"/>
      </top>
      <bottom/>
      <diagonal/>
    </border>
    <border>
      <left/>
      <right style="thin">
        <color rgb="FFB7C3D0"/>
      </right>
      <top/>
      <bottom style="thin">
        <color theme="0" tint="-0.34998626667073579"/>
      </bottom>
      <diagonal/>
    </border>
    <border>
      <left style="thin">
        <color theme="0" tint="-0.34998626667073579"/>
      </left>
      <right style="thin">
        <color rgb="FFB7C3D0"/>
      </right>
      <top style="thin">
        <color theme="0" tint="-0.34998626667073579"/>
      </top>
      <bottom/>
      <diagonal/>
    </border>
    <border>
      <left style="thin">
        <color theme="0" tint="-0.34998626667073579"/>
      </left>
      <right/>
      <top/>
      <bottom style="thin">
        <color rgb="FFB7C3D0"/>
      </bottom>
      <diagonal/>
    </border>
    <border>
      <left style="thin">
        <color theme="0" tint="-0.34998626667073579"/>
      </left>
      <right style="thin">
        <color rgb="FFB7C3D0"/>
      </right>
      <top/>
      <bottom/>
      <diagonal/>
    </border>
    <border>
      <left style="thin">
        <color theme="0" tint="-0.34998626667073579"/>
      </left>
      <right/>
      <top style="medium">
        <color rgb="FF17365D"/>
      </top>
      <bottom style="medium">
        <color rgb="FF17365D"/>
      </bottom>
      <diagonal/>
    </border>
    <border>
      <left style="thin">
        <color theme="0" tint="-0.34998626667073579"/>
      </left>
      <right style="thin">
        <color rgb="FFB7C3D0"/>
      </right>
      <top/>
      <bottom style="thin">
        <color rgb="FFB7C3D0"/>
      </bottom>
      <diagonal/>
    </border>
    <border>
      <left style="thin">
        <color theme="0" tint="-0.34998626667073579"/>
      </left>
      <right/>
      <top style="thin">
        <color theme="4" tint="0.59996337778862885"/>
      </top>
      <bottom style="thin">
        <color theme="0" tint="-0.34998626667073579"/>
      </bottom>
      <diagonal/>
    </border>
    <border>
      <left style="thin">
        <color theme="4" tint="0.59996337778862885"/>
      </left>
      <right style="thin">
        <color theme="4" tint="0.59996337778862885"/>
      </right>
      <top/>
      <bottom style="thin">
        <color theme="4" tint="0.59996337778862885"/>
      </bottom>
      <diagonal/>
    </border>
    <border>
      <left style="hair">
        <color theme="0" tint="-0.34998626667073579"/>
      </left>
      <right/>
      <top/>
      <bottom style="thin">
        <color theme="0" tint="-0.34998626667073579"/>
      </bottom>
      <diagonal/>
    </border>
    <border>
      <left/>
      <right style="medium">
        <color theme="4" tint="0.59996337778862885"/>
      </right>
      <top style="medium">
        <color rgb="FF17365D"/>
      </top>
      <bottom style="thin">
        <color theme="4" tint="0.59996337778862885"/>
      </bottom>
      <diagonal/>
    </border>
    <border>
      <left/>
      <right style="medium">
        <color theme="4" tint="0.59996337778862885"/>
      </right>
      <top style="thin">
        <color theme="4" tint="0.59996337778862885"/>
      </top>
      <bottom style="thin">
        <color theme="4" tint="0.59996337778862885"/>
      </bottom>
      <diagonal/>
    </border>
    <border>
      <left style="thin">
        <color theme="4" tint="0.59996337778862885"/>
      </left>
      <right style="thin">
        <color theme="4" tint="0.59996337778862885"/>
      </right>
      <top style="thin">
        <color rgb="FF17365D"/>
      </top>
      <bottom style="thin">
        <color rgb="FF17365D"/>
      </bottom>
      <diagonal/>
    </border>
    <border>
      <left/>
      <right/>
      <top style="thin">
        <color theme="0"/>
      </top>
      <bottom style="thin">
        <color theme="4" tint="0.59996337778862885"/>
      </bottom>
      <diagonal/>
    </border>
    <border>
      <left style="thin">
        <color rgb="FFB7C3D0"/>
      </left>
      <right/>
      <top/>
      <bottom style="thin">
        <color theme="0" tint="-0.34998626667073579"/>
      </bottom>
      <diagonal/>
    </border>
    <border>
      <left/>
      <right style="thin">
        <color theme="4" tint="0.59996337778862885"/>
      </right>
      <top/>
      <bottom style="thin">
        <color theme="0" tint="-0.34998626667073579"/>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34998626667073579"/>
      </top>
      <bottom style="thin">
        <color rgb="FFB7C3D0"/>
      </bottom>
      <diagonal/>
    </border>
    <border>
      <left/>
      <right/>
      <top style="thin">
        <color theme="0" tint="-0.34998626667073579"/>
      </top>
      <bottom style="thin">
        <color theme="0" tint="-0.24994659260841701"/>
      </bottom>
      <diagonal/>
    </border>
    <border>
      <left/>
      <right style="thin">
        <color theme="0" tint="-0.34998626667073579"/>
      </right>
      <top style="thin">
        <color theme="0" tint="-0.34998626667073579"/>
      </top>
      <bottom style="thin">
        <color theme="0" tint="-0.24994659260841701"/>
      </bottom>
      <diagonal/>
    </border>
    <border>
      <left/>
      <right style="thin">
        <color theme="0" tint="-0.34998626667073579"/>
      </right>
      <top style="thin">
        <color theme="0" tint="-0.24994659260841701"/>
      </top>
      <bottom style="thin">
        <color theme="0" tint="-0.24994659260841701"/>
      </bottom>
      <diagonal/>
    </border>
    <border>
      <left/>
      <right style="thin">
        <color theme="0" tint="-0.34998626667073579"/>
      </right>
      <top style="thin">
        <color theme="0" tint="-0.24994659260841701"/>
      </top>
      <bottom/>
      <diagonal/>
    </border>
    <border>
      <left/>
      <right style="thin">
        <color theme="0" tint="-0.24994659260841701"/>
      </right>
      <top/>
      <bottom/>
      <diagonal/>
    </border>
    <border>
      <left style="thin">
        <color theme="0" tint="-0.34998626667073579"/>
      </left>
      <right/>
      <top style="thin">
        <color rgb="FFBFBFBF"/>
      </top>
      <bottom/>
      <diagonal/>
    </border>
    <border>
      <left style="thin">
        <color theme="0" tint="-0.24994659260841701"/>
      </left>
      <right/>
      <top style="thin">
        <color theme="0" tint="-0.24994659260841701"/>
      </top>
      <bottom style="thin">
        <color rgb="FFBFBFBF"/>
      </bottom>
      <diagonal/>
    </border>
    <border>
      <left/>
      <right/>
      <top style="thin">
        <color theme="0" tint="-0.24994659260841701"/>
      </top>
      <bottom style="thin">
        <color theme="4" tint="0.59996337778862885"/>
      </bottom>
      <diagonal/>
    </border>
    <border>
      <left/>
      <right style="thin">
        <color theme="0" tint="-0.24994659260841701"/>
      </right>
      <top style="thin">
        <color theme="0" tint="-0.24994659260841701"/>
      </top>
      <bottom/>
      <diagonal/>
    </border>
    <border>
      <left style="thin">
        <color theme="0" tint="-0.24994659260841701"/>
      </left>
      <right/>
      <top style="thin">
        <color rgb="FFBFBFBF"/>
      </top>
      <bottom style="thin">
        <color rgb="FFBFBFBF"/>
      </bottom>
      <diagonal/>
    </border>
    <border>
      <left style="thin">
        <color theme="0" tint="-0.24994659260841701"/>
      </left>
      <right/>
      <top style="thin">
        <color rgb="FFBFBFBF"/>
      </top>
      <bottom style="thin">
        <color theme="0" tint="-0.24994659260841701"/>
      </bottom>
      <diagonal/>
    </border>
    <border>
      <left/>
      <right/>
      <top style="thin">
        <color theme="4" tint="0.59996337778862885"/>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style="thin">
        <color theme="0" tint="-0.24994659260841701"/>
      </bottom>
      <diagonal/>
    </border>
    <border>
      <left style="thin">
        <color rgb="FFBFBFBF"/>
      </left>
      <right style="thin">
        <color rgb="FFBFBFBF"/>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diagonal/>
    </border>
    <border>
      <left style="thin">
        <color rgb="FFBFBFBF"/>
      </left>
      <right style="thin">
        <color rgb="FFBFBFBF"/>
      </right>
      <top style="thin">
        <color theme="0" tint="-0.24994659260841701"/>
      </top>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top style="thin">
        <color theme="3" tint="0.59996337778862885"/>
      </top>
      <bottom style="thin">
        <color theme="3" tint="0.59996337778862885"/>
      </bottom>
      <diagonal/>
    </border>
    <border>
      <left/>
      <right/>
      <top style="thin">
        <color theme="3" tint="0.59996337778862885"/>
      </top>
      <bottom style="thin">
        <color theme="3" tint="0.59996337778862885"/>
      </bottom>
      <diagonal/>
    </border>
    <border>
      <left/>
      <right style="thin">
        <color theme="3" tint="0.59996337778862885"/>
      </right>
      <top style="thin">
        <color theme="3" tint="0.59996337778862885"/>
      </top>
      <bottom style="thin">
        <color theme="3" tint="0.59996337778862885"/>
      </bottom>
      <diagonal/>
    </border>
    <border>
      <left/>
      <right/>
      <top style="thin">
        <color theme="3" tint="0.59996337778862885"/>
      </top>
      <bottom/>
      <diagonal/>
    </border>
    <border>
      <left style="thin">
        <color theme="0" tint="-0.24994659260841701"/>
      </left>
      <right/>
      <top style="thin">
        <color theme="0" tint="-0.24994659260841701"/>
      </top>
      <bottom/>
      <diagonal/>
    </border>
    <border>
      <left style="thin">
        <color theme="0"/>
      </left>
      <right style="thin">
        <color theme="0"/>
      </right>
      <top style="thin">
        <color theme="0" tint="-0.24994659260841701"/>
      </top>
      <bottom style="thin">
        <color theme="0"/>
      </bottom>
      <diagonal/>
    </border>
    <border>
      <left/>
      <right/>
      <top style="thin">
        <color theme="0" tint="-0.24994659260841701"/>
      </top>
      <bottom style="thin">
        <color auto="1"/>
      </bottom>
      <diagonal/>
    </border>
    <border>
      <left/>
      <right style="thin">
        <color theme="0" tint="-0.24994659260841701"/>
      </right>
      <top style="thin">
        <color theme="0" tint="-0.24994659260841701"/>
      </top>
      <bottom style="thin">
        <color auto="1"/>
      </bottom>
      <diagonal/>
    </border>
    <border>
      <left style="thin">
        <color theme="0" tint="-0.24994659260841701"/>
      </left>
      <right/>
      <top style="hair">
        <color auto="1"/>
      </top>
      <bottom style="thin">
        <color theme="4" tint="0.59996337778862885"/>
      </bottom>
      <diagonal/>
    </border>
    <border>
      <left/>
      <right style="thin">
        <color theme="0" tint="-0.24994659260841701"/>
      </right>
      <top style="thin">
        <color auto="1"/>
      </top>
      <bottom/>
      <diagonal/>
    </border>
    <border>
      <left style="thin">
        <color theme="0" tint="-0.24994659260841701"/>
      </left>
      <right/>
      <top style="thin">
        <color theme="4" tint="0.59996337778862885"/>
      </top>
      <bottom style="thin">
        <color theme="4" tint="0.59996337778862885"/>
      </bottom>
      <diagonal/>
    </border>
    <border>
      <left/>
      <right style="thin">
        <color theme="0" tint="-0.24994659260841701"/>
      </right>
      <top style="thin">
        <color theme="4" tint="0.59996337778862885"/>
      </top>
      <bottom style="thin">
        <color theme="4" tint="0.59996337778862885"/>
      </bottom>
      <diagonal/>
    </border>
    <border>
      <left style="thin">
        <color theme="0" tint="-0.24994659260841701"/>
      </left>
      <right/>
      <top style="thin">
        <color theme="4" tint="0.59996337778862885"/>
      </top>
      <bottom style="thin">
        <color theme="0" tint="-0.24994659260841701"/>
      </bottom>
      <diagonal/>
    </border>
    <border>
      <left/>
      <right style="thin">
        <color theme="0" tint="-0.24994659260841701"/>
      </right>
      <top style="thin">
        <color theme="4" tint="0.59996337778862885"/>
      </top>
      <bottom style="thin">
        <color theme="0" tint="-0.24994659260841701"/>
      </bottom>
      <diagonal/>
    </border>
    <border>
      <left/>
      <right/>
      <top style="thin">
        <color theme="0" tint="-0.34998626667073579"/>
      </top>
      <bottom style="medium">
        <color rgb="FF142B44"/>
      </bottom>
      <diagonal/>
    </border>
    <border>
      <left/>
      <right style="thin">
        <color theme="0" tint="-0.34998626667073579"/>
      </right>
      <top style="thin">
        <color theme="0" tint="-0.34998626667073579"/>
      </top>
      <bottom style="medium">
        <color rgb="FF142B44"/>
      </bottom>
      <diagonal/>
    </border>
    <border>
      <left style="thin">
        <color theme="0" tint="-0.34998626667073579"/>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79"/>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79"/>
      </right>
      <top style="thin">
        <color rgb="FFB8C2CC"/>
      </top>
      <bottom style="thin">
        <color rgb="FFB8C2CC"/>
      </bottom>
      <diagonal/>
    </border>
    <border>
      <left/>
      <right/>
      <top/>
      <bottom style="medium">
        <color rgb="FF142B44"/>
      </bottom>
      <diagonal/>
    </border>
    <border>
      <left style="thin">
        <color theme="0" tint="-0.34998626667073579"/>
      </left>
      <right style="thin">
        <color rgb="FFB8C2CC"/>
      </right>
      <top style="thin">
        <color rgb="FFB8C2CC"/>
      </top>
      <bottom style="thin">
        <color theme="0" tint="-0.34998626667073579"/>
      </bottom>
      <diagonal/>
    </border>
    <border>
      <left/>
      <right style="thin">
        <color theme="0" tint="-0.34998626667073579"/>
      </right>
      <top style="thin">
        <color rgb="FFB8C2CC"/>
      </top>
      <bottom style="thin">
        <color theme="0" tint="-0.34998626667073579"/>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5"/>
      </bottom>
      <diagonal/>
    </border>
    <border>
      <left style="thin">
        <color rgb="FFB8C2CC"/>
      </left>
      <right style="thin">
        <color rgb="FFB8C2CC"/>
      </right>
      <top style="medium">
        <color theme="4" tint="0.59996337778862885"/>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01"/>
      </right>
      <top style="thin">
        <color theme="0" tint="-0.24994659260841701"/>
      </top>
      <bottom style="thin">
        <color auto="1"/>
      </bottom>
      <diagonal/>
    </border>
    <border>
      <left/>
      <right style="thin">
        <color theme="3" tint="0.59996337778862885"/>
      </right>
      <top style="thin">
        <color theme="3" tint="0.59996337778862885"/>
      </top>
      <bottom/>
      <diagonal/>
    </border>
    <border>
      <left style="thin">
        <color theme="0" tint="-0.34998626667073579"/>
      </left>
      <right style="thin">
        <color theme="0" tint="-0.34998626667073579"/>
      </right>
      <top style="thin">
        <color theme="0" tint="-0.34998626667073579"/>
      </top>
      <bottom/>
      <diagonal/>
    </border>
    <border>
      <left style="thin">
        <color theme="0" tint="-0.24994659260841701"/>
      </left>
      <right style="thin">
        <color theme="0" tint="-0.24994659260841701"/>
      </right>
      <top/>
      <bottom style="thin">
        <color theme="0" tint="-0.24994659260841701"/>
      </bottom>
      <diagonal/>
    </border>
    <border>
      <left style="thin">
        <color rgb="FFBFBFBF"/>
      </left>
      <right style="thin">
        <color theme="0" tint="-0.24994659260841701"/>
      </right>
      <top style="thin">
        <color theme="0" tint="-0.24994659260841701"/>
      </top>
      <bottom style="thin">
        <color theme="0" tint="-0.24994659260841701"/>
      </bottom>
      <diagonal/>
    </border>
    <border>
      <left/>
      <right/>
      <top style="thin">
        <color theme="4" tint="0.59987182226020086"/>
      </top>
      <bottom/>
      <diagonal/>
    </border>
    <border>
      <left/>
      <right style="thin">
        <color auto="1"/>
      </right>
      <top style="thin">
        <color theme="4" tint="0.59987182226020086"/>
      </top>
      <bottom/>
      <diagonal/>
    </border>
    <border>
      <left/>
      <right style="thin">
        <color auto="1"/>
      </right>
      <top/>
      <bottom/>
      <diagonal/>
    </border>
    <border>
      <left style="thin">
        <color theme="4" tint="0.59987182226020086"/>
      </left>
      <right/>
      <top/>
      <bottom style="thin">
        <color theme="4" tint="0.59987182226020086"/>
      </bottom>
      <diagonal/>
    </border>
    <border>
      <left/>
      <right/>
      <top/>
      <bottom style="thin">
        <color theme="4" tint="0.59987182226020086"/>
      </bottom>
      <diagonal/>
    </border>
    <border>
      <left/>
      <right style="thin">
        <color auto="1"/>
      </right>
      <top/>
      <bottom style="thin">
        <color theme="4" tint="0.59987182226020086"/>
      </bottom>
      <diagonal/>
    </border>
    <border>
      <left style="thin">
        <color theme="0" tint="-0.34998626667073579"/>
      </left>
      <right style="thin">
        <color theme="0" tint="-0.34998626667073579"/>
      </right>
      <top/>
      <bottom/>
      <diagonal/>
    </border>
    <border>
      <left/>
      <right style="thin">
        <color auto="1"/>
      </right>
      <top style="thin">
        <color theme="4" tint="0.59987182226020086"/>
      </top>
      <bottom style="thin">
        <color theme="4" tint="0.59987182226020086"/>
      </bottom>
      <diagonal/>
    </border>
    <border>
      <left/>
      <right style="thin">
        <color theme="4" tint="0.59987182226020086"/>
      </right>
      <top style="thin">
        <color rgb="FFB7C3D0"/>
      </top>
      <bottom/>
      <diagonal/>
    </border>
    <border>
      <left/>
      <right style="thin">
        <color theme="4" tint="0.59987182226020086"/>
      </right>
      <top/>
      <bottom style="thin">
        <color rgb="FFB7C3D0"/>
      </bottom>
      <diagonal/>
    </border>
    <border>
      <left style="thin">
        <color theme="0" tint="-0.34998626667073579"/>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5"/>
      </bottom>
      <diagonal/>
    </border>
    <border>
      <left/>
      <right style="thin">
        <color rgb="FFB7C3D0"/>
      </right>
      <top style="thin">
        <color theme="0" tint="-0.34998626667073579"/>
      </top>
      <bottom/>
      <diagonal/>
    </border>
    <border>
      <left style="thin">
        <color rgb="FFB7C3D0"/>
      </left>
      <right style="thin">
        <color theme="0" tint="-0.34998626667073579"/>
      </right>
      <top style="thin">
        <color rgb="FFB7C3D0"/>
      </top>
      <bottom style="thin">
        <color theme="0" tint="-0.34998626667073579"/>
      </bottom>
      <diagonal/>
    </border>
    <border>
      <left style="thin">
        <color rgb="FFB8C2CC"/>
      </left>
      <right style="thin">
        <color rgb="FFB8C2CC"/>
      </right>
      <top style="medium">
        <color rgb="FF142B44"/>
      </top>
      <bottom style="thin">
        <color rgb="FFB8C2CC"/>
      </bottom>
      <diagonal/>
    </border>
    <border>
      <left style="thin">
        <color theme="0" tint="-0.34998626667073579"/>
      </left>
      <right style="thin">
        <color theme="0" tint="-0.34998626667073579"/>
      </right>
      <top style="thin">
        <color theme="0" tint="-0.34998626667073579"/>
      </top>
      <bottom style="medium">
        <color rgb="FF142B44"/>
      </bottom>
      <diagonal/>
    </border>
    <border>
      <left style="thin">
        <color rgb="FFB8C2CC"/>
      </left>
      <right style="thin">
        <color theme="0" tint="-0.34998626667073579"/>
      </right>
      <top style="medium">
        <color rgb="FF142B44"/>
      </top>
      <bottom style="thin">
        <color rgb="FFB8C2CC"/>
      </bottom>
      <diagonal/>
    </border>
    <border>
      <left style="thin">
        <color rgb="FFB8C2CC"/>
      </left>
      <right style="thin">
        <color theme="0" tint="-0.34998626667073579"/>
      </right>
      <top style="thin">
        <color rgb="FFB8C2CC"/>
      </top>
      <bottom style="thin">
        <color rgb="FFB8C2CC"/>
      </bottom>
      <diagonal/>
    </border>
    <border>
      <left style="thin">
        <color rgb="FFB8C2CC"/>
      </left>
      <right style="thin">
        <color theme="0" tint="-0.34998626667073579"/>
      </right>
      <top style="thin">
        <color rgb="FFB8C2CC"/>
      </top>
      <bottom style="thin">
        <color theme="0" tint="-0.34998626667073579"/>
      </bottom>
      <diagonal/>
    </border>
    <border>
      <left/>
      <right/>
      <top style="medium">
        <color theme="4" tint="0.59996337778862885"/>
      </top>
      <bottom style="thin">
        <color rgb="FFB8C2CC"/>
      </bottom>
      <diagonal/>
    </border>
    <border>
      <left/>
      <right style="thin">
        <color rgb="FFB8C2CC"/>
      </right>
      <top style="medium">
        <color theme="4" tint="0.59996337778862885"/>
      </top>
      <bottom style="thin">
        <color rgb="FFB8C2CC"/>
      </bottom>
      <diagonal/>
    </border>
    <border>
      <left style="thin">
        <color theme="0" tint="-0.34998626667073579"/>
      </left>
      <right style="thin">
        <color theme="0" tint="-0.14990691854609822"/>
      </right>
      <top style="thin">
        <color theme="0" tint="-0.14990691854609822"/>
      </top>
      <bottom style="thin">
        <color theme="0" tint="-0.14990691854609822"/>
      </bottom>
      <diagonal/>
    </border>
    <border>
      <left/>
      <right style="thin">
        <color theme="0" tint="-0.34998626667073579"/>
      </right>
      <top style="thin">
        <color auto="1"/>
      </top>
      <bottom style="medium">
        <color theme="4" tint="0.59996337778862885"/>
      </bottom>
      <diagonal/>
    </border>
    <border>
      <left/>
      <right/>
      <top style="thin">
        <color auto="1"/>
      </top>
      <bottom style="medium">
        <color theme="4" tint="0.59996337778862885"/>
      </bottom>
      <diagonal/>
    </border>
    <border>
      <left style="thin">
        <color theme="0" tint="-0.34998626667073579"/>
      </left>
      <right/>
      <top style="thin">
        <color auto="1"/>
      </top>
      <bottom style="medium">
        <color theme="4" tint="0.59996337778862885"/>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0691854609822"/>
      </left>
      <right style="thin">
        <color theme="0" tint="-0.34998626667073579"/>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2"/>
      </bottom>
      <diagonal/>
    </border>
    <border>
      <left/>
      <right style="medium">
        <color auto="1"/>
      </right>
      <top style="thin">
        <color auto="1"/>
      </top>
      <bottom style="thin">
        <color theme="4" tint="0.39994506668294322"/>
      </bottom>
      <diagonal/>
    </border>
    <border>
      <left/>
      <right/>
      <top style="thin">
        <color theme="4" tint="0.39994506668294322"/>
      </top>
      <bottom style="thin">
        <color theme="4" tint="0.39994506668294322"/>
      </bottom>
      <diagonal/>
    </border>
    <border>
      <left/>
      <right style="medium">
        <color auto="1"/>
      </right>
      <top style="thin">
        <color theme="4" tint="0.39994506668294322"/>
      </top>
      <bottom style="thin">
        <color theme="4" tint="0.39994506668294322"/>
      </bottom>
      <diagonal/>
    </border>
    <border>
      <left/>
      <right/>
      <top style="thin">
        <color theme="4" tint="0.39994506668294322"/>
      </top>
      <bottom style="thin">
        <color auto="1"/>
      </bottom>
      <diagonal/>
    </border>
    <border>
      <left/>
      <right style="medium">
        <color auto="1"/>
      </right>
      <top style="thin">
        <color theme="4" tint="0.39994506668294322"/>
      </top>
      <bottom style="thin">
        <color auto="1"/>
      </bottom>
      <diagonal/>
    </border>
    <border>
      <left/>
      <right/>
      <top style="medium">
        <color theme="4" tint="0.59996337778862885"/>
      </top>
      <bottom style="thin">
        <color theme="0"/>
      </bottom>
      <diagonal/>
    </border>
    <border>
      <left/>
      <right style="medium">
        <color auto="1"/>
      </right>
      <top style="medium">
        <color theme="4" tint="0.59996337778862885"/>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5"/>
      </bottom>
      <diagonal/>
    </border>
    <border>
      <left/>
      <right style="thin">
        <color theme="0" tint="-0.34998626667073579"/>
      </right>
      <top/>
      <bottom style="thin">
        <color theme="3" tint="0.59996337778862885"/>
      </bottom>
      <diagonal/>
    </border>
    <border>
      <left/>
      <right/>
      <top style="thin">
        <color rgb="FFEAF0F6"/>
      </top>
      <bottom style="thin">
        <color theme="3" tint="0.59996337778862885"/>
      </bottom>
      <diagonal/>
    </border>
    <border>
      <left/>
      <right style="thin">
        <color theme="0" tint="-0.34998626667073579"/>
      </right>
      <top style="thin">
        <color rgb="FFEAF0F6"/>
      </top>
      <bottom style="thin">
        <color theme="3" tint="0.59996337778862885"/>
      </bottom>
      <diagonal/>
    </border>
    <border>
      <left style="thin">
        <color theme="0"/>
      </left>
      <right style="thin">
        <color theme="0" tint="-0.34998626667073579"/>
      </right>
      <top/>
      <bottom/>
      <diagonal/>
    </border>
    <border>
      <left/>
      <right style="thin">
        <color theme="0" tint="-0.34998626667073579"/>
      </right>
      <top style="thin">
        <color theme="3" tint="0.59996337778862885"/>
      </top>
      <bottom style="thin">
        <color theme="3" tint="0.59996337778862885"/>
      </bottom>
      <diagonal/>
    </border>
    <border>
      <left/>
      <right/>
      <top style="thin">
        <color theme="4" tint="0.59996337778862885"/>
      </top>
      <bottom style="thin">
        <color theme="3" tint="0.59996337778862885"/>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5"/>
      </left>
      <right style="thin">
        <color rgb="FFD9E1F2"/>
      </right>
      <top style="thin">
        <color theme="3" tint="0.59996337778862885"/>
      </top>
      <bottom style="thin">
        <color rgb="FFD9E1F2"/>
      </bottom>
      <diagonal/>
    </border>
    <border>
      <left/>
      <right/>
      <top style="thin">
        <color theme="3" tint="0.59996337778862885"/>
      </top>
      <bottom style="thin">
        <color rgb="FFD9E1F2"/>
      </bottom>
      <diagonal/>
    </border>
    <border>
      <left style="thin">
        <color theme="3" tint="0.59996337778862885"/>
      </left>
      <right style="thin">
        <color rgb="FFD9E1F2"/>
      </right>
      <top style="thin">
        <color rgb="FFD9E1F2"/>
      </top>
      <bottom style="thin">
        <color rgb="FFD9E1F2"/>
      </bottom>
      <diagonal/>
    </border>
    <border>
      <left style="thin">
        <color theme="3" tint="0.59996337778862885"/>
      </left>
      <right style="thin">
        <color rgb="FFD9E1F2"/>
      </right>
      <top style="thin">
        <color rgb="FFD9E1F2"/>
      </top>
      <bottom style="thin">
        <color theme="3" tint="0.59996337778862885"/>
      </bottom>
      <diagonal/>
    </border>
    <border>
      <left/>
      <right/>
      <top style="thin">
        <color rgb="FFD9E1F2"/>
      </top>
      <bottom style="thin">
        <color theme="3" tint="0.59996337778862885"/>
      </bottom>
      <diagonal/>
    </border>
    <border>
      <left style="thin">
        <color theme="3" tint="0.59996337778862885"/>
      </left>
      <right/>
      <top/>
      <bottom/>
      <diagonal/>
    </border>
    <border>
      <left/>
      <right style="thin">
        <color theme="3" tint="0.59996337778862885"/>
      </right>
      <top/>
      <bottom/>
      <diagonal/>
    </border>
    <border>
      <left style="thin">
        <color theme="3" tint="0.59996337778862885"/>
      </left>
      <right/>
      <top/>
      <bottom style="thin">
        <color theme="3" tint="0.59996337778862885"/>
      </bottom>
      <diagonal/>
    </border>
    <border>
      <left/>
      <right style="thin">
        <color theme="3" tint="0.59996337778862885"/>
      </right>
      <top/>
      <bottom style="thin">
        <color theme="3" tint="0.59996337778862885"/>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01"/>
      </right>
      <top style="thin">
        <color theme="0"/>
      </top>
      <bottom style="thin">
        <color theme="0" tint="-0.24994659260841701"/>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5"/>
      </top>
      <bottom style="thin">
        <color theme="3" tint="-0.499984740745262"/>
      </bottom>
      <diagonal/>
    </border>
    <border>
      <left/>
      <right style="thin">
        <color theme="0" tint="-0.34998626667073579"/>
      </right>
      <top style="thin">
        <color theme="4" tint="0.59996337778862885"/>
      </top>
      <bottom style="thin">
        <color theme="3" tint="0.59996337778862885"/>
      </bottom>
      <diagonal/>
    </border>
    <border>
      <left/>
      <right/>
      <top style="thin">
        <color theme="3" tint="0.59996337778862885"/>
      </top>
      <bottom style="thin">
        <color theme="4" tint="0.59996337778862885"/>
      </bottom>
      <diagonal/>
    </border>
    <border>
      <left/>
      <right style="thin">
        <color theme="0" tint="-0.34998626667073579"/>
      </right>
      <top style="thin">
        <color theme="3" tint="0.59996337778862885"/>
      </top>
      <bottom style="thin">
        <color theme="4" tint="0.59996337778862885"/>
      </bottom>
      <diagonal/>
    </border>
    <border>
      <left/>
      <right style="thin">
        <color theme="4" tint="0.59996337778862885"/>
      </right>
      <top style="thin">
        <color theme="3" tint="0.59996337778862885"/>
      </top>
      <bottom style="thin">
        <color theme="4" tint="0.59996337778862885"/>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01"/>
      </bottom>
      <diagonal/>
    </border>
    <border>
      <left/>
      <right/>
      <top style="thin">
        <color theme="0"/>
      </top>
      <bottom/>
      <diagonal/>
    </border>
    <border>
      <left style="thin">
        <color rgb="FFD9E1F2"/>
      </left>
      <right style="thin">
        <color rgb="FFD9E1F2"/>
      </right>
      <top style="thin">
        <color theme="4" tint="0.59996337778862885"/>
      </top>
      <bottom style="thin">
        <color theme="4" tint="0.59996337778862885"/>
      </bottom>
      <diagonal/>
    </border>
    <border>
      <left style="thin">
        <color rgb="FFD9E1F2"/>
      </left>
      <right style="thin">
        <color rgb="FFD9E1F2"/>
      </right>
      <top/>
      <bottom style="thin">
        <color theme="4" tint="0.59996337778862885"/>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5"/>
      </bottom>
      <diagonal/>
    </border>
    <border>
      <left/>
      <right style="thin">
        <color rgb="FFD9E1F2"/>
      </right>
      <top style="thin">
        <color theme="3" tint="0.59996337778862885"/>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01"/>
      </right>
      <top style="thin">
        <color theme="0" tint="-0.24994659260841701"/>
      </top>
      <bottom/>
      <diagonal/>
    </border>
    <border>
      <left/>
      <right style="thin">
        <color theme="0" tint="-0.34998626667073579"/>
      </right>
      <top/>
      <bottom style="thin">
        <color auto="1"/>
      </bottom>
      <diagonal/>
    </border>
    <border>
      <left style="thin">
        <color theme="4" tint="0.59996337778862885"/>
      </left>
      <right style="thin">
        <color theme="4" tint="0.59996337778862885"/>
      </right>
      <top style="thin">
        <color theme="3"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diagonal/>
    </border>
    <border>
      <left style="thin">
        <color theme="4" tint="0.59996337778862885"/>
      </left>
      <right style="thin">
        <color theme="0" tint="-0.34998626667073579"/>
      </right>
      <top/>
      <bottom/>
      <diagonal/>
    </border>
    <border>
      <left style="thin">
        <color theme="4" tint="0.59996337778862885"/>
      </left>
      <right style="thin">
        <color theme="0" tint="-0.34998626667073579"/>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4" tint="0.59996337778862885"/>
      </bottom>
      <diagonal/>
    </border>
    <border>
      <left style="thin">
        <color theme="3" tint="-0.499984740745262"/>
      </left>
      <right style="thin">
        <color theme="0" tint="-0.34998626667073579"/>
      </right>
      <top/>
      <bottom/>
      <diagonal/>
    </border>
    <border>
      <left style="thin">
        <color theme="4" tint="0.59996337778862885"/>
      </left>
      <right style="thin">
        <color theme="0" tint="-0.34998626667073579"/>
      </right>
      <top/>
      <bottom style="thin">
        <color theme="0" tint="-0.34998626667073579"/>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5"/>
      </left>
      <right/>
      <top style="thin">
        <color theme="4" tint="0.59996337778862885"/>
      </top>
      <bottom style="thin">
        <color theme="0"/>
      </bottom>
      <diagonal/>
    </border>
    <border>
      <left/>
      <right style="thin">
        <color theme="4" tint="0.59996337778862885"/>
      </right>
      <top style="thin">
        <color theme="4" tint="0.59996337778862885"/>
      </top>
      <bottom style="thin">
        <color theme="0"/>
      </bottom>
      <diagonal/>
    </border>
    <border>
      <left style="thin">
        <color theme="4" tint="0.59996337778862885"/>
      </left>
      <right/>
      <top/>
      <bottom style="thin">
        <color theme="0" tint="-0.24994659260841701"/>
      </bottom>
      <diagonal/>
    </border>
    <border>
      <left/>
      <right style="thin">
        <color theme="4" tint="0.59996337778862885"/>
      </right>
      <top style="thin">
        <color theme="0"/>
      </top>
      <bottom style="thin">
        <color theme="0" tint="-0.24994659260841701"/>
      </bottom>
      <diagonal/>
    </border>
    <border>
      <left style="thin">
        <color theme="4" tint="0.59996337778862885"/>
      </left>
      <right/>
      <top style="thin">
        <color theme="0" tint="-0.24994659260841701"/>
      </top>
      <bottom style="thin">
        <color theme="0" tint="-0.24994659260841701"/>
      </bottom>
      <diagonal/>
    </border>
    <border>
      <left/>
      <right style="thin">
        <color theme="4" tint="0.59996337778862885"/>
      </right>
      <top style="thin">
        <color theme="0" tint="-0.24994659260841701"/>
      </top>
      <bottom style="thin">
        <color theme="0" tint="-0.24994659260841701"/>
      </bottom>
      <diagonal/>
    </border>
    <border>
      <left style="thin">
        <color theme="4" tint="0.59996337778862885"/>
      </left>
      <right/>
      <top style="thin">
        <color theme="0" tint="-0.24994659260841701"/>
      </top>
      <bottom style="thin">
        <color theme="4" tint="0.59996337778862885"/>
      </bottom>
      <diagonal/>
    </border>
    <border>
      <left/>
      <right style="thin">
        <color theme="4" tint="0.59996337778862885"/>
      </right>
      <top style="thin">
        <color theme="0" tint="-0.24994659260841701"/>
      </top>
      <bottom style="thin">
        <color theme="4" tint="0.59996337778862885"/>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5"/>
      </left>
      <right/>
      <top style="thin">
        <color theme="0" tint="-0.24994659260841701"/>
      </top>
      <bottom/>
      <diagonal/>
    </border>
    <border>
      <left/>
      <right style="thin">
        <color theme="4" tint="0.59996337778862885"/>
      </right>
      <top style="thin">
        <color theme="0" tint="-0.24994659260841701"/>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5"/>
      </left>
      <right style="thin">
        <color theme="0" tint="-0.34998626667073579"/>
      </right>
      <top style="thin">
        <color theme="4" tint="0.59996337778862885"/>
      </top>
      <bottom/>
      <diagonal/>
    </border>
    <border>
      <left style="thin">
        <color theme="4" tint="0.59996337778862885"/>
      </left>
      <right/>
      <top style="thin">
        <color auto="1"/>
      </top>
      <bottom/>
      <diagonal/>
    </border>
    <border>
      <left style="thin">
        <color theme="4" tint="0.59996337778862885"/>
      </left>
      <right/>
      <top style="thin">
        <color rgb="FFEAF0F6"/>
      </top>
      <bottom/>
      <diagonal/>
    </border>
    <border>
      <left/>
      <right style="thin">
        <color theme="4" tint="0.59996337778862885"/>
      </right>
      <top style="thin">
        <color rgb="FFEAF0F6"/>
      </top>
      <bottom/>
      <diagonal/>
    </border>
    <border>
      <left style="thin">
        <color theme="4" tint="0.59996337778862885"/>
      </left>
      <right/>
      <top/>
      <bottom style="thin">
        <color theme="0"/>
      </bottom>
      <diagonal/>
    </border>
    <border>
      <left/>
      <right style="thin">
        <color theme="4" tint="0.59996337778862885"/>
      </right>
      <top/>
      <bottom style="thin">
        <color theme="3" tint="0.59996337778862885"/>
      </bottom>
      <diagonal/>
    </border>
    <border>
      <left/>
      <right style="thin">
        <color theme="4" tint="0.59996337778862885"/>
      </right>
      <top style="thin">
        <color theme="3" tint="0.59996337778862885"/>
      </top>
      <bottom/>
      <diagonal/>
    </border>
    <border>
      <left style="thin">
        <color theme="4" tint="0.59996337778862885"/>
      </left>
      <right/>
      <top style="thin">
        <color theme="4" tint="0.59996337778862885"/>
      </top>
      <bottom/>
      <diagonal/>
    </border>
    <border>
      <left style="thin">
        <color theme="4" tint="0.59996337778862885"/>
      </left>
      <right/>
      <top style="thin">
        <color theme="4" tint="0.59996337778862885"/>
      </top>
      <bottom style="thin">
        <color theme="3" tint="-0.499984740745262"/>
      </bottom>
      <diagonal/>
    </border>
    <border>
      <left style="thin">
        <color theme="4" tint="0.59996337778862885"/>
      </left>
      <right/>
      <top style="thin">
        <color theme="4" tint="0.59996337778862885"/>
      </top>
      <bottom style="thin">
        <color theme="3" tint="0.59996337778862885"/>
      </bottom>
      <diagonal/>
    </border>
    <border>
      <left/>
      <right style="thin">
        <color theme="4" tint="0.59996337778862885"/>
      </right>
      <top style="thin">
        <color theme="4" tint="0.59996337778862885"/>
      </top>
      <bottom style="thin">
        <color theme="3" tint="0.59996337778862885"/>
      </bottom>
      <diagonal/>
    </border>
    <border>
      <left style="thin">
        <color theme="4" tint="0.59996337778862885"/>
      </left>
      <right/>
      <top style="thin">
        <color theme="3" tint="0.59996337778862885"/>
      </top>
      <bottom style="thin">
        <color theme="4" tint="0.59996337778862885"/>
      </bottom>
      <diagonal/>
    </border>
    <border>
      <left style="thin">
        <color theme="4" tint="0.59996337778862885"/>
      </left>
      <right style="thin">
        <color rgb="FFB7C3D0"/>
      </right>
      <top style="thin">
        <color rgb="FFB7C3D0"/>
      </top>
      <bottom style="thin">
        <color rgb="FFB7C3D0"/>
      </bottom>
      <diagonal/>
    </border>
    <border>
      <left/>
      <right style="thin">
        <color theme="4" tint="0.59996337778862885"/>
      </right>
      <top style="thin">
        <color rgb="FFB7C3D0"/>
      </top>
      <bottom/>
      <diagonal/>
    </border>
    <border>
      <left style="thin">
        <color theme="4" tint="0.59996337778862885"/>
      </left>
      <right/>
      <top/>
      <bottom style="thin">
        <color rgb="FFB7C3D0"/>
      </bottom>
      <diagonal/>
    </border>
    <border>
      <left/>
      <right style="thin">
        <color theme="4" tint="0.59996337778862885"/>
      </right>
      <top/>
      <bottom style="thin">
        <color rgb="FFB7C3D0"/>
      </bottom>
      <diagonal/>
    </border>
    <border>
      <left style="thin">
        <color theme="4" tint="0.59996337778862885"/>
      </left>
      <right style="thin">
        <color rgb="FFB7C3D0"/>
      </right>
      <top/>
      <bottom/>
      <diagonal/>
    </border>
    <border>
      <left style="thin">
        <color theme="4" tint="0.59996337778862885"/>
      </left>
      <right/>
      <top style="thin">
        <color theme="4" tint="0.59996337778862885"/>
      </top>
      <bottom style="thin">
        <color theme="0" tint="-0.34998626667073579"/>
      </bottom>
      <diagonal/>
    </border>
    <border>
      <left style="thin">
        <color theme="4" tint="0.59996337778862885"/>
      </left>
      <right/>
      <top style="thin">
        <color theme="0" tint="-0.34998626667073579"/>
      </top>
      <bottom style="thin">
        <color theme="4" tint="0.59996337778862885"/>
      </bottom>
      <diagonal/>
    </border>
    <border>
      <left style="thin">
        <color theme="4" tint="0.59996337778862885"/>
      </left>
      <right/>
      <top style="thin">
        <color theme="0" tint="-0.34998626667073579"/>
      </top>
      <bottom style="thin">
        <color theme="0" tint="-0.34998626667073579"/>
      </bottom>
      <diagonal/>
    </border>
    <border>
      <left/>
      <right style="thin">
        <color theme="4" tint="0.59996337778862885"/>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diagonal/>
    </border>
    <border>
      <left/>
      <right style="thin">
        <color theme="4" tint="0.59996337778862885"/>
      </right>
      <top style="thin">
        <color theme="0" tint="-0.34998626667073579"/>
      </top>
      <bottom/>
      <diagonal/>
    </border>
    <border>
      <left style="thin">
        <color theme="4" tint="0.59996337778862885"/>
      </left>
      <right/>
      <top style="thin">
        <color rgb="FFEAF0F6"/>
      </top>
      <bottom style="thin">
        <color theme="3" tint="0.59996337778862885"/>
      </bottom>
      <diagonal/>
    </border>
    <border>
      <left/>
      <right style="thin">
        <color theme="4" tint="0.59996337778862885"/>
      </right>
      <top style="thin">
        <color rgb="FFEAF0F6"/>
      </top>
      <bottom style="thin">
        <color theme="3" tint="0.59996337778862885"/>
      </bottom>
      <diagonal/>
    </border>
    <border>
      <left style="thin">
        <color theme="4" tint="0.59996337778862885"/>
      </left>
      <right/>
      <top style="thin">
        <color theme="3" tint="0.59996337778862885"/>
      </top>
      <bottom style="thin">
        <color theme="3" tint="0.59996337778862885"/>
      </bottom>
      <diagonal/>
    </border>
    <border>
      <left/>
      <right style="thin">
        <color theme="4" tint="0.59996337778862885"/>
      </right>
      <top style="thin">
        <color theme="3" tint="0.59996337778862885"/>
      </top>
      <bottom style="thin">
        <color theme="3" tint="0.59996337778862885"/>
      </bottom>
      <diagonal/>
    </border>
    <border>
      <left style="thin">
        <color theme="4" tint="0.59996337778862885"/>
      </left>
      <right style="thin">
        <color theme="0"/>
      </right>
      <top/>
      <bottom style="thin">
        <color theme="0"/>
      </bottom>
      <diagonal/>
    </border>
    <border>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3" tint="0.59996337778862885"/>
      </bottom>
      <diagonal/>
    </border>
    <border>
      <left style="thin">
        <color theme="4" tint="0.59996337778862885"/>
      </left>
      <right style="thin">
        <color theme="0" tint="-0.34998626667073579"/>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style="thin">
        <color theme="4" tint="0.59996337778862885"/>
      </bottom>
      <diagonal/>
    </border>
    <border>
      <left/>
      <right style="thin">
        <color theme="4" tint="0.59996337778862885"/>
      </right>
      <top style="thin">
        <color theme="0" tint="-0.34998626667073579"/>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rgb="FF17365D"/>
      </top>
      <bottom style="thin">
        <color rgb="FF17365D"/>
      </bottom>
      <diagonal/>
    </border>
    <border>
      <left/>
      <right style="thin">
        <color theme="4" tint="0.59996337778862885"/>
      </right>
      <top style="thin">
        <color rgb="FF17365D"/>
      </top>
      <bottom style="thin">
        <color rgb="FF17365D"/>
      </bottom>
      <diagonal/>
    </border>
    <border>
      <left style="thin">
        <color theme="4" tint="0.59996337778862885"/>
      </left>
      <right style="thin">
        <color theme="3" tint="-0.499984740745262"/>
      </right>
      <top/>
      <bottom/>
      <diagonal/>
    </border>
    <border>
      <left style="thin">
        <color theme="0" tint="-0.34998626667073579"/>
      </left>
      <right/>
      <top style="thin">
        <color theme="0" tint="-0.34998626667073579"/>
      </top>
      <bottom/>
      <diagonal/>
    </border>
  </borders>
  <cellStyleXfs count="5">
    <xf numFmtId="0" fontId="0" fillId="0" borderId="0"/>
    <xf numFmtId="0" fontId="27" fillId="0" borderId="0"/>
    <xf numFmtId="0" fontId="27" fillId="0" borderId="0"/>
    <xf numFmtId="0" fontId="27" fillId="0" borderId="0"/>
    <xf numFmtId="0" fontId="5" fillId="0" borderId="0"/>
  </cellStyleXfs>
  <cellXfs count="1234">
    <xf numFmtId="0" fontId="0" fillId="0" borderId="0" xfId="0"/>
    <xf numFmtId="0" fontId="0" fillId="4" borderId="0" xfId="0" applyFill="1" applyAlignment="1">
      <alignment horizontal="center"/>
    </xf>
    <xf numFmtId="0" fontId="0" fillId="4" borderId="0" xfId="0" applyFill="1"/>
    <xf numFmtId="0" fontId="0" fillId="0" borderId="0" xfId="0" applyAlignment="1">
      <alignment vertical="center"/>
    </xf>
    <xf numFmtId="0" fontId="9" fillId="4" borderId="0" xfId="0" applyFont="1" applyFill="1" applyAlignment="1">
      <alignment vertical="center"/>
    </xf>
    <xf numFmtId="0" fontId="10" fillId="4" borderId="0" xfId="0" applyFont="1" applyFill="1" applyAlignment="1">
      <alignment vertical="center"/>
    </xf>
    <xf numFmtId="0" fontId="7" fillId="0" borderId="0" xfId="0" applyFont="1"/>
    <xf numFmtId="0" fontId="8" fillId="0" borderId="0" xfId="1" applyFont="1" applyAlignment="1">
      <alignment vertical="center" wrapText="1"/>
    </xf>
    <xf numFmtId="0" fontId="17" fillId="0" borderId="0" xfId="0" applyFont="1"/>
    <xf numFmtId="0" fontId="0" fillId="0" borderId="9" xfId="3" applyFont="1" applyBorder="1"/>
    <xf numFmtId="0" fontId="19" fillId="10" borderId="12" xfId="3" applyFont="1" applyFill="1" applyBorder="1" applyAlignment="1">
      <alignment vertical="center"/>
    </xf>
    <xf numFmtId="0" fontId="0" fillId="0" borderId="12" xfId="3" applyFont="1" applyBorder="1" applyAlignment="1">
      <alignment vertical="center" wrapText="1"/>
    </xf>
    <xf numFmtId="0" fontId="18" fillId="13" borderId="20" xfId="3" applyFont="1" applyFill="1" applyBorder="1" applyAlignment="1">
      <alignment vertical="center"/>
    </xf>
    <xf numFmtId="0" fontId="0" fillId="0" borderId="0" xfId="3" applyFont="1" applyAlignment="1">
      <alignment vertical="center"/>
    </xf>
    <xf numFmtId="0" fontId="31" fillId="0" borderId="0" xfId="2" applyFont="1"/>
    <xf numFmtId="0" fontId="18" fillId="13" borderId="26" xfId="3" applyFont="1" applyFill="1" applyBorder="1" applyAlignment="1">
      <alignment horizontal="center" vertical="center"/>
    </xf>
    <xf numFmtId="0" fontId="35" fillId="17" borderId="28" xfId="2" applyFont="1" applyFill="1" applyBorder="1"/>
    <xf numFmtId="0" fontId="29" fillId="0" borderId="28" xfId="2" applyFont="1" applyBorder="1"/>
    <xf numFmtId="0" fontId="0" fillId="0" borderId="0" xfId="1" applyFont="1" applyAlignment="1">
      <alignment vertical="center"/>
    </xf>
    <xf numFmtId="0" fontId="52" fillId="27" borderId="29" xfId="1" applyFont="1" applyFill="1" applyBorder="1" applyAlignment="1">
      <alignment horizontal="center" vertical="center" wrapText="1"/>
    </xf>
    <xf numFmtId="0" fontId="52" fillId="27" borderId="29" xfId="1" applyFont="1" applyFill="1" applyBorder="1" applyAlignment="1">
      <alignment vertical="center" wrapText="1"/>
    </xf>
    <xf numFmtId="0" fontId="37" fillId="17" borderId="29" xfId="1" applyFont="1" applyFill="1" applyBorder="1" applyAlignment="1">
      <alignment horizontal="center" vertical="center" wrapText="1"/>
    </xf>
    <xf numFmtId="0" fontId="37" fillId="32" borderId="29" xfId="1" applyFont="1" applyFill="1" applyBorder="1" applyAlignment="1">
      <alignment horizontal="center" vertical="center" wrapText="1"/>
    </xf>
    <xf numFmtId="0" fontId="37" fillId="32" borderId="29" xfId="1" applyFont="1" applyFill="1" applyBorder="1" applyAlignment="1">
      <alignment vertical="center" wrapText="1"/>
    </xf>
    <xf numFmtId="0" fontId="59" fillId="0" borderId="58" xfId="1" applyFont="1" applyBorder="1" applyAlignment="1">
      <alignment vertical="center"/>
    </xf>
    <xf numFmtId="0" fontId="37" fillId="0" borderId="29" xfId="1" applyFont="1" applyBorder="1" applyAlignment="1">
      <alignment vertical="center" wrapText="1"/>
    </xf>
    <xf numFmtId="0" fontId="20" fillId="4" borderId="42" xfId="3" applyFont="1" applyFill="1" applyBorder="1" applyAlignment="1">
      <alignment vertical="center"/>
    </xf>
    <xf numFmtId="0" fontId="20" fillId="4" borderId="0" xfId="3" applyFont="1" applyFill="1" applyAlignment="1">
      <alignment vertical="center"/>
    </xf>
    <xf numFmtId="0" fontId="74" fillId="0" borderId="0" xfId="0" applyFont="1"/>
    <xf numFmtId="0" fontId="45" fillId="0" borderId="0" xfId="0" applyFont="1" applyAlignment="1">
      <alignment horizontal="center" vertical="center"/>
    </xf>
    <xf numFmtId="0" fontId="45" fillId="0" borderId="29" xfId="0" applyFont="1" applyBorder="1" applyAlignment="1">
      <alignment vertical="center"/>
    </xf>
    <xf numFmtId="0" fontId="46" fillId="3" borderId="29" xfId="0" applyFont="1" applyFill="1" applyBorder="1" applyAlignment="1">
      <alignment vertical="center"/>
    </xf>
    <xf numFmtId="0" fontId="65" fillId="3" borderId="29" xfId="0" applyFont="1" applyFill="1" applyBorder="1" applyAlignment="1">
      <alignment vertical="center"/>
    </xf>
    <xf numFmtId="0" fontId="31" fillId="11" borderId="12" xfId="3" applyFont="1" applyFill="1" applyBorder="1" applyAlignment="1">
      <alignment vertical="center" wrapText="1"/>
    </xf>
    <xf numFmtId="0" fontId="31" fillId="11" borderId="16" xfId="3" applyFont="1" applyFill="1" applyBorder="1" applyAlignment="1">
      <alignment vertical="center" wrapText="1"/>
    </xf>
    <xf numFmtId="0" fontId="48" fillId="34" borderId="29" xfId="0" applyFont="1" applyFill="1" applyBorder="1" applyAlignment="1">
      <alignment horizontal="left"/>
    </xf>
    <xf numFmtId="0" fontId="48" fillId="34" borderId="29" xfId="0" applyFont="1" applyFill="1" applyBorder="1" applyAlignment="1">
      <alignment horizontal="center"/>
    </xf>
    <xf numFmtId="0" fontId="54" fillId="20" borderId="29" xfId="0" applyFont="1" applyFill="1" applyBorder="1" applyAlignment="1">
      <alignment horizontal="left" vertical="center"/>
    </xf>
    <xf numFmtId="0" fontId="54" fillId="20" borderId="29" xfId="0" applyFont="1" applyFill="1" applyBorder="1" applyAlignment="1">
      <alignment horizontal="center" vertical="center"/>
    </xf>
    <xf numFmtId="0" fontId="70" fillId="36" borderId="29" xfId="0" applyFont="1" applyFill="1" applyBorder="1" applyAlignment="1">
      <alignment horizontal="left" indent="2"/>
    </xf>
    <xf numFmtId="0" fontId="70" fillId="36" borderId="29" xfId="0" applyFont="1" applyFill="1" applyBorder="1" applyAlignment="1">
      <alignment horizontal="center"/>
    </xf>
    <xf numFmtId="0" fontId="42" fillId="7" borderId="29" xfId="0" applyFont="1" applyFill="1" applyBorder="1" applyAlignment="1">
      <alignment horizontal="left" indent="3"/>
    </xf>
    <xf numFmtId="0" fontId="42" fillId="6" borderId="29" xfId="0" applyFont="1" applyFill="1" applyBorder="1" applyAlignment="1">
      <alignment horizontal="left" indent="3"/>
    </xf>
    <xf numFmtId="0" fontId="42" fillId="0" borderId="29" xfId="0" applyFont="1" applyBorder="1" applyAlignment="1">
      <alignment horizontal="left" indent="3"/>
    </xf>
    <xf numFmtId="0" fontId="66" fillId="20" borderId="29" xfId="0" applyFont="1" applyFill="1" applyBorder="1" applyAlignment="1">
      <alignment horizontal="center"/>
    </xf>
    <xf numFmtId="0" fontId="43" fillId="20" borderId="29" xfId="0" applyFont="1" applyFill="1" applyBorder="1" applyAlignment="1">
      <alignment horizontal="center" vertical="center"/>
    </xf>
    <xf numFmtId="0" fontId="80" fillId="20" borderId="29" xfId="0" applyFont="1" applyFill="1" applyBorder="1" applyAlignment="1">
      <alignment horizontal="center"/>
    </xf>
    <xf numFmtId="0" fontId="44" fillId="20" borderId="29" xfId="0" applyFont="1" applyFill="1" applyBorder="1" applyAlignment="1">
      <alignment horizontal="center" vertical="center"/>
    </xf>
    <xf numFmtId="0" fontId="61" fillId="26" borderId="29" xfId="0" applyFont="1" applyFill="1" applyBorder="1" applyAlignment="1">
      <alignment vertical="center"/>
    </xf>
    <xf numFmtId="0" fontId="64" fillId="26" borderId="29" xfId="0" applyFont="1" applyFill="1" applyBorder="1" applyAlignment="1">
      <alignment vertical="center"/>
    </xf>
    <xf numFmtId="0" fontId="28" fillId="39" borderId="1" xfId="0" applyFont="1" applyFill="1" applyBorder="1" applyAlignment="1">
      <alignment horizontal="center" vertical="center"/>
    </xf>
    <xf numFmtId="0" fontId="5" fillId="0" borderId="0" xfId="0" applyFont="1"/>
    <xf numFmtId="0" fontId="28" fillId="39" borderId="29" xfId="0" applyFont="1" applyFill="1" applyBorder="1" applyAlignment="1">
      <alignment horizontal="center" vertical="center"/>
    </xf>
    <xf numFmtId="0" fontId="37" fillId="0" borderId="74" xfId="1" applyFont="1" applyBorder="1" applyAlignment="1">
      <alignment horizontal="center" vertical="center" wrapText="1"/>
    </xf>
    <xf numFmtId="0" fontId="37" fillId="0" borderId="76" xfId="1" applyFont="1" applyBorder="1" applyAlignment="1">
      <alignment horizontal="center" vertical="center" wrapText="1"/>
    </xf>
    <xf numFmtId="0" fontId="57" fillId="3" borderId="81" xfId="1" applyFont="1" applyFill="1" applyBorder="1" applyAlignment="1">
      <alignment horizontal="center" vertical="center"/>
    </xf>
    <xf numFmtId="0" fontId="37" fillId="0" borderId="83" xfId="1" applyFont="1" applyBorder="1" applyAlignment="1">
      <alignment horizontal="center" vertical="center"/>
    </xf>
    <xf numFmtId="0" fontId="37" fillId="0" borderId="65" xfId="1" applyFont="1" applyBorder="1" applyAlignment="1">
      <alignment horizontal="center" vertical="center"/>
    </xf>
    <xf numFmtId="0" fontId="37" fillId="0" borderId="85" xfId="1" applyFont="1" applyBorder="1" applyAlignment="1">
      <alignment horizontal="center" vertical="center"/>
    </xf>
    <xf numFmtId="0" fontId="59" fillId="0" borderId="97" xfId="1" applyFont="1" applyBorder="1" applyAlignment="1">
      <alignment horizontal="left" vertical="center"/>
    </xf>
    <xf numFmtId="0" fontId="13" fillId="34" borderId="109" xfId="0" applyFont="1" applyFill="1" applyBorder="1" applyAlignment="1">
      <alignment horizontal="center"/>
    </xf>
    <xf numFmtId="0" fontId="14" fillId="2" borderId="110" xfId="0" applyFont="1" applyFill="1" applyBorder="1" applyAlignment="1">
      <alignment horizontal="center"/>
    </xf>
    <xf numFmtId="0" fontId="15" fillId="36" borderId="110" xfId="0" applyFont="1" applyFill="1" applyBorder="1" applyAlignment="1">
      <alignment horizontal="center"/>
    </xf>
    <xf numFmtId="0" fontId="16" fillId="7" borderId="110" xfId="0" applyFont="1" applyFill="1" applyBorder="1" applyAlignment="1">
      <alignment horizontal="center"/>
    </xf>
    <xf numFmtId="0" fontId="16" fillId="6" borderId="110" xfId="0" applyFont="1" applyFill="1" applyBorder="1" applyAlignment="1">
      <alignment horizontal="center"/>
    </xf>
    <xf numFmtId="0" fontId="16" fillId="0" borderId="110" xfId="0" applyFont="1" applyBorder="1" applyAlignment="1">
      <alignment horizontal="center"/>
    </xf>
    <xf numFmtId="0" fontId="12" fillId="2" borderId="110" xfId="0" applyFont="1" applyFill="1" applyBorder="1" applyAlignment="1">
      <alignment horizontal="center"/>
    </xf>
    <xf numFmtId="0" fontId="86" fillId="5" borderId="64" xfId="0" applyFont="1" applyFill="1" applyBorder="1" applyAlignment="1">
      <alignment horizontal="center" vertical="center"/>
    </xf>
    <xf numFmtId="0" fontId="30" fillId="20" borderId="64" xfId="0" applyFont="1" applyFill="1" applyBorder="1" applyAlignment="1">
      <alignment vertical="center"/>
    </xf>
    <xf numFmtId="0" fontId="28" fillId="39" borderId="65" xfId="0" applyFont="1" applyFill="1" applyBorder="1" applyAlignment="1">
      <alignment horizontal="center" vertical="center"/>
    </xf>
    <xf numFmtId="0" fontId="28" fillId="20" borderId="64" xfId="0" applyFont="1" applyFill="1" applyBorder="1" applyAlignment="1">
      <alignment vertical="center"/>
    </xf>
    <xf numFmtId="0" fontId="5" fillId="0" borderId="92" xfId="0" applyFont="1" applyBorder="1"/>
    <xf numFmtId="0" fontId="5" fillId="0" borderId="91" xfId="0" applyFont="1" applyBorder="1"/>
    <xf numFmtId="0" fontId="31" fillId="11" borderId="101" xfId="3" applyFont="1" applyFill="1" applyBorder="1" applyAlignment="1">
      <alignment vertical="center" wrapText="1"/>
    </xf>
    <xf numFmtId="0" fontId="0" fillId="0" borderId="92" xfId="3" applyFont="1" applyBorder="1"/>
    <xf numFmtId="0" fontId="0" fillId="0" borderId="91" xfId="3" applyFont="1" applyBorder="1"/>
    <xf numFmtId="0" fontId="0" fillId="0" borderId="124" xfId="3" applyFont="1" applyBorder="1" applyAlignment="1">
      <alignment vertical="center"/>
    </xf>
    <xf numFmtId="0" fontId="0" fillId="0" borderId="121" xfId="3" applyFont="1" applyBorder="1"/>
    <xf numFmtId="0" fontId="0" fillId="0" borderId="106" xfId="3" applyFont="1" applyBorder="1"/>
    <xf numFmtId="0" fontId="22" fillId="10" borderId="121" xfId="3" applyFont="1" applyFill="1" applyBorder="1" applyAlignment="1">
      <alignment horizontal="center"/>
    </xf>
    <xf numFmtId="0" fontId="77" fillId="40" borderId="126" xfId="3" applyFont="1" applyFill="1" applyBorder="1" applyAlignment="1">
      <alignment horizontal="center" vertical="center" wrapText="1"/>
    </xf>
    <xf numFmtId="0" fontId="77" fillId="40" borderId="20" xfId="3" applyFont="1" applyFill="1" applyBorder="1" applyAlignment="1">
      <alignment horizontal="center" vertical="center" wrapText="1"/>
    </xf>
    <xf numFmtId="0" fontId="77" fillId="40" borderId="27" xfId="3" applyFont="1" applyFill="1" applyBorder="1" applyAlignment="1">
      <alignment horizontal="center" vertical="center" wrapText="1"/>
    </xf>
    <xf numFmtId="0" fontId="20" fillId="4" borderId="101" xfId="3" applyFont="1" applyFill="1" applyBorder="1" applyAlignment="1">
      <alignment horizontal="center" vertical="center"/>
    </xf>
    <xf numFmtId="0" fontId="47" fillId="0" borderId="30" xfId="0" applyFont="1" applyBorder="1" applyAlignment="1">
      <alignment horizontal="center"/>
    </xf>
    <xf numFmtId="0" fontId="61" fillId="0" borderId="64" xfId="0" applyFont="1" applyBorder="1" applyAlignment="1">
      <alignment horizontal="center" vertical="center"/>
    </xf>
    <xf numFmtId="0" fontId="46" fillId="3" borderId="64" xfId="0" applyFont="1" applyFill="1" applyBorder="1" applyAlignment="1">
      <alignment horizontal="center" vertical="center"/>
    </xf>
    <xf numFmtId="0" fontId="45" fillId="26" borderId="64" xfId="0" applyFont="1" applyFill="1" applyBorder="1" applyAlignment="1">
      <alignment horizontal="center" vertical="center"/>
    </xf>
    <xf numFmtId="0" fontId="54" fillId="35" borderId="64" xfId="0" applyFont="1" applyFill="1" applyBorder="1" applyAlignment="1">
      <alignment horizontal="center" vertical="center"/>
    </xf>
    <xf numFmtId="0" fontId="45" fillId="0" borderId="64" xfId="0" applyFont="1" applyBorder="1" applyAlignment="1">
      <alignment horizontal="center" vertical="center"/>
    </xf>
    <xf numFmtId="0" fontId="45" fillId="0" borderId="65" xfId="0" applyFont="1" applyBorder="1" applyAlignment="1">
      <alignment vertical="center"/>
    </xf>
    <xf numFmtId="0" fontId="49" fillId="20" borderId="64" xfId="0" applyFont="1" applyFill="1" applyBorder="1" applyAlignment="1">
      <alignment horizontal="center" vertical="center"/>
    </xf>
    <xf numFmtId="0" fontId="45" fillId="0" borderId="92" xfId="0" applyFont="1" applyBorder="1" applyAlignment="1">
      <alignment horizontal="center" vertical="center"/>
    </xf>
    <xf numFmtId="0" fontId="45" fillId="0" borderId="103" xfId="0" applyFont="1" applyBorder="1" applyAlignment="1">
      <alignment horizontal="center" vertical="center"/>
    </xf>
    <xf numFmtId="0" fontId="88" fillId="0" borderId="0" xfId="0" applyFont="1"/>
    <xf numFmtId="0" fontId="90" fillId="0" borderId="0" xfId="0" applyFont="1"/>
    <xf numFmtId="0" fontId="88" fillId="0" borderId="60" xfId="0" applyFont="1" applyBorder="1"/>
    <xf numFmtId="0" fontId="90" fillId="0" borderId="60" xfId="0" applyFont="1" applyBorder="1"/>
    <xf numFmtId="0" fontId="77" fillId="10" borderId="0" xfId="3" applyFont="1" applyFill="1" applyAlignment="1">
      <alignment vertical="center"/>
    </xf>
    <xf numFmtId="0" fontId="77" fillId="10" borderId="60" xfId="3" applyFont="1" applyFill="1" applyBorder="1" applyAlignment="1">
      <alignment vertical="center"/>
    </xf>
    <xf numFmtId="0" fontId="77" fillId="10" borderId="12" xfId="3" applyFont="1" applyFill="1" applyBorder="1" applyAlignment="1">
      <alignment horizontal="left" vertical="center"/>
    </xf>
    <xf numFmtId="0" fontId="77" fillId="10" borderId="0" xfId="3" applyFont="1" applyFill="1" applyAlignment="1">
      <alignment horizontal="left" vertical="center"/>
    </xf>
    <xf numFmtId="0" fontId="52" fillId="0" borderId="29" xfId="2" applyFont="1" applyBorder="1"/>
    <xf numFmtId="0" fontId="88" fillId="0" borderId="0" xfId="0" applyFont="1" applyAlignment="1">
      <alignment vertical="center"/>
    </xf>
    <xf numFmtId="0" fontId="61" fillId="6" borderId="0" xfId="0" applyFont="1" applyFill="1" applyAlignment="1">
      <alignment vertical="center"/>
    </xf>
    <xf numFmtId="4" fontId="75" fillId="6" borderId="0" xfId="0" applyNumberFormat="1" applyFont="1" applyFill="1" applyAlignment="1">
      <alignment vertical="center"/>
    </xf>
    <xf numFmtId="0" fontId="61" fillId="0" borderId="0" xfId="0" applyFont="1" applyAlignment="1">
      <alignment vertical="center"/>
    </xf>
    <xf numFmtId="4" fontId="75" fillId="0" borderId="0" xfId="0" applyNumberFormat="1" applyFont="1" applyAlignment="1">
      <alignment vertical="center"/>
    </xf>
    <xf numFmtId="0" fontId="63" fillId="6" borderId="0" xfId="0" applyFont="1" applyFill="1" applyAlignment="1">
      <alignment vertical="center"/>
    </xf>
    <xf numFmtId="4" fontId="48" fillId="3" borderId="0" xfId="0" applyNumberFormat="1" applyFont="1" applyFill="1" applyAlignment="1">
      <alignment vertical="center"/>
    </xf>
    <xf numFmtId="0" fontId="63" fillId="0" borderId="0" xfId="0" applyFont="1" applyAlignment="1">
      <alignment vertical="center"/>
    </xf>
    <xf numFmtId="0" fontId="73" fillId="23" borderId="29" xfId="1" applyFont="1" applyFill="1" applyBorder="1" applyAlignment="1">
      <alignment vertical="center"/>
    </xf>
    <xf numFmtId="0" fontId="52" fillId="23" borderId="29" xfId="1" applyFont="1" applyFill="1" applyBorder="1" applyAlignment="1">
      <alignment vertical="center" wrapText="1"/>
    </xf>
    <xf numFmtId="0" fontId="52" fillId="23" borderId="65" xfId="1" applyFont="1" applyFill="1" applyBorder="1" applyAlignment="1">
      <alignment horizontal="center" vertical="center" wrapText="1"/>
    </xf>
    <xf numFmtId="0" fontId="30" fillId="18" borderId="29" xfId="1" applyFont="1" applyFill="1" applyBorder="1" applyAlignment="1">
      <alignment horizontal="center" vertical="center" wrapText="1"/>
    </xf>
    <xf numFmtId="0" fontId="30" fillId="33" borderId="29" xfId="1" applyFont="1" applyFill="1" applyBorder="1" applyAlignment="1">
      <alignment horizontal="center" vertical="center" wrapText="1"/>
    </xf>
    <xf numFmtId="0" fontId="30" fillId="33" borderId="29" xfId="1" applyFont="1" applyFill="1" applyBorder="1" applyAlignment="1">
      <alignment vertical="center" wrapText="1"/>
    </xf>
    <xf numFmtId="0" fontId="37" fillId="0" borderId="77" xfId="1" applyFont="1" applyBorder="1" applyAlignment="1">
      <alignment horizontal="center" vertical="center" wrapText="1"/>
    </xf>
    <xf numFmtId="0" fontId="97" fillId="0" borderId="29" xfId="0" applyFont="1" applyBorder="1" applyAlignment="1">
      <alignment horizontal="center" vertical="center"/>
    </xf>
    <xf numFmtId="0" fontId="97" fillId="17" borderId="29" xfId="0" applyFont="1" applyFill="1" applyBorder="1" applyAlignment="1">
      <alignment horizontal="center" vertical="center"/>
    </xf>
    <xf numFmtId="0" fontId="6" fillId="0" borderId="0" xfId="0" applyFont="1"/>
    <xf numFmtId="0" fontId="99" fillId="0" borderId="0" xfId="0" applyFont="1"/>
    <xf numFmtId="0" fontId="96" fillId="0" borderId="0" xfId="0" applyFont="1"/>
    <xf numFmtId="0" fontId="73" fillId="27" borderId="62" xfId="0" applyFont="1" applyFill="1" applyBorder="1" applyAlignment="1">
      <alignment vertical="center"/>
    </xf>
    <xf numFmtId="0" fontId="77" fillId="10" borderId="58" xfId="3" applyFont="1" applyFill="1" applyBorder="1" applyAlignment="1">
      <alignment vertical="center"/>
    </xf>
    <xf numFmtId="0" fontId="77" fillId="10" borderId="23" xfId="3" applyFont="1" applyFill="1" applyBorder="1" applyAlignment="1">
      <alignment vertical="center"/>
    </xf>
    <xf numFmtId="0" fontId="73" fillId="27" borderId="61" xfId="1" applyFont="1" applyFill="1" applyBorder="1" applyAlignment="1">
      <alignment vertical="center" wrapText="1"/>
    </xf>
    <xf numFmtId="0" fontId="73" fillId="27" borderId="64" xfId="1" applyFont="1" applyFill="1" applyBorder="1" applyAlignment="1">
      <alignment vertical="center"/>
    </xf>
    <xf numFmtId="0" fontId="42" fillId="7" borderId="29" xfId="0" applyFont="1" applyFill="1" applyBorder="1" applyAlignment="1">
      <alignment horizontal="center"/>
    </xf>
    <xf numFmtId="0" fontId="42" fillId="6" borderId="29" xfId="0" applyFont="1" applyFill="1" applyBorder="1" applyAlignment="1">
      <alignment horizontal="center"/>
    </xf>
    <xf numFmtId="0" fontId="42" fillId="0" borderId="29" xfId="0" applyFont="1" applyBorder="1" applyAlignment="1">
      <alignment horizontal="center"/>
    </xf>
    <xf numFmtId="0" fontId="81" fillId="20" borderId="29" xfId="0" applyFont="1" applyFill="1" applyBorder="1" applyAlignment="1">
      <alignment horizontal="center"/>
    </xf>
    <xf numFmtId="0" fontId="28" fillId="39" borderId="134" xfId="0" applyFont="1" applyFill="1" applyBorder="1" applyAlignment="1">
      <alignment horizontal="center" vertical="center"/>
    </xf>
    <xf numFmtId="0" fontId="105" fillId="44" borderId="103" xfId="3" applyFont="1" applyFill="1" applyBorder="1" applyAlignment="1">
      <alignment vertical="center" wrapText="1"/>
    </xf>
    <xf numFmtId="0" fontId="105" fillId="44" borderId="60" xfId="3" applyFont="1" applyFill="1" applyBorder="1" applyAlignment="1">
      <alignment vertical="center" wrapText="1"/>
    </xf>
    <xf numFmtId="0" fontId="11" fillId="45" borderId="92" xfId="3" applyFont="1" applyFill="1" applyBorder="1" applyAlignment="1">
      <alignment horizontal="center" wrapText="1"/>
    </xf>
    <xf numFmtId="0" fontId="11" fillId="45" borderId="0" xfId="3" applyFont="1" applyFill="1" applyAlignment="1">
      <alignment horizontal="center" wrapText="1"/>
    </xf>
    <xf numFmtId="0" fontId="11" fillId="45" borderId="91" xfId="3" applyFont="1" applyFill="1" applyBorder="1" applyAlignment="1">
      <alignment horizontal="center" wrapText="1"/>
    </xf>
    <xf numFmtId="0" fontId="8" fillId="28" borderId="0" xfId="1" applyFont="1" applyFill="1" applyAlignment="1">
      <alignment vertical="center"/>
    </xf>
    <xf numFmtId="0" fontId="8" fillId="43" borderId="60" xfId="1" applyFont="1" applyFill="1" applyBorder="1" applyAlignment="1">
      <alignment vertical="center"/>
    </xf>
    <xf numFmtId="0" fontId="8" fillId="43" borderId="119" xfId="1" applyFont="1" applyFill="1" applyBorder="1" applyAlignment="1">
      <alignment vertical="center"/>
    </xf>
    <xf numFmtId="0" fontId="53" fillId="23" borderId="32" xfId="0" applyFont="1" applyFill="1" applyBorder="1" applyAlignment="1">
      <alignment horizontal="center" vertical="center" wrapText="1"/>
    </xf>
    <xf numFmtId="0" fontId="0" fillId="43" borderId="60" xfId="0" applyFill="1" applyBorder="1"/>
    <xf numFmtId="0" fontId="0" fillId="43" borderId="119" xfId="0" applyFill="1" applyBorder="1"/>
    <xf numFmtId="0" fontId="53" fillId="48" borderId="99" xfId="0" applyFont="1" applyFill="1" applyBorder="1" applyAlignment="1">
      <alignment vertical="center" wrapText="1"/>
    </xf>
    <xf numFmtId="0" fontId="53" fillId="48" borderId="0" xfId="0" applyFont="1" applyFill="1" applyAlignment="1">
      <alignment vertical="center" wrapText="1"/>
    </xf>
    <xf numFmtId="0" fontId="104" fillId="28" borderId="33" xfId="1" applyFont="1" applyFill="1" applyBorder="1" applyAlignment="1">
      <alignment vertical="top"/>
    </xf>
    <xf numFmtId="0" fontId="104" fillId="28" borderId="32" xfId="1" applyFont="1" applyFill="1" applyBorder="1" applyAlignment="1">
      <alignment vertical="top"/>
    </xf>
    <xf numFmtId="0" fontId="0" fillId="43" borderId="0" xfId="2" applyFont="1" applyFill="1"/>
    <xf numFmtId="0" fontId="22" fillId="46" borderId="12" xfId="3" applyFont="1" applyFill="1" applyBorder="1" applyAlignment="1">
      <alignment horizontal="center" vertical="center"/>
    </xf>
    <xf numFmtId="0" fontId="20" fillId="47" borderId="0" xfId="3" applyFont="1" applyFill="1" applyAlignment="1">
      <alignment vertical="center"/>
    </xf>
    <xf numFmtId="0" fontId="20" fillId="47" borderId="91" xfId="3" applyFont="1" applyFill="1" applyBorder="1" applyAlignment="1">
      <alignment vertical="center"/>
    </xf>
    <xf numFmtId="0" fontId="22" fillId="10" borderId="140" xfId="3" applyFont="1" applyFill="1" applyBorder="1" applyAlignment="1">
      <alignment horizontal="center" vertical="center"/>
    </xf>
    <xf numFmtId="0" fontId="15" fillId="36" borderId="109" xfId="0" applyFont="1" applyFill="1" applyBorder="1" applyAlignment="1">
      <alignment horizontal="center"/>
    </xf>
    <xf numFmtId="0" fontId="70" fillId="36" borderId="32" xfId="0" applyFont="1" applyFill="1" applyBorder="1" applyAlignment="1">
      <alignment horizontal="left" indent="2"/>
    </xf>
    <xf numFmtId="0" fontId="70" fillId="36" borderId="32" xfId="0" applyFont="1" applyFill="1" applyBorder="1" applyAlignment="1">
      <alignment horizontal="center"/>
    </xf>
    <xf numFmtId="0" fontId="14" fillId="2" borderId="111" xfId="0" applyFont="1" applyFill="1" applyBorder="1" applyAlignment="1">
      <alignment horizontal="center"/>
    </xf>
    <xf numFmtId="0" fontId="54" fillId="20" borderId="112" xfId="0" applyFont="1" applyFill="1" applyBorder="1" applyAlignment="1">
      <alignment horizontal="left" vertical="center"/>
    </xf>
    <xf numFmtId="0" fontId="54" fillId="20" borderId="112" xfId="0" applyFont="1" applyFill="1" applyBorder="1" applyAlignment="1">
      <alignment horizontal="center" vertical="center"/>
    </xf>
    <xf numFmtId="0" fontId="83" fillId="4" borderId="0" xfId="3" applyFont="1" applyFill="1" applyAlignment="1">
      <alignment vertical="center"/>
    </xf>
    <xf numFmtId="0" fontId="16" fillId="7" borderId="147" xfId="0" applyFont="1" applyFill="1" applyBorder="1" applyAlignment="1">
      <alignment horizontal="center"/>
    </xf>
    <xf numFmtId="0" fontId="42" fillId="7" borderId="33" xfId="0" applyFont="1" applyFill="1" applyBorder="1" applyAlignment="1">
      <alignment horizontal="left" indent="3"/>
    </xf>
    <xf numFmtId="0" fontId="42" fillId="7" borderId="33" xfId="0" applyFont="1" applyFill="1" applyBorder="1" applyAlignment="1">
      <alignment horizontal="center"/>
    </xf>
    <xf numFmtId="0" fontId="16" fillId="7" borderId="148" xfId="0" applyFont="1" applyFill="1" applyBorder="1" applyAlignment="1">
      <alignment horizontal="center"/>
    </xf>
    <xf numFmtId="0" fontId="42" fillId="7" borderId="149" xfId="0" applyFont="1" applyFill="1" applyBorder="1" applyAlignment="1">
      <alignment horizontal="left" indent="3"/>
    </xf>
    <xf numFmtId="0" fontId="42" fillId="7" borderId="149" xfId="0" applyFont="1" applyFill="1" applyBorder="1" applyAlignment="1">
      <alignment horizontal="center"/>
    </xf>
    <xf numFmtId="0" fontId="16" fillId="6" borderId="151" xfId="0" applyFont="1" applyFill="1" applyBorder="1" applyAlignment="1">
      <alignment horizontal="center"/>
    </xf>
    <xf numFmtId="0" fontId="16" fillId="7" borderId="151" xfId="0" applyFont="1" applyFill="1" applyBorder="1" applyAlignment="1">
      <alignment horizontal="center"/>
    </xf>
    <xf numFmtId="0" fontId="14" fillId="2" borderId="151" xfId="0" applyFont="1" applyFill="1" applyBorder="1" applyAlignment="1">
      <alignment horizontal="center"/>
    </xf>
    <xf numFmtId="0" fontId="16" fillId="0" borderId="151" xfId="0" applyFont="1" applyBorder="1" applyAlignment="1">
      <alignment horizontal="center"/>
    </xf>
    <xf numFmtId="0" fontId="16" fillId="7" borderId="152" xfId="0" applyFont="1" applyFill="1" applyBorder="1" applyAlignment="1">
      <alignment horizontal="center"/>
    </xf>
    <xf numFmtId="0" fontId="42" fillId="7" borderId="153" xfId="0" applyFont="1" applyFill="1" applyBorder="1" applyAlignment="1">
      <alignment horizontal="left" indent="3"/>
    </xf>
    <xf numFmtId="0" fontId="42" fillId="7" borderId="153" xfId="0" applyFont="1" applyFill="1" applyBorder="1" applyAlignment="1">
      <alignment horizontal="center"/>
    </xf>
    <xf numFmtId="0" fontId="22" fillId="10" borderId="141" xfId="3" applyFont="1" applyFill="1" applyBorder="1" applyAlignment="1">
      <alignment horizontal="right" vertical="center"/>
    </xf>
    <xf numFmtId="0" fontId="22" fillId="10" borderId="12" xfId="3" applyFont="1" applyFill="1" applyBorder="1" applyAlignment="1">
      <alignment horizontal="right" vertical="center"/>
    </xf>
    <xf numFmtId="0" fontId="22" fillId="10" borderId="60" xfId="3" applyFont="1" applyFill="1" applyBorder="1" applyAlignment="1">
      <alignment horizontal="right" vertical="center"/>
    </xf>
    <xf numFmtId="0" fontId="111" fillId="28" borderId="0" xfId="2" applyFont="1" applyFill="1"/>
    <xf numFmtId="0" fontId="112" fillId="28" borderId="0" xfId="2" applyFont="1" applyFill="1"/>
    <xf numFmtId="0" fontId="113" fillId="42" borderId="101" xfId="3" applyFont="1" applyFill="1" applyBorder="1" applyAlignment="1">
      <alignment horizontal="center" vertical="center"/>
    </xf>
    <xf numFmtId="0" fontId="77" fillId="10" borderId="140" xfId="3" applyFont="1" applyFill="1" applyBorder="1" applyAlignment="1">
      <alignment horizontal="left" vertical="center"/>
    </xf>
    <xf numFmtId="0" fontId="77" fillId="10" borderId="155" xfId="3" applyFont="1" applyFill="1" applyBorder="1" applyAlignment="1">
      <alignment horizontal="left" vertical="center"/>
    </xf>
    <xf numFmtId="0" fontId="92" fillId="20" borderId="158" xfId="0" applyFont="1" applyFill="1" applyBorder="1" applyAlignment="1">
      <alignment horizontal="center" vertical="center" wrapText="1"/>
    </xf>
    <xf numFmtId="0" fontId="92" fillId="20" borderId="159" xfId="0" applyFont="1" applyFill="1" applyBorder="1" applyAlignment="1">
      <alignment horizontal="center" vertical="center" wrapText="1"/>
    </xf>
    <xf numFmtId="0" fontId="61" fillId="0" borderId="158" xfId="0" applyFont="1" applyBorder="1"/>
    <xf numFmtId="0" fontId="61" fillId="0" borderId="159" xfId="0" applyFont="1" applyBorder="1"/>
    <xf numFmtId="0" fontId="46" fillId="3" borderId="158" xfId="0" applyFont="1" applyFill="1" applyBorder="1"/>
    <xf numFmtId="0" fontId="48" fillId="3" borderId="159" xfId="0" applyFont="1" applyFill="1" applyBorder="1"/>
    <xf numFmtId="0" fontId="45" fillId="0" borderId="156" xfId="0" applyFont="1" applyBorder="1"/>
    <xf numFmtId="0" fontId="45" fillId="0" borderId="158" xfId="0" applyFont="1" applyBorder="1"/>
    <xf numFmtId="0" fontId="45" fillId="0" borderId="159" xfId="0" applyFont="1" applyBorder="1"/>
    <xf numFmtId="0" fontId="45" fillId="20" borderId="160" xfId="0" applyFont="1" applyFill="1" applyBorder="1" applyAlignment="1">
      <alignment vertical="center"/>
    </xf>
    <xf numFmtId="0" fontId="54" fillId="20" borderId="161" xfId="0" applyFont="1" applyFill="1" applyBorder="1" applyAlignment="1">
      <alignment vertical="center"/>
    </xf>
    <xf numFmtId="0" fontId="64" fillId="20" borderId="161" xfId="0" applyFont="1" applyFill="1" applyBorder="1" applyAlignment="1">
      <alignment vertical="center"/>
    </xf>
    <xf numFmtId="0" fontId="0" fillId="43" borderId="0" xfId="0" applyFill="1" applyAlignment="1">
      <alignment vertical="center"/>
    </xf>
    <xf numFmtId="0" fontId="77" fillId="10" borderId="124" xfId="3" applyFont="1" applyFill="1" applyBorder="1" applyAlignment="1">
      <alignment horizontal="left" vertical="center"/>
    </xf>
    <xf numFmtId="0" fontId="77" fillId="10" borderId="103" xfId="3" applyFont="1" applyFill="1" applyBorder="1" applyAlignment="1">
      <alignment horizontal="left" vertical="center"/>
    </xf>
    <xf numFmtId="0" fontId="66" fillId="20" borderId="116" xfId="0" applyFont="1" applyFill="1" applyBorder="1" applyAlignment="1">
      <alignment horizontal="center" vertical="center"/>
    </xf>
    <xf numFmtId="0" fontId="45" fillId="4" borderId="104" xfId="3" applyFont="1" applyFill="1" applyBorder="1" applyAlignment="1">
      <alignment horizontal="center" vertical="center"/>
    </xf>
    <xf numFmtId="0" fontId="66" fillId="28" borderId="99" xfId="2" applyFont="1" applyFill="1" applyBorder="1" applyAlignment="1">
      <alignment vertical="center"/>
    </xf>
    <xf numFmtId="0" fontId="66" fillId="28" borderId="100" xfId="2" applyFont="1" applyFill="1" applyBorder="1" applyAlignment="1">
      <alignment vertical="center"/>
    </xf>
    <xf numFmtId="0" fontId="66" fillId="28" borderId="0" xfId="2" applyFont="1" applyFill="1" applyAlignment="1">
      <alignment vertical="center"/>
    </xf>
    <xf numFmtId="0" fontId="66" fillId="28" borderId="91" xfId="2" applyFont="1" applyFill="1" applyBorder="1" applyAlignment="1">
      <alignment vertical="center"/>
    </xf>
    <xf numFmtId="0" fontId="86" fillId="5" borderId="116" xfId="0" applyFont="1" applyFill="1" applyBorder="1" applyAlignment="1">
      <alignment horizontal="center" vertical="center"/>
    </xf>
    <xf numFmtId="0" fontId="87" fillId="5" borderId="167" xfId="0" applyFont="1" applyFill="1" applyBorder="1" applyAlignment="1">
      <alignment horizontal="center" vertical="center"/>
    </xf>
    <xf numFmtId="0" fontId="30" fillId="20" borderId="171" xfId="0" applyFont="1" applyFill="1" applyBorder="1" applyAlignment="1">
      <alignment vertical="center"/>
    </xf>
    <xf numFmtId="0" fontId="28" fillId="39" borderId="172" xfId="0" applyFont="1" applyFill="1" applyBorder="1" applyAlignment="1">
      <alignment horizontal="center" vertical="center"/>
    </xf>
    <xf numFmtId="0" fontId="4" fillId="16" borderId="162" xfId="0" applyFont="1" applyFill="1" applyBorder="1" applyAlignment="1">
      <alignment vertical="center"/>
    </xf>
    <xf numFmtId="0" fontId="112" fillId="28" borderId="0" xfId="2" applyFont="1" applyFill="1" applyAlignment="1">
      <alignment horizontal="left" vertical="center"/>
    </xf>
    <xf numFmtId="0" fontId="4" fillId="4" borderId="18" xfId="3" applyFont="1" applyFill="1" applyBorder="1" applyAlignment="1">
      <alignment horizontal="center" vertical="center"/>
    </xf>
    <xf numFmtId="0" fontId="4" fillId="53" borderId="0" xfId="4" applyFont="1" applyFill="1"/>
    <xf numFmtId="0" fontId="4" fillId="43" borderId="0" xfId="4" applyFont="1" applyFill="1"/>
    <xf numFmtId="0" fontId="119" fillId="0" borderId="0" xfId="4" applyFont="1"/>
    <xf numFmtId="0" fontId="120" fillId="0" borderId="0" xfId="4" applyFont="1" applyAlignment="1">
      <alignment vertical="center"/>
    </xf>
    <xf numFmtId="0" fontId="107" fillId="0" borderId="0" xfId="4" applyFont="1"/>
    <xf numFmtId="0" fontId="106" fillId="0" borderId="0" xfId="4" applyFont="1" applyAlignment="1">
      <alignment vertical="center"/>
    </xf>
    <xf numFmtId="0" fontId="53" fillId="58" borderId="128" xfId="0" applyFont="1" applyFill="1" applyBorder="1" applyAlignment="1">
      <alignment horizontal="center" vertical="center" wrapText="1"/>
    </xf>
    <xf numFmtId="0" fontId="53" fillId="58" borderId="112" xfId="0" applyFont="1" applyFill="1" applyBorder="1" applyAlignment="1">
      <alignment horizontal="center" vertical="center" wrapText="1"/>
    </xf>
    <xf numFmtId="0" fontId="53" fillId="58" borderId="113" xfId="0" applyFont="1" applyFill="1" applyBorder="1" applyAlignment="1">
      <alignment horizontal="center" vertical="center" wrapText="1"/>
    </xf>
    <xf numFmtId="0" fontId="84" fillId="59" borderId="107" xfId="0" applyFont="1" applyFill="1" applyBorder="1" applyAlignment="1">
      <alignment horizontal="center" vertical="center" wrapText="1"/>
    </xf>
    <xf numFmtId="0" fontId="82" fillId="59" borderId="32" xfId="0" applyFont="1" applyFill="1" applyBorder="1" applyAlignment="1">
      <alignment horizontal="center" vertical="center" wrapText="1"/>
    </xf>
    <xf numFmtId="0" fontId="97" fillId="16" borderId="29" xfId="0" applyFont="1" applyFill="1" applyBorder="1" applyAlignment="1">
      <alignment vertical="center"/>
    </xf>
    <xf numFmtId="0" fontId="52" fillId="27" borderId="1" xfId="1" applyFont="1" applyFill="1" applyBorder="1" applyAlignment="1">
      <alignment horizontal="center" vertical="center"/>
    </xf>
    <xf numFmtId="0" fontId="77" fillId="10" borderId="14" xfId="3" applyFont="1" applyFill="1" applyBorder="1" applyAlignment="1">
      <alignment vertical="center"/>
    </xf>
    <xf numFmtId="0" fontId="45" fillId="4" borderId="58" xfId="3" applyFont="1" applyFill="1" applyBorder="1" applyAlignment="1">
      <alignment horizontal="center" vertical="center"/>
    </xf>
    <xf numFmtId="0" fontId="57" fillId="34" borderId="56" xfId="1" applyFont="1" applyFill="1" applyBorder="1" applyAlignment="1">
      <alignment horizontal="center" vertical="center" wrapText="1"/>
    </xf>
    <xf numFmtId="0" fontId="52" fillId="23" borderId="29" xfId="2" applyFont="1" applyFill="1" applyBorder="1" applyAlignment="1">
      <alignment horizontal="center" vertical="center" wrapText="1"/>
    </xf>
    <xf numFmtId="0" fontId="54" fillId="60" borderId="0" xfId="0" applyFont="1" applyFill="1" applyAlignment="1">
      <alignment horizontal="center" vertical="center"/>
    </xf>
    <xf numFmtId="0" fontId="0" fillId="28" borderId="0" xfId="0" applyFill="1"/>
    <xf numFmtId="0" fontId="125" fillId="60" borderId="0" xfId="0" applyFont="1" applyFill="1" applyAlignment="1">
      <alignment horizontal="left" vertical="center"/>
    </xf>
    <xf numFmtId="0" fontId="125" fillId="0" borderId="91" xfId="0" applyFont="1" applyBorder="1" applyAlignment="1">
      <alignment horizontal="center"/>
    </xf>
    <xf numFmtId="0" fontId="125" fillId="0" borderId="0" xfId="0" applyFont="1" applyAlignment="1">
      <alignment horizontal="center"/>
    </xf>
    <xf numFmtId="0" fontId="125" fillId="0" borderId="0" xfId="0" applyFont="1"/>
    <xf numFmtId="0" fontId="122" fillId="0" borderId="92" xfId="1" applyFont="1" applyBorder="1" applyAlignment="1">
      <alignment horizontal="left" vertical="center"/>
    </xf>
    <xf numFmtId="0" fontId="125" fillId="0" borderId="0" xfId="1" applyFont="1" applyAlignment="1">
      <alignment horizontal="left" vertical="center"/>
    </xf>
    <xf numFmtId="0" fontId="125" fillId="0" borderId="92" xfId="1" applyFont="1" applyBorder="1" applyAlignment="1">
      <alignment horizontal="left" vertical="center"/>
    </xf>
    <xf numFmtId="0" fontId="125" fillId="4" borderId="100" xfId="3" applyFont="1" applyFill="1" applyBorder="1" applyAlignment="1">
      <alignment horizontal="center" vertical="center"/>
    </xf>
    <xf numFmtId="0" fontId="121" fillId="54" borderId="179" xfId="4" applyFont="1" applyFill="1" applyBorder="1" applyAlignment="1">
      <alignment vertical="center" wrapText="1"/>
    </xf>
    <xf numFmtId="0" fontId="121" fillId="54" borderId="185" xfId="4" applyFont="1" applyFill="1" applyBorder="1" applyAlignment="1">
      <alignment vertical="center" wrapText="1"/>
    </xf>
    <xf numFmtId="0" fontId="126" fillId="55" borderId="188" xfId="4" applyFont="1" applyFill="1" applyBorder="1" applyAlignment="1">
      <alignment vertical="center" wrapText="1"/>
    </xf>
    <xf numFmtId="0" fontId="126" fillId="55" borderId="189" xfId="4" applyFont="1" applyFill="1" applyBorder="1" applyAlignment="1">
      <alignment vertical="center" wrapText="1"/>
    </xf>
    <xf numFmtId="0" fontId="126" fillId="55" borderId="191" xfId="4" applyFont="1" applyFill="1" applyBorder="1" applyAlignment="1">
      <alignment vertical="center" wrapText="1"/>
    </xf>
    <xf numFmtId="0" fontId="126" fillId="55" borderId="192" xfId="4" applyFont="1" applyFill="1" applyBorder="1" applyAlignment="1">
      <alignment vertical="center" wrapText="1"/>
    </xf>
    <xf numFmtId="0" fontId="29" fillId="0" borderId="190" xfId="4" applyFont="1" applyBorder="1" applyAlignment="1">
      <alignment vertical="center"/>
    </xf>
    <xf numFmtId="0" fontId="3" fillId="0" borderId="0" xfId="4" applyFont="1"/>
    <xf numFmtId="2" fontId="126" fillId="55" borderId="199" xfId="4" applyNumberFormat="1" applyFont="1" applyFill="1" applyBorder="1" applyAlignment="1">
      <alignment vertical="center" wrapText="1"/>
    </xf>
    <xf numFmtId="2" fontId="129" fillId="56" borderId="199" xfId="4" applyNumberFormat="1" applyFont="1" applyFill="1" applyBorder="1" applyAlignment="1">
      <alignment vertical="center" wrapText="1"/>
    </xf>
    <xf numFmtId="2" fontId="126" fillId="55" borderId="190" xfId="4" applyNumberFormat="1" applyFont="1" applyFill="1" applyBorder="1" applyAlignment="1">
      <alignment vertical="center" wrapText="1"/>
    </xf>
    <xf numFmtId="2" fontId="129" fillId="56" borderId="190" xfId="4" applyNumberFormat="1" applyFont="1" applyFill="1" applyBorder="1" applyAlignment="1">
      <alignment vertical="center" wrapText="1"/>
    </xf>
    <xf numFmtId="0" fontId="122" fillId="0" borderId="0" xfId="4" applyFont="1" applyAlignment="1">
      <alignment horizontal="left" vertical="center"/>
    </xf>
    <xf numFmtId="0" fontId="125" fillId="4" borderId="12" xfId="3" applyFont="1" applyFill="1" applyBorder="1" applyAlignment="1">
      <alignment horizontal="center" vertical="center"/>
    </xf>
    <xf numFmtId="0" fontId="125" fillId="0" borderId="0" xfId="2" applyFont="1" applyAlignment="1">
      <alignment horizontal="center"/>
    </xf>
    <xf numFmtId="0" fontId="133" fillId="0" borderId="0" xfId="0" applyFont="1"/>
    <xf numFmtId="0" fontId="59" fillId="22" borderId="33" xfId="2" applyFont="1" applyFill="1" applyBorder="1" applyAlignment="1">
      <alignment horizontal="center" vertical="center" wrapText="1"/>
    </xf>
    <xf numFmtId="0" fontId="35" fillId="0" borderId="163" xfId="0" applyFont="1" applyBorder="1"/>
    <xf numFmtId="0" fontId="2" fillId="0" borderId="164" xfId="0" applyFont="1" applyBorder="1"/>
    <xf numFmtId="0" fontId="2" fillId="0" borderId="165" xfId="0" applyFont="1" applyBorder="1"/>
    <xf numFmtId="0" fontId="52" fillId="69" borderId="0" xfId="0" applyFont="1" applyFill="1" applyAlignment="1">
      <alignment horizontal="center" vertical="center"/>
    </xf>
    <xf numFmtId="0" fontId="35" fillId="70" borderId="164" xfId="0" applyFont="1" applyFill="1" applyBorder="1"/>
    <xf numFmtId="0" fontId="35" fillId="16" borderId="164" xfId="0" applyFont="1" applyFill="1" applyBorder="1"/>
    <xf numFmtId="0" fontId="35" fillId="17" borderId="164" xfId="0" applyFont="1" applyFill="1" applyBorder="1"/>
    <xf numFmtId="0" fontId="37" fillId="17" borderId="32" xfId="1" applyFont="1" applyFill="1" applyBorder="1" applyAlignment="1">
      <alignment horizontal="center" vertical="center" wrapText="1"/>
    </xf>
    <xf numFmtId="0" fontId="30" fillId="18" borderId="32" xfId="1" applyFont="1" applyFill="1" applyBorder="1" applyAlignment="1">
      <alignment horizontal="center" vertical="center" wrapText="1"/>
    </xf>
    <xf numFmtId="0" fontId="37" fillId="0" borderId="116" xfId="1" applyFont="1" applyBorder="1" applyAlignment="1">
      <alignment horizontal="center" vertical="center" wrapText="1"/>
    </xf>
    <xf numFmtId="0" fontId="37" fillId="0" borderId="32" xfId="1" applyFont="1" applyBorder="1" applyAlignment="1">
      <alignment horizontal="center" vertical="center" wrapText="1"/>
    </xf>
    <xf numFmtId="0" fontId="37" fillId="0" borderId="108" xfId="1" applyFont="1" applyBorder="1" applyAlignment="1">
      <alignment horizontal="center" vertical="center" wrapText="1"/>
    </xf>
    <xf numFmtId="0" fontId="35" fillId="0" borderId="32" xfId="2" applyFont="1" applyBorder="1" applyAlignment="1">
      <alignment horizontal="center" vertical="center"/>
    </xf>
    <xf numFmtId="0" fontId="77" fillId="10" borderId="138" xfId="3" applyFont="1" applyFill="1" applyBorder="1" applyAlignment="1">
      <alignment horizontal="left" vertical="center"/>
    </xf>
    <xf numFmtId="0" fontId="77" fillId="10" borderId="139" xfId="3" applyFont="1" applyFill="1" applyBorder="1" applyAlignment="1">
      <alignment horizontal="left" vertical="center"/>
    </xf>
    <xf numFmtId="0" fontId="77" fillId="10" borderId="137" xfId="3" applyFont="1" applyFill="1" applyBorder="1" applyAlignment="1">
      <alignment horizontal="left" vertical="center"/>
    </xf>
    <xf numFmtId="0" fontId="2" fillId="0" borderId="266" xfId="0" applyFont="1" applyBorder="1"/>
    <xf numFmtId="0" fontId="139" fillId="0" borderId="0" xfId="0" applyFont="1"/>
    <xf numFmtId="0" fontId="140" fillId="0" borderId="0" xfId="0" applyFont="1"/>
    <xf numFmtId="0" fontId="141" fillId="0" borderId="257" xfId="0" applyFont="1" applyBorder="1"/>
    <xf numFmtId="0" fontId="141" fillId="0" borderId="257" xfId="0" applyFont="1" applyBorder="1" applyAlignment="1">
      <alignment horizontal="center"/>
    </xf>
    <xf numFmtId="0" fontId="139" fillId="0" borderId="0" xfId="0" applyFont="1" applyAlignment="1">
      <alignment vertical="center"/>
    </xf>
    <xf numFmtId="0" fontId="34" fillId="0" borderId="163" xfId="0" applyFont="1" applyBorder="1"/>
    <xf numFmtId="0" fontId="147" fillId="0" borderId="0" xfId="0" applyFont="1" applyAlignment="1">
      <alignment vertical="center"/>
    </xf>
    <xf numFmtId="0" fontId="2" fillId="0" borderId="277" xfId="0" applyFont="1" applyBorder="1"/>
    <xf numFmtId="0" fontId="149" fillId="0" borderId="251" xfId="0" applyFont="1" applyBorder="1" applyAlignment="1">
      <alignment horizontal="center" vertical="center"/>
    </xf>
    <xf numFmtId="0" fontId="53" fillId="26" borderId="278" xfId="0" applyFont="1" applyFill="1" applyBorder="1" applyAlignment="1">
      <alignment vertical="center"/>
    </xf>
    <xf numFmtId="0" fontId="149" fillId="0" borderId="0" xfId="0" applyFont="1" applyAlignment="1">
      <alignment horizontal="center" vertical="center"/>
    </xf>
    <xf numFmtId="0" fontId="53" fillId="26" borderId="256" xfId="0" applyFont="1" applyFill="1" applyBorder="1" applyAlignment="1">
      <alignment vertical="center"/>
    </xf>
    <xf numFmtId="0" fontId="47" fillId="0" borderId="0" xfId="0" applyFont="1"/>
    <xf numFmtId="0" fontId="150" fillId="0" borderId="0" xfId="0" applyFont="1"/>
    <xf numFmtId="0" fontId="54" fillId="61" borderId="279" xfId="0" applyFont="1" applyFill="1" applyBorder="1" applyAlignment="1">
      <alignment horizontal="center"/>
    </xf>
    <xf numFmtId="0" fontId="47" fillId="0" borderId="29" xfId="0" applyFont="1" applyBorder="1" applyAlignment="1">
      <alignment vertical="center"/>
    </xf>
    <xf numFmtId="0" fontId="47" fillId="0" borderId="29" xfId="0" applyFont="1" applyBorder="1" applyAlignment="1">
      <alignment horizontal="center" vertical="center"/>
    </xf>
    <xf numFmtId="0" fontId="47" fillId="0" borderId="39" xfId="0" applyFont="1" applyBorder="1" applyAlignment="1">
      <alignment vertical="center"/>
    </xf>
    <xf numFmtId="0" fontId="58" fillId="75" borderId="38" xfId="0" applyFont="1" applyFill="1" applyBorder="1" applyAlignment="1">
      <alignment horizontal="center" vertical="center"/>
    </xf>
    <xf numFmtId="0" fontId="58" fillId="18" borderId="29" xfId="0" applyFont="1" applyFill="1" applyBorder="1" applyAlignment="1">
      <alignment horizontal="center" vertical="center"/>
    </xf>
    <xf numFmtId="0" fontId="152" fillId="70" borderId="0" xfId="0" applyFont="1" applyFill="1"/>
    <xf numFmtId="0" fontId="151" fillId="71" borderId="0" xfId="0" applyFont="1" applyFill="1" applyAlignment="1">
      <alignment vertical="center"/>
    </xf>
    <xf numFmtId="0" fontId="115" fillId="28" borderId="91" xfId="2" applyFont="1" applyFill="1" applyBorder="1" applyAlignment="1">
      <alignment vertical="center"/>
    </xf>
    <xf numFmtId="0" fontId="145" fillId="28" borderId="91" xfId="2" applyFont="1" applyFill="1" applyBorder="1" applyAlignment="1">
      <alignment vertical="center"/>
    </xf>
    <xf numFmtId="0" fontId="115" fillId="28" borderId="0" xfId="2" applyFont="1" applyFill="1" applyAlignment="1">
      <alignment vertical="center"/>
    </xf>
    <xf numFmtId="0" fontId="145" fillId="28" borderId="0" xfId="2" applyFont="1" applyFill="1" applyAlignment="1">
      <alignment vertical="center"/>
    </xf>
    <xf numFmtId="0" fontId="0" fillId="43" borderId="0" xfId="0" applyFill="1"/>
    <xf numFmtId="0" fontId="97" fillId="16" borderId="64" xfId="0" applyFont="1" applyFill="1" applyBorder="1" applyAlignment="1">
      <alignment vertical="center"/>
    </xf>
    <xf numFmtId="0" fontId="45" fillId="0" borderId="0" xfId="0" applyFont="1" applyAlignment="1">
      <alignment vertical="center"/>
    </xf>
    <xf numFmtId="0" fontId="153" fillId="0" borderId="281" xfId="0" applyFont="1" applyBorder="1" applyAlignment="1">
      <alignment horizontal="center"/>
    </xf>
    <xf numFmtId="0" fontId="154" fillId="0" borderId="281" xfId="0" applyFont="1" applyBorder="1" applyAlignment="1">
      <alignment horizontal="center"/>
    </xf>
    <xf numFmtId="0" fontId="115" fillId="28" borderId="0" xfId="2" applyFont="1" applyFill="1" applyAlignment="1">
      <alignment horizontal="center" vertical="center"/>
    </xf>
    <xf numFmtId="0" fontId="35" fillId="70" borderId="0" xfId="0" applyFont="1" applyFill="1"/>
    <xf numFmtId="0" fontId="2" fillId="0" borderId="0" xfId="0" applyFont="1"/>
    <xf numFmtId="0" fontId="73" fillId="73"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1" fillId="0" borderId="29" xfId="0" applyFont="1" applyBorder="1" applyAlignment="1">
      <alignment vertical="center"/>
    </xf>
    <xf numFmtId="0" fontId="61" fillId="0" borderId="29" xfId="0" applyFont="1" applyBorder="1" applyAlignment="1">
      <alignment horizontal="center" vertical="center"/>
    </xf>
    <xf numFmtId="4" fontId="75" fillId="0" borderId="29" xfId="0" applyNumberFormat="1" applyFont="1" applyBorder="1" applyAlignment="1">
      <alignment vertical="center"/>
    </xf>
    <xf numFmtId="0" fontId="45" fillId="26" borderId="29" xfId="0" applyFont="1" applyFill="1" applyBorder="1" applyAlignment="1">
      <alignment vertical="center"/>
    </xf>
    <xf numFmtId="0" fontId="45" fillId="26" borderId="65" xfId="0" applyFont="1" applyFill="1" applyBorder="1" applyAlignment="1">
      <alignment vertical="center"/>
    </xf>
    <xf numFmtId="0" fontId="0" fillId="0" borderId="0" xfId="0" applyAlignment="1">
      <alignment horizontal="center" vertical="center"/>
    </xf>
    <xf numFmtId="0" fontId="0" fillId="0" borderId="0" xfId="3" applyFont="1"/>
    <xf numFmtId="0" fontId="77" fillId="10" borderId="12" xfId="3" applyFont="1" applyFill="1" applyBorder="1" applyAlignment="1">
      <alignment vertical="center"/>
    </xf>
    <xf numFmtId="0" fontId="4" fillId="0" borderId="0" xfId="4" applyFont="1"/>
    <xf numFmtId="0" fontId="126" fillId="55" borderId="190" xfId="4" applyFont="1" applyFill="1" applyBorder="1" applyAlignment="1">
      <alignment vertical="center" wrapText="1"/>
    </xf>
    <xf numFmtId="0" fontId="127" fillId="54" borderId="190" xfId="4" applyFont="1" applyFill="1" applyBorder="1" applyAlignment="1">
      <alignment vertical="center" wrapText="1"/>
    </xf>
    <xf numFmtId="0" fontId="73" fillId="41" borderId="190" xfId="4" applyFont="1" applyFill="1" applyBorder="1" applyAlignment="1">
      <alignment horizontal="center" vertical="center" wrapText="1"/>
    </xf>
    <xf numFmtId="0" fontId="128" fillId="41" borderId="198" xfId="4" applyFont="1" applyFill="1" applyBorder="1" applyAlignment="1">
      <alignment horizontal="center" vertical="center" wrapText="1"/>
    </xf>
    <xf numFmtId="0" fontId="126" fillId="55" borderId="199" xfId="4" applyFont="1" applyFill="1" applyBorder="1" applyAlignment="1">
      <alignment vertical="center" wrapText="1"/>
    </xf>
    <xf numFmtId="0" fontId="8" fillId="0" borderId="0" xfId="1" applyFont="1" applyAlignment="1">
      <alignment horizontal="center" vertical="center"/>
    </xf>
    <xf numFmtId="0" fontId="37" fillId="0" borderId="64" xfId="1" applyFont="1" applyBorder="1" applyAlignment="1">
      <alignment horizontal="center" vertical="center" wrapText="1"/>
    </xf>
    <xf numFmtId="0" fontId="37" fillId="0" borderId="54" xfId="1" applyFont="1" applyBorder="1" applyAlignment="1">
      <alignment horizontal="center" vertical="center" wrapText="1"/>
    </xf>
    <xf numFmtId="0" fontId="37" fillId="0" borderId="29" xfId="1" applyFont="1" applyBorder="1" applyAlignment="1">
      <alignment horizontal="center" vertical="center"/>
    </xf>
    <xf numFmtId="0" fontId="8" fillId="0" borderId="0" xfId="1" applyFont="1" applyAlignment="1">
      <alignment vertical="center"/>
    </xf>
    <xf numFmtId="0" fontId="8" fillId="0" borderId="0" xfId="1" applyFont="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37" fillId="0" borderId="57" xfId="1" applyFont="1" applyBorder="1" applyAlignment="1">
      <alignment horizontal="center" vertical="center"/>
    </xf>
    <xf numFmtId="0" fontId="37" fillId="0" borderId="65" xfId="1" applyFont="1" applyBorder="1" applyAlignment="1">
      <alignment horizontal="center" vertical="center" wrapText="1"/>
    </xf>
    <xf numFmtId="0" fontId="37" fillId="0" borderId="55" xfId="1" applyFont="1" applyBorder="1" applyAlignment="1">
      <alignment horizontal="center" vertical="center" wrapText="1"/>
    </xf>
    <xf numFmtId="0" fontId="37" fillId="0" borderId="56" xfId="1" applyFont="1" applyBorder="1" applyAlignment="1">
      <alignment horizontal="center" vertical="center"/>
    </xf>
    <xf numFmtId="0" fontId="52" fillId="27" borderId="29" xfId="1" applyFont="1" applyFill="1" applyBorder="1" applyAlignment="1">
      <alignment horizontal="right" vertical="center" wrapText="1"/>
    </xf>
    <xf numFmtId="0" fontId="0" fillId="0" borderId="0" xfId="0"/>
    <xf numFmtId="0" fontId="64" fillId="0" borderId="29" xfId="0" applyFont="1" applyBorder="1"/>
    <xf numFmtId="0" fontId="52" fillId="23" borderId="39" xfId="2" applyFont="1" applyFill="1" applyBorder="1" applyAlignment="1">
      <alignment horizontal="center" vertical="center" wrapText="1"/>
    </xf>
    <xf numFmtId="0" fontId="0" fillId="0" borderId="0" xfId="2" applyFont="1"/>
    <xf numFmtId="0" fontId="45" fillId="4" borderId="102" xfId="3" applyFont="1" applyFill="1" applyBorder="1" applyAlignment="1">
      <alignment horizontal="center" vertical="center"/>
    </xf>
    <xf numFmtId="0" fontId="45" fillId="4" borderId="106" xfId="3" applyFont="1" applyFill="1" applyBorder="1" applyAlignment="1">
      <alignment horizontal="center" vertical="center"/>
    </xf>
    <xf numFmtId="0" fontId="45" fillId="4" borderId="101" xfId="3" applyFont="1" applyFill="1" applyBorder="1" applyAlignment="1">
      <alignment horizontal="center" vertical="center"/>
    </xf>
    <xf numFmtId="0" fontId="47" fillId="0" borderId="30" xfId="0" applyFont="1" applyBorder="1"/>
    <xf numFmtId="0" fontId="47" fillId="17" borderId="30" xfId="0" applyFont="1" applyFill="1" applyBorder="1"/>
    <xf numFmtId="0" fontId="45" fillId="0" borderId="30" xfId="0" applyFont="1" applyBorder="1"/>
    <xf numFmtId="0" fontId="45" fillId="0" borderId="129" xfId="0" applyFont="1" applyBorder="1" applyAlignment="1">
      <alignment vertical="center" wrapText="1"/>
    </xf>
    <xf numFmtId="0" fontId="45" fillId="0" borderId="129" xfId="0" applyFont="1" applyBorder="1"/>
    <xf numFmtId="0" fontId="63" fillId="22" borderId="264" xfId="0" applyFont="1" applyFill="1" applyBorder="1" applyAlignment="1">
      <alignment vertical="center" wrapText="1"/>
    </xf>
    <xf numFmtId="0" fontId="64" fillId="0" borderId="264" xfId="0" applyFont="1" applyBorder="1"/>
    <xf numFmtId="0" fontId="5" fillId="0" borderId="29" xfId="2" applyFont="1" applyBorder="1"/>
    <xf numFmtId="0" fontId="62" fillId="0" borderId="33" xfId="2" applyFont="1" applyBorder="1"/>
    <xf numFmtId="0" fontId="45" fillId="0" borderId="29" xfId="0" applyFont="1" applyBorder="1"/>
    <xf numFmtId="0" fontId="0" fillId="41" borderId="283" xfId="0" applyFill="1" applyBorder="1"/>
    <xf numFmtId="0" fontId="0" fillId="0" borderId="0" xfId="0" applyAlignment="1">
      <alignment horizontal="center"/>
    </xf>
    <xf numFmtId="0" fontId="53" fillId="26" borderId="252" xfId="0" applyFont="1" applyFill="1" applyBorder="1" applyAlignment="1">
      <alignment vertical="center"/>
    </xf>
    <xf numFmtId="0" fontId="149" fillId="0" borderId="289" xfId="0" applyFont="1" applyBorder="1" applyAlignment="1">
      <alignment horizontal="center" vertical="center"/>
    </xf>
    <xf numFmtId="0" fontId="34" fillId="0" borderId="273" xfId="0" applyFont="1" applyBorder="1"/>
    <xf numFmtId="0" fontId="101" fillId="37" borderId="63" xfId="0" applyFont="1" applyFill="1" applyBorder="1" applyAlignment="1">
      <alignment horizontal="center" vertical="center"/>
    </xf>
    <xf numFmtId="0" fontId="66" fillId="20" borderId="29" xfId="0" applyFont="1" applyFill="1" applyBorder="1" applyAlignment="1">
      <alignment horizontal="left" vertical="center"/>
    </xf>
    <xf numFmtId="0" fontId="45" fillId="0" borderId="138" xfId="0" applyFont="1" applyBorder="1"/>
    <xf numFmtId="0" fontId="28" fillId="20" borderId="168" xfId="0" applyFont="1" applyFill="1" applyBorder="1" applyAlignment="1">
      <alignment vertical="center"/>
    </xf>
    <xf numFmtId="0" fontId="28" fillId="20" borderId="32" xfId="0" applyFont="1" applyFill="1" applyBorder="1" applyAlignment="1">
      <alignment vertical="center"/>
    </xf>
    <xf numFmtId="0" fontId="28" fillId="20" borderId="29" xfId="0" applyFont="1" applyFill="1" applyBorder="1" applyAlignment="1">
      <alignment vertical="center"/>
    </xf>
    <xf numFmtId="0" fontId="45" fillId="0" borderId="0" xfId="0" applyFont="1"/>
    <xf numFmtId="0" fontId="156" fillId="28" borderId="0" xfId="2" applyFont="1" applyFill="1" applyAlignment="1">
      <alignment horizontal="left" vertical="center"/>
    </xf>
    <xf numFmtId="0" fontId="73" fillId="26" borderId="162" xfId="0" applyFont="1" applyFill="1" applyBorder="1" applyAlignment="1">
      <alignment vertical="center"/>
    </xf>
    <xf numFmtId="0" fontId="138" fillId="25" borderId="279" xfId="0" applyFont="1" applyFill="1" applyBorder="1" applyAlignment="1">
      <alignment horizontal="center" vertical="center" wrapText="1"/>
    </xf>
    <xf numFmtId="0" fontId="143" fillId="74" borderId="294" xfId="0" applyFont="1" applyFill="1" applyBorder="1" applyAlignment="1">
      <alignment horizontal="center" vertical="center" wrapText="1"/>
    </xf>
    <xf numFmtId="0" fontId="142" fillId="17" borderId="294" xfId="0" applyFont="1" applyFill="1" applyBorder="1" applyAlignment="1">
      <alignment vertical="center" wrapText="1"/>
    </xf>
    <xf numFmtId="0" fontId="142" fillId="16" borderId="294" xfId="0" applyFont="1" applyFill="1" applyBorder="1" applyAlignment="1">
      <alignment vertical="center" wrapText="1"/>
    </xf>
    <xf numFmtId="0" fontId="139" fillId="0" borderId="294" xfId="0" applyFont="1" applyBorder="1" applyAlignment="1">
      <alignment horizontal="center" vertical="center" wrapText="1"/>
    </xf>
    <xf numFmtId="0" fontId="141" fillId="28" borderId="294" xfId="0" applyFont="1" applyFill="1" applyBorder="1" applyAlignment="1">
      <alignment vertical="center" wrapText="1"/>
    </xf>
    <xf numFmtId="0" fontId="139" fillId="0" borderId="294" xfId="0" applyFont="1" applyBorder="1" applyAlignment="1">
      <alignment vertical="center" wrapText="1"/>
    </xf>
    <xf numFmtId="0" fontId="80" fillId="75" borderId="294" xfId="0" applyFont="1" applyFill="1" applyBorder="1" applyAlignment="1">
      <alignment horizontal="center" vertical="center" wrapText="1"/>
    </xf>
    <xf numFmtId="0" fontId="144" fillId="17" borderId="294" xfId="0" applyFont="1" applyFill="1" applyBorder="1" applyAlignment="1">
      <alignment horizontal="center" vertical="center" wrapText="1"/>
    </xf>
    <xf numFmtId="0" fontId="144" fillId="16" borderId="294" xfId="0" applyFont="1" applyFill="1" applyBorder="1" applyAlignment="1">
      <alignment horizontal="center" vertical="center" wrapText="1"/>
    </xf>
    <xf numFmtId="0" fontId="140" fillId="0" borderId="294" xfId="0" applyFont="1" applyBorder="1" applyAlignment="1">
      <alignment vertical="center" wrapText="1"/>
    </xf>
    <xf numFmtId="0" fontId="140" fillId="0" borderId="294" xfId="0" applyFont="1" applyBorder="1" applyAlignment="1">
      <alignment horizontal="center" vertical="center" wrapText="1"/>
    </xf>
    <xf numFmtId="0" fontId="80" fillId="75" borderId="295" xfId="0" applyFont="1" applyFill="1" applyBorder="1" applyAlignment="1">
      <alignment horizontal="center" vertical="center" wrapText="1"/>
    </xf>
    <xf numFmtId="0" fontId="144" fillId="17" borderId="295" xfId="0" applyFont="1" applyFill="1" applyBorder="1" applyAlignment="1">
      <alignment horizontal="center" vertical="center" wrapText="1"/>
    </xf>
    <xf numFmtId="0" fontId="144" fillId="16" borderId="295" xfId="0" applyFont="1" applyFill="1" applyBorder="1" applyAlignment="1">
      <alignment horizontal="center" vertical="center" wrapText="1"/>
    </xf>
    <xf numFmtId="0" fontId="140" fillId="0" borderId="295" xfId="0" applyFont="1" applyBorder="1" applyAlignment="1">
      <alignment vertical="center" wrapText="1"/>
    </xf>
    <xf numFmtId="0" fontId="140" fillId="0" borderId="295" xfId="0" applyFont="1" applyBorder="1" applyAlignment="1">
      <alignment horizontal="center" vertical="center" wrapText="1"/>
    </xf>
    <xf numFmtId="0" fontId="146" fillId="25" borderId="290" xfId="0" applyFont="1" applyFill="1" applyBorder="1" applyAlignment="1">
      <alignment horizontal="center" vertical="center" wrapText="1"/>
    </xf>
    <xf numFmtId="0" fontId="146" fillId="25" borderId="296" xfId="0" applyFont="1" applyFill="1" applyBorder="1" applyAlignment="1">
      <alignment horizontal="center" vertical="center" wrapText="1"/>
    </xf>
    <xf numFmtId="0" fontId="146" fillId="25" borderId="297" xfId="0" applyFont="1" applyFill="1" applyBorder="1" applyAlignment="1">
      <alignment horizontal="center" vertical="center" wrapText="1"/>
    </xf>
    <xf numFmtId="166" fontId="97" fillId="17" borderId="29" xfId="0" applyNumberFormat="1" applyFont="1" applyFill="1" applyBorder="1" applyAlignment="1">
      <alignment horizontal="center" vertical="center"/>
    </xf>
    <xf numFmtId="167" fontId="75" fillId="6" borderId="0" xfId="0" applyNumberFormat="1" applyFont="1" applyFill="1" applyAlignment="1">
      <alignment vertical="center"/>
    </xf>
    <xf numFmtId="167" fontId="75" fillId="0" borderId="0" xfId="0" applyNumberFormat="1" applyFont="1" applyAlignment="1">
      <alignment vertical="center"/>
    </xf>
    <xf numFmtId="167" fontId="48" fillId="3" borderId="0" xfId="0" applyNumberFormat="1" applyFont="1" applyFill="1" applyAlignment="1">
      <alignment vertical="center"/>
    </xf>
    <xf numFmtId="166" fontId="139" fillId="0" borderId="294" xfId="0" applyNumberFormat="1" applyFont="1" applyBorder="1" applyAlignment="1">
      <alignment vertical="center" wrapText="1"/>
    </xf>
    <xf numFmtId="167" fontId="139" fillId="0" borderId="294" xfId="0" applyNumberFormat="1" applyFont="1" applyBorder="1" applyAlignment="1">
      <alignment vertical="center" wrapText="1"/>
    </xf>
    <xf numFmtId="169" fontId="139" fillId="0" borderId="294" xfId="0" applyNumberFormat="1" applyFont="1" applyBorder="1" applyAlignment="1">
      <alignment vertical="center" wrapText="1"/>
    </xf>
    <xf numFmtId="166" fontId="140" fillId="0" borderId="295" xfId="0" applyNumberFormat="1" applyFont="1" applyBorder="1" applyAlignment="1">
      <alignment vertical="center" wrapText="1"/>
    </xf>
    <xf numFmtId="167" fontId="140" fillId="0" borderId="295" xfId="0" applyNumberFormat="1" applyFont="1" applyBorder="1" applyAlignment="1">
      <alignment vertical="center" wrapText="1"/>
    </xf>
    <xf numFmtId="166" fontId="140" fillId="0" borderId="294" xfId="0" applyNumberFormat="1" applyFont="1" applyBorder="1" applyAlignment="1">
      <alignment vertical="center" wrapText="1"/>
    </xf>
    <xf numFmtId="167" fontId="140" fillId="0" borderId="294" xfId="0" applyNumberFormat="1" applyFont="1" applyBorder="1" applyAlignment="1">
      <alignment vertical="center" wrapText="1"/>
    </xf>
    <xf numFmtId="169" fontId="47" fillId="0" borderId="29" xfId="0" applyNumberFormat="1" applyFont="1" applyBorder="1" applyAlignment="1">
      <alignment horizontal="center" vertical="center"/>
    </xf>
    <xf numFmtId="168" fontId="75" fillId="0" borderId="29" xfId="0" applyNumberFormat="1" applyFont="1" applyBorder="1" applyAlignment="1">
      <alignment vertical="center"/>
    </xf>
    <xf numFmtId="168" fontId="61" fillId="0" borderId="65" xfId="0" applyNumberFormat="1" applyFont="1" applyBorder="1" applyAlignment="1">
      <alignment vertical="center"/>
    </xf>
    <xf numFmtId="168" fontId="48" fillId="3" borderId="65" xfId="0" applyNumberFormat="1" applyFont="1" applyFill="1" applyBorder="1" applyAlignment="1">
      <alignment vertical="center"/>
    </xf>
    <xf numFmtId="168" fontId="54" fillId="35" borderId="65" xfId="0" applyNumberFormat="1" applyFont="1" applyFill="1" applyBorder="1" applyAlignment="1">
      <alignment vertical="center"/>
    </xf>
    <xf numFmtId="167" fontId="63" fillId="26" borderId="29" xfId="0" applyNumberFormat="1" applyFont="1" applyFill="1" applyBorder="1" applyAlignment="1">
      <alignment vertical="center"/>
    </xf>
    <xf numFmtId="168" fontId="63" fillId="26" borderId="65" xfId="0" applyNumberFormat="1" applyFont="1" applyFill="1" applyBorder="1" applyAlignment="1">
      <alignment vertical="center"/>
    </xf>
    <xf numFmtId="168" fontId="66" fillId="20" borderId="65" xfId="0" applyNumberFormat="1" applyFont="1" applyFill="1" applyBorder="1" applyAlignment="1">
      <alignment vertical="center"/>
    </xf>
    <xf numFmtId="168" fontId="88" fillId="0" borderId="91" xfId="0" applyNumberFormat="1" applyFont="1" applyBorder="1"/>
    <xf numFmtId="168" fontId="88" fillId="0" borderId="119" xfId="0" applyNumberFormat="1" applyFont="1" applyBorder="1"/>
    <xf numFmtId="168" fontId="61" fillId="0" borderId="159" xfId="0" applyNumberFormat="1" applyFont="1" applyBorder="1"/>
    <xf numFmtId="167" fontId="61" fillId="0" borderId="159" xfId="0" applyNumberFormat="1" applyFont="1" applyBorder="1"/>
    <xf numFmtId="168" fontId="48" fillId="3" borderId="159" xfId="0" applyNumberFormat="1" applyFont="1" applyFill="1" applyBorder="1"/>
    <xf numFmtId="167" fontId="48" fillId="3" borderId="159" xfId="0" applyNumberFormat="1" applyFont="1" applyFill="1" applyBorder="1"/>
    <xf numFmtId="168" fontId="54" fillId="20" borderId="161" xfId="0" applyNumberFormat="1" applyFont="1" applyFill="1" applyBorder="1" applyAlignment="1">
      <alignment vertical="center"/>
    </xf>
    <xf numFmtId="168" fontId="88" fillId="0" borderId="0" xfId="0" applyNumberFormat="1" applyFont="1" applyAlignment="1">
      <alignment vertical="center"/>
    </xf>
    <xf numFmtId="169" fontId="48" fillId="34" borderId="29" xfId="0" applyNumberFormat="1" applyFont="1" applyFill="1" applyBorder="1" applyAlignment="1">
      <alignment horizontal="center"/>
    </xf>
    <xf numFmtId="169" fontId="54" fillId="20" borderId="112" xfId="0" applyNumberFormat="1" applyFont="1" applyFill="1" applyBorder="1" applyAlignment="1">
      <alignment horizontal="center" vertical="center"/>
    </xf>
    <xf numFmtId="169" fontId="70" fillId="36" borderId="32" xfId="0" applyNumberFormat="1" applyFont="1" applyFill="1" applyBorder="1" applyAlignment="1">
      <alignment horizontal="center"/>
    </xf>
    <xf numFmtId="169" fontId="42" fillId="7" borderId="29" xfId="0" applyNumberFormat="1" applyFont="1" applyFill="1" applyBorder="1" applyAlignment="1">
      <alignment horizontal="center"/>
    </xf>
    <xf numFmtId="169" fontId="42" fillId="6" borderId="29" xfId="0" applyNumberFormat="1" applyFont="1" applyFill="1" applyBorder="1" applyAlignment="1">
      <alignment horizontal="center"/>
    </xf>
    <xf numFmtId="169" fontId="70" fillId="36" borderId="29" xfId="0" applyNumberFormat="1" applyFont="1" applyFill="1" applyBorder="1" applyAlignment="1">
      <alignment horizontal="center"/>
    </xf>
    <xf numFmtId="169" fontId="54" fillId="20" borderId="29" xfId="0" applyNumberFormat="1" applyFont="1" applyFill="1" applyBorder="1" applyAlignment="1">
      <alignment horizontal="center" vertical="center"/>
    </xf>
    <xf numFmtId="169" fontId="42" fillId="0" borderId="29" xfId="0" applyNumberFormat="1" applyFont="1" applyBorder="1" applyAlignment="1">
      <alignment horizontal="center"/>
    </xf>
    <xf numFmtId="169" fontId="43" fillId="20" borderId="29" xfId="0" applyNumberFormat="1" applyFont="1" applyFill="1" applyBorder="1" applyAlignment="1">
      <alignment horizontal="center" vertical="center"/>
    </xf>
    <xf numFmtId="169" fontId="44" fillId="20" borderId="29" xfId="0" applyNumberFormat="1" applyFont="1" applyFill="1" applyBorder="1" applyAlignment="1">
      <alignment horizontal="center" vertical="center"/>
    </xf>
    <xf numFmtId="169" fontId="42" fillId="7" borderId="33" xfId="0" applyNumberFormat="1" applyFont="1" applyFill="1" applyBorder="1" applyAlignment="1">
      <alignment horizontal="center"/>
    </xf>
    <xf numFmtId="169" fontId="42" fillId="7" borderId="149" xfId="0" applyNumberFormat="1" applyFont="1" applyFill="1" applyBorder="1" applyAlignment="1">
      <alignment horizontal="center"/>
    </xf>
    <xf numFmtId="169" fontId="42" fillId="7" borderId="153" xfId="0" applyNumberFormat="1" applyFont="1" applyFill="1" applyBorder="1" applyAlignment="1">
      <alignment horizontal="center"/>
    </xf>
    <xf numFmtId="166" fontId="0" fillId="11" borderId="12" xfId="3" applyNumberFormat="1" applyFont="1" applyFill="1" applyBorder="1" applyAlignment="1">
      <alignment horizontal="center" vertical="center"/>
    </xf>
    <xf numFmtId="166" fontId="22" fillId="12" borderId="12" xfId="3" applyNumberFormat="1" applyFont="1" applyFill="1" applyBorder="1" applyAlignment="1">
      <alignment vertical="center"/>
    </xf>
    <xf numFmtId="169" fontId="126" fillId="55" borderId="191" xfId="4" applyNumberFormat="1" applyFont="1" applyFill="1" applyBorder="1" applyAlignment="1">
      <alignment vertical="center" wrapText="1"/>
    </xf>
    <xf numFmtId="169" fontId="126" fillId="55" borderId="192" xfId="4" applyNumberFormat="1" applyFont="1" applyFill="1" applyBorder="1" applyAlignment="1">
      <alignment vertical="center" wrapText="1"/>
    </xf>
    <xf numFmtId="169" fontId="126" fillId="55" borderId="190" xfId="4" applyNumberFormat="1" applyFont="1" applyFill="1" applyBorder="1" applyAlignment="1">
      <alignment vertical="center" wrapText="1"/>
    </xf>
    <xf numFmtId="167" fontId="129" fillId="56" borderId="199" xfId="4" applyNumberFormat="1" applyFont="1" applyFill="1" applyBorder="1" applyAlignment="1">
      <alignment vertical="center" wrapText="1"/>
    </xf>
    <xf numFmtId="167" fontId="129" fillId="56" borderId="190" xfId="4" applyNumberFormat="1" applyFont="1" applyFill="1" applyBorder="1" applyAlignment="1">
      <alignment vertical="center" wrapText="1"/>
    </xf>
    <xf numFmtId="169" fontId="126" fillId="55" borderId="189" xfId="4" applyNumberFormat="1" applyFont="1" applyFill="1" applyBorder="1" applyAlignment="1">
      <alignment vertical="center" wrapText="1"/>
    </xf>
    <xf numFmtId="164" fontId="126" fillId="55" borderId="192" xfId="4" applyNumberFormat="1" applyFont="1" applyFill="1" applyBorder="1" applyAlignment="1">
      <alignment vertical="center" wrapText="1"/>
    </xf>
    <xf numFmtId="164" fontId="126" fillId="55" borderId="190" xfId="4" applyNumberFormat="1" applyFont="1" applyFill="1" applyBorder="1" applyAlignment="1">
      <alignment vertical="center" wrapText="1"/>
    </xf>
    <xf numFmtId="167" fontId="47" fillId="16" borderId="30" xfId="0" applyNumberFormat="1" applyFont="1" applyFill="1" applyBorder="1" applyAlignment="1">
      <alignment horizontal="center"/>
    </xf>
    <xf numFmtId="167" fontId="47" fillId="17" borderId="30" xfId="0" applyNumberFormat="1" applyFont="1" applyFill="1" applyBorder="1" applyAlignment="1">
      <alignment horizontal="center"/>
    </xf>
    <xf numFmtId="167" fontId="43" fillId="18" borderId="133" xfId="0" applyNumberFormat="1" applyFont="1" applyFill="1" applyBorder="1" applyAlignment="1">
      <alignment horizontal="center"/>
    </xf>
    <xf numFmtId="167" fontId="47" fillId="16" borderId="30" xfId="0" applyNumberFormat="1" applyFont="1" applyFill="1" applyBorder="1"/>
    <xf numFmtId="167" fontId="43" fillId="18" borderId="133" xfId="0" applyNumberFormat="1" applyFont="1" applyFill="1" applyBorder="1"/>
    <xf numFmtId="167" fontId="48" fillId="3" borderId="30" xfId="0" applyNumberFormat="1" applyFont="1" applyFill="1" applyBorder="1"/>
    <xf numFmtId="167" fontId="58" fillId="19" borderId="133" xfId="0" applyNumberFormat="1" applyFont="1" applyFill="1" applyBorder="1"/>
    <xf numFmtId="167" fontId="35" fillId="16" borderId="32" xfId="2" applyNumberFormat="1" applyFont="1" applyFill="1" applyBorder="1" applyAlignment="1">
      <alignment horizontal="center" vertical="center"/>
    </xf>
    <xf numFmtId="167" fontId="35" fillId="17" borderId="32" xfId="2" applyNumberFormat="1" applyFont="1" applyFill="1" applyBorder="1" applyAlignment="1">
      <alignment horizontal="center" vertical="center"/>
    </xf>
    <xf numFmtId="167" fontId="33" fillId="18" borderId="265" xfId="2" applyNumberFormat="1" applyFont="1" applyFill="1" applyBorder="1" applyAlignment="1">
      <alignment horizontal="center" vertical="center"/>
    </xf>
    <xf numFmtId="167" fontId="56" fillId="19" borderId="28" xfId="2" applyNumberFormat="1" applyFont="1" applyFill="1" applyBorder="1" applyAlignment="1">
      <alignment horizontal="center"/>
    </xf>
    <xf numFmtId="0" fontId="0" fillId="0" borderId="29" xfId="0" applyBorder="1"/>
    <xf numFmtId="0" fontId="0" fillId="0" borderId="32" xfId="0" applyBorder="1"/>
    <xf numFmtId="0" fontId="45" fillId="4" borderId="98" xfId="3" applyFont="1" applyFill="1" applyBorder="1" applyAlignment="1">
      <alignment horizontal="center" vertical="center"/>
    </xf>
    <xf numFmtId="0" fontId="0" fillId="0" borderId="33" xfId="0" applyBorder="1"/>
    <xf numFmtId="0" fontId="45" fillId="0" borderId="30" xfId="0" applyFont="1" applyBorder="1" applyAlignment="1">
      <alignment vertical="center" wrapText="1"/>
    </xf>
    <xf numFmtId="0" fontId="0" fillId="0" borderId="283" xfId="0" applyBorder="1"/>
    <xf numFmtId="0" fontId="5" fillId="0" borderId="29" xfId="2" applyFont="1" applyBorder="1" applyAlignment="1">
      <alignment horizontal="center" vertical="center" wrapText="1"/>
    </xf>
    <xf numFmtId="165" fontId="159" fillId="3" borderId="176" xfId="0" applyNumberFormat="1" applyFont="1" applyFill="1" applyBorder="1" applyAlignment="1">
      <alignment vertical="center"/>
    </xf>
    <xf numFmtId="165" fontId="159" fillId="3" borderId="65" xfId="0" applyNumberFormat="1" applyFont="1" applyFill="1" applyBorder="1" applyAlignment="1">
      <alignment vertical="center"/>
    </xf>
    <xf numFmtId="165" fontId="87" fillId="49" borderId="114" xfId="0" applyNumberFormat="1" applyFont="1" applyFill="1" applyBorder="1" applyAlignment="1">
      <alignment vertical="center"/>
    </xf>
    <xf numFmtId="165" fontId="37" fillId="28" borderId="174" xfId="0" applyNumberFormat="1" applyFont="1" applyFill="1" applyBorder="1" applyAlignment="1">
      <alignment vertical="center"/>
    </xf>
    <xf numFmtId="165" fontId="37" fillId="28" borderId="65" xfId="0" applyNumberFormat="1" applyFont="1" applyFill="1" applyBorder="1" applyAlignment="1">
      <alignment vertical="center"/>
    </xf>
    <xf numFmtId="165" fontId="157" fillId="16" borderId="65" xfId="0" applyNumberFormat="1" applyFont="1" applyFill="1" applyBorder="1" applyAlignment="1">
      <alignment vertical="center"/>
    </xf>
    <xf numFmtId="0" fontId="0" fillId="0" borderId="0" xfId="0" applyAlignment="1"/>
    <xf numFmtId="0" fontId="73" fillId="16" borderId="162" xfId="0" applyFont="1" applyFill="1" applyBorder="1" applyAlignment="1">
      <alignment vertical="center"/>
    </xf>
    <xf numFmtId="165" fontId="97" fillId="26" borderId="29" xfId="0" applyNumberFormat="1" applyFont="1" applyFill="1" applyBorder="1" applyAlignment="1">
      <alignment vertical="center"/>
    </xf>
    <xf numFmtId="165" fontId="98" fillId="26" borderId="29" xfId="0" applyNumberFormat="1" applyFont="1" applyFill="1" applyBorder="1" applyAlignment="1">
      <alignment vertical="center"/>
    </xf>
    <xf numFmtId="0" fontId="52" fillId="0" borderId="97" xfId="1" applyFont="1" applyBorder="1" applyAlignment="1">
      <alignment horizontal="left" vertical="center"/>
    </xf>
    <xf numFmtId="0" fontId="52" fillId="0" borderId="58" xfId="1" applyFont="1" applyBorder="1" applyAlignment="1">
      <alignment vertical="center"/>
    </xf>
    <xf numFmtId="0" fontId="54" fillId="25" borderId="33" xfId="0" applyFont="1" applyFill="1" applyBorder="1" applyAlignment="1">
      <alignment horizontal="center" vertical="center"/>
    </xf>
    <xf numFmtId="0" fontId="54" fillId="25" borderId="35" xfId="0" applyFont="1" applyFill="1" applyBorder="1" applyAlignment="1">
      <alignment horizontal="center" vertical="center"/>
    </xf>
    <xf numFmtId="0" fontId="45" fillId="4" borderId="319" xfId="3" applyFont="1" applyFill="1" applyBorder="1" applyAlignment="1">
      <alignment horizontal="center" vertical="center"/>
    </xf>
    <xf numFmtId="0" fontId="45" fillId="4" borderId="321" xfId="3" applyFont="1" applyFill="1" applyBorder="1" applyAlignment="1">
      <alignment horizontal="center" vertical="center"/>
    </xf>
    <xf numFmtId="0" fontId="113" fillId="42" borderId="321" xfId="3" applyFont="1" applyFill="1" applyBorder="1" applyAlignment="1">
      <alignment horizontal="center" vertical="center"/>
    </xf>
    <xf numFmtId="0" fontId="45" fillId="4" borderId="323" xfId="3" applyFont="1" applyFill="1" applyBorder="1" applyAlignment="1">
      <alignment horizontal="center" vertical="center"/>
    </xf>
    <xf numFmtId="0" fontId="66" fillId="25" borderId="40" xfId="0" applyFont="1" applyFill="1" applyBorder="1" applyAlignment="1">
      <alignment horizontal="center" vertical="center"/>
    </xf>
    <xf numFmtId="0" fontId="0" fillId="0" borderId="266" xfId="0" applyBorder="1" applyAlignment="1"/>
    <xf numFmtId="0" fontId="55" fillId="18" borderId="38" xfId="0" applyFont="1" applyFill="1" applyBorder="1" applyAlignment="1">
      <alignment horizontal="center" vertical="center"/>
    </xf>
    <xf numFmtId="0" fontId="37" fillId="0" borderId="29" xfId="0" applyFont="1" applyBorder="1"/>
    <xf numFmtId="0" fontId="37" fillId="16" borderId="29" xfId="0" applyFont="1" applyFill="1" applyBorder="1" applyAlignment="1">
      <alignment horizontal="center" vertical="center"/>
    </xf>
    <xf numFmtId="171" fontId="37" fillId="17" borderId="39" xfId="0" applyNumberFormat="1" applyFont="1" applyFill="1" applyBorder="1"/>
    <xf numFmtId="0" fontId="0" fillId="0" borderId="324" xfId="0" applyBorder="1"/>
    <xf numFmtId="0" fontId="20" fillId="0" borderId="0" xfId="0" applyFont="1" applyAlignment="1">
      <alignment horizontal="center" vertical="center"/>
    </xf>
    <xf numFmtId="0" fontId="22" fillId="10" borderId="318" xfId="3" applyFont="1" applyFill="1" applyBorder="1" applyAlignment="1">
      <alignment horizontal="left" vertical="center"/>
    </xf>
    <xf numFmtId="0" fontId="22" fillId="10" borderId="320" xfId="3" applyFont="1" applyFill="1" applyBorder="1" applyAlignment="1">
      <alignment horizontal="left" vertical="center"/>
    </xf>
    <xf numFmtId="0" fontId="82" fillId="10" borderId="318" xfId="3" applyFont="1" applyFill="1" applyBorder="1" applyAlignment="1">
      <alignment horizontal="left" vertical="center"/>
    </xf>
    <xf numFmtId="0" fontId="82" fillId="10" borderId="320" xfId="3" applyFont="1" applyFill="1" applyBorder="1" applyAlignment="1">
      <alignment horizontal="left" vertical="center"/>
    </xf>
    <xf numFmtId="0" fontId="149" fillId="42" borderId="321" xfId="3" applyFont="1" applyFill="1" applyBorder="1" applyAlignment="1">
      <alignment horizontal="center" vertical="center"/>
    </xf>
    <xf numFmtId="0" fontId="82" fillId="10" borderId="322" xfId="3" applyFont="1" applyFill="1" applyBorder="1" applyAlignment="1">
      <alignment horizontal="left" vertical="center"/>
    </xf>
    <xf numFmtId="0" fontId="0" fillId="0" borderId="326" xfId="0" applyBorder="1"/>
    <xf numFmtId="0" fontId="22" fillId="10" borderId="327" xfId="3" applyFont="1" applyFill="1" applyBorder="1" applyAlignment="1">
      <alignment horizontal="left" vertical="center"/>
    </xf>
    <xf numFmtId="0" fontId="45" fillId="4" borderId="328" xfId="3" applyFont="1" applyFill="1" applyBorder="1" applyAlignment="1">
      <alignment horizontal="center" vertical="center"/>
    </xf>
    <xf numFmtId="0" fontId="55" fillId="18" borderId="30" xfId="0" applyFont="1" applyFill="1" applyBorder="1" applyAlignment="1">
      <alignment horizontal="center"/>
    </xf>
    <xf numFmtId="0" fontId="37" fillId="0" borderId="30" xfId="0" applyFont="1" applyBorder="1"/>
    <xf numFmtId="0" fontId="37" fillId="16" borderId="30" xfId="0" applyFont="1" applyFill="1" applyBorder="1" applyAlignment="1">
      <alignment horizontal="center"/>
    </xf>
    <xf numFmtId="171" fontId="37" fillId="17" borderId="30" xfId="0" applyNumberFormat="1" applyFont="1" applyFill="1" applyBorder="1"/>
    <xf numFmtId="0" fontId="55" fillId="18" borderId="129" xfId="0" applyFont="1" applyFill="1" applyBorder="1" applyAlignment="1">
      <alignment horizontal="center"/>
    </xf>
    <xf numFmtId="0" fontId="37" fillId="0" borderId="129" xfId="0" applyFont="1" applyBorder="1"/>
    <xf numFmtId="0" fontId="37" fillId="16" borderId="129" xfId="0" applyFont="1" applyFill="1" applyBorder="1" applyAlignment="1">
      <alignment horizontal="center"/>
    </xf>
    <xf numFmtId="171" fontId="37" fillId="17" borderId="129" xfId="0" applyNumberFormat="1" applyFont="1" applyFill="1" applyBorder="1"/>
    <xf numFmtId="0" fontId="28" fillId="25" borderId="329" xfId="0" applyFont="1" applyFill="1" applyBorder="1" applyAlignment="1">
      <alignment horizontal="center" vertical="center"/>
    </xf>
    <xf numFmtId="0" fontId="41" fillId="25" borderId="26" xfId="0" applyFont="1" applyFill="1" applyBorder="1" applyAlignment="1">
      <alignment horizontal="center" vertical="center"/>
    </xf>
    <xf numFmtId="0" fontId="41" fillId="25" borderId="291" xfId="0" applyFont="1" applyFill="1" applyBorder="1" applyAlignment="1">
      <alignment horizontal="center" vertical="center"/>
    </xf>
    <xf numFmtId="0" fontId="20" fillId="0" borderId="266" xfId="0" applyFont="1" applyBorder="1" applyAlignment="1">
      <alignment horizontal="center" vertical="center"/>
    </xf>
    <xf numFmtId="0" fontId="40" fillId="25" borderId="330" xfId="0" applyFont="1" applyFill="1" applyBorder="1" applyAlignment="1">
      <alignment horizontal="center" vertical="center"/>
    </xf>
    <xf numFmtId="0" fontId="40" fillId="25" borderId="301" xfId="0" applyFont="1" applyFill="1" applyBorder="1" applyAlignment="1">
      <alignment horizontal="center" vertical="center"/>
    </xf>
    <xf numFmtId="0" fontId="40" fillId="25" borderId="331" xfId="0" applyFont="1" applyFill="1" applyBorder="1" applyAlignment="1">
      <alignment horizontal="center" vertical="center"/>
    </xf>
    <xf numFmtId="0" fontId="55" fillId="18" borderId="30" xfId="0" applyFont="1" applyFill="1" applyBorder="1" applyAlignment="1">
      <alignment horizontal="center" vertical="center"/>
    </xf>
    <xf numFmtId="0" fontId="161" fillId="0" borderId="58" xfId="1" applyFont="1" applyBorder="1" applyAlignment="1">
      <alignment horizontal="center" vertical="center"/>
    </xf>
    <xf numFmtId="0" fontId="0" fillId="0" borderId="0" xfId="0"/>
    <xf numFmtId="0" fontId="5" fillId="16" borderId="108" xfId="0" applyFont="1" applyFill="1" applyBorder="1" applyAlignment="1">
      <alignment horizontal="center" vertical="center"/>
    </xf>
    <xf numFmtId="0" fontId="0" fillId="0" borderId="32" xfId="0" applyBorder="1"/>
    <xf numFmtId="0" fontId="0" fillId="0" borderId="108" xfId="0" applyBorder="1"/>
    <xf numFmtId="0" fontId="97" fillId="16" borderId="64" xfId="0" applyFont="1" applyFill="1" applyBorder="1" applyAlignment="1">
      <alignment vertical="center"/>
    </xf>
    <xf numFmtId="0" fontId="0" fillId="0" borderId="29" xfId="0" applyBorder="1"/>
    <xf numFmtId="0" fontId="157" fillId="26" borderId="64" xfId="0" applyFont="1" applyFill="1" applyBorder="1" applyAlignment="1">
      <alignment horizontal="left" vertical="center"/>
    </xf>
    <xf numFmtId="0" fontId="158" fillId="0" borderId="29" xfId="0" applyFont="1" applyBorder="1"/>
    <xf numFmtId="0" fontId="32" fillId="20" borderId="0" xfId="0" applyFont="1" applyFill="1" applyAlignment="1">
      <alignment horizontal="center" vertical="center"/>
    </xf>
    <xf numFmtId="0" fontId="97" fillId="16" borderId="173" xfId="0" applyFont="1" applyFill="1" applyBorder="1" applyAlignment="1">
      <alignment vertical="center"/>
    </xf>
    <xf numFmtId="0" fontId="28" fillId="25" borderId="0" xfId="0" applyFont="1" applyFill="1" applyAlignment="1">
      <alignment horizontal="center"/>
    </xf>
    <xf numFmtId="0" fontId="5" fillId="16" borderId="175" xfId="0" applyFont="1" applyFill="1" applyBorder="1" applyAlignment="1">
      <alignment horizontal="center" vertical="center"/>
    </xf>
    <xf numFmtId="0" fontId="0" fillId="0" borderId="153" xfId="0" applyBorder="1"/>
    <xf numFmtId="0" fontId="85" fillId="52" borderId="91" xfId="0" applyFont="1" applyFill="1" applyBorder="1" applyAlignment="1">
      <alignment horizontal="center" vertical="center"/>
    </xf>
    <xf numFmtId="0" fontId="0" fillId="0" borderId="91" xfId="0" applyBorder="1"/>
    <xf numFmtId="0" fontId="66" fillId="25" borderId="100" xfId="2" applyFont="1" applyFill="1" applyBorder="1" applyAlignment="1">
      <alignment horizontal="center" vertical="center"/>
    </xf>
    <xf numFmtId="0" fontId="0" fillId="0" borderId="100" xfId="0" applyBorder="1"/>
    <xf numFmtId="0" fontId="115" fillId="28" borderId="0" xfId="2" applyFont="1" applyFill="1" applyAlignment="1">
      <alignment horizontal="center" vertical="center"/>
    </xf>
    <xf numFmtId="0" fontId="1" fillId="16" borderId="65" xfId="0" applyFont="1" applyFill="1" applyBorder="1" applyAlignment="1">
      <alignment horizontal="center" vertical="center"/>
    </xf>
    <xf numFmtId="0" fontId="0" fillId="0" borderId="65" xfId="0" applyBorder="1"/>
    <xf numFmtId="0" fontId="52" fillId="41" borderId="162" xfId="0" applyFont="1" applyFill="1" applyBorder="1" applyAlignment="1">
      <alignment horizontal="center" vertical="center"/>
    </xf>
    <xf numFmtId="0" fontId="0" fillId="0" borderId="165" xfId="0" applyBorder="1"/>
    <xf numFmtId="0" fontId="38" fillId="3" borderId="29" xfId="0" applyFont="1" applyFill="1" applyBorder="1" applyAlignment="1">
      <alignment horizontal="center" vertical="center"/>
    </xf>
    <xf numFmtId="0" fontId="116" fillId="28" borderId="0" xfId="0" applyFont="1" applyFill="1" applyAlignment="1">
      <alignment horizontal="center" vertical="center"/>
    </xf>
    <xf numFmtId="0" fontId="5" fillId="16" borderId="64" xfId="0" applyFont="1" applyFill="1" applyBorder="1" applyAlignment="1">
      <alignment vertical="center"/>
    </xf>
    <xf numFmtId="0" fontId="73" fillId="41" borderId="162" xfId="0" applyFont="1" applyFill="1" applyBorder="1" applyAlignment="1">
      <alignment horizontal="center" vertical="center"/>
    </xf>
    <xf numFmtId="0" fontId="82" fillId="0" borderId="165" xfId="0" applyFont="1" applyBorder="1" applyAlignment="1">
      <alignment horizontal="center"/>
    </xf>
    <xf numFmtId="0" fontId="38" fillId="3" borderId="153" xfId="0" applyFont="1" applyFill="1" applyBorder="1" applyAlignment="1">
      <alignment horizontal="center" vertical="center"/>
    </xf>
    <xf numFmtId="0" fontId="29" fillId="16" borderId="162" xfId="0" applyFont="1" applyFill="1" applyBorder="1" applyAlignment="1">
      <alignment horizontal="center" vertical="center"/>
    </xf>
    <xf numFmtId="0" fontId="0" fillId="0" borderId="164" xfId="0" applyBorder="1"/>
    <xf numFmtId="0" fontId="101" fillId="0" borderId="98" xfId="1" applyFont="1" applyBorder="1" applyAlignment="1">
      <alignment vertical="center"/>
    </xf>
    <xf numFmtId="0" fontId="149" fillId="0" borderId="98" xfId="0" applyFont="1" applyBorder="1" applyAlignment="1"/>
    <xf numFmtId="0" fontId="0" fillId="0" borderId="0" xfId="0" applyAlignment="1">
      <alignment horizontal="center"/>
    </xf>
    <xf numFmtId="0" fontId="87" fillId="49" borderId="105" xfId="0" applyFont="1" applyFill="1" applyBorder="1" applyAlignment="1">
      <alignment horizontal="center" vertical="center"/>
    </xf>
    <xf numFmtId="0" fontId="160" fillId="0" borderId="28" xfId="0" applyFont="1" applyBorder="1"/>
    <xf numFmtId="0" fontId="64" fillId="28" borderId="166" xfId="0" applyFont="1" applyFill="1" applyBorder="1" applyAlignment="1">
      <alignment horizontal="center" vertical="center"/>
    </xf>
    <xf numFmtId="0" fontId="0" fillId="0" borderId="166" xfId="0" applyBorder="1"/>
    <xf numFmtId="0" fontId="117" fillId="41" borderId="0" xfId="0" applyFont="1" applyFill="1" applyAlignment="1">
      <alignment horizontal="center" vertical="center"/>
    </xf>
    <xf numFmtId="0" fontId="5" fillId="16" borderId="205" xfId="0" applyFont="1" applyFill="1" applyBorder="1" applyAlignment="1">
      <alignment horizontal="center"/>
    </xf>
    <xf numFmtId="0" fontId="0" fillId="0" borderId="169" xfId="0" applyBorder="1"/>
    <xf numFmtId="0" fontId="0" fillId="0" borderId="170" xfId="0" applyBorder="1"/>
    <xf numFmtId="0" fontId="52" fillId="27" borderId="70" xfId="1" applyFont="1" applyFill="1" applyBorder="1" applyAlignment="1">
      <alignment horizontal="center" vertical="center"/>
    </xf>
    <xf numFmtId="0" fontId="0" fillId="0" borderId="1" xfId="0" applyBorder="1"/>
    <xf numFmtId="0" fontId="161" fillId="0" borderId="98" xfId="1" applyFont="1" applyBorder="1" applyAlignment="1">
      <alignment vertical="center"/>
    </xf>
    <xf numFmtId="0" fontId="52" fillId="27" borderId="71" xfId="1" applyFont="1" applyFill="1" applyBorder="1" applyAlignment="1">
      <alignment horizontal="center" vertical="center"/>
    </xf>
    <xf numFmtId="0" fontId="0" fillId="0" borderId="71" xfId="0" applyBorder="1"/>
    <xf numFmtId="0" fontId="66" fillId="25" borderId="316" xfId="2" applyFont="1" applyFill="1" applyBorder="1" applyAlignment="1">
      <alignment horizontal="center"/>
    </xf>
    <xf numFmtId="0" fontId="66" fillId="25" borderId="317" xfId="2" applyFont="1" applyFill="1" applyBorder="1" applyAlignment="1">
      <alignment horizontal="center"/>
    </xf>
    <xf numFmtId="0" fontId="32" fillId="25" borderId="0" xfId="0" applyFont="1" applyFill="1" applyAlignment="1">
      <alignment horizontal="center" vertical="center"/>
    </xf>
    <xf numFmtId="0" fontId="0" fillId="43" borderId="325" xfId="0" applyFill="1" applyBorder="1" applyAlignment="1">
      <alignment horizontal="center"/>
    </xf>
    <xf numFmtId="0" fontId="0" fillId="43" borderId="0" xfId="0" applyFill="1" applyAlignment="1">
      <alignment horizontal="center"/>
    </xf>
    <xf numFmtId="0" fontId="0" fillId="43" borderId="0" xfId="0" applyFill="1" applyBorder="1" applyAlignment="1">
      <alignment horizontal="center"/>
    </xf>
    <xf numFmtId="0" fontId="102" fillId="20" borderId="0" xfId="0" applyFont="1" applyFill="1" applyAlignment="1">
      <alignment horizontal="center" vertical="center"/>
    </xf>
    <xf numFmtId="0" fontId="76" fillId="0" borderId="0" xfId="0" applyFont="1" applyAlignment="1">
      <alignment vertical="center" wrapText="1"/>
    </xf>
    <xf numFmtId="0" fontId="114" fillId="28" borderId="91" xfId="2" applyFont="1" applyFill="1" applyBorder="1" applyAlignment="1">
      <alignment horizontal="center" vertical="center"/>
    </xf>
    <xf numFmtId="0" fontId="76" fillId="6" borderId="0" xfId="0" applyFont="1" applyFill="1" applyAlignment="1">
      <alignment vertical="center"/>
    </xf>
    <xf numFmtId="0" fontId="54" fillId="20" borderId="0" xfId="0" applyFont="1" applyFill="1" applyAlignment="1">
      <alignment horizontal="center" vertical="center"/>
    </xf>
    <xf numFmtId="0" fontId="76" fillId="0" borderId="0" xfId="0" applyFont="1" applyAlignment="1">
      <alignment vertical="center"/>
    </xf>
    <xf numFmtId="0" fontId="115" fillId="28" borderId="91" xfId="2" applyFont="1" applyFill="1" applyBorder="1" applyAlignment="1">
      <alignment horizontal="center" vertical="center"/>
    </xf>
    <xf numFmtId="0" fontId="94" fillId="52" borderId="60" xfId="0" applyFont="1" applyFill="1" applyBorder="1" applyAlignment="1">
      <alignment horizontal="center" vertical="center" wrapText="1"/>
    </xf>
    <xf numFmtId="0" fontId="0" fillId="0" borderId="60" xfId="0" applyBorder="1"/>
    <xf numFmtId="0" fontId="93" fillId="20" borderId="0" xfId="0" applyFont="1" applyFill="1" applyAlignment="1">
      <alignment horizontal="center" vertical="center"/>
    </xf>
    <xf numFmtId="0" fontId="45" fillId="0" borderId="0" xfId="0" applyFont="1" applyAlignment="1">
      <alignment vertical="center"/>
    </xf>
    <xf numFmtId="0" fontId="0" fillId="0" borderId="253" xfId="0" applyBorder="1" applyAlignment="1">
      <alignment horizontal="center"/>
    </xf>
    <xf numFmtId="0" fontId="0" fillId="0" borderId="253" xfId="0" applyBorder="1"/>
    <xf numFmtId="0" fontId="154" fillId="0" borderId="266" xfId="0" applyFont="1" applyBorder="1" applyAlignment="1">
      <alignment horizontal="center"/>
    </xf>
    <xf numFmtId="0" fontId="0" fillId="0" borderId="281" xfId="0" applyBorder="1"/>
    <xf numFmtId="0" fontId="0" fillId="0" borderId="282" xfId="0" applyBorder="1"/>
    <xf numFmtId="0" fontId="66" fillId="25" borderId="7" xfId="2" applyFont="1" applyFill="1" applyBorder="1" applyAlignment="1">
      <alignment horizontal="center"/>
    </xf>
    <xf numFmtId="0" fontId="0" fillId="0" borderId="31" xfId="0" applyBorder="1"/>
    <xf numFmtId="0" fontId="0" fillId="0" borderId="250" xfId="0" applyBorder="1"/>
    <xf numFmtId="0" fontId="153" fillId="0" borderId="266" xfId="0" applyFont="1" applyBorder="1" applyAlignment="1">
      <alignment horizontal="center"/>
    </xf>
    <xf numFmtId="0" fontId="45" fillId="4" borderId="280" xfId="3" applyFont="1" applyFill="1" applyBorder="1" applyAlignment="1">
      <alignment horizontal="center" vertical="center"/>
    </xf>
    <xf numFmtId="0" fontId="0" fillId="0" borderId="280" xfId="0" applyBorder="1"/>
    <xf numFmtId="0" fontId="0" fillId="0" borderId="249" xfId="0" applyBorder="1" applyAlignment="1">
      <alignment horizontal="center"/>
    </xf>
    <xf numFmtId="0" fontId="0" fillId="0" borderId="249" xfId="0" applyBorder="1"/>
    <xf numFmtId="0" fontId="113" fillId="42" borderId="157" xfId="3" applyFont="1" applyFill="1" applyBorder="1" applyAlignment="1">
      <alignment horizontal="center" vertical="center"/>
    </xf>
    <xf numFmtId="0" fontId="0" fillId="0" borderId="157" xfId="0" applyBorder="1"/>
    <xf numFmtId="0" fontId="45" fillId="4" borderId="150" xfId="3" applyFont="1" applyFill="1" applyBorder="1" applyAlignment="1">
      <alignment horizontal="center" vertical="center"/>
    </xf>
    <xf numFmtId="0" fontId="0" fillId="0" borderId="150" xfId="0" applyBorder="1"/>
    <xf numFmtId="0" fontId="45" fillId="4" borderId="157" xfId="3" applyFont="1" applyFill="1" applyBorder="1" applyAlignment="1">
      <alignment horizontal="center" vertical="center"/>
    </xf>
    <xf numFmtId="0" fontId="134" fillId="61" borderId="267" xfId="0" applyFont="1" applyFill="1" applyBorder="1" applyAlignment="1">
      <alignment horizontal="center" vertical="center"/>
    </xf>
    <xf numFmtId="0" fontId="0" fillId="0" borderId="293" xfId="0" applyBorder="1"/>
    <xf numFmtId="0" fontId="0" fillId="0" borderId="298" xfId="0" applyBorder="1"/>
    <xf numFmtId="0" fontId="41" fillId="62" borderId="254" xfId="0" applyFont="1" applyFill="1" applyBorder="1" applyAlignment="1">
      <alignment horizontal="center" vertical="center"/>
    </xf>
    <xf numFmtId="0" fontId="0" fillId="0" borderId="254" xfId="0" applyBorder="1"/>
    <xf numFmtId="0" fontId="137" fillId="0" borderId="270" xfId="0" applyFont="1" applyBorder="1"/>
    <xf numFmtId="0" fontId="0" fillId="0" borderId="255" xfId="0" applyBorder="1"/>
    <xf numFmtId="0" fontId="0" fillId="0" borderId="256" xfId="0" applyBorder="1"/>
    <xf numFmtId="0" fontId="135" fillId="64" borderId="0" xfId="0" applyFont="1" applyFill="1" applyAlignment="1">
      <alignment horizontal="center" vertical="center"/>
    </xf>
    <xf numFmtId="0" fontId="135" fillId="66" borderId="0" xfId="0" applyFont="1" applyFill="1" applyAlignment="1">
      <alignment horizontal="center" vertical="center"/>
    </xf>
    <xf numFmtId="0" fontId="2" fillId="0" borderId="0" xfId="0" applyFont="1" applyAlignment="1">
      <alignment horizontal="center"/>
    </xf>
    <xf numFmtId="0" fontId="40" fillId="61" borderId="0" xfId="0" applyFont="1" applyFill="1" applyAlignment="1">
      <alignment horizontal="center" vertical="center"/>
    </xf>
    <xf numFmtId="0" fontId="101" fillId="68" borderId="0" xfId="0" applyFont="1" applyFill="1" applyAlignment="1">
      <alignment horizontal="center" vertical="center"/>
    </xf>
    <xf numFmtId="0" fontId="41" fillId="64" borderId="0" xfId="0" applyFont="1" applyFill="1" applyAlignment="1">
      <alignment horizontal="center" vertical="center"/>
    </xf>
    <xf numFmtId="0" fontId="41" fillId="66" borderId="0" xfId="0" applyFont="1" applyFill="1" applyAlignment="1">
      <alignment horizontal="center" vertical="center"/>
    </xf>
    <xf numFmtId="0" fontId="137" fillId="0" borderId="268" xfId="0" applyFont="1" applyBorder="1"/>
    <xf numFmtId="0" fontId="0" fillId="0" borderId="269" xfId="0" applyBorder="1"/>
    <xf numFmtId="0" fontId="0" fillId="0" borderId="300" xfId="0" applyBorder="1"/>
    <xf numFmtId="0" fontId="114" fillId="28" borderId="0" xfId="2" applyFont="1" applyFill="1" applyAlignment="1">
      <alignment horizontal="center" vertical="center"/>
    </xf>
    <xf numFmtId="0" fontId="45" fillId="4" borderId="154" xfId="3" applyFont="1" applyFill="1" applyBorder="1" applyAlignment="1">
      <alignment horizontal="center" vertical="center"/>
    </xf>
    <xf numFmtId="0" fontId="0" fillId="0" borderId="154" xfId="0" applyBorder="1"/>
    <xf numFmtId="0" fontId="136" fillId="72" borderId="162" xfId="0" applyFont="1" applyFill="1" applyBorder="1" applyAlignment="1">
      <alignment vertical="center" wrapText="1"/>
    </xf>
    <xf numFmtId="0" fontId="0" fillId="0" borderId="206" xfId="0" applyBorder="1"/>
    <xf numFmtId="0" fontId="0" fillId="0" borderId="273" xfId="0" applyBorder="1"/>
    <xf numFmtId="0" fontId="0" fillId="0" borderId="274" xfId="0" applyBorder="1"/>
    <xf numFmtId="0" fontId="0" fillId="0" borderId="275" xfId="0" applyBorder="1"/>
    <xf numFmtId="0" fontId="0" fillId="0" borderId="258" xfId="0" applyBorder="1"/>
    <xf numFmtId="0" fontId="0" fillId="0" borderId="276" xfId="0" applyBorder="1"/>
    <xf numFmtId="0" fontId="2" fillId="43" borderId="249" xfId="0" applyFont="1" applyFill="1" applyBorder="1" applyAlignment="1">
      <alignment horizontal="center"/>
    </xf>
    <xf numFmtId="0" fontId="40" fillId="67" borderId="0" xfId="0" applyFont="1" applyFill="1" applyAlignment="1">
      <alignment horizontal="center" vertical="center"/>
    </xf>
    <xf numFmtId="0" fontId="40" fillId="61" borderId="278" xfId="0" applyFont="1" applyFill="1" applyBorder="1" applyAlignment="1">
      <alignment horizontal="center" vertical="center"/>
    </xf>
    <xf numFmtId="0" fontId="41" fillId="65" borderId="0" xfId="0" applyFont="1" applyFill="1" applyAlignment="1">
      <alignment horizontal="center" vertical="center"/>
    </xf>
    <xf numFmtId="0" fontId="137" fillId="0" borderId="271" xfId="0" applyFont="1" applyBorder="1"/>
    <xf numFmtId="0" fontId="0" fillId="0" borderId="272" xfId="0" applyBorder="1"/>
    <xf numFmtId="0" fontId="0" fillId="0" borderId="299" xfId="0" applyBorder="1"/>
    <xf numFmtId="0" fontId="2" fillId="0" borderId="266" xfId="0" applyFont="1" applyBorder="1" applyAlignment="1">
      <alignment horizontal="center"/>
    </xf>
    <xf numFmtId="0" fontId="135" fillId="65" borderId="0" xfId="0" applyFont="1" applyFill="1" applyAlignment="1">
      <alignment horizontal="center" vertical="center"/>
    </xf>
    <xf numFmtId="0" fontId="135" fillId="62" borderId="254" xfId="0" applyFont="1" applyFill="1" applyBorder="1" applyAlignment="1">
      <alignment horizontal="center" vertical="center"/>
    </xf>
    <xf numFmtId="0" fontId="66" fillId="25" borderId="288" xfId="2" applyFont="1" applyFill="1" applyBorder="1" applyAlignment="1">
      <alignment horizontal="center"/>
    </xf>
    <xf numFmtId="0" fontId="0" fillId="0" borderId="26" xfId="0" applyBorder="1"/>
    <xf numFmtId="0" fontId="0" fillId="0" borderId="302" xfId="0" applyBorder="1"/>
    <xf numFmtId="0" fontId="153" fillId="0" borderId="266" xfId="0" applyFont="1" applyBorder="1" applyAlignment="1">
      <alignment horizontal="center" vertical="center"/>
    </xf>
    <xf numFmtId="0" fontId="66" fillId="25" borderId="0" xfId="2" applyFont="1" applyFill="1" applyAlignment="1">
      <alignment horizontal="center"/>
    </xf>
    <xf numFmtId="0" fontId="0" fillId="0" borderId="0" xfId="0" applyAlignment="1">
      <alignment vertical="center"/>
    </xf>
    <xf numFmtId="0" fontId="139" fillId="0" borderId="0" xfId="0" applyFont="1"/>
    <xf numFmtId="0" fontId="0" fillId="0" borderId="0" xfId="0" applyAlignment="1">
      <alignment horizontal="center" vertical="center"/>
    </xf>
    <xf numFmtId="0" fontId="28" fillId="25" borderId="0" xfId="0" applyFont="1" applyFill="1" applyAlignment="1">
      <alignment horizontal="center" vertical="center"/>
    </xf>
    <xf numFmtId="0" fontId="2" fillId="0" borderId="0" xfId="0" applyFont="1"/>
    <xf numFmtId="0" fontId="145" fillId="28" borderId="91" xfId="2" applyFont="1" applyFill="1" applyBorder="1" applyAlignment="1">
      <alignment horizontal="center" vertical="center"/>
    </xf>
    <xf numFmtId="0" fontId="73" fillId="73" borderId="0" xfId="0" applyFont="1" applyFill="1" applyAlignment="1">
      <alignment horizontal="center" vertical="center"/>
    </xf>
    <xf numFmtId="0" fontId="132" fillId="0" borderId="0" xfId="0" applyFont="1" applyAlignment="1">
      <alignment horizontal="center" vertical="center"/>
    </xf>
    <xf numFmtId="0" fontId="92" fillId="25" borderId="290" xfId="0" applyFont="1" applyFill="1" applyBorder="1" applyAlignment="1">
      <alignment horizontal="center"/>
    </xf>
    <xf numFmtId="0" fontId="0" fillId="0" borderId="303" xfId="0" applyBorder="1"/>
    <xf numFmtId="0" fontId="32" fillId="76" borderId="0" xfId="0" applyFont="1" applyFill="1" applyAlignment="1">
      <alignment horizontal="center" vertical="center"/>
    </xf>
    <xf numFmtId="0" fontId="27" fillId="0" borderId="0" xfId="0" applyFont="1" applyAlignment="1">
      <alignment horizontal="center"/>
    </xf>
    <xf numFmtId="0" fontId="131" fillId="71" borderId="253" xfId="0" applyFont="1" applyFill="1" applyBorder="1" applyAlignment="1">
      <alignment horizontal="center"/>
    </xf>
    <xf numFmtId="0" fontId="27" fillId="0" borderId="253" xfId="0" applyFont="1" applyBorder="1" applyAlignment="1">
      <alignment horizontal="center"/>
    </xf>
    <xf numFmtId="0" fontId="32" fillId="61" borderId="0" xfId="0" applyFont="1" applyFill="1" applyAlignment="1">
      <alignment horizontal="center" vertical="center"/>
    </xf>
    <xf numFmtId="0" fontId="131" fillId="62" borderId="0" xfId="0" applyFont="1" applyFill="1"/>
    <xf numFmtId="0" fontId="148" fillId="0" borderId="0" xfId="0" applyFont="1" applyAlignment="1">
      <alignment horizontal="center" vertical="center"/>
    </xf>
    <xf numFmtId="0" fontId="32" fillId="28" borderId="0" xfId="0" applyFont="1" applyFill="1" applyAlignment="1">
      <alignment horizontal="center" vertical="center"/>
    </xf>
    <xf numFmtId="0" fontId="130" fillId="25" borderId="0" xfId="0" applyFont="1" applyFill="1" applyAlignment="1">
      <alignment horizontal="center"/>
    </xf>
    <xf numFmtId="0" fontId="27" fillId="63" borderId="0" xfId="0" applyFont="1" applyFill="1" applyAlignment="1">
      <alignment vertical="center" wrapText="1"/>
    </xf>
    <xf numFmtId="0" fontId="110" fillId="61"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6" fillId="20" borderId="108" xfId="0" applyFont="1" applyFill="1" applyBorder="1" applyAlignment="1">
      <alignment vertical="center"/>
    </xf>
    <xf numFmtId="0" fontId="61" fillId="0" borderId="29" xfId="0" applyFont="1" applyBorder="1" applyAlignment="1">
      <alignment vertical="center"/>
    </xf>
    <xf numFmtId="0" fontId="61" fillId="0" borderId="65" xfId="0" applyFont="1" applyBorder="1" applyAlignment="1">
      <alignment vertical="center"/>
    </xf>
    <xf numFmtId="0" fontId="111" fillId="28" borderId="91" xfId="2" applyFont="1" applyFill="1" applyBorder="1" applyAlignment="1">
      <alignment vertical="center"/>
    </xf>
    <xf numFmtId="0" fontId="66" fillId="20" borderId="29" xfId="0" applyFont="1" applyFill="1" applyBorder="1" applyAlignment="1">
      <alignment vertical="center"/>
    </xf>
    <xf numFmtId="0" fontId="155" fillId="3" borderId="207" xfId="0" applyFont="1" applyFill="1" applyBorder="1" applyAlignment="1">
      <alignment horizontal="center" vertical="center" wrapText="1"/>
    </xf>
    <xf numFmtId="0" fontId="0" fillId="0" borderId="99" xfId="0" applyBorder="1"/>
    <xf numFmtId="0" fontId="73" fillId="27" borderId="61" xfId="0" applyFont="1" applyFill="1" applyBorder="1" applyAlignment="1">
      <alignment horizontal="left" vertical="center"/>
    </xf>
    <xf numFmtId="0" fontId="0" fillId="0" borderId="62" xfId="0" applyBorder="1"/>
    <xf numFmtId="0" fontId="101" fillId="37" borderId="62" xfId="0" applyFont="1" applyFill="1" applyBorder="1" applyAlignment="1">
      <alignment horizontal="center" vertical="center"/>
    </xf>
    <xf numFmtId="0" fontId="54" fillId="35" borderId="29" xfId="0" applyFont="1" applyFill="1" applyBorder="1" applyAlignment="1">
      <alignment vertical="center"/>
    </xf>
    <xf numFmtId="0" fontId="66" fillId="25" borderId="207" xfId="2" applyFont="1" applyFill="1" applyBorder="1" applyAlignment="1">
      <alignment horizontal="center"/>
    </xf>
    <xf numFmtId="0" fontId="45" fillId="26" borderId="65" xfId="0" applyFont="1" applyFill="1" applyBorder="1" applyAlignment="1">
      <alignment vertical="center"/>
    </xf>
    <xf numFmtId="0" fontId="58" fillId="49" borderId="60" xfId="0" applyFont="1" applyFill="1" applyBorder="1" applyAlignment="1">
      <alignment horizontal="center" vertical="center" wrapText="1"/>
    </xf>
    <xf numFmtId="0" fontId="45" fillId="26" borderId="29" xfId="0" applyFont="1" applyFill="1" applyBorder="1" applyAlignment="1">
      <alignment vertical="center"/>
    </xf>
    <xf numFmtId="0" fontId="66" fillId="20" borderId="29" xfId="0" applyFont="1" applyFill="1" applyBorder="1" applyAlignment="1">
      <alignment horizontal="left" vertical="center"/>
    </xf>
    <xf numFmtId="0" fontId="64" fillId="20" borderId="304" xfId="0" applyFont="1" applyFill="1" applyBorder="1" applyAlignment="1">
      <alignment vertical="center"/>
    </xf>
    <xf numFmtId="168" fontId="61" fillId="0" borderId="209" xfId="0" applyNumberFormat="1" applyFont="1" applyBorder="1"/>
    <xf numFmtId="168" fontId="48" fillId="3" borderId="209" xfId="0" applyNumberFormat="1" applyFont="1" applyFill="1" applyBorder="1"/>
    <xf numFmtId="0" fontId="45" fillId="4" borderId="140" xfId="3" applyFont="1" applyFill="1" applyBorder="1" applyAlignment="1">
      <alignment horizontal="center" vertical="center"/>
    </xf>
    <xf numFmtId="0" fontId="95" fillId="34" borderId="140" xfId="0" applyFont="1" applyFill="1" applyBorder="1" applyAlignment="1">
      <alignment horizontal="center" vertical="center"/>
    </xf>
    <xf numFmtId="0" fontId="0" fillId="0" borderId="138" xfId="0" applyBorder="1"/>
    <xf numFmtId="0" fontId="110" fillId="20" borderId="208" xfId="0" applyFont="1" applyFill="1" applyBorder="1" applyAlignment="1">
      <alignment horizontal="center" vertical="center"/>
    </xf>
    <xf numFmtId="0" fontId="0" fillId="0" borderId="137" xfId="0" applyBorder="1"/>
    <xf numFmtId="0" fontId="92" fillId="20" borderId="209" xfId="0" applyFont="1" applyFill="1" applyBorder="1" applyAlignment="1">
      <alignment horizontal="center" vertical="center" wrapText="1"/>
    </xf>
    <xf numFmtId="0" fontId="45" fillId="0" borderId="209" xfId="0" applyFont="1" applyBorder="1"/>
    <xf numFmtId="0" fontId="113" fillId="42" borderId="140" xfId="3" applyFont="1" applyFill="1" applyBorder="1" applyAlignment="1">
      <alignment horizontal="center" vertical="center"/>
    </xf>
    <xf numFmtId="0" fontId="45" fillId="0" borderId="157" xfId="0" applyFont="1" applyBorder="1"/>
    <xf numFmtId="0" fontId="45" fillId="4" borderId="155" xfId="3" applyFont="1" applyFill="1" applyBorder="1" applyAlignment="1">
      <alignment horizontal="center" vertical="center"/>
    </xf>
    <xf numFmtId="168" fontId="45" fillId="0" borderId="157" xfId="0" applyNumberFormat="1" applyFont="1" applyBorder="1"/>
    <xf numFmtId="0" fontId="100" fillId="52" borderId="0" xfId="0" applyFont="1" applyFill="1" applyAlignment="1">
      <alignment horizontal="center" vertical="center" wrapText="1"/>
    </xf>
    <xf numFmtId="168" fontId="61" fillId="0" borderId="292" xfId="0" applyNumberFormat="1" applyFont="1" applyBorder="1"/>
    <xf numFmtId="0" fontId="42" fillId="0" borderId="0" xfId="0" applyFont="1" applyAlignment="1">
      <alignment horizontal="center"/>
    </xf>
    <xf numFmtId="0" fontId="42" fillId="7" borderId="154" xfId="0" applyFont="1" applyFill="1" applyBorder="1" applyAlignment="1">
      <alignment horizontal="center"/>
    </xf>
    <xf numFmtId="0" fontId="42" fillId="6" borderId="0" xfId="0" applyFont="1" applyFill="1" applyAlignment="1">
      <alignment horizontal="center"/>
    </xf>
    <xf numFmtId="0" fontId="42" fillId="7" borderId="150" xfId="0" applyFont="1" applyFill="1" applyBorder="1" applyAlignment="1">
      <alignment horizontal="center"/>
    </xf>
    <xf numFmtId="0" fontId="0" fillId="0" borderId="139" xfId="0" applyBorder="1"/>
    <xf numFmtId="0" fontId="42" fillId="7" borderId="146" xfId="0" applyFont="1" applyFill="1" applyBorder="1" applyAlignment="1">
      <alignment horizontal="center"/>
    </xf>
    <xf numFmtId="0" fontId="0" fillId="0" borderId="146" xfId="0" applyBorder="1"/>
    <xf numFmtId="0" fontId="42" fillId="7" borderId="0" xfId="0" applyFont="1" applyFill="1" applyAlignment="1">
      <alignment horizontal="center"/>
    </xf>
    <xf numFmtId="0" fontId="81" fillId="20" borderId="0" xfId="0" applyFont="1" applyFill="1" applyAlignment="1">
      <alignment horizontal="center"/>
    </xf>
    <xf numFmtId="0" fontId="70" fillId="36" borderId="0" xfId="0" applyFont="1" applyFill="1" applyAlignment="1">
      <alignment horizontal="center"/>
    </xf>
    <xf numFmtId="0" fontId="20" fillId="51" borderId="143" xfId="3" applyFont="1" applyFill="1" applyBorder="1" applyAlignment="1">
      <alignment horizontal="center" vertical="center"/>
    </xf>
    <xf numFmtId="0" fontId="0" fillId="0" borderId="142" xfId="0" applyBorder="1"/>
    <xf numFmtId="0" fontId="0" fillId="0" borderId="143" xfId="0" applyBorder="1"/>
    <xf numFmtId="0" fontId="66" fillId="25" borderId="140" xfId="0" applyFont="1" applyFill="1" applyBorder="1" applyAlignment="1">
      <alignment horizontal="center"/>
    </xf>
    <xf numFmtId="0" fontId="109" fillId="28" borderId="146" xfId="1" applyFont="1" applyFill="1" applyBorder="1" applyAlignment="1">
      <alignment horizontal="center" vertical="center"/>
    </xf>
    <xf numFmtId="0" fontId="20" fillId="51" borderId="145" xfId="3" applyFont="1" applyFill="1" applyBorder="1" applyAlignment="1">
      <alignment horizontal="center" vertical="center"/>
    </xf>
    <xf numFmtId="0" fontId="0" fillId="0" borderId="145" xfId="0" applyBorder="1"/>
    <xf numFmtId="0" fontId="0" fillId="0" borderId="146" xfId="0" applyBorder="1" applyAlignment="1">
      <alignment horizontal="center"/>
    </xf>
    <xf numFmtId="0" fontId="54" fillId="20" borderId="119" xfId="0" applyFont="1" applyFill="1" applyBorder="1" applyAlignment="1">
      <alignment horizontal="center" vertical="center"/>
    </xf>
    <xf numFmtId="0" fontId="0" fillId="0" borderId="119" xfId="0" applyBorder="1"/>
    <xf numFmtId="0" fontId="28" fillId="25" borderId="60" xfId="1" applyFont="1" applyFill="1" applyBorder="1" applyAlignment="1">
      <alignment horizontal="center" vertical="center"/>
    </xf>
    <xf numFmtId="0" fontId="73" fillId="37" borderId="62" xfId="1" applyFont="1" applyFill="1" applyBorder="1" applyAlignment="1">
      <alignment vertical="center" wrapText="1"/>
    </xf>
    <xf numFmtId="0" fontId="82" fillId="59" borderId="91" xfId="0" applyFont="1" applyFill="1" applyBorder="1" applyAlignment="1">
      <alignment horizontal="center" vertical="center" wrapText="1"/>
    </xf>
    <xf numFmtId="0" fontId="42" fillId="0" borderId="146" xfId="0" applyFont="1" applyBorder="1" applyAlignment="1">
      <alignment horizontal="center"/>
    </xf>
    <xf numFmtId="0" fontId="81" fillId="20" borderId="146" xfId="0" applyFont="1" applyFill="1" applyBorder="1" applyAlignment="1">
      <alignment horizontal="center"/>
    </xf>
    <xf numFmtId="0" fontId="42" fillId="6" borderId="146" xfId="0" applyFont="1" applyFill="1" applyBorder="1" applyAlignment="1">
      <alignment horizontal="center"/>
    </xf>
    <xf numFmtId="0" fontId="73" fillId="38" borderId="29" xfId="1" applyFont="1" applyFill="1" applyBorder="1" applyAlignment="1">
      <alignment vertical="center"/>
    </xf>
    <xf numFmtId="0" fontId="20" fillId="51" borderId="144" xfId="3" applyFont="1" applyFill="1" applyBorder="1" applyAlignment="1">
      <alignment horizontal="center" vertical="center"/>
    </xf>
    <xf numFmtId="0" fontId="0" fillId="0" borderId="144" xfId="0" applyBorder="1"/>
    <xf numFmtId="0" fontId="73" fillId="3" borderId="29" xfId="1" applyFont="1" applyFill="1" applyBorder="1" applyAlignment="1">
      <alignment horizontal="center" vertical="center" wrapText="1"/>
    </xf>
    <xf numFmtId="0" fontId="60" fillId="34" borderId="91" xfId="0" applyFont="1" applyFill="1" applyBorder="1" applyAlignment="1">
      <alignment horizontal="center"/>
    </xf>
    <xf numFmtId="0" fontId="79" fillId="3" borderId="130" xfId="0" applyFont="1" applyFill="1" applyBorder="1" applyAlignment="1">
      <alignment horizontal="center" vertical="center" wrapText="1"/>
    </xf>
    <xf numFmtId="0" fontId="0" fillId="0" borderId="130" xfId="0" applyBorder="1"/>
    <xf numFmtId="0" fontId="80" fillId="20" borderId="0" xfId="0" applyFont="1" applyFill="1" applyAlignment="1">
      <alignment horizontal="center"/>
    </xf>
    <xf numFmtId="0" fontId="104" fillId="28" borderId="146" xfId="1" applyFont="1" applyFill="1" applyBorder="1" applyAlignment="1">
      <alignment horizontal="center" vertical="top"/>
    </xf>
    <xf numFmtId="0" fontId="11" fillId="9" borderId="207" xfId="3" applyFont="1" applyFill="1" applyBorder="1" applyAlignment="1">
      <alignment horizontal="center" wrapText="1"/>
    </xf>
    <xf numFmtId="0" fontId="0" fillId="0" borderId="92" xfId="0" applyBorder="1"/>
    <xf numFmtId="0" fontId="0" fillId="0" borderId="0" xfId="3" applyFont="1"/>
    <xf numFmtId="0" fontId="22" fillId="4" borderId="18" xfId="3" applyFont="1" applyFill="1" applyBorder="1" applyAlignment="1">
      <alignment horizontal="center"/>
    </xf>
    <xf numFmtId="0" fontId="0" fillId="0" borderId="9" xfId="0" applyBorder="1"/>
    <xf numFmtId="0" fontId="0" fillId="0" borderId="10" xfId="0" applyBorder="1"/>
    <xf numFmtId="0" fontId="0" fillId="0" borderId="12" xfId="0" applyBorder="1"/>
    <xf numFmtId="0" fontId="0" fillId="0" borderId="13" xfId="0" applyBorder="1"/>
    <xf numFmtId="0" fontId="45" fillId="10" borderId="106" xfId="3" applyFont="1" applyFill="1" applyBorder="1" applyAlignment="1">
      <alignment horizontal="left" vertical="top" wrapText="1"/>
    </xf>
    <xf numFmtId="0" fontId="0" fillId="0" borderId="106" xfId="0" applyBorder="1"/>
    <xf numFmtId="0" fontId="24" fillId="14" borderId="120" xfId="3" applyFont="1" applyFill="1" applyBorder="1" applyAlignment="1">
      <alignment horizontal="center" vertical="center"/>
    </xf>
    <xf numFmtId="0" fontId="0" fillId="0" borderId="19" xfId="0" applyBorder="1"/>
    <xf numFmtId="0" fontId="0" fillId="0" borderId="124" xfId="0" applyBorder="1"/>
    <xf numFmtId="0" fontId="0" fillId="10" borderId="12" xfId="3" applyFont="1" applyFill="1" applyBorder="1" applyAlignment="1">
      <alignment horizontal="left" vertical="center"/>
    </xf>
    <xf numFmtId="0" fontId="77" fillId="40" borderId="21" xfId="3" applyFont="1" applyFill="1" applyBorder="1" applyAlignment="1">
      <alignment horizontal="center" vertical="center" wrapText="1"/>
    </xf>
    <xf numFmtId="0" fontId="0" fillId="0" borderId="20" xfId="0" applyBorder="1"/>
    <xf numFmtId="0" fontId="0" fillId="0" borderId="21" xfId="0" applyBorder="1"/>
    <xf numFmtId="10" fontId="23" fillId="11" borderId="12" xfId="3" applyNumberFormat="1" applyFont="1" applyFill="1" applyBorder="1" applyAlignment="1">
      <alignment vertical="center"/>
    </xf>
    <xf numFmtId="0" fontId="0" fillId="10" borderId="0" xfId="3" applyFont="1" applyFill="1" applyAlignment="1">
      <alignment horizontal="left" vertical="center"/>
    </xf>
    <xf numFmtId="0" fontId="77" fillId="10" borderId="120" xfId="3" applyFont="1" applyFill="1" applyBorder="1" applyAlignment="1">
      <alignment horizontal="center" vertical="center"/>
    </xf>
    <xf numFmtId="0" fontId="0" fillId="0" borderId="16" xfId="0" applyBorder="1"/>
    <xf numFmtId="0" fontId="0" fillId="0" borderId="18" xfId="0" applyBorder="1"/>
    <xf numFmtId="0" fontId="21" fillId="9" borderId="22" xfId="3" applyFont="1" applyFill="1" applyBorder="1" applyAlignment="1">
      <alignment horizontal="center" vertical="center"/>
    </xf>
    <xf numFmtId="0" fontId="26" fillId="10" borderId="22" xfId="3" applyFont="1" applyFill="1" applyBorder="1" applyAlignment="1">
      <alignment horizontal="left" vertical="top" wrapText="1"/>
    </xf>
    <xf numFmtId="0" fontId="0" fillId="0" borderId="11" xfId="0" applyBorder="1"/>
    <xf numFmtId="0" fontId="0" fillId="0" borderId="14" xfId="0" applyBorder="1"/>
    <xf numFmtId="0" fontId="0" fillId="0" borderId="23" xfId="3" applyFont="1" applyBorder="1" applyAlignment="1">
      <alignment horizontal="center" vertical="center"/>
    </xf>
    <xf numFmtId="0" fontId="22" fillId="4" borderId="24" xfId="3" applyFont="1" applyFill="1" applyBorder="1" applyAlignment="1">
      <alignment horizontal="center"/>
    </xf>
    <xf numFmtId="0" fontId="0" fillId="0" borderId="210" xfId="0" applyBorder="1"/>
    <xf numFmtId="0" fontId="0" fillId="0" borderId="211" xfId="0" applyBorder="1"/>
    <xf numFmtId="0" fontId="0" fillId="0" borderId="213" xfId="0" applyBorder="1"/>
    <xf numFmtId="0" fontId="0" fillId="0" borderId="214" xfId="0" applyBorder="1"/>
    <xf numFmtId="0" fontId="0" fillId="0" borderId="215" xfId="0" applyBorder="1"/>
    <xf numFmtId="0" fontId="0" fillId="0" borderId="132" xfId="3" applyFont="1" applyBorder="1" applyAlignment="1">
      <alignment vertical="center" wrapText="1"/>
    </xf>
    <xf numFmtId="0" fontId="0" fillId="0" borderId="132" xfId="0" applyBorder="1"/>
    <xf numFmtId="0" fontId="23" fillId="12" borderId="12" xfId="3" applyFont="1" applyFill="1" applyBorder="1" applyAlignment="1">
      <alignment vertical="center"/>
    </xf>
    <xf numFmtId="0" fontId="21" fillId="9" borderId="120" xfId="3" applyFont="1" applyFill="1" applyBorder="1" applyAlignment="1">
      <alignment horizontal="center" vertical="center"/>
    </xf>
    <xf numFmtId="0" fontId="0" fillId="0" borderId="24" xfId="3" applyFont="1" applyBorder="1" applyAlignment="1">
      <alignment horizontal="center" vertical="center"/>
    </xf>
    <xf numFmtId="0" fontId="25" fillId="0" borderId="22" xfId="3" applyFont="1" applyBorder="1"/>
    <xf numFmtId="0" fontId="18" fillId="9" borderId="125" xfId="3" applyFont="1" applyFill="1" applyBorder="1" applyAlignment="1">
      <alignment vertical="center"/>
    </xf>
    <xf numFmtId="0" fontId="18" fillId="9" borderId="216" xfId="3" applyFont="1" applyFill="1" applyBorder="1" applyAlignment="1">
      <alignment vertical="center"/>
    </xf>
    <xf numFmtId="0" fontId="77" fillId="10" borderId="124" xfId="3" applyFont="1" applyFill="1" applyBorder="1" applyAlignment="1">
      <alignment vertical="center"/>
    </xf>
    <xf numFmtId="0" fontId="22" fillId="4" borderId="25" xfId="3" applyFont="1" applyFill="1" applyBorder="1" applyAlignment="1">
      <alignment horizontal="center"/>
    </xf>
    <xf numFmtId="0" fontId="0" fillId="0" borderId="218" xfId="0" applyBorder="1"/>
    <xf numFmtId="0" fontId="0" fillId="0" borderId="219" xfId="0" applyBorder="1"/>
    <xf numFmtId="0" fontId="24" fillId="14" borderId="120" xfId="3" applyFont="1" applyFill="1" applyBorder="1" applyAlignment="1">
      <alignment horizontal="center" vertical="center" wrapText="1"/>
    </xf>
    <xf numFmtId="0" fontId="78" fillId="11" borderId="18" xfId="3" applyFont="1" applyFill="1" applyBorder="1" applyAlignment="1">
      <alignment horizontal="center" vertical="center" wrapText="1"/>
    </xf>
    <xf numFmtId="0" fontId="31" fillId="11" borderId="12" xfId="3" applyFont="1" applyFill="1" applyBorder="1" applyAlignment="1">
      <alignment horizontal="center" vertical="center" wrapText="1"/>
    </xf>
    <xf numFmtId="0" fontId="0" fillId="0" borderId="131" xfId="3" applyFont="1" applyBorder="1" applyAlignment="1">
      <alignment vertical="center" wrapText="1"/>
    </xf>
    <xf numFmtId="0" fontId="0" fillId="0" borderId="222" xfId="0" applyBorder="1"/>
    <xf numFmtId="0" fontId="0" fillId="0" borderId="131" xfId="0" applyBorder="1"/>
    <xf numFmtId="0" fontId="77" fillId="10" borderId="23" xfId="3" applyFont="1" applyFill="1" applyBorder="1" applyAlignment="1">
      <alignment horizontal="center" vertical="center"/>
    </xf>
    <xf numFmtId="0" fontId="77" fillId="10" borderId="24" xfId="3" applyFont="1" applyFill="1" applyBorder="1" applyAlignment="1">
      <alignment horizontal="center" vertical="center"/>
    </xf>
    <xf numFmtId="0" fontId="0" fillId="0" borderId="15" xfId="0" applyBorder="1"/>
    <xf numFmtId="0" fontId="0" fillId="0" borderId="217" xfId="0" applyBorder="1"/>
    <xf numFmtId="0" fontId="23" fillId="11" borderId="12" xfId="3" applyFont="1" applyFill="1" applyBorder="1" applyAlignment="1">
      <alignment vertical="center"/>
    </xf>
    <xf numFmtId="0" fontId="78" fillId="11" borderId="17" xfId="3" applyFont="1" applyFill="1" applyBorder="1" applyAlignment="1">
      <alignment horizontal="center" vertical="center" wrapText="1"/>
    </xf>
    <xf numFmtId="0" fontId="0" fillId="0" borderId="17" xfId="0" applyBorder="1"/>
    <xf numFmtId="0" fontId="0" fillId="0" borderId="120" xfId="3" applyFont="1" applyBorder="1" applyAlignment="1">
      <alignment horizontal="center" vertical="center"/>
    </xf>
    <xf numFmtId="0" fontId="24" fillId="14" borderId="22" xfId="3" applyFont="1" applyFill="1" applyBorder="1" applyAlignment="1">
      <alignment horizontal="center" vertical="center"/>
    </xf>
    <xf numFmtId="0" fontId="45" fillId="4" borderId="13" xfId="3" applyFont="1" applyFill="1" applyBorder="1" applyAlignment="1">
      <alignment horizontal="center" vertical="center"/>
    </xf>
    <xf numFmtId="0" fontId="18" fillId="9" borderId="127" xfId="3" applyFont="1" applyFill="1" applyBorder="1" applyAlignment="1">
      <alignment vertical="center"/>
    </xf>
    <xf numFmtId="0" fontId="23" fillId="11" borderId="0" xfId="3" applyFont="1" applyFill="1" applyAlignment="1">
      <alignment vertical="center"/>
    </xf>
    <xf numFmtId="0" fontId="18" fillId="9" borderId="120" xfId="3" applyFont="1" applyFill="1" applyBorder="1" applyAlignment="1">
      <alignment vertical="center"/>
    </xf>
    <xf numFmtId="0" fontId="45" fillId="10" borderId="221" xfId="3" applyFont="1" applyFill="1" applyBorder="1" applyAlignment="1">
      <alignment vertical="top" wrapText="1"/>
    </xf>
    <xf numFmtId="0" fontId="77" fillId="10" borderId="16" xfId="3" applyFont="1" applyFill="1" applyBorder="1" applyAlignment="1">
      <alignment vertical="center"/>
    </xf>
    <xf numFmtId="0" fontId="25" fillId="0" borderId="120" xfId="3" applyFont="1" applyBorder="1"/>
    <xf numFmtId="0" fontId="0" fillId="0" borderId="101" xfId="3" applyFont="1" applyBorder="1" applyAlignment="1">
      <alignment horizontal="center"/>
    </xf>
    <xf numFmtId="0" fontId="0" fillId="0" borderId="101" xfId="0" applyBorder="1"/>
    <xf numFmtId="0" fontId="77" fillId="10" borderId="16" xfId="3" applyFont="1" applyFill="1" applyBorder="1" applyAlignment="1">
      <alignment horizontal="left" vertical="center"/>
    </xf>
    <xf numFmtId="0" fontId="0" fillId="0" borderId="224" xfId="3" applyFont="1" applyBorder="1" applyAlignment="1">
      <alignment horizontal="center"/>
    </xf>
    <xf numFmtId="0" fontId="0" fillId="0" borderId="135" xfId="0" applyBorder="1"/>
    <xf numFmtId="0" fontId="105" fillId="44" borderId="92" xfId="3" applyFont="1" applyFill="1" applyBorder="1" applyAlignment="1">
      <alignment horizontal="center" vertical="center" wrapText="1"/>
    </xf>
    <xf numFmtId="0" fontId="18" fillId="9" borderId="126" xfId="3" applyFont="1" applyFill="1" applyBorder="1" applyAlignment="1">
      <alignment vertical="center"/>
    </xf>
    <xf numFmtId="0" fontId="77" fillId="10" borderId="12" xfId="3" applyFont="1" applyFill="1" applyBorder="1" applyAlignment="1">
      <alignment vertical="center"/>
    </xf>
    <xf numFmtId="0" fontId="31" fillId="11" borderId="0" xfId="3" applyFont="1" applyFill="1" applyAlignment="1">
      <alignment horizontal="center" vertical="center" wrapText="1"/>
    </xf>
    <xf numFmtId="0" fontId="18" fillId="9" borderId="123" xfId="3" applyFont="1" applyFill="1" applyBorder="1" applyAlignment="1">
      <alignment vertical="center"/>
    </xf>
    <xf numFmtId="0" fontId="0" fillId="0" borderId="223" xfId="0" applyBorder="1"/>
    <xf numFmtId="0" fontId="45" fillId="4" borderId="122" xfId="3" applyFont="1" applyFill="1" applyBorder="1" applyAlignment="1">
      <alignment horizontal="center" vertical="center"/>
    </xf>
    <xf numFmtId="0" fontId="0" fillId="0" borderId="122" xfId="0" applyBorder="1"/>
    <xf numFmtId="0" fontId="31" fillId="11" borderId="15" xfId="3" applyFont="1" applyFill="1" applyBorder="1" applyAlignment="1">
      <alignment horizontal="center" vertical="center" wrapText="1"/>
    </xf>
    <xf numFmtId="0" fontId="109" fillId="44" borderId="92" xfId="3" applyFont="1" applyFill="1" applyBorder="1" applyAlignment="1">
      <alignment horizontal="center" vertical="center" wrapText="1"/>
    </xf>
    <xf numFmtId="0" fontId="45" fillId="10" borderId="220" xfId="3" applyFont="1" applyFill="1" applyBorder="1" applyAlignment="1">
      <alignment horizontal="left" vertical="top" wrapText="1"/>
    </xf>
    <xf numFmtId="0" fontId="77" fillId="10" borderId="92" xfId="3" applyFont="1" applyFill="1" applyBorder="1" applyAlignment="1">
      <alignment vertical="center"/>
    </xf>
    <xf numFmtId="0" fontId="106" fillId="55" borderId="0" xfId="4" applyFont="1" applyFill="1" applyAlignment="1">
      <alignment horizontal="center" vertical="center" wrapText="1"/>
    </xf>
    <xf numFmtId="0" fontId="4" fillId="0" borderId="0" xfId="4" applyFont="1"/>
    <xf numFmtId="0" fontId="124" fillId="57" borderId="190" xfId="4" applyFont="1" applyFill="1" applyBorder="1" applyAlignment="1">
      <alignment horizontal="center" vertical="center" wrapText="1"/>
    </xf>
    <xf numFmtId="0" fontId="0" fillId="0" borderId="192" xfId="0" applyBorder="1"/>
    <xf numFmtId="0" fontId="126" fillId="55" borderId="190" xfId="4" applyFont="1" applyFill="1" applyBorder="1" applyAlignment="1">
      <alignment vertical="center" wrapText="1"/>
    </xf>
    <xf numFmtId="0" fontId="0" fillId="0" borderId="191" xfId="0" applyBorder="1"/>
    <xf numFmtId="0" fontId="127" fillId="54" borderId="182" xfId="4" applyFont="1" applyFill="1" applyBorder="1" applyAlignment="1">
      <alignment horizontal="left" vertical="center" wrapText="1"/>
    </xf>
    <xf numFmtId="0" fontId="40" fillId="25" borderId="187" xfId="4" applyFont="1" applyFill="1" applyBorder="1" applyAlignment="1">
      <alignment horizontal="left" vertical="center"/>
    </xf>
    <xf numFmtId="0" fontId="0" fillId="0" borderId="187" xfId="0" applyBorder="1"/>
    <xf numFmtId="0" fontId="127" fillId="54" borderId="225" xfId="4" applyFont="1" applyFill="1" applyBorder="1" applyAlignment="1">
      <alignment vertical="center" wrapText="1"/>
    </xf>
    <xf numFmtId="0" fontId="0" fillId="0" borderId="189" xfId="0" applyBorder="1"/>
    <xf numFmtId="0" fontId="126" fillId="54" borderId="190" xfId="4" applyFont="1" applyFill="1" applyBorder="1" applyAlignment="1">
      <alignment vertical="center" wrapText="1"/>
    </xf>
    <xf numFmtId="0" fontId="0" fillId="0" borderId="193" xfId="0" applyBorder="1"/>
    <xf numFmtId="0" fontId="0" fillId="0" borderId="194" xfId="0" applyBorder="1"/>
    <xf numFmtId="0" fontId="0" fillId="0" borderId="195" xfId="0" applyBorder="1"/>
    <xf numFmtId="0" fontId="0" fillId="0" borderId="196" xfId="0" applyBorder="1"/>
    <xf numFmtId="0" fontId="0" fillId="0" borderId="197" xfId="0" applyBorder="1"/>
    <xf numFmtId="0" fontId="127" fillId="54" borderId="180" xfId="4" applyFont="1" applyFill="1" applyBorder="1" applyAlignment="1">
      <alignment horizontal="left" vertical="center" wrapText="1"/>
    </xf>
    <xf numFmtId="0" fontId="0" fillId="0" borderId="188" xfId="0" applyBorder="1"/>
    <xf numFmtId="0" fontId="126" fillId="55" borderId="190" xfId="4" applyFont="1" applyFill="1" applyBorder="1" applyAlignment="1">
      <alignment horizontal="center" vertical="center" wrapText="1"/>
    </xf>
    <xf numFmtId="0" fontId="127" fillId="54" borderId="225" xfId="4" applyFont="1" applyFill="1" applyBorder="1" applyAlignment="1">
      <alignment horizontal="left" vertical="center" wrapText="1"/>
    </xf>
    <xf numFmtId="0" fontId="126" fillId="55" borderId="190" xfId="4" applyFont="1" applyFill="1" applyBorder="1" applyAlignment="1">
      <alignment horizontal="left" vertical="center" wrapText="1"/>
    </xf>
    <xf numFmtId="0" fontId="123" fillId="28" borderId="225" xfId="4" applyFont="1" applyFill="1" applyBorder="1" applyAlignment="1">
      <alignment horizontal="center" vertical="center"/>
    </xf>
    <xf numFmtId="0" fontId="0" fillId="0" borderId="200" xfId="0" applyBorder="1"/>
    <xf numFmtId="0" fontId="0" fillId="0" borderId="202" xfId="0" applyBorder="1"/>
    <xf numFmtId="0" fontId="0" fillId="0" borderId="203" xfId="0" applyBorder="1"/>
    <xf numFmtId="0" fontId="0" fillId="0" borderId="204" xfId="0" applyBorder="1"/>
    <xf numFmtId="0" fontId="127" fillId="54" borderId="182" xfId="4" applyFont="1" applyFill="1" applyBorder="1" applyAlignment="1">
      <alignment vertical="center" wrapText="1"/>
    </xf>
    <xf numFmtId="0" fontId="127" fillId="54" borderId="190" xfId="4" applyFont="1" applyFill="1" applyBorder="1" applyAlignment="1">
      <alignment vertical="center" wrapText="1"/>
    </xf>
    <xf numFmtId="0" fontId="40" fillId="25" borderId="0" xfId="4" applyFont="1" applyFill="1" applyAlignment="1">
      <alignment horizontal="center" vertical="center"/>
    </xf>
    <xf numFmtId="0" fontId="126" fillId="55" borderId="229" xfId="4" applyFont="1" applyFill="1" applyBorder="1" applyAlignment="1">
      <alignment horizontal="center" vertical="center"/>
    </xf>
    <xf numFmtId="0" fontId="0" fillId="0" borderId="186" xfId="0" applyBorder="1"/>
    <xf numFmtId="0" fontId="127" fillId="55" borderId="190" xfId="4" applyFont="1" applyFill="1" applyBorder="1" applyAlignment="1">
      <alignment horizontal="center" wrapText="1"/>
    </xf>
    <xf numFmtId="0" fontId="73" fillId="41" borderId="190" xfId="4" applyFont="1" applyFill="1" applyBorder="1" applyAlignment="1">
      <alignment horizontal="center" vertical="center" wrapText="1"/>
    </xf>
    <xf numFmtId="0" fontId="122" fillId="28" borderId="225" xfId="4" applyFont="1" applyFill="1" applyBorder="1" applyAlignment="1">
      <alignment horizontal="center" vertical="center" wrapText="1"/>
    </xf>
    <xf numFmtId="0" fontId="127" fillId="54" borderId="190" xfId="4" applyFont="1" applyFill="1" applyBorder="1" applyAlignment="1">
      <alignment horizontal="left" vertical="center" wrapText="1"/>
    </xf>
    <xf numFmtId="0" fontId="128" fillId="41" borderId="198" xfId="4" applyFont="1" applyFill="1" applyBorder="1" applyAlignment="1">
      <alignment horizontal="center" vertical="center" wrapText="1"/>
    </xf>
    <xf numFmtId="0" fontId="0" fillId="0" borderId="198" xfId="0" applyBorder="1"/>
    <xf numFmtId="0" fontId="126" fillId="55" borderId="227" xfId="4" applyFont="1" applyFill="1" applyBorder="1" applyAlignment="1">
      <alignment horizontal="center" vertical="center"/>
    </xf>
    <xf numFmtId="0" fontId="0" fillId="0" borderId="181" xfId="0" applyBorder="1"/>
    <xf numFmtId="0" fontId="118" fillId="28" borderId="184" xfId="4" applyFont="1" applyFill="1" applyBorder="1" applyAlignment="1">
      <alignment horizontal="center" vertical="center"/>
    </xf>
    <xf numFmtId="0" fontId="0" fillId="0" borderId="184" xfId="0" applyBorder="1"/>
    <xf numFmtId="0" fontId="3" fillId="0" borderId="190" xfId="4" applyFont="1" applyBorder="1" applyAlignment="1">
      <alignment horizontal="center"/>
    </xf>
    <xf numFmtId="0" fontId="118" fillId="25" borderId="0" xfId="4" applyFont="1" applyFill="1" applyAlignment="1">
      <alignment horizontal="center" vertical="center"/>
    </xf>
    <xf numFmtId="0" fontId="40" fillId="25" borderId="226" xfId="4" applyFont="1" applyFill="1" applyBorder="1" applyAlignment="1">
      <alignment horizontal="center" vertical="center"/>
    </xf>
    <xf numFmtId="0" fontId="0" fillId="0" borderId="177" xfId="0" applyBorder="1"/>
    <xf numFmtId="0" fontId="0" fillId="0" borderId="178" xfId="0" applyBorder="1"/>
    <xf numFmtId="0" fontId="126" fillId="55" borderId="199" xfId="4" applyFont="1" applyFill="1" applyBorder="1" applyAlignment="1">
      <alignment vertical="center" wrapText="1"/>
    </xf>
    <xf numFmtId="0" fontId="0" fillId="0" borderId="230" xfId="0" applyBorder="1"/>
    <xf numFmtId="0" fontId="0" fillId="0" borderId="231" xfId="0" applyBorder="1"/>
    <xf numFmtId="0" fontId="3" fillId="0" borderId="201" xfId="4" applyFont="1" applyBorder="1"/>
    <xf numFmtId="0" fontId="0" fillId="0" borderId="201" xfId="0" applyBorder="1"/>
    <xf numFmtId="0" fontId="126" fillId="55" borderId="225" xfId="4" applyFont="1" applyFill="1" applyBorder="1" applyAlignment="1">
      <alignment vertical="center" wrapText="1"/>
    </xf>
    <xf numFmtId="0" fontId="126" fillId="55" borderId="228" xfId="4" applyFont="1" applyFill="1" applyBorder="1" applyAlignment="1">
      <alignment horizontal="center" vertical="center"/>
    </xf>
    <xf numFmtId="0" fontId="0" fillId="0" borderId="183" xfId="0" applyBorder="1"/>
    <xf numFmtId="169" fontId="126" fillId="55" borderId="190" xfId="4" applyNumberFormat="1" applyFont="1" applyFill="1" applyBorder="1" applyAlignment="1">
      <alignment vertical="center" wrapText="1"/>
    </xf>
    <xf numFmtId="0" fontId="126" fillId="55" borderId="225" xfId="4" applyFont="1" applyFill="1" applyBorder="1" applyAlignment="1">
      <alignment horizontal="center" vertical="center" wrapText="1"/>
    </xf>
    <xf numFmtId="0" fontId="104" fillId="28" borderId="0" xfId="1" applyFont="1" applyFill="1" applyAlignment="1">
      <alignment horizontal="center" vertical="top"/>
    </xf>
    <xf numFmtId="0" fontId="8" fillId="0" borderId="0" xfId="1" applyFont="1" applyAlignment="1">
      <alignment horizontal="center" vertical="center"/>
    </xf>
    <xf numFmtId="0" fontId="77" fillId="11" borderId="65" xfId="3" applyFont="1" applyFill="1" applyBorder="1" applyAlignment="1">
      <alignment vertical="center"/>
    </xf>
    <xf numFmtId="0" fontId="37" fillId="0" borderId="56" xfId="1" applyFont="1" applyBorder="1" applyAlignment="1">
      <alignment horizontal="left" vertical="center"/>
    </xf>
    <xf numFmtId="0" fontId="0" fillId="0" borderId="56" xfId="0" applyBorder="1"/>
    <xf numFmtId="0" fontId="59" fillId="3" borderId="67" xfId="1" applyFont="1" applyFill="1" applyBorder="1" applyAlignment="1">
      <alignment horizontal="center" vertical="center"/>
    </xf>
    <xf numFmtId="0" fontId="0" fillId="0" borderId="94" xfId="0" applyBorder="1"/>
    <xf numFmtId="0" fontId="37" fillId="0" borderId="64" xfId="1" applyFont="1" applyBorder="1" applyAlignment="1">
      <alignment horizontal="center" vertical="center" wrapText="1"/>
    </xf>
    <xf numFmtId="0" fontId="52" fillId="27" borderId="29" xfId="1" applyFont="1" applyFill="1" applyBorder="1" applyAlignment="1">
      <alignment horizontal="left" vertical="center" wrapText="1"/>
    </xf>
    <xf numFmtId="0" fontId="34" fillId="0" borderId="58" xfId="1" applyFont="1" applyBorder="1" applyAlignment="1">
      <alignment horizontal="left" vertical="center"/>
    </xf>
    <xf numFmtId="0" fontId="0" fillId="0" borderId="58" xfId="0" applyBorder="1"/>
    <xf numFmtId="0" fontId="37" fillId="0" borderId="54" xfId="1" applyFont="1" applyBorder="1" applyAlignment="1">
      <alignment horizontal="center" vertical="center" wrapText="1"/>
    </xf>
    <xf numFmtId="0" fontId="0" fillId="0" borderId="54" xfId="0" applyBorder="1"/>
    <xf numFmtId="166" fontId="37" fillId="4" borderId="65" xfId="1" applyNumberFormat="1" applyFont="1" applyFill="1" applyBorder="1" applyAlignment="1">
      <alignment vertical="center" wrapText="1"/>
    </xf>
    <xf numFmtId="0" fontId="57" fillId="23" borderId="80" xfId="1" applyFont="1" applyFill="1" applyBorder="1" applyAlignment="1">
      <alignment horizontal="center" vertical="center"/>
    </xf>
    <xf numFmtId="0" fontId="0" fillId="0" borderId="53" xfId="0" applyBorder="1"/>
    <xf numFmtId="0" fontId="0" fillId="0" borderId="80" xfId="0" applyBorder="1"/>
    <xf numFmtId="0" fontId="37" fillId="0" borderId="29" xfId="1" applyFont="1" applyBorder="1" applyAlignment="1">
      <alignment horizontal="center" vertical="center"/>
    </xf>
    <xf numFmtId="0" fontId="41" fillId="21" borderId="66" xfId="1" applyFont="1" applyFill="1" applyBorder="1" applyAlignment="1">
      <alignment horizontal="center" vertical="center"/>
    </xf>
    <xf numFmtId="0" fontId="8" fillId="0" borderId="0" xfId="1" applyFont="1" applyAlignment="1">
      <alignment vertical="center"/>
    </xf>
    <xf numFmtId="0" fontId="0" fillId="0" borderId="212" xfId="0" applyBorder="1"/>
    <xf numFmtId="0" fontId="37" fillId="0" borderId="64" xfId="1" applyFont="1" applyBorder="1" applyAlignment="1">
      <alignment horizontal="left" vertical="center" wrapText="1"/>
    </xf>
    <xf numFmtId="0" fontId="37" fillId="0" borderId="84" xfId="1" applyFont="1" applyBorder="1" applyAlignment="1">
      <alignment horizontal="left" vertical="center"/>
    </xf>
    <xf numFmtId="0" fontId="0" fillId="0" borderId="57" xfId="0" applyBorder="1"/>
    <xf numFmtId="0" fontId="37" fillId="0" borderId="29" xfId="1" applyFont="1" applyBorder="1" applyAlignment="1">
      <alignment horizontal="left" vertical="center"/>
    </xf>
    <xf numFmtId="0" fontId="37" fillId="0" borderId="86" xfId="1" applyFont="1" applyBorder="1" applyAlignment="1">
      <alignment horizontal="center" vertical="center" wrapText="1"/>
    </xf>
    <xf numFmtId="0" fontId="0" fillId="0" borderId="241" xfId="0" applyBorder="1"/>
    <xf numFmtId="0" fontId="0" fillId="0" borderId="242" xfId="0" applyBorder="1"/>
    <xf numFmtId="0" fontId="8" fillId="0" borderId="0" xfId="1" applyFont="1" applyAlignment="1">
      <alignment horizontal="left" vertical="center"/>
    </xf>
    <xf numFmtId="0" fontId="37" fillId="16" borderId="29" xfId="1" applyFont="1" applyFill="1" applyBorder="1" applyAlignment="1">
      <alignment horizontal="left" vertical="center" wrapText="1"/>
    </xf>
    <xf numFmtId="0" fontId="37" fillId="0" borderId="64" xfId="1" applyFont="1" applyBorder="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0" fillId="0" borderId="3" xfId="0" applyBorder="1"/>
    <xf numFmtId="0" fontId="0" fillId="0" borderId="8" xfId="0" applyBorder="1"/>
    <xf numFmtId="0" fontId="73" fillId="27" borderId="64" xfId="1" applyFont="1" applyFill="1" applyBorder="1" applyAlignment="1">
      <alignment horizontal="left" vertical="center"/>
    </xf>
    <xf numFmtId="0" fontId="59" fillId="8" borderId="96" xfId="1" applyFont="1" applyFill="1" applyBorder="1" applyAlignment="1">
      <alignment horizontal="center" vertical="center"/>
    </xf>
    <xf numFmtId="0" fontId="0" fillId="0" borderId="59" xfId="0" applyBorder="1"/>
    <xf numFmtId="0" fontId="0" fillId="0" borderId="96" xfId="0" applyBorder="1"/>
    <xf numFmtId="0" fontId="36" fillId="3" borderId="65" xfId="1" applyFont="1" applyFill="1" applyBorder="1" applyAlignment="1">
      <alignment horizontal="center" vertical="center" wrapText="1"/>
    </xf>
    <xf numFmtId="0" fontId="37" fillId="0" borderId="57" xfId="1" applyFont="1" applyBorder="1" applyAlignment="1">
      <alignment horizontal="center" vertical="center"/>
    </xf>
    <xf numFmtId="0" fontId="57" fillId="3" borderId="233" xfId="1" applyFont="1" applyFill="1" applyBorder="1" applyAlignment="1">
      <alignment horizontal="center" vertical="center" wrapText="1"/>
    </xf>
    <xf numFmtId="0" fontId="0" fillId="0" borderId="44" xfId="0" applyBorder="1"/>
    <xf numFmtId="0" fontId="0" fillId="0" borderId="73" xfId="0" applyBorder="1"/>
    <xf numFmtId="0" fontId="59" fillId="3" borderId="6" xfId="1" applyFont="1" applyFill="1" applyBorder="1" applyAlignment="1">
      <alignment horizontal="center" vertical="center" wrapText="1"/>
    </xf>
    <xf numFmtId="0" fontId="52" fillId="23" borderId="29" xfId="1" applyFont="1" applyFill="1" applyBorder="1" applyAlignment="1">
      <alignment horizontal="center" vertical="center"/>
    </xf>
    <xf numFmtId="0" fontId="45" fillId="4" borderId="98" xfId="3" applyFont="1" applyFill="1" applyBorder="1" applyAlignment="1">
      <alignment horizontal="center" vertical="center"/>
    </xf>
    <xf numFmtId="0" fontId="0" fillId="0" borderId="98" xfId="0" applyBorder="1"/>
    <xf numFmtId="0" fontId="57" fillId="3" borderId="234" xfId="1" applyFont="1" applyFill="1" applyBorder="1" applyAlignment="1">
      <alignment horizontal="center" vertical="center"/>
    </xf>
    <xf numFmtId="0" fontId="59" fillId="8" borderId="95" xfId="1" applyFont="1" applyFill="1" applyBorder="1" applyAlignment="1">
      <alignment horizontal="center" vertical="center"/>
    </xf>
    <xf numFmtId="0" fontId="52" fillId="3" borderId="29" xfId="1" applyFont="1" applyFill="1" applyBorder="1" applyAlignment="1">
      <alignment vertical="center"/>
    </xf>
    <xf numFmtId="0" fontId="57" fillId="3" borderId="234" xfId="1" applyFont="1" applyFill="1" applyBorder="1" applyAlignment="1">
      <alignment horizontal="center" vertical="center" wrapText="1"/>
    </xf>
    <xf numFmtId="0" fontId="56" fillId="25" borderId="119" xfId="1" applyFont="1" applyFill="1" applyBorder="1" applyAlignment="1">
      <alignment horizontal="center" vertical="center"/>
    </xf>
    <xf numFmtId="0" fontId="37" fillId="16" borderId="32" xfId="1" applyFont="1" applyFill="1" applyBorder="1" applyAlignment="1">
      <alignment horizontal="left" vertical="center" wrapText="1"/>
    </xf>
    <xf numFmtId="0" fontId="37" fillId="0" borderId="82" xfId="1" applyFont="1" applyBorder="1" applyAlignment="1">
      <alignment horizontal="left" vertical="center"/>
    </xf>
    <xf numFmtId="0" fontId="37" fillId="0" borderId="87" xfId="1" applyFont="1" applyBorder="1" applyAlignment="1">
      <alignment horizontal="center" vertical="center" wrapText="1"/>
    </xf>
    <xf numFmtId="0" fontId="0" fillId="0" borderId="243" xfId="0" applyBorder="1"/>
    <xf numFmtId="0" fontId="0" fillId="0" borderId="244" xfId="0" applyBorder="1"/>
    <xf numFmtId="0" fontId="37" fillId="0" borderId="65" xfId="1" applyFont="1" applyBorder="1" applyAlignment="1">
      <alignment horizontal="center" vertical="center" wrapText="1"/>
    </xf>
    <xf numFmtId="0" fontId="59" fillId="3" borderId="6" xfId="1" applyFont="1" applyFill="1" applyBorder="1" applyAlignment="1">
      <alignment horizontal="center" vertical="center"/>
    </xf>
    <xf numFmtId="0" fontId="0" fillId="0" borderId="52" xfId="0" applyBorder="1"/>
    <xf numFmtId="0" fontId="71" fillId="31" borderId="236" xfId="1" applyFont="1" applyFill="1" applyBorder="1" applyAlignment="1">
      <alignment horizontal="center" vertical="center"/>
    </xf>
    <xf numFmtId="0" fontId="0" fillId="0" borderId="45" xfId="0" applyBorder="1"/>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71" fillId="31" borderId="232" xfId="1" applyFont="1" applyFill="1" applyBorder="1" applyAlignment="1">
      <alignment horizontal="center" vertical="center"/>
    </xf>
    <xf numFmtId="0" fontId="0" fillId="0" borderId="93" xfId="0" applyBorder="1"/>
    <xf numFmtId="0" fontId="72" fillId="0" borderId="3" xfId="1" applyFont="1" applyBorder="1" applyAlignment="1">
      <alignment horizontal="center" vertical="center"/>
    </xf>
    <xf numFmtId="0" fontId="66" fillId="25" borderId="100" xfId="2" applyFont="1" applyFill="1" applyBorder="1" applyAlignment="1">
      <alignment horizontal="center"/>
    </xf>
    <xf numFmtId="0" fontId="57" fillId="34" borderId="79" xfId="1" applyFont="1" applyFill="1" applyBorder="1" applyAlignment="1">
      <alignment horizontal="center" vertical="center"/>
    </xf>
    <xf numFmtId="0" fontId="41" fillId="21" borderId="69" xfId="1" applyFont="1" applyFill="1" applyBorder="1" applyAlignment="1">
      <alignment horizontal="center" vertical="center"/>
    </xf>
    <xf numFmtId="0" fontId="72" fillId="0" borderId="8" xfId="1" applyFont="1" applyBorder="1" applyAlignment="1">
      <alignment horizontal="center" vertical="center"/>
    </xf>
    <xf numFmtId="0" fontId="37" fillId="0" borderId="55" xfId="1" applyFont="1" applyBorder="1" applyAlignment="1">
      <alignment horizontal="center" vertical="center" wrapText="1"/>
    </xf>
    <xf numFmtId="0" fontId="0" fillId="0" borderId="55" xfId="0" applyBorder="1"/>
    <xf numFmtId="0" fontId="41" fillId="21" borderId="4" xfId="1" applyFont="1" applyFill="1" applyBorder="1" applyAlignment="1">
      <alignment horizontal="center" vertical="center"/>
    </xf>
    <xf numFmtId="0" fontId="0" fillId="0" borderId="238" xfId="0" applyBorder="1"/>
    <xf numFmtId="0" fontId="0" fillId="0" borderId="240" xfId="0" applyBorder="1"/>
    <xf numFmtId="166" fontId="37" fillId="4" borderId="75" xfId="1" applyNumberFormat="1" applyFont="1" applyFill="1" applyBorder="1" applyAlignment="1">
      <alignment vertical="center" wrapText="1"/>
    </xf>
    <xf numFmtId="0" fontId="0" fillId="0" borderId="75" xfId="0" applyBorder="1"/>
    <xf numFmtId="0" fontId="52" fillId="27" borderId="29" xfId="1" applyFont="1" applyFill="1" applyBorder="1" applyAlignment="1">
      <alignment horizontal="right" vertical="center"/>
    </xf>
    <xf numFmtId="0" fontId="77" fillId="11" borderId="100" xfId="3" applyFont="1" applyFill="1" applyBorder="1" applyAlignment="1">
      <alignment horizontal="left" vertical="center"/>
    </xf>
    <xf numFmtId="0" fontId="37" fillId="0" borderId="98" xfId="1" applyFont="1" applyBorder="1" applyAlignment="1">
      <alignment horizontal="center" vertical="center"/>
    </xf>
    <xf numFmtId="0" fontId="57" fillId="3" borderId="235" xfId="1" applyFont="1" applyFill="1" applyBorder="1" applyAlignment="1">
      <alignment horizontal="center" vertical="center"/>
    </xf>
    <xf numFmtId="0" fontId="0" fillId="0" borderId="72" xfId="0" applyBorder="1"/>
    <xf numFmtId="0" fontId="59" fillId="3" borderId="68" xfId="1" applyFont="1" applyFill="1" applyBorder="1" applyAlignment="1">
      <alignment horizontal="center" vertical="center" wrapText="1"/>
    </xf>
    <xf numFmtId="0" fontId="0" fillId="0" borderId="305" xfId="0" applyBorder="1"/>
    <xf numFmtId="0" fontId="72" fillId="0" borderId="94" xfId="1" applyFont="1" applyBorder="1" applyAlignment="1">
      <alignment horizontal="center" vertical="center"/>
    </xf>
    <xf numFmtId="0" fontId="56" fillId="20" borderId="78" xfId="1" applyFont="1" applyFill="1" applyBorder="1" applyAlignment="1">
      <alignment horizontal="center" vertical="center"/>
    </xf>
    <xf numFmtId="0" fontId="0" fillId="0" borderId="247" xfId="0" applyBorder="1"/>
    <xf numFmtId="0" fontId="0" fillId="0" borderId="248" xfId="0" applyBorder="1"/>
    <xf numFmtId="0" fontId="57" fillId="3" borderId="69" xfId="1" applyFont="1" applyFill="1" applyBorder="1" applyAlignment="1">
      <alignment horizontal="center" vertical="center"/>
    </xf>
    <xf numFmtId="0" fontId="37" fillId="0" borderId="56" xfId="1" applyFont="1" applyBorder="1" applyAlignment="1">
      <alignment horizontal="center" vertical="center"/>
    </xf>
    <xf numFmtId="0" fontId="41" fillId="21" borderId="2" xfId="1" applyFont="1" applyFill="1" applyBorder="1" applyAlignment="1">
      <alignment horizontal="center" vertical="center"/>
    </xf>
    <xf numFmtId="0" fontId="0" fillId="0" borderId="239" xfId="0" applyBorder="1"/>
    <xf numFmtId="0" fontId="103" fillId="3" borderId="234" xfId="1" applyFont="1" applyFill="1" applyBorder="1" applyAlignment="1">
      <alignment horizontal="center" vertical="center"/>
    </xf>
    <xf numFmtId="0" fontId="69" fillId="20" borderId="92" xfId="1" applyFont="1" applyFill="1" applyBorder="1" applyAlignment="1">
      <alignment horizontal="center" vertical="center" wrapText="1"/>
    </xf>
    <xf numFmtId="0" fontId="52" fillId="3" borderId="29" xfId="1" applyFont="1" applyFill="1" applyBorder="1" applyAlignment="1">
      <alignment horizontal="center" vertical="center" wrapText="1"/>
    </xf>
    <xf numFmtId="0" fontId="73" fillId="27" borderId="61" xfId="1" applyFont="1" applyFill="1" applyBorder="1" applyAlignment="1">
      <alignment horizontal="left" vertical="center" wrapText="1"/>
    </xf>
    <xf numFmtId="0" fontId="37" fillId="0" borderId="88" xfId="1" applyFont="1" applyBorder="1" applyAlignment="1">
      <alignment horizontal="center" vertical="center" wrapText="1"/>
    </xf>
    <xf numFmtId="0" fontId="0" fillId="0" borderId="245" xfId="0" applyBorder="1"/>
    <xf numFmtId="0" fontId="0" fillId="0" borderId="246" xfId="0" applyBorder="1"/>
    <xf numFmtId="0" fontId="57" fillId="34" borderId="82" xfId="1" applyFont="1" applyFill="1" applyBorder="1" applyAlignment="1">
      <alignment horizontal="center" vertical="center" wrapText="1"/>
    </xf>
    <xf numFmtId="0" fontId="41" fillId="21" borderId="89" xfId="1" applyFont="1" applyFill="1" applyBorder="1" applyAlignment="1">
      <alignment horizontal="center" vertical="center"/>
    </xf>
    <xf numFmtId="0" fontId="52" fillId="27" borderId="29" xfId="1" applyFont="1" applyFill="1" applyBorder="1" applyAlignment="1">
      <alignment horizontal="right" vertical="center" wrapText="1"/>
    </xf>
    <xf numFmtId="0" fontId="108" fillId="28" borderId="0" xfId="1" applyFont="1" applyFill="1" applyAlignment="1">
      <alignment horizontal="center" vertical="center"/>
    </xf>
    <xf numFmtId="0" fontId="41" fillId="21" borderId="90" xfId="1" applyFont="1" applyFill="1" applyBorder="1" applyAlignment="1">
      <alignment horizontal="center" vertical="center"/>
    </xf>
    <xf numFmtId="0" fontId="37" fillId="0" borderId="57" xfId="1" applyFont="1" applyBorder="1" applyAlignment="1">
      <alignment horizontal="left" vertical="center"/>
    </xf>
    <xf numFmtId="0" fontId="37" fillId="0" borderId="82" xfId="1" applyFont="1" applyBorder="1" applyAlignment="1">
      <alignment horizontal="center" vertical="center" wrapText="1"/>
    </xf>
    <xf numFmtId="0" fontId="45" fillId="4" borderId="119" xfId="3" applyFont="1" applyFill="1" applyBorder="1" applyAlignment="1">
      <alignment horizontal="center" vertical="center"/>
    </xf>
    <xf numFmtId="0" fontId="57" fillId="34" borderId="83" xfId="1" applyFont="1" applyFill="1" applyBorder="1" applyAlignment="1">
      <alignment horizontal="center" vertical="center" wrapText="1"/>
    </xf>
    <xf numFmtId="0" fontId="0" fillId="0" borderId="83" xfId="0" applyBorder="1"/>
    <xf numFmtId="0" fontId="56" fillId="20" borderId="69" xfId="1" applyFont="1" applyFill="1" applyBorder="1" applyAlignment="1">
      <alignment horizontal="center" vertical="center"/>
    </xf>
    <xf numFmtId="0" fontId="37" fillId="0" borderId="83" xfId="1" applyFont="1" applyBorder="1" applyAlignment="1">
      <alignment horizontal="center" vertical="center" wrapText="1"/>
    </xf>
    <xf numFmtId="166" fontId="37" fillId="4" borderId="77" xfId="1" applyNumberFormat="1" applyFont="1" applyFill="1" applyBorder="1" applyAlignment="1">
      <alignment vertical="center" wrapText="1"/>
    </xf>
    <xf numFmtId="0" fontId="0" fillId="0" borderId="77" xfId="0" applyBorder="1"/>
    <xf numFmtId="0" fontId="37" fillId="0" borderId="84" xfId="1" applyFont="1" applyBorder="1" applyAlignment="1">
      <alignment horizontal="center" vertical="center" wrapText="1"/>
    </xf>
    <xf numFmtId="0" fontId="34" fillId="0" borderId="98" xfId="1" applyFont="1" applyBorder="1" applyAlignment="1">
      <alignment horizontal="center" vertical="center"/>
    </xf>
    <xf numFmtId="0" fontId="71" fillId="31" borderId="237" xfId="1" applyFont="1" applyFill="1" applyBorder="1" applyAlignment="1">
      <alignment horizontal="center" vertical="center"/>
    </xf>
    <xf numFmtId="0" fontId="37" fillId="0" borderId="85" xfId="1" applyFont="1" applyBorder="1" applyAlignment="1">
      <alignment horizontal="center" vertical="center" wrapText="1"/>
    </xf>
    <xf numFmtId="0" fontId="0" fillId="0" borderId="85" xfId="0" applyBorder="1"/>
    <xf numFmtId="0" fontId="52" fillId="23" borderId="65" xfId="2" applyFont="1" applyFill="1" applyBorder="1" applyAlignment="1">
      <alignment horizontal="center" vertical="center" wrapText="1"/>
    </xf>
    <xf numFmtId="0" fontId="0" fillId="0" borderId="39" xfId="0" applyBorder="1"/>
    <xf numFmtId="167" fontId="46" fillId="16" borderId="263" xfId="0" applyNumberFormat="1" applyFont="1" applyFill="1" applyBorder="1" applyAlignment="1">
      <alignment horizontal="center" vertical="center" wrapText="1"/>
    </xf>
    <xf numFmtId="0" fontId="63" fillId="30" borderId="7" xfId="0" applyFont="1" applyFill="1" applyBorder="1" applyAlignment="1">
      <alignment horizontal="center" vertical="center" wrapText="1"/>
    </xf>
    <xf numFmtId="0" fontId="0" fillId="0" borderId="7" xfId="0" applyBorder="1"/>
    <xf numFmtId="0" fontId="45" fillId="0" borderId="30" xfId="0" applyFont="1" applyBorder="1" applyAlignment="1">
      <alignment horizontal="center" vertical="center" wrapText="1"/>
    </xf>
    <xf numFmtId="0" fontId="0" fillId="28" borderId="0" xfId="0" applyFill="1" applyAlignment="1">
      <alignment horizontal="center"/>
    </xf>
    <xf numFmtId="0" fontId="54" fillId="21" borderId="0" xfId="0" applyFont="1" applyFill="1" applyBorder="1" applyAlignment="1">
      <alignment horizontal="center" vertical="center" wrapText="1"/>
    </xf>
    <xf numFmtId="0" fontId="67" fillId="0" borderId="30" xfId="0" applyFont="1" applyBorder="1" applyAlignment="1">
      <alignment horizontal="left" vertical="center"/>
    </xf>
    <xf numFmtId="0" fontId="0" fillId="0" borderId="129" xfId="0" applyBorder="1"/>
    <xf numFmtId="0" fontId="45" fillId="0" borderId="306" xfId="0" applyFont="1" applyBorder="1" applyAlignment="1">
      <alignment horizontal="center" vertical="center" wrapText="1"/>
    </xf>
    <xf numFmtId="0" fontId="0" fillId="0" borderId="287" xfId="0" applyBorder="1"/>
    <xf numFmtId="168" fontId="45" fillId="0" borderId="306" xfId="0" applyNumberFormat="1" applyFont="1" applyBorder="1" applyAlignment="1">
      <alignment horizontal="center" vertical="center" wrapText="1"/>
    </xf>
    <xf numFmtId="0" fontId="45" fillId="16" borderId="29" xfId="0" applyFont="1" applyFill="1" applyBorder="1" applyAlignment="1">
      <alignment horizontal="center" vertical="center" wrapText="1"/>
    </xf>
    <xf numFmtId="0" fontId="53" fillId="30" borderId="32" xfId="0" applyFont="1" applyFill="1" applyBorder="1" applyAlignment="1">
      <alignment horizontal="center" vertical="center" wrapText="1"/>
    </xf>
    <xf numFmtId="168" fontId="47" fillId="0" borderId="129" xfId="0" applyNumberFormat="1" applyFont="1" applyBorder="1" applyAlignment="1">
      <alignment horizontal="center" vertical="center" wrapText="1"/>
    </xf>
    <xf numFmtId="0" fontId="0" fillId="0" borderId="37" xfId="0" applyBorder="1"/>
    <xf numFmtId="0" fontId="45" fillId="17" borderId="29" xfId="0" applyFont="1" applyFill="1" applyBorder="1" applyAlignment="1">
      <alignment horizontal="center" vertical="center" wrapText="1"/>
    </xf>
    <xf numFmtId="0" fontId="48" fillId="34" borderId="112" xfId="0" applyFont="1" applyFill="1" applyBorder="1" applyAlignment="1">
      <alignment horizontal="center" vertical="center" wrapText="1"/>
    </xf>
    <xf numFmtId="0" fontId="48" fillId="34" borderId="113" xfId="0" applyFont="1" applyFill="1" applyBorder="1" applyAlignment="1">
      <alignment horizontal="center" vertical="center" wrapText="1"/>
    </xf>
    <xf numFmtId="167" fontId="37" fillId="16" borderId="112" xfId="2" applyNumberFormat="1" applyFont="1" applyFill="1" applyBorder="1" applyAlignment="1">
      <alignment horizontal="center" vertical="center" wrapText="1"/>
    </xf>
    <xf numFmtId="0" fontId="45" fillId="0" borderId="91" xfId="0" applyFont="1" applyBorder="1" applyAlignment="1">
      <alignment horizontal="center" vertical="center" wrapText="1"/>
    </xf>
    <xf numFmtId="0" fontId="0" fillId="0" borderId="264" xfId="0" applyBorder="1"/>
    <xf numFmtId="0" fontId="0" fillId="16" borderId="32" xfId="0" applyFill="1" applyBorder="1"/>
    <xf numFmtId="0" fontId="0" fillId="0" borderId="33" xfId="0" applyBorder="1"/>
    <xf numFmtId="0" fontId="0" fillId="0" borderId="35" xfId="0" applyBorder="1"/>
    <xf numFmtId="0" fontId="0" fillId="0" borderId="43" xfId="0" applyBorder="1"/>
    <xf numFmtId="0" fontId="0" fillId="0" borderId="136" xfId="0" applyBorder="1"/>
    <xf numFmtId="0" fontId="63" fillId="22" borderId="264" xfId="0" applyFont="1" applyFill="1" applyBorder="1" applyAlignment="1">
      <alignment horizontal="center" vertical="center" wrapText="1"/>
    </xf>
    <xf numFmtId="168" fontId="47" fillId="0" borderId="36" xfId="0" applyNumberFormat="1" applyFont="1" applyBorder="1" applyAlignment="1">
      <alignment vertical="center" wrapText="1"/>
    </xf>
    <xf numFmtId="0" fontId="45" fillId="0" borderId="30" xfId="0" applyFont="1" applyBorder="1" applyAlignment="1">
      <alignment vertical="center" wrapText="1"/>
    </xf>
    <xf numFmtId="0" fontId="52" fillId="3" borderId="39" xfId="2" applyFont="1" applyFill="1" applyBorder="1" applyAlignment="1">
      <alignment horizontal="center" vertical="center" wrapText="1"/>
    </xf>
    <xf numFmtId="0" fontId="45" fillId="0" borderId="29" xfId="0" applyFont="1" applyBorder="1" applyAlignment="1">
      <alignment vertical="center" wrapText="1"/>
    </xf>
    <xf numFmtId="0" fontId="45" fillId="16" borderId="29" xfId="0" applyFont="1" applyFill="1" applyBorder="1" applyAlignment="1">
      <alignment vertical="center" wrapText="1"/>
    </xf>
    <xf numFmtId="0" fontId="52" fillId="27" borderId="29" xfId="2" applyFont="1" applyFill="1" applyBorder="1" applyAlignment="1">
      <alignment vertical="center" wrapText="1"/>
    </xf>
    <xf numFmtId="0" fontId="67" fillId="0" borderId="30" xfId="0" applyFont="1" applyBorder="1" applyAlignment="1">
      <alignment horizontal="center" vertical="center" wrapText="1"/>
    </xf>
    <xf numFmtId="0" fontId="0" fillId="0" borderId="36" xfId="0" applyBorder="1"/>
    <xf numFmtId="168" fontId="47" fillId="0" borderId="40" xfId="0" applyNumberFormat="1" applyFont="1" applyBorder="1" applyAlignment="1">
      <alignment vertical="center" wrapText="1"/>
    </xf>
    <xf numFmtId="168" fontId="52" fillId="23" borderId="65" xfId="2" applyNumberFormat="1" applyFont="1" applyFill="1" applyBorder="1" applyAlignment="1">
      <alignment horizontal="center" vertical="center" wrapText="1"/>
    </xf>
    <xf numFmtId="0" fontId="45" fillId="0" borderId="306" xfId="0" applyFont="1" applyBorder="1" applyAlignment="1">
      <alignment vertical="center" wrapText="1"/>
    </xf>
    <xf numFmtId="0" fontId="0" fillId="0" borderId="285" xfId="0" applyBorder="1"/>
    <xf numFmtId="0" fontId="52" fillId="3" borderId="39" xfId="2" applyFont="1" applyFill="1" applyBorder="1" applyAlignment="1">
      <alignment vertical="center" wrapText="1"/>
    </xf>
    <xf numFmtId="168" fontId="50" fillId="16" borderId="108" xfId="0" applyNumberFormat="1" applyFont="1" applyFill="1" applyBorder="1" applyAlignment="1">
      <alignment horizontal="center" vertical="center" wrapText="1"/>
    </xf>
    <xf numFmtId="168" fontId="50" fillId="16" borderId="112" xfId="0" applyNumberFormat="1" applyFont="1" applyFill="1" applyBorder="1" applyAlignment="1">
      <alignment horizontal="center" vertical="center" wrapText="1"/>
    </xf>
    <xf numFmtId="0" fontId="0" fillId="0" borderId="112" xfId="0" applyBorder="1"/>
    <xf numFmtId="0" fontId="63" fillId="22" borderId="258" xfId="0" applyFont="1" applyFill="1" applyBorder="1" applyAlignment="1">
      <alignment horizontal="center" vertical="center" wrapText="1"/>
    </xf>
    <xf numFmtId="0" fontId="67" fillId="0" borderId="308" xfId="0" applyFont="1" applyBorder="1" applyAlignment="1">
      <alignment horizontal="center" vertical="center" wrapText="1"/>
    </xf>
    <xf numFmtId="0" fontId="0" fillId="0" borderId="40" xfId="0" applyBorder="1"/>
    <xf numFmtId="0" fontId="63" fillId="30" borderId="262" xfId="0" applyFont="1" applyFill="1" applyBorder="1" applyAlignment="1">
      <alignment horizontal="center" vertical="center" wrapText="1"/>
    </xf>
    <xf numFmtId="0" fontId="0" fillId="0" borderId="34" xfId="0" applyBorder="1"/>
    <xf numFmtId="0" fontId="60" fillId="3" borderId="260" xfId="0" applyFont="1" applyFill="1" applyBorder="1" applyAlignment="1">
      <alignment horizontal="center" vertical="center" wrapText="1"/>
    </xf>
    <xf numFmtId="0" fontId="0" fillId="0" borderId="260" xfId="0" applyBorder="1"/>
    <xf numFmtId="0" fontId="51" fillId="0" borderId="91" xfId="0" applyFont="1" applyBorder="1" applyAlignment="1">
      <alignment horizontal="center" vertical="center" wrapText="1"/>
    </xf>
    <xf numFmtId="0" fontId="32" fillId="20" borderId="92" xfId="0" applyFont="1" applyFill="1" applyBorder="1" applyAlignment="1">
      <alignment horizontal="center" vertical="center" wrapText="1"/>
    </xf>
    <xf numFmtId="168" fontId="65" fillId="3" borderId="91" xfId="0" applyNumberFormat="1" applyFont="1" applyFill="1" applyBorder="1" applyAlignment="1">
      <alignment horizontal="right" vertical="center" wrapText="1"/>
    </xf>
    <xf numFmtId="0" fontId="45" fillId="0" borderId="91" xfId="0" applyFont="1" applyBorder="1" applyAlignment="1">
      <alignment vertical="center" wrapText="1"/>
    </xf>
    <xf numFmtId="168" fontId="45" fillId="0" borderId="30" xfId="0" applyNumberFormat="1" applyFont="1" applyBorder="1" applyAlignment="1">
      <alignment horizontal="center" vertical="center" wrapText="1"/>
    </xf>
    <xf numFmtId="168" fontId="65" fillId="3" borderId="29" xfId="0" applyNumberFormat="1" applyFont="1" applyFill="1" applyBorder="1" applyAlignment="1">
      <alignment horizontal="right" vertical="center" wrapText="1"/>
    </xf>
    <xf numFmtId="167" fontId="46" fillId="16" borderId="164" xfId="0" applyNumberFormat="1" applyFont="1" applyFill="1" applyBorder="1" applyAlignment="1">
      <alignment horizontal="center" vertical="center" wrapText="1"/>
    </xf>
    <xf numFmtId="0" fontId="45" fillId="4" borderId="100" xfId="3" applyFont="1" applyFill="1" applyBorder="1" applyAlignment="1">
      <alignment horizontal="center" vertical="center"/>
    </xf>
    <xf numFmtId="0" fontId="60" fillId="58" borderId="91" xfId="0" applyFont="1" applyFill="1" applyBorder="1" applyAlignment="1">
      <alignment horizontal="center" vertical="center" wrapText="1"/>
    </xf>
    <xf numFmtId="168" fontId="45" fillId="0" borderId="306" xfId="0" applyNumberFormat="1" applyFont="1" applyBorder="1" applyAlignment="1">
      <alignment vertical="center" wrapText="1"/>
    </xf>
    <xf numFmtId="0" fontId="67" fillId="0" borderId="312" xfId="0" applyFont="1" applyBorder="1" applyAlignment="1">
      <alignment horizontal="center" vertical="center" wrapText="1"/>
    </xf>
    <xf numFmtId="0" fontId="0" fillId="0" borderId="118" xfId="0" applyBorder="1"/>
    <xf numFmtId="0" fontId="0" fillId="17" borderId="32" xfId="0" applyFill="1" applyBorder="1"/>
    <xf numFmtId="168" fontId="45" fillId="0" borderId="307" xfId="0" applyNumberFormat="1" applyFont="1" applyBorder="1" applyAlignment="1">
      <alignment horizontal="center" vertical="center" wrapText="1"/>
    </xf>
    <xf numFmtId="0" fontId="48" fillId="15" borderId="315" xfId="0" applyFont="1" applyFill="1" applyBorder="1" applyAlignment="1">
      <alignment horizontal="center" vertical="center" wrapText="1"/>
    </xf>
    <xf numFmtId="0" fontId="0" fillId="0" borderId="0" xfId="0" applyBorder="1"/>
    <xf numFmtId="0" fontId="0" fillId="0" borderId="314" xfId="0" applyBorder="1"/>
    <xf numFmtId="0" fontId="48" fillId="15" borderId="311" xfId="0" applyFont="1" applyFill="1" applyBorder="1" applyAlignment="1">
      <alignment horizontal="center" vertical="center" wrapText="1"/>
    </xf>
    <xf numFmtId="168" fontId="48" fillId="3" borderId="307" xfId="0" applyNumberFormat="1" applyFont="1" applyFill="1" applyBorder="1" applyAlignment="1">
      <alignment vertical="center" wrapText="1"/>
    </xf>
    <xf numFmtId="168" fontId="47" fillId="0" borderId="40" xfId="0" applyNumberFormat="1" applyFont="1" applyBorder="1" applyAlignment="1">
      <alignment horizontal="center" vertical="center" wrapText="1"/>
    </xf>
    <xf numFmtId="168" fontId="45" fillId="0" borderId="30" xfId="0" applyNumberFormat="1" applyFont="1" applyBorder="1" applyAlignment="1">
      <alignment vertical="center" wrapText="1"/>
    </xf>
    <xf numFmtId="0" fontId="60" fillId="3" borderId="261" xfId="0" applyFont="1" applyFill="1" applyBorder="1" applyAlignment="1">
      <alignment horizontal="center" vertical="center" wrapText="1"/>
    </xf>
    <xf numFmtId="0" fontId="56" fillId="25" borderId="207" xfId="1" applyFont="1" applyFill="1" applyBorder="1" applyAlignment="1">
      <alignment horizontal="center" vertical="center"/>
    </xf>
    <xf numFmtId="0" fontId="63" fillId="22" borderId="259" xfId="0" applyFont="1" applyFill="1" applyBorder="1" applyAlignment="1">
      <alignment horizontal="center" vertical="center" wrapText="1"/>
    </xf>
    <xf numFmtId="0" fontId="89" fillId="14" borderId="310" xfId="3" applyFont="1" applyFill="1" applyBorder="1" applyAlignment="1">
      <alignment horizontal="center" vertical="center"/>
    </xf>
    <xf numFmtId="0" fontId="45" fillId="0" borderId="117" xfId="0" applyFont="1" applyBorder="1" applyAlignment="1">
      <alignment vertical="center" wrapText="1"/>
    </xf>
    <xf numFmtId="0" fontId="53" fillId="30" borderId="108" xfId="0" applyFont="1" applyFill="1" applyBorder="1" applyAlignment="1">
      <alignment horizontal="center" vertical="center" wrapText="1"/>
    </xf>
    <xf numFmtId="0" fontId="88" fillId="24" borderId="309" xfId="0" applyFont="1" applyFill="1" applyBorder="1" applyAlignment="1">
      <alignment horizontal="center" vertical="center" wrapText="1"/>
    </xf>
    <xf numFmtId="0" fontId="45" fillId="0" borderId="307" xfId="0" applyFont="1" applyBorder="1" applyAlignment="1">
      <alignment horizontal="center" vertical="center" wrapText="1"/>
    </xf>
    <xf numFmtId="0" fontId="45" fillId="17" borderId="29" xfId="0" applyFont="1" applyFill="1" applyBorder="1" applyAlignment="1">
      <alignment vertical="center" wrapText="1"/>
    </xf>
    <xf numFmtId="0" fontId="28" fillId="20" borderId="216" xfId="2" applyFont="1" applyFill="1" applyBorder="1" applyAlignment="1">
      <alignment horizontal="center" vertical="center" wrapText="1"/>
    </xf>
    <xf numFmtId="0" fontId="0" fillId="0" borderId="0" xfId="2" applyFont="1"/>
    <xf numFmtId="0" fontId="52" fillId="23" borderId="39" xfId="2" applyFont="1" applyFill="1" applyBorder="1" applyAlignment="1">
      <alignment horizontal="center" vertical="center" wrapText="1"/>
    </xf>
    <xf numFmtId="0" fontId="48" fillId="15" borderId="91" xfId="0" applyFont="1" applyFill="1" applyBorder="1" applyAlignment="1">
      <alignment horizontal="center" vertical="center" wrapText="1"/>
    </xf>
    <xf numFmtId="167" fontId="39" fillId="3" borderId="115" xfId="2" applyNumberFormat="1" applyFont="1" applyFill="1" applyBorder="1" applyAlignment="1">
      <alignment horizontal="center" vertical="center" wrapText="1"/>
    </xf>
    <xf numFmtId="0" fontId="0" fillId="0" borderId="41" xfId="0" applyBorder="1"/>
    <xf numFmtId="167" fontId="55" fillId="16" borderId="91" xfId="2" applyNumberFormat="1" applyFont="1" applyFill="1" applyBorder="1" applyAlignment="1">
      <alignment horizontal="center" vertical="center" wrapText="1"/>
    </xf>
    <xf numFmtId="0" fontId="52" fillId="0" borderId="29" xfId="2" applyFont="1" applyBorder="1" applyAlignment="1">
      <alignment horizontal="left" vertical="center"/>
    </xf>
    <xf numFmtId="0" fontId="5" fillId="0" borderId="29" xfId="2" applyFont="1" applyBorder="1" applyAlignment="1">
      <alignment horizontal="center" vertical="center" wrapText="1"/>
    </xf>
    <xf numFmtId="0" fontId="32" fillId="50" borderId="32" xfId="2" applyFont="1" applyFill="1" applyBorder="1" applyAlignment="1">
      <alignment horizontal="center" vertical="center" wrapText="1"/>
    </xf>
    <xf numFmtId="0" fontId="59" fillId="15" borderId="91" xfId="2" applyFont="1" applyFill="1" applyBorder="1" applyAlignment="1">
      <alignment horizontal="center" vertical="center" wrapText="1"/>
    </xf>
    <xf numFmtId="167" fontId="34" fillId="16" borderId="33" xfId="2" applyNumberFormat="1" applyFont="1" applyFill="1" applyBorder="1" applyAlignment="1">
      <alignment horizontal="center" vertical="center" wrapText="1"/>
    </xf>
    <xf numFmtId="0" fontId="68" fillId="0" borderId="119" xfId="2" applyFont="1" applyBorder="1" applyAlignment="1">
      <alignment horizontal="center" vertical="center" wrapText="1"/>
    </xf>
    <xf numFmtId="0" fontId="5" fillId="0" borderId="216" xfId="2" applyFont="1" applyBorder="1" applyAlignment="1">
      <alignment horizontal="center" vertical="center" wrapText="1"/>
    </xf>
    <xf numFmtId="0" fontId="5" fillId="0" borderId="29" xfId="2" applyFont="1" applyBorder="1" applyAlignment="1">
      <alignment vertical="center" wrapText="1"/>
    </xf>
    <xf numFmtId="0" fontId="59" fillId="22" borderId="32" xfId="2" applyFont="1" applyFill="1" applyBorder="1" applyAlignment="1">
      <alignment horizontal="center" vertical="center" wrapText="1"/>
    </xf>
    <xf numFmtId="168" fontId="35" fillId="0" borderId="91" xfId="2" applyNumberFormat="1" applyFont="1" applyBorder="1" applyAlignment="1">
      <alignment horizontal="center" vertical="center" wrapText="1"/>
    </xf>
    <xf numFmtId="0" fontId="5" fillId="16" borderId="29" xfId="2" applyFont="1" applyFill="1" applyBorder="1" applyAlignment="1">
      <alignment vertical="center" wrapText="1"/>
    </xf>
    <xf numFmtId="0" fontId="59" fillId="22" borderId="108" xfId="2" applyFont="1" applyFill="1" applyBorder="1" applyAlignment="1">
      <alignment horizontal="center" vertical="center" wrapText="1"/>
    </xf>
    <xf numFmtId="0" fontId="5" fillId="17" borderId="29" xfId="2" applyFont="1" applyFill="1" applyBorder="1" applyAlignment="1">
      <alignment horizontal="center" vertical="center" wrapText="1"/>
    </xf>
    <xf numFmtId="0" fontId="68" fillId="0" borderId="91" xfId="2" applyFont="1" applyBorder="1" applyAlignment="1">
      <alignment horizontal="center" vertical="center" wrapText="1"/>
    </xf>
    <xf numFmtId="0" fontId="0" fillId="0" borderId="283" xfId="0" applyBorder="1"/>
    <xf numFmtId="0" fontId="52" fillId="30" borderId="32" xfId="2" applyFont="1" applyFill="1" applyBorder="1" applyAlignment="1">
      <alignment horizontal="center" vertical="center" wrapText="1"/>
    </xf>
    <xf numFmtId="0" fontId="52" fillId="27" borderId="38" xfId="2" applyFont="1" applyFill="1" applyBorder="1" applyAlignment="1">
      <alignment horizontal="left" vertical="center" wrapText="1"/>
    </xf>
    <xf numFmtId="0" fontId="5" fillId="17" borderId="29" xfId="2" applyFont="1" applyFill="1" applyBorder="1" applyAlignment="1">
      <alignment vertical="center" wrapText="1"/>
    </xf>
    <xf numFmtId="0" fontId="52" fillId="0" borderId="29" xfId="2" applyFont="1" applyBorder="1" applyAlignment="1">
      <alignment horizontal="center" vertical="center" wrapText="1"/>
    </xf>
    <xf numFmtId="0" fontId="5" fillId="0" borderId="65" xfId="2" applyFont="1" applyBorder="1" applyAlignment="1">
      <alignment vertical="center" wrapText="1"/>
    </xf>
    <xf numFmtId="0" fontId="45" fillId="4" borderId="102" xfId="3" applyFont="1" applyFill="1" applyBorder="1" applyAlignment="1">
      <alignment horizontal="center" vertical="center"/>
    </xf>
    <xf numFmtId="0" fontId="0" fillId="0" borderId="102" xfId="0" applyBorder="1"/>
    <xf numFmtId="0" fontId="45" fillId="4" borderId="106" xfId="3" applyFont="1" applyFill="1" applyBorder="1" applyAlignment="1">
      <alignment horizontal="center" vertical="center"/>
    </xf>
    <xf numFmtId="0" fontId="57" fillId="3" borderId="1" xfId="2" applyFont="1" applyFill="1" applyBorder="1" applyAlignment="1">
      <alignment horizontal="center" vertical="center" wrapText="1"/>
    </xf>
    <xf numFmtId="0" fontId="52" fillId="30" borderId="31" xfId="2" applyFont="1" applyFill="1" applyBorder="1" applyAlignment="1">
      <alignment horizontal="center" vertical="center" wrapText="1"/>
    </xf>
    <xf numFmtId="0" fontId="32" fillId="20" borderId="0" xfId="2" applyFont="1" applyFill="1" applyAlignment="1">
      <alignment horizontal="center" vertical="center" wrapText="1"/>
    </xf>
    <xf numFmtId="0" fontId="0" fillId="0" borderId="313" xfId="0" applyBorder="1"/>
    <xf numFmtId="0" fontId="52" fillId="0" borderId="112" xfId="2" applyFont="1" applyBorder="1" applyAlignment="1">
      <alignment horizontal="left" vertical="center"/>
    </xf>
    <xf numFmtId="168" fontId="5" fillId="0" borderId="65" xfId="2" applyNumberFormat="1" applyFont="1" applyBorder="1" applyAlignment="1">
      <alignment vertical="center" wrapText="1"/>
    </xf>
    <xf numFmtId="168" fontId="5" fillId="0" borderId="29" xfId="2" applyNumberFormat="1" applyFont="1" applyBorder="1" applyAlignment="1">
      <alignment vertical="center" wrapText="1"/>
    </xf>
    <xf numFmtId="0" fontId="38" fillId="3" borderId="33" xfId="2" applyFont="1" applyFill="1" applyBorder="1" applyAlignment="1">
      <alignment horizontal="center" vertical="center" wrapText="1"/>
    </xf>
    <xf numFmtId="168" fontId="52" fillId="23" borderId="39" xfId="2" applyNumberFormat="1" applyFont="1" applyFill="1" applyBorder="1" applyAlignment="1">
      <alignment horizontal="center" vertical="center" wrapText="1"/>
    </xf>
    <xf numFmtId="0" fontId="59" fillId="22" borderId="29" xfId="2" applyFont="1" applyFill="1" applyBorder="1" applyAlignment="1">
      <alignment horizontal="center" vertical="center" wrapText="1"/>
    </xf>
    <xf numFmtId="0" fontId="5" fillId="0" borderId="286" xfId="2" applyFont="1" applyBorder="1" applyAlignment="1">
      <alignment vertical="center" wrapText="1"/>
    </xf>
    <xf numFmtId="0" fontId="52" fillId="30" borderId="259" xfId="2" applyFont="1" applyFill="1" applyBorder="1" applyAlignment="1">
      <alignment horizontal="center" vertical="center" wrapText="1"/>
    </xf>
    <xf numFmtId="0" fontId="52" fillId="58" borderId="91" xfId="2" applyFont="1" applyFill="1" applyBorder="1" applyAlignment="1">
      <alignment horizontal="center" vertical="center" wrapText="1"/>
    </xf>
    <xf numFmtId="0" fontId="0" fillId="0" borderId="284" xfId="2" applyFont="1" applyBorder="1"/>
    <xf numFmtId="168" fontId="38" fillId="3" borderId="117" xfId="2" applyNumberFormat="1" applyFont="1" applyFill="1" applyBorder="1" applyAlignment="1">
      <alignment horizontal="center" vertical="center" wrapText="1"/>
    </xf>
    <xf numFmtId="167" fontId="39" fillId="3" borderId="41" xfId="2" applyNumberFormat="1" applyFont="1" applyFill="1" applyBorder="1" applyAlignment="1">
      <alignment horizontal="center" vertical="center" wrapText="1"/>
    </xf>
    <xf numFmtId="168" fontId="57" fillId="3" borderId="91" xfId="2" applyNumberFormat="1" applyFont="1" applyFill="1" applyBorder="1" applyAlignment="1">
      <alignment horizontal="center" vertical="center" wrapText="1"/>
    </xf>
    <xf numFmtId="0" fontId="52" fillId="0" borderId="112" xfId="2" applyFont="1" applyBorder="1" applyAlignment="1">
      <alignment horizontal="center" vertical="center" wrapText="1"/>
    </xf>
    <xf numFmtId="0" fontId="5" fillId="0" borderId="285" xfId="2" applyFont="1" applyBorder="1" applyAlignment="1">
      <alignment vertical="center" wrapText="1"/>
    </xf>
    <xf numFmtId="0" fontId="45" fillId="4" borderId="101" xfId="3" applyFont="1" applyFill="1" applyBorder="1" applyAlignment="1">
      <alignment horizontal="center" vertical="center"/>
    </xf>
    <xf numFmtId="0" fontId="38" fillId="3" borderId="283" xfId="2" applyFont="1" applyFill="1" applyBorder="1" applyAlignment="1">
      <alignment horizontal="center" vertical="center" wrapText="1"/>
    </xf>
    <xf numFmtId="0" fontId="91" fillId="14" borderId="22" xfId="3" applyFont="1" applyFill="1" applyBorder="1" applyAlignment="1">
      <alignment horizontal="center" vertical="center"/>
    </xf>
    <xf numFmtId="0" fontId="28" fillId="20" borderId="41" xfId="2" applyFont="1" applyFill="1" applyBorder="1" applyAlignment="1">
      <alignment horizontal="left" vertical="center" wrapText="1"/>
    </xf>
    <xf numFmtId="0" fontId="52" fillId="30" borderId="108" xfId="2" applyFont="1" applyFill="1" applyBorder="1" applyAlignment="1">
      <alignment horizontal="center" vertical="center" wrapText="1"/>
    </xf>
    <xf numFmtId="0" fontId="57" fillId="3" borderId="91" xfId="2" applyFont="1" applyFill="1" applyBorder="1" applyAlignment="1">
      <alignment horizontal="center" vertical="center" wrapText="1"/>
    </xf>
    <xf numFmtId="168" fontId="35" fillId="0" borderId="166" xfId="2" applyNumberFormat="1" applyFont="1" applyBorder="1" applyAlignment="1">
      <alignment horizontal="center" vertical="center" wrapText="1"/>
    </xf>
    <xf numFmtId="0" fontId="125" fillId="0" borderId="0" xfId="0" applyFont="1" applyAlignment="1">
      <alignment horizontal="right" vertical="center"/>
    </xf>
    <xf numFmtId="0" fontId="125" fillId="0" borderId="0" xfId="0" applyFont="1" applyAlignment="1">
      <alignment horizontal="right"/>
    </xf>
    <xf numFmtId="0" fontId="125" fillId="28" borderId="0" xfId="0" applyFont="1" applyFill="1" applyAlignment="1">
      <alignment horizontal="right"/>
    </xf>
    <xf numFmtId="0" fontId="125" fillId="60" borderId="0" xfId="0" applyFont="1" applyFill="1" applyAlignment="1">
      <alignment horizontal="right" vertical="center"/>
    </xf>
    <xf numFmtId="0" fontId="122" fillId="0" borderId="0" xfId="0" applyFont="1" applyAlignment="1">
      <alignment horizontal="right"/>
    </xf>
    <xf numFmtId="0" fontId="138" fillId="35" borderId="38" xfId="0" applyFont="1" applyFill="1" applyBorder="1" applyAlignment="1">
      <alignment vertical="center"/>
    </xf>
    <xf numFmtId="0" fontId="139" fillId="0" borderId="29" xfId="0" applyFont="1" applyBorder="1" applyAlignment="1">
      <alignment vertical="center"/>
    </xf>
    <xf numFmtId="0" fontId="139" fillId="0" borderId="39" xfId="0" applyFont="1" applyBorder="1" applyAlignment="1">
      <alignment vertical="center"/>
    </xf>
    <xf numFmtId="0" fontId="141" fillId="0" borderId="38" xfId="0" applyFont="1" applyBorder="1" applyAlignment="1">
      <alignment vertical="center"/>
    </xf>
    <xf numFmtId="0" fontId="141" fillId="0" borderId="29" xfId="0" applyFont="1" applyBorder="1" applyAlignment="1">
      <alignment vertical="center"/>
    </xf>
    <xf numFmtId="0" fontId="141" fillId="0" borderId="29" xfId="0" applyFont="1" applyBorder="1" applyAlignment="1">
      <alignment horizontal="center" vertical="center"/>
    </xf>
    <xf numFmtId="0" fontId="139" fillId="0" borderId="29" xfId="0" applyFont="1" applyBorder="1" applyAlignment="1">
      <alignment vertical="center"/>
    </xf>
    <xf numFmtId="0" fontId="139" fillId="0" borderId="39" xfId="0" applyFont="1" applyBorder="1" applyAlignment="1">
      <alignment vertical="center"/>
    </xf>
    <xf numFmtId="0" fontId="139" fillId="25" borderId="29" xfId="0" applyFont="1" applyFill="1" applyBorder="1" applyAlignment="1">
      <alignment vertical="center"/>
    </xf>
    <xf numFmtId="0" fontId="139" fillId="25" borderId="39" xfId="0" applyFont="1" applyFill="1" applyBorder="1" applyAlignment="1">
      <alignment vertical="center"/>
    </xf>
    <xf numFmtId="0" fontId="162" fillId="0" borderId="0" xfId="0" applyFont="1" applyAlignment="1">
      <alignment horizontal="right"/>
    </xf>
    <xf numFmtId="0" fontId="125" fillId="0" borderId="91" xfId="0" applyFont="1" applyBorder="1" applyAlignment="1">
      <alignment horizontal="right"/>
    </xf>
    <xf numFmtId="0" fontId="125" fillId="0" borderId="293" xfId="0" applyFont="1" applyBorder="1" applyAlignment="1">
      <alignment horizontal="right"/>
    </xf>
    <xf numFmtId="0" fontId="125" fillId="4" borderId="0" xfId="3" applyFont="1" applyFill="1" applyAlignment="1">
      <alignment horizontal="right" vertical="center"/>
    </xf>
    <xf numFmtId="0" fontId="122" fillId="0" borderId="0" xfId="4" applyFont="1" applyAlignment="1">
      <alignment horizontal="right" vertical="center"/>
    </xf>
    <xf numFmtId="0" fontId="125" fillId="4" borderId="12" xfId="3" applyFont="1" applyFill="1" applyBorder="1" applyAlignment="1">
      <alignment horizontal="right" vertical="center"/>
    </xf>
    <xf numFmtId="0" fontId="40" fillId="21" borderId="332" xfId="2" applyFont="1" applyFill="1" applyBorder="1" applyAlignment="1">
      <alignment horizontal="center" vertical="center" wrapText="1"/>
    </xf>
    <xf numFmtId="0" fontId="0" fillId="0" borderId="33" xfId="2" applyFont="1" applyBorder="1"/>
    <xf numFmtId="0" fontId="57" fillId="3" borderId="333" xfId="2" applyFont="1" applyFill="1" applyBorder="1" applyAlignment="1">
      <alignment horizontal="center" vertical="center" wrapText="1"/>
    </xf>
    <xf numFmtId="0" fontId="0" fillId="0" borderId="0" xfId="2" applyFont="1" applyBorder="1"/>
    <xf numFmtId="167" fontId="55" fillId="16" borderId="40" xfId="2" applyNumberFormat="1" applyFont="1" applyFill="1" applyBorder="1" applyAlignment="1">
      <alignment horizontal="center" vertical="center" wrapText="1"/>
    </xf>
    <xf numFmtId="167" fontId="55" fillId="16" borderId="0" xfId="2" applyNumberFormat="1" applyFont="1" applyFill="1" applyBorder="1" applyAlignment="1">
      <alignment horizontal="center" vertical="center" wrapText="1"/>
    </xf>
    <xf numFmtId="0" fontId="28" fillId="20" borderId="334" xfId="2" applyFont="1" applyFill="1" applyBorder="1" applyAlignment="1">
      <alignment horizontal="left" vertical="center" wrapText="1"/>
    </xf>
    <xf numFmtId="0" fontId="0" fillId="0" borderId="335" xfId="0" applyBorder="1"/>
    <xf numFmtId="0" fontId="52" fillId="30" borderId="336" xfId="2" applyFont="1" applyFill="1" applyBorder="1" applyAlignment="1">
      <alignment horizontal="center" vertical="center" wrapText="1"/>
    </xf>
    <xf numFmtId="0" fontId="0" fillId="0" borderId="336" xfId="0" applyBorder="1"/>
    <xf numFmtId="0" fontId="0" fillId="0" borderId="337" xfId="0" applyBorder="1"/>
    <xf numFmtId="0" fontId="35" fillId="0" borderId="36" xfId="2" applyFont="1" applyBorder="1" applyAlignment="1">
      <alignment horizontal="left" vertical="center" wrapText="1"/>
    </xf>
    <xf numFmtId="0" fontId="0" fillId="0" borderId="338" xfId="0" applyBorder="1"/>
    <xf numFmtId="0" fontId="35" fillId="0" borderId="38" xfId="2" applyFont="1" applyBorder="1" applyAlignment="1">
      <alignment horizontal="left" vertical="center" wrapText="1"/>
    </xf>
    <xf numFmtId="0" fontId="35" fillId="0" borderId="339" xfId="2" applyFont="1" applyBorder="1" applyAlignment="1">
      <alignment horizontal="left" vertical="center" wrapText="1"/>
    </xf>
    <xf numFmtId="167" fontId="35" fillId="17" borderId="0" xfId="2" applyNumberFormat="1" applyFont="1" applyFill="1" applyBorder="1" applyAlignment="1">
      <alignment horizontal="center" vertical="center"/>
    </xf>
    <xf numFmtId="0" fontId="38" fillId="3" borderId="340" xfId="2" applyFont="1" applyFill="1" applyBorder="1" applyAlignment="1">
      <alignment horizontal="center" vertical="center" wrapText="1"/>
    </xf>
    <xf numFmtId="0" fontId="40" fillId="21" borderId="308" xfId="2" applyFont="1" applyFill="1" applyBorder="1" applyAlignment="1">
      <alignment horizontal="center" vertical="center" wrapText="1"/>
    </xf>
    <xf numFmtId="0" fontId="52" fillId="30" borderId="36" xfId="2" applyFont="1" applyFill="1" applyBorder="1" applyAlignment="1">
      <alignment horizontal="center" vertical="center" wrapText="1"/>
    </xf>
    <xf numFmtId="0" fontId="0" fillId="0" borderId="341" xfId="0" applyBorder="1"/>
    <xf numFmtId="0" fontId="0" fillId="0" borderId="342" xfId="0" applyBorder="1"/>
    <xf numFmtId="0" fontId="5" fillId="0" borderId="343" xfId="2" applyFont="1" applyBorder="1" applyAlignment="1">
      <alignment vertical="center" wrapText="1"/>
    </xf>
    <xf numFmtId="0" fontId="5" fillId="0" borderId="38" xfId="2" applyFont="1" applyBorder="1" applyAlignment="1">
      <alignment vertical="center" wrapText="1"/>
    </xf>
    <xf numFmtId="0" fontId="52" fillId="15" borderId="38" xfId="2" applyFont="1" applyFill="1" applyBorder="1" applyAlignment="1">
      <alignment horizontal="center" vertical="center" wrapText="1"/>
    </xf>
    <xf numFmtId="0" fontId="59" fillId="22" borderId="38" xfId="2" applyFont="1" applyFill="1" applyBorder="1" applyAlignment="1">
      <alignment horizontal="center" vertical="center" wrapText="1"/>
    </xf>
    <xf numFmtId="0" fontId="28" fillId="20" borderId="40" xfId="2" applyFont="1" applyFill="1" applyBorder="1" applyAlignment="1">
      <alignment horizontal="center" vertical="center" wrapText="1"/>
    </xf>
    <xf numFmtId="0" fontId="59" fillId="15" borderId="40" xfId="2" applyFont="1" applyFill="1" applyBorder="1" applyAlignment="1">
      <alignment horizontal="center" vertical="center" wrapText="1"/>
    </xf>
    <xf numFmtId="168" fontId="34" fillId="16" borderId="0" xfId="2" applyNumberFormat="1" applyFont="1" applyFill="1" applyBorder="1" applyAlignment="1">
      <alignment horizontal="center" vertical="center" wrapText="1"/>
    </xf>
    <xf numFmtId="0" fontId="59" fillId="15" borderId="0" xfId="2" applyFont="1" applyFill="1" applyBorder="1" applyAlignment="1">
      <alignment horizontal="center" vertical="center" wrapText="1"/>
    </xf>
    <xf numFmtId="167" fontId="34" fillId="16" borderId="35" xfId="2" applyNumberFormat="1" applyFont="1" applyFill="1" applyBorder="1" applyAlignment="1">
      <alignment horizontal="center" vertical="center" wrapText="1"/>
    </xf>
    <xf numFmtId="0" fontId="39" fillId="3" borderId="310" xfId="2" applyFont="1" applyFill="1" applyBorder="1" applyAlignment="1">
      <alignment horizontal="center" vertical="center" wrapText="1"/>
    </xf>
    <xf numFmtId="0" fontId="5" fillId="0" borderId="310" xfId="2" applyFont="1" applyBorder="1" applyAlignment="1">
      <alignment horizontal="center" vertical="center" wrapText="1"/>
    </xf>
    <xf numFmtId="0" fontId="28" fillId="20" borderId="308" xfId="2" applyFont="1" applyFill="1" applyBorder="1" applyAlignment="1">
      <alignment horizontal="center" vertical="center" wrapText="1"/>
    </xf>
    <xf numFmtId="0" fontId="5" fillId="0" borderId="308" xfId="2" applyFont="1" applyBorder="1" applyAlignment="1">
      <alignment horizontal="center" vertical="center" wrapText="1"/>
    </xf>
    <xf numFmtId="0" fontId="91" fillId="14" borderId="344" xfId="3" applyFont="1" applyFill="1" applyBorder="1" applyAlignment="1">
      <alignment horizontal="center" vertical="center"/>
    </xf>
    <xf numFmtId="0" fontId="0" fillId="0" borderId="345" xfId="0" applyBorder="1"/>
    <xf numFmtId="0" fontId="0" fillId="0" borderId="346" xfId="0" applyBorder="1"/>
    <xf numFmtId="0" fontId="0" fillId="0" borderId="347" xfId="0" applyBorder="1"/>
    <xf numFmtId="0" fontId="0" fillId="0" borderId="348" xfId="0" applyBorder="1"/>
    <xf numFmtId="0" fontId="40" fillId="21" borderId="40" xfId="2" applyFont="1" applyFill="1" applyBorder="1" applyAlignment="1">
      <alignment horizontal="center" vertical="center" wrapText="1"/>
    </xf>
    <xf numFmtId="0" fontId="0" fillId="0" borderId="43" xfId="2" applyFont="1" applyBorder="1"/>
    <xf numFmtId="0" fontId="48" fillId="15" borderId="40" xfId="0" applyFont="1" applyFill="1" applyBorder="1" applyAlignment="1">
      <alignment horizontal="center" vertical="center" wrapText="1"/>
    </xf>
    <xf numFmtId="0" fontId="48" fillId="15" borderId="0" xfId="0" applyFont="1" applyFill="1" applyBorder="1" applyAlignment="1">
      <alignment horizontal="center" vertical="center" wrapText="1"/>
    </xf>
    <xf numFmtId="0" fontId="52" fillId="0" borderId="38" xfId="2" applyFont="1" applyBorder="1" applyAlignment="1">
      <alignment horizontal="left" vertical="center"/>
    </xf>
    <xf numFmtId="0" fontId="52" fillId="0" borderId="349" xfId="2" applyFont="1" applyBorder="1" applyAlignment="1">
      <alignment horizontal="left" vertical="center"/>
    </xf>
    <xf numFmtId="0" fontId="56" fillId="25" borderId="332" xfId="1" applyFont="1" applyFill="1" applyBorder="1" applyAlignment="1">
      <alignment horizontal="center" vertical="center"/>
    </xf>
    <xf numFmtId="0" fontId="53" fillId="29" borderId="350" xfId="0" applyFont="1" applyFill="1" applyBorder="1" applyAlignment="1">
      <alignment horizontal="left" vertical="center" wrapText="1"/>
    </xf>
    <xf numFmtId="0" fontId="53" fillId="23" borderId="37" xfId="0" applyFont="1" applyFill="1" applyBorder="1" applyAlignment="1">
      <alignment horizontal="center" vertical="center" wrapText="1"/>
    </xf>
    <xf numFmtId="0" fontId="53" fillId="29" borderId="38" xfId="0" applyFont="1" applyFill="1" applyBorder="1" applyAlignment="1">
      <alignment horizontal="left" vertical="center" wrapText="1"/>
    </xf>
    <xf numFmtId="0" fontId="54" fillId="21" borderId="312" xfId="0" applyFont="1" applyFill="1" applyBorder="1" applyAlignment="1">
      <alignment horizontal="center" vertical="center" wrapText="1"/>
    </xf>
    <xf numFmtId="0" fontId="45" fillId="0" borderId="351" xfId="0" applyFont="1" applyBorder="1" applyAlignment="1">
      <alignment horizontal="center" vertical="center" wrapText="1"/>
    </xf>
    <xf numFmtId="0" fontId="0" fillId="0" borderId="352" xfId="0" applyBorder="1"/>
    <xf numFmtId="0" fontId="54" fillId="21" borderId="353" xfId="0" applyFont="1" applyFill="1" applyBorder="1" applyAlignment="1">
      <alignment horizontal="center" vertical="center" wrapText="1"/>
    </xf>
    <xf numFmtId="0" fontId="0" fillId="0" borderId="354" xfId="0" applyBorder="1"/>
    <xf numFmtId="0" fontId="60" fillId="3" borderId="355" xfId="0" applyFont="1" applyFill="1" applyBorder="1" applyAlignment="1">
      <alignment horizontal="center" vertical="center" wrapText="1"/>
    </xf>
    <xf numFmtId="0" fontId="0" fillId="0" borderId="356" xfId="0" applyBorder="1"/>
    <xf numFmtId="167" fontId="46" fillId="16" borderId="357" xfId="0" applyNumberFormat="1" applyFont="1" applyFill="1" applyBorder="1" applyAlignment="1">
      <alignment horizontal="center" vertical="center" wrapText="1"/>
    </xf>
    <xf numFmtId="0" fontId="0" fillId="0" borderId="358" xfId="0" applyBorder="1"/>
    <xf numFmtId="0" fontId="63" fillId="30" borderId="359" xfId="0" applyFont="1" applyFill="1" applyBorder="1" applyAlignment="1">
      <alignment horizontal="center" vertical="center" wrapText="1"/>
    </xf>
    <xf numFmtId="0" fontId="47" fillId="0" borderId="30" xfId="0" applyFont="1" applyBorder="1" applyAlignment="1">
      <alignment horizontal="left" vertical="center" wrapText="1"/>
    </xf>
    <xf numFmtId="0" fontId="47" fillId="0" borderId="30" xfId="0" applyFont="1" applyBorder="1" applyAlignment="1">
      <alignment vertical="center" wrapText="1"/>
    </xf>
    <xf numFmtId="0" fontId="48" fillId="3" borderId="30" xfId="0" applyFont="1" applyFill="1" applyBorder="1" applyAlignment="1">
      <alignment horizontal="center" vertical="center" wrapText="1"/>
    </xf>
    <xf numFmtId="0" fontId="54" fillId="21" borderId="308" xfId="0" applyFont="1" applyFill="1" applyBorder="1" applyAlignment="1">
      <alignment horizontal="center" vertical="center" wrapText="1"/>
    </xf>
    <xf numFmtId="0" fontId="53" fillId="30" borderId="36" xfId="0" applyFont="1" applyFill="1" applyBorder="1" applyAlignment="1">
      <alignment horizontal="center" vertical="center" wrapText="1"/>
    </xf>
    <xf numFmtId="0" fontId="45" fillId="0" borderId="38" xfId="0" applyFont="1" applyBorder="1" applyAlignment="1">
      <alignment vertical="center" wrapText="1"/>
    </xf>
    <xf numFmtId="0" fontId="45" fillId="0" borderId="38" xfId="0" applyFont="1" applyBorder="1" applyAlignment="1">
      <alignment horizontal="center" vertical="center" wrapText="1"/>
    </xf>
    <xf numFmtId="0" fontId="54" fillId="21" borderId="40" xfId="0" applyFont="1" applyFill="1" applyBorder="1" applyAlignment="1">
      <alignment horizontal="center" vertical="center" wrapText="1"/>
    </xf>
    <xf numFmtId="0" fontId="54" fillId="21" borderId="43" xfId="0" applyFont="1" applyFill="1" applyBorder="1" applyAlignment="1">
      <alignment horizontal="center" vertical="center" wrapText="1"/>
    </xf>
    <xf numFmtId="0" fontId="60" fillId="58" borderId="38" xfId="0" applyFont="1" applyFill="1" applyBorder="1" applyAlignment="1">
      <alignment horizontal="center" vertical="center" wrapText="1"/>
    </xf>
    <xf numFmtId="0" fontId="63" fillId="22" borderId="341" xfId="0" applyFont="1" applyFill="1" applyBorder="1" applyAlignment="1">
      <alignment horizontal="center" vertical="center" wrapText="1"/>
    </xf>
    <xf numFmtId="0" fontId="65" fillId="3" borderId="38" xfId="0" applyFont="1" applyFill="1" applyBorder="1" applyAlignment="1">
      <alignment horizontal="center" vertical="center" wrapText="1"/>
    </xf>
    <xf numFmtId="0" fontId="65" fillId="3" borderId="0" xfId="0" applyFont="1" applyFill="1" applyBorder="1" applyAlignment="1">
      <alignment horizontal="center" vertical="center" wrapText="1"/>
    </xf>
    <xf numFmtId="0" fontId="66" fillId="20" borderId="36" xfId="0" applyFont="1" applyFill="1" applyBorder="1" applyAlignment="1">
      <alignment horizontal="center" vertical="center" wrapText="1"/>
    </xf>
    <xf numFmtId="0" fontId="48" fillId="34" borderId="349" xfId="0" applyFont="1" applyFill="1" applyBorder="1" applyAlignment="1">
      <alignment horizontal="center" vertical="center" wrapText="1"/>
    </xf>
    <xf numFmtId="167" fontId="37" fillId="16" borderId="360" xfId="2" applyNumberFormat="1" applyFont="1" applyFill="1" applyBorder="1" applyAlignment="1">
      <alignment horizontal="center" vertical="center" wrapText="1"/>
    </xf>
    <xf numFmtId="0" fontId="48" fillId="3" borderId="361" xfId="0" applyFont="1" applyFill="1" applyBorder="1" applyAlignment="1">
      <alignment horizontal="center" vertical="center" wrapText="1"/>
    </xf>
    <xf numFmtId="0" fontId="45" fillId="0" borderId="308" xfId="0" applyFont="1" applyBorder="1" applyAlignment="1">
      <alignment horizontal="center" vertical="center" wrapText="1"/>
    </xf>
    <xf numFmtId="0" fontId="66" fillId="20" borderId="362" xfId="0" applyFont="1" applyFill="1" applyBorder="1" applyAlignment="1">
      <alignment horizontal="center" vertical="center" wrapText="1"/>
    </xf>
    <xf numFmtId="0" fontId="45" fillId="0" borderId="363" xfId="0" applyFont="1" applyBorder="1" applyAlignment="1">
      <alignment horizontal="center" vertical="center" wrapText="1"/>
    </xf>
    <xf numFmtId="0" fontId="0" fillId="0" borderId="364" xfId="0" applyBorder="1"/>
    <xf numFmtId="0" fontId="45" fillId="0" borderId="310" xfId="0" applyFont="1" applyBorder="1" applyAlignment="1">
      <alignment horizontal="center" vertical="center" wrapText="1"/>
    </xf>
    <xf numFmtId="0" fontId="66" fillId="20" borderId="310" xfId="0" applyFont="1" applyFill="1" applyBorder="1" applyAlignment="1">
      <alignment horizontal="center" vertical="center" wrapText="1"/>
    </xf>
    <xf numFmtId="0" fontId="89" fillId="14" borderId="30" xfId="3" applyFont="1" applyFill="1" applyBorder="1" applyAlignment="1">
      <alignment horizontal="center" vertical="center"/>
    </xf>
    <xf numFmtId="0" fontId="88" fillId="24" borderId="365" xfId="0" applyFont="1" applyFill="1" applyBorder="1" applyAlignment="1">
      <alignment horizontal="center" vertical="center" wrapText="1"/>
    </xf>
    <xf numFmtId="0" fontId="51" fillId="0" borderId="40" xfId="0" applyFont="1" applyBorder="1" applyAlignment="1">
      <alignment horizontal="center" vertical="center" wrapText="1"/>
    </xf>
    <xf numFmtId="0" fontId="54" fillId="21" borderId="366" xfId="0" applyFont="1" applyFill="1" applyBorder="1" applyAlignment="1">
      <alignment horizontal="center" vertical="center" wrapText="1"/>
    </xf>
    <xf numFmtId="0" fontId="0" fillId="0" borderId="367" xfId="0" applyBorder="1"/>
    <xf numFmtId="0" fontId="48" fillId="15" borderId="368" xfId="0" applyFont="1" applyFill="1" applyBorder="1" applyAlignment="1">
      <alignment horizontal="center" vertical="center" wrapText="1"/>
    </xf>
    <xf numFmtId="0" fontId="77" fillId="10" borderId="103" xfId="3" applyFont="1" applyFill="1" applyBorder="1" applyAlignment="1">
      <alignment vertical="center"/>
    </xf>
    <xf numFmtId="0" fontId="77" fillId="10" borderId="97" xfId="3" applyFont="1" applyFill="1" applyBorder="1" applyAlignment="1">
      <alignment vertical="center"/>
    </xf>
    <xf numFmtId="0" fontId="77" fillId="10" borderId="369" xfId="3" applyFont="1" applyFill="1" applyBorder="1" applyAlignment="1">
      <alignment vertical="center"/>
    </xf>
  </cellXfs>
  <cellStyles count="5">
    <cellStyle name="Normal" xfId="0" builtinId="0"/>
    <cellStyle name="Normal 2" xfId="1" xr:uid="{00000000-0005-0000-0000-000001000000}"/>
    <cellStyle name="Normal 3" xfId="2" xr:uid="{00000000-0005-0000-0000-000002000000}"/>
    <cellStyle name="Normal 4" xfId="3" xr:uid="{00000000-0005-0000-0000-000003000000}"/>
    <cellStyle name="Normal 5" xfId="4" xr:uid="{00000000-0005-0000-0000-000004000000}"/>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mruColors>
      <color rgb="FFC9A227"/>
      <color rgb="FF17365D"/>
      <color rgb="FFE2F0D9"/>
      <color rgb="FFFFF2CC"/>
      <color rgb="FFEAF0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21" Type="http://schemas.openxmlformats.org/officeDocument/2006/relationships/styles" Target="styles.xml"/><Relationship Id="rId12" Type="http://schemas.openxmlformats.org/officeDocument/2006/relationships/worksheet" Target="worksheets/sheet12.xml"/><Relationship Id="rId20" Type="http://schemas.openxmlformats.org/officeDocument/2006/relationships/theme" Target="theme/theme1.xml"/><Relationship Id="rId5" Type="http://schemas.openxmlformats.org/officeDocument/2006/relationships/worksheet" Target="worksheets/sheet5.xml"/><Relationship Id="rId23" Type="http://schemas.openxmlformats.org/officeDocument/2006/relationships/calcChain" Target="calcChain.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c:rich>
      </c:tx>
      <c:overlay val="0"/>
      <c:spPr>
        <a:noFill/>
        <a:ln w="0">
          <a:noFill/>
          <a:prstDash val="solid"/>
        </a:ln>
      </c:spPr>
    </c:title>
    <c:autoTitleDeleted val="0"/>
    <c:plotArea>
      <c:layout/>
      <c:barChart>
        <c:barDir val="col"/>
        <c:grouping val="clustered"/>
        <c:varyColors val="0"/>
        <c:ser>
          <c:idx val="0"/>
          <c:order val="0"/>
          <c:tx>
            <c:strRef>
              <c:f>Resumen!$C$11</c:f>
              <c:strCache>
                <c:ptCount val="1"/>
                <c:pt idx="0">
                  <c:v>Valor (COP)</c:v>
                </c:pt>
              </c:strCache>
            </c:strRef>
          </c:tx>
          <c:spPr>
            <a:solidFill>
              <a:srgbClr val="4F81BD"/>
            </a:solidFill>
            <a:ln w="0">
              <a:noFill/>
              <a:prstDash val="solid"/>
            </a:ln>
          </c:spPr>
          <c:invertIfNegative val="0"/>
          <c:dLbls>
            <c:spPr>
              <a:noFill/>
              <a:ln>
                <a:noFill/>
                <a:prstDash val="solid"/>
              </a:ln>
            </c:spPr>
            <c:txPr>
              <a:bodyPr wrap="square"/>
              <a:lstStyle/>
              <a:p>
                <a:pPr>
                  <a:defRPr sz="1000" b="0" strike="noStrike" spc="-1">
                    <a:solidFill>
                      <a:srgbClr val="000000"/>
                    </a:solidFill>
                    <a:latin typeface="Arial"/>
                  </a:defRPr>
                </a:pPr>
                <a:endParaRPr lang="es-CO"/>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Resumen!$A$12:$A$25</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Resumen!$C$12:$C$25</c:f>
              <c:numCache>
                <c:formatCode>"$ "#,##0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0-8AC9-483E-B8CE-7F4A17B2D9E6}"/>
            </c:ext>
          </c:extLst>
        </c:ser>
        <c:dLbls>
          <c:showLegendKey val="0"/>
          <c:showVal val="0"/>
          <c:showCatName val="0"/>
          <c:showSerName val="0"/>
          <c:showPercent val="0"/>
          <c:showBubbleSize val="0"/>
        </c:dLbls>
        <c:gapWidth val="150"/>
        <c:axId val="50050775"/>
        <c:axId val="41416401"/>
      </c:barChart>
      <c:catAx>
        <c:axId val="50050775"/>
        <c:scaling>
          <c:orientation val="minMax"/>
        </c:scaling>
        <c:delete val="0"/>
        <c:axPos val="b"/>
        <c:title>
          <c:tx>
            <c:rich>
              <a:bodyPr rot="0"/>
              <a:lstStyle/>
              <a:p>
                <a:pPr>
                  <a:defRPr lang="es-CO" sz="1000" b="1" strike="noStrike" spc="-1">
                    <a:solidFill>
                      <a:srgbClr val="000000"/>
                    </a:solidFill>
                    <a:latin typeface="Calibri"/>
                  </a:defRPr>
                </a:pPr>
                <a:r>
                  <a:rPr lang="es-CO" sz="1000" b="1" strike="noStrike" spc="-1">
                    <a:solidFill>
                      <a:srgbClr val="000000"/>
                    </a:solidFill>
                    <a:latin typeface="Calibri"/>
                  </a:rPr>
                  <a:t>Capítulo</a:t>
                </a:r>
              </a:p>
            </c:rich>
          </c:tx>
          <c:overlay val="0"/>
          <c:spPr>
            <a:noFill/>
            <a:ln w="0">
              <a:noFill/>
              <a:prstDash val="solid"/>
            </a:ln>
          </c:spPr>
        </c:title>
        <c:numFmt formatCode="General"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41416401"/>
        <c:crosses val="autoZero"/>
        <c:auto val="1"/>
        <c:lblAlgn val="ctr"/>
        <c:lblOffset val="100"/>
        <c:noMultiLvlLbl val="0"/>
      </c:catAx>
      <c:valAx>
        <c:axId val="41416401"/>
        <c:scaling>
          <c:orientation val="minMax"/>
        </c:scaling>
        <c:delete val="0"/>
        <c:axPos val="l"/>
        <c:majorGridlines>
          <c:spPr>
            <a:ln w="9360">
              <a:solidFill>
                <a:srgbClr val="878787"/>
              </a:solidFill>
              <a:prstDash val="solid"/>
              <a:round/>
            </a:ln>
          </c:spPr>
        </c:majorGridlines>
        <c:title>
          <c:tx>
            <c:rich>
              <a:bodyPr rot="-5400000"/>
              <a:lstStyle/>
              <a:p>
                <a:pPr>
                  <a:defRPr lang="es-CO" sz="1000" b="1" strike="noStrike" spc="-1">
                    <a:solidFill>
                      <a:srgbClr val="000000"/>
                    </a:solidFill>
                    <a:latin typeface="Calibri"/>
                  </a:defRPr>
                </a:pPr>
                <a:r>
                  <a:rPr lang="es-CO" sz="1000" b="1" strike="noStrike" spc="-1">
                    <a:solidFill>
                      <a:srgbClr val="000000"/>
                    </a:solidFill>
                    <a:latin typeface="Calibri"/>
                  </a:rPr>
                  <a:t>COP</a:t>
                </a:r>
              </a:p>
            </c:rich>
          </c:tx>
          <c:overlay val="0"/>
          <c:spPr>
            <a:noFill/>
            <a:ln w="0">
              <a:noFill/>
              <a:prstDash val="solid"/>
            </a:ln>
          </c:spPr>
        </c:title>
        <c:numFmt formatCode="&quot;$ &quot;#,##0"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50050775"/>
        <c:crosses val="autoZero"/>
        <c:crossBetween val="between"/>
      </c:valAx>
    </c:plotArea>
    <c:legend>
      <c:legendPos val="r"/>
      <c:overlay val="0"/>
      <c:spPr>
        <a:noFill/>
        <a:ln w="0">
          <a:noFill/>
          <a:prstDash val="solid"/>
        </a:ln>
      </c:spPr>
      <c:txPr>
        <a:bodyPr/>
        <a:lstStyle/>
        <a:p>
          <a:pPr>
            <a:defRPr sz="1000" b="0" strike="noStrike" spc="-1">
              <a:solidFill>
                <a:srgbClr val="000000"/>
              </a:solidFill>
              <a:latin typeface="Calibri"/>
            </a:defRPr>
          </a:pPr>
          <a:endParaRPr lang="es-CO"/>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12.xml.rels><?xml version="1.0" encoding="UTF-8" standalone="yes"?>
<Relationships xmlns="http://schemas.openxmlformats.org/package/2006/relationships"><Relationship Id="rId1" Type="http://schemas.openxmlformats.org/officeDocument/2006/relationships/image" Target="../media/image6.png"/></Relationships>
</file>

<file path=xl/drawings/_rels/drawing1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chart" Target="../charts/chart1.xml"/></Relationships>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69253</xdr:colOff>
      <xdr:row>6</xdr:row>
      <xdr:rowOff>174506</xdr:rowOff>
    </xdr:to>
    <xdr:pic>
      <xdr:nvPicPr>
        <xdr:cNvPr id="14" name="Imagen 2">
          <a:extLst>
            <a:ext uri="{FF2B5EF4-FFF2-40B4-BE49-F238E27FC236}">
              <a16:creationId xmlns:a16="http://schemas.microsoft.com/office/drawing/2014/main" id="{00000000-0008-0000-0100-00000E000000}"/>
            </a:ext>
          </a:extLst>
        </xdr:cNvPr>
        <xdr:cNvPicPr/>
      </xdr:nvPicPr>
      <xdr:blipFill>
        <a:blip xmlns:r="http://schemas.openxmlformats.org/officeDocument/2006/relationships" r:embed="rId1"/>
        <a:stretch>
          <a:fillRect/>
        </a:stretch>
      </xdr:blipFill>
      <xdr:spPr>
        <a:xfrm>
          <a:off x="0" y="0"/>
          <a:ext cx="2952000" cy="1368000"/>
        </a:xfrm>
        <a:prstGeom prst="rect">
          <a:avLst/>
        </a:prstGeom>
        <a:l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37628</xdr:colOff>
      <xdr:row>0</xdr:row>
      <xdr:rowOff>0</xdr:rowOff>
    </xdr:from>
    <xdr:to>
      <xdr:col>1</xdr:col>
      <xdr:colOff>4026369</xdr:colOff>
      <xdr:row>9</xdr:row>
      <xdr:rowOff>56741</xdr:rowOff>
    </xdr:to>
    <xdr:pic>
      <xdr:nvPicPr>
        <xdr:cNvPr id="15" name="Imagen 5">
          <a:extLst>
            <a:ext uri="{FF2B5EF4-FFF2-40B4-BE49-F238E27FC236}">
              <a16:creationId xmlns:a16="http://schemas.microsoft.com/office/drawing/2014/main" id="{00000000-0008-0000-0800-00000F000000}"/>
            </a:ext>
          </a:extLst>
        </xdr:cNvPr>
        <xdr:cNvPicPr/>
      </xdr:nvPicPr>
      <xdr:blipFill>
        <a:blip xmlns:r="http://schemas.openxmlformats.org/officeDocument/2006/relationships" r:embed="rId1"/>
        <a:stretch>
          <a:fillRect/>
        </a:stretch>
      </xdr:blipFill>
      <xdr:spPr>
        <a:xfrm>
          <a:off x="37628" y="0"/>
          <a:ext cx="4534371" cy="1656000"/>
        </a:xfrm>
        <a:prstGeom prst="rect">
          <a:avLst/>
        </a:prstGeom>
        <a:l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6</xdr:col>
      <xdr:colOff>0</xdr:colOff>
      <xdr:row>10</xdr:row>
      <xdr:rowOff>0</xdr:rowOff>
    </xdr:from>
    <xdr:to>
      <xdr:col>19</xdr:col>
      <xdr:colOff>457560</xdr:colOff>
      <xdr:row>30</xdr:row>
      <xdr:rowOff>93240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2</xdr:col>
      <xdr:colOff>7560</xdr:colOff>
      <xdr:row>8</xdr:row>
      <xdr:rowOff>80526</xdr:rowOff>
    </xdr:to>
    <xdr:pic>
      <xdr:nvPicPr>
        <xdr:cNvPr id="17" name="Imagen 4">
          <a:extLst>
            <a:ext uri="{FF2B5EF4-FFF2-40B4-BE49-F238E27FC236}">
              <a16:creationId xmlns:a16="http://schemas.microsoft.com/office/drawing/2014/main" id="{00000000-0008-0000-0900-000011000000}"/>
            </a:ext>
          </a:extLst>
        </xdr:cNvPr>
        <xdr:cNvPicPr/>
      </xdr:nvPicPr>
      <xdr:blipFill>
        <a:blip xmlns:r="http://schemas.openxmlformats.org/officeDocument/2006/relationships" r:embed="rId2"/>
        <a:stretch>
          <a:fillRect/>
        </a:stretch>
      </xdr:blipFill>
      <xdr:spPr>
        <a:xfrm>
          <a:off x="0" y="0"/>
          <a:ext cx="3436560" cy="140400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x14ac:dyDescent="0.3"/>
  <cols>
    <col min="1" max="1" width="42" style="334" customWidth="1"/>
    <col min="2" max="2" width="20.77734375" style="334" customWidth="1"/>
    <col min="3" max="3" width="50.77734375" style="334" customWidth="1"/>
    <col min="4" max="5" width="15.77734375" style="334" customWidth="1"/>
  </cols>
  <sheetData>
    <row r="1" spans="1:5" ht="25.5" customHeight="1" x14ac:dyDescent="0.3">
      <c r="A1" s="4"/>
      <c r="B1" s="557" t="s">
        <v>44</v>
      </c>
      <c r="C1" s="505"/>
      <c r="D1" s="505"/>
      <c r="E1" s="505"/>
    </row>
    <row r="2" spans="1:5" ht="4.95" customHeight="1" x14ac:dyDescent="0.3">
      <c r="A2" s="5"/>
      <c r="B2" s="564"/>
      <c r="C2" s="565"/>
      <c r="D2" s="565"/>
      <c r="E2" s="565"/>
    </row>
    <row r="3" spans="1:5" ht="18" customHeight="1" x14ac:dyDescent="0.3">
      <c r="A3" s="5"/>
      <c r="B3" s="198"/>
      <c r="C3" s="199"/>
      <c r="D3" s="520" t="s">
        <v>1</v>
      </c>
      <c r="E3" s="521"/>
    </row>
    <row r="4" spans="1:5" ht="15" customHeight="1" x14ac:dyDescent="0.3">
      <c r="A4" s="5"/>
      <c r="B4" s="563" t="s">
        <v>6</v>
      </c>
      <c r="C4" s="519"/>
      <c r="D4" s="100" t="s">
        <v>2</v>
      </c>
      <c r="E4" s="340" t="s">
        <v>45</v>
      </c>
    </row>
    <row r="5" spans="1:5" ht="15" customHeight="1" x14ac:dyDescent="0.3">
      <c r="A5" s="5"/>
      <c r="B5" s="559" t="s">
        <v>8</v>
      </c>
      <c r="C5" s="519"/>
      <c r="D5" s="100" t="s">
        <v>9</v>
      </c>
      <c r="E5" s="338">
        <v>1</v>
      </c>
    </row>
    <row r="6" spans="1:5" ht="15" customHeight="1" x14ac:dyDescent="0.3">
      <c r="A6" s="5"/>
      <c r="B6" s="200"/>
      <c r="C6" s="201"/>
      <c r="D6" s="100" t="s">
        <v>10</v>
      </c>
      <c r="E6" s="178" t="s">
        <v>11</v>
      </c>
    </row>
    <row r="7" spans="1:5" ht="15" customHeight="1" x14ac:dyDescent="0.3">
      <c r="B7" s="200"/>
      <c r="C7" s="201"/>
      <c r="D7" s="101" t="s">
        <v>12</v>
      </c>
      <c r="E7" s="339" t="s">
        <v>13</v>
      </c>
    </row>
    <row r="8" spans="1:5" ht="15" customHeight="1" x14ac:dyDescent="0.3">
      <c r="A8" s="566" t="s">
        <v>46</v>
      </c>
      <c r="B8" s="505"/>
      <c r="C8" s="505"/>
      <c r="D8" s="505"/>
      <c r="E8" s="505"/>
    </row>
    <row r="9" spans="1:5" ht="15" customHeight="1" x14ac:dyDescent="0.3">
      <c r="A9" s="104" t="s">
        <v>47</v>
      </c>
      <c r="B9" s="105"/>
      <c r="C9" s="560" t="s">
        <v>48</v>
      </c>
      <c r="D9" s="505"/>
      <c r="E9" s="505"/>
    </row>
    <row r="10" spans="1:5" ht="15" customHeight="1" x14ac:dyDescent="0.3">
      <c r="A10" s="106" t="s">
        <v>49</v>
      </c>
      <c r="B10" s="107"/>
      <c r="C10" s="562" t="s">
        <v>50</v>
      </c>
      <c r="D10" s="505"/>
      <c r="E10" s="505"/>
    </row>
    <row r="11" spans="1:5" ht="15" customHeight="1" x14ac:dyDescent="0.3">
      <c r="A11" s="104" t="s">
        <v>51</v>
      </c>
      <c r="B11" s="105"/>
      <c r="C11" s="560" t="s">
        <v>52</v>
      </c>
      <c r="D11" s="505"/>
      <c r="E11" s="505"/>
    </row>
    <row r="12" spans="1:5" ht="15" customHeight="1" x14ac:dyDescent="0.3">
      <c r="A12" s="106" t="s">
        <v>53</v>
      </c>
      <c r="B12" s="107"/>
      <c r="C12" s="562" t="s">
        <v>52</v>
      </c>
      <c r="D12" s="505"/>
      <c r="E12" s="505"/>
    </row>
    <row r="13" spans="1:5" ht="15" customHeight="1" x14ac:dyDescent="0.3">
      <c r="A13" s="104" t="s">
        <v>54</v>
      </c>
      <c r="B13" s="108">
        <f>B9*B12</f>
        <v>0</v>
      </c>
      <c r="C13" s="560" t="s">
        <v>52</v>
      </c>
      <c r="D13" s="505"/>
      <c r="E13" s="505"/>
    </row>
    <row r="14" spans="1:5" ht="15" customHeight="1" x14ac:dyDescent="0.3">
      <c r="A14" s="106" t="s">
        <v>55</v>
      </c>
      <c r="B14" s="107"/>
      <c r="C14" s="562" t="s">
        <v>52</v>
      </c>
      <c r="D14" s="505"/>
      <c r="E14" s="505"/>
    </row>
    <row r="15" spans="1:5" ht="15" customHeight="1" x14ac:dyDescent="0.3">
      <c r="A15" s="104" t="s">
        <v>56</v>
      </c>
      <c r="B15" s="105"/>
      <c r="C15" s="560" t="s">
        <v>52</v>
      </c>
      <c r="D15" s="505"/>
      <c r="E15" s="505"/>
    </row>
    <row r="16" spans="1:5" ht="15" customHeight="1" x14ac:dyDescent="0.3">
      <c r="A16" s="106" t="s">
        <v>57</v>
      </c>
      <c r="B16" s="109">
        <f>B13+B14+B15</f>
        <v>0</v>
      </c>
      <c r="C16" s="562" t="s">
        <v>52</v>
      </c>
      <c r="D16" s="505"/>
      <c r="E16" s="505"/>
    </row>
    <row r="17" spans="1:5" ht="15" customHeight="1" x14ac:dyDescent="0.3">
      <c r="A17" s="104" t="s">
        <v>58</v>
      </c>
      <c r="B17" s="105"/>
      <c r="C17" s="560" t="s">
        <v>59</v>
      </c>
      <c r="D17" s="505"/>
      <c r="E17" s="505"/>
    </row>
    <row r="18" spans="1:5" ht="15" customHeight="1" x14ac:dyDescent="0.3">
      <c r="A18" s="106" t="s">
        <v>60</v>
      </c>
      <c r="B18" s="107"/>
      <c r="C18" s="562" t="s">
        <v>52</v>
      </c>
      <c r="D18" s="505"/>
      <c r="E18" s="505"/>
    </row>
    <row r="19" spans="1:5" ht="15" customHeight="1" x14ac:dyDescent="0.3">
      <c r="A19" s="104" t="s">
        <v>61</v>
      </c>
      <c r="B19" s="105"/>
      <c r="C19" s="560" t="s">
        <v>59</v>
      </c>
      <c r="D19" s="505"/>
      <c r="E19" s="505"/>
    </row>
    <row r="20" spans="1:5" ht="15" customHeight="1" x14ac:dyDescent="0.3">
      <c r="A20" s="106" t="s">
        <v>62</v>
      </c>
      <c r="B20" s="107"/>
      <c r="C20" s="562" t="s">
        <v>59</v>
      </c>
      <c r="D20" s="505"/>
      <c r="E20" s="505"/>
    </row>
    <row r="21" spans="1:5" ht="15" customHeight="1" x14ac:dyDescent="0.3">
      <c r="A21" s="104" t="s">
        <v>63</v>
      </c>
      <c r="B21" s="105"/>
      <c r="C21" s="560" t="s">
        <v>64</v>
      </c>
      <c r="D21" s="505"/>
      <c r="E21" s="505"/>
    </row>
    <row r="22" spans="1:5" x14ac:dyDescent="0.3">
      <c r="A22" s="298"/>
      <c r="B22" s="298"/>
      <c r="C22" s="567"/>
      <c r="D22" s="505"/>
      <c r="E22" s="505"/>
    </row>
    <row r="23" spans="1:5" ht="15" customHeight="1" x14ac:dyDescent="0.3">
      <c r="A23" s="561" t="s">
        <v>65</v>
      </c>
      <c r="B23" s="505"/>
      <c r="C23" s="505"/>
      <c r="D23" s="505"/>
      <c r="E23" s="505"/>
    </row>
    <row r="24" spans="1:5" ht="15" customHeight="1" x14ac:dyDescent="0.3">
      <c r="A24" s="104" t="s">
        <v>66</v>
      </c>
      <c r="B24" s="386">
        <v>0.1</v>
      </c>
      <c r="C24" s="560" t="s">
        <v>67</v>
      </c>
      <c r="D24" s="505"/>
      <c r="E24" s="505"/>
    </row>
    <row r="25" spans="1:5" ht="15" customHeight="1" x14ac:dyDescent="0.3">
      <c r="A25" s="106" t="s">
        <v>68</v>
      </c>
      <c r="B25" s="387">
        <v>0.04</v>
      </c>
      <c r="C25" s="562" t="s">
        <v>67</v>
      </c>
      <c r="D25" s="505"/>
      <c r="E25" s="505"/>
    </row>
    <row r="26" spans="1:5" ht="15" customHeight="1" x14ac:dyDescent="0.3">
      <c r="A26" s="104" t="s">
        <v>69</v>
      </c>
      <c r="B26" s="386">
        <v>0.12</v>
      </c>
      <c r="C26" s="560" t="s">
        <v>67</v>
      </c>
      <c r="D26" s="505"/>
      <c r="E26" s="505"/>
    </row>
    <row r="27" spans="1:5" ht="15" customHeight="1" x14ac:dyDescent="0.3">
      <c r="A27" s="106" t="s">
        <v>70</v>
      </c>
      <c r="B27" s="387">
        <v>0.19</v>
      </c>
      <c r="C27" s="562" t="s">
        <v>71</v>
      </c>
      <c r="D27" s="505"/>
      <c r="E27" s="505"/>
    </row>
    <row r="28" spans="1:5" x14ac:dyDescent="0.3">
      <c r="A28" s="298"/>
      <c r="B28" s="298"/>
      <c r="C28" s="567"/>
      <c r="D28" s="505"/>
      <c r="E28" s="505"/>
    </row>
    <row r="29" spans="1:5" ht="15" customHeight="1" x14ac:dyDescent="0.3">
      <c r="A29" s="110" t="s">
        <v>72</v>
      </c>
      <c r="B29" s="388">
        <f>B24+B25+B26</f>
        <v>0.26</v>
      </c>
      <c r="C29" s="567"/>
      <c r="D29" s="505"/>
      <c r="E29" s="505"/>
    </row>
    <row r="30" spans="1:5" x14ac:dyDescent="0.3">
      <c r="A30" s="298"/>
      <c r="B30" s="298"/>
      <c r="C30" s="567"/>
      <c r="D30" s="505"/>
      <c r="E30" s="505"/>
    </row>
    <row r="31" spans="1:5" ht="15" customHeight="1" x14ac:dyDescent="0.3">
      <c r="A31" s="561" t="s">
        <v>73</v>
      </c>
      <c r="B31" s="505"/>
      <c r="C31" s="505"/>
      <c r="D31" s="505"/>
      <c r="E31" s="505"/>
    </row>
    <row r="32" spans="1:5" s="227" customFormat="1" ht="15" customHeight="1" x14ac:dyDescent="0.3">
      <c r="A32" s="228" t="s">
        <v>43</v>
      </c>
      <c r="B32" s="226"/>
      <c r="C32" s="226"/>
      <c r="D32" s="226"/>
      <c r="E32" s="1125" t="str">
        <f>E4</f>
        <v>RYR-FT-001</v>
      </c>
    </row>
    <row r="33" spans="1:5" ht="25.5" customHeight="1" x14ac:dyDescent="0.3">
      <c r="A33" s="558" t="s">
        <v>74</v>
      </c>
      <c r="B33" s="505"/>
      <c r="C33" s="505"/>
      <c r="D33" s="505"/>
      <c r="E33" s="505"/>
    </row>
    <row r="34" spans="1:5" ht="25.5" customHeight="1" x14ac:dyDescent="0.3">
      <c r="A34" s="558" t="s">
        <v>75</v>
      </c>
      <c r="B34" s="505"/>
      <c r="C34" s="505"/>
      <c r="D34" s="505"/>
      <c r="E34" s="505"/>
    </row>
    <row r="35" spans="1:5" ht="25.5" customHeight="1" x14ac:dyDescent="0.3">
      <c r="A35" s="558" t="s">
        <v>76</v>
      </c>
      <c r="B35" s="505"/>
      <c r="C35" s="505"/>
      <c r="D35" s="505"/>
      <c r="E35" s="505"/>
    </row>
    <row r="36" spans="1:5" ht="25.5" customHeight="1" x14ac:dyDescent="0.3">
      <c r="A36" s="558" t="s">
        <v>77</v>
      </c>
      <c r="B36" s="505"/>
      <c r="C36" s="505"/>
      <c r="D36" s="505"/>
      <c r="E36" s="505"/>
    </row>
    <row r="37" spans="1:5" ht="25.5" customHeight="1" x14ac:dyDescent="0.3">
      <c r="A37" s="558" t="s">
        <v>78</v>
      </c>
      <c r="B37" s="505"/>
      <c r="C37" s="505"/>
      <c r="D37" s="505"/>
      <c r="E37" s="505"/>
    </row>
    <row r="38" spans="1:5" ht="25.5" customHeight="1" x14ac:dyDescent="0.3">
      <c r="A38" s="558" t="s">
        <v>79</v>
      </c>
      <c r="B38" s="505"/>
      <c r="C38" s="505"/>
      <c r="D38" s="505"/>
      <c r="E38" s="505"/>
    </row>
    <row r="39" spans="1:5" ht="25.5" customHeight="1" x14ac:dyDescent="0.3">
      <c r="A39" s="558" t="s">
        <v>80</v>
      </c>
      <c r="B39" s="505"/>
      <c r="C39" s="505"/>
      <c r="D39" s="505"/>
      <c r="E39" s="505"/>
    </row>
    <row r="40" spans="1:5" ht="25.5" customHeight="1" x14ac:dyDescent="0.3">
      <c r="A40" s="558" t="s">
        <v>81</v>
      </c>
      <c r="B40" s="505"/>
      <c r="C40" s="505"/>
      <c r="D40" s="505"/>
      <c r="E40" s="505"/>
    </row>
    <row r="41" spans="1:5" ht="25.5" customHeight="1" x14ac:dyDescent="0.3">
      <c r="A41" s="558" t="s">
        <v>82</v>
      </c>
      <c r="B41" s="505"/>
      <c r="C41" s="505"/>
      <c r="D41" s="505"/>
      <c r="E41" s="505"/>
    </row>
    <row r="42" spans="1:5" ht="25.5" customHeight="1" x14ac:dyDescent="0.3">
      <c r="A42" s="558" t="s">
        <v>83</v>
      </c>
      <c r="B42" s="505"/>
      <c r="C42" s="505"/>
      <c r="D42" s="505"/>
      <c r="E42" s="505"/>
    </row>
  </sheetData>
  <mergeCells count="39">
    <mergeCell ref="C11:E11"/>
    <mergeCell ref="C27:E27"/>
    <mergeCell ref="C16:E16"/>
    <mergeCell ref="A39:E39"/>
    <mergeCell ref="A34:E34"/>
    <mergeCell ref="C29:E29"/>
    <mergeCell ref="C22:E22"/>
    <mergeCell ref="A42:E42"/>
    <mergeCell ref="A33:E33"/>
    <mergeCell ref="C18:E18"/>
    <mergeCell ref="A23:E23"/>
    <mergeCell ref="B2:E2"/>
    <mergeCell ref="A8:E8"/>
    <mergeCell ref="C30:E30"/>
    <mergeCell ref="D3:E3"/>
    <mergeCell ref="C15:E15"/>
    <mergeCell ref="C24:E24"/>
    <mergeCell ref="A35:E35"/>
    <mergeCell ref="C14:E14"/>
    <mergeCell ref="A40:E40"/>
    <mergeCell ref="A41:E41"/>
    <mergeCell ref="C17:E17"/>
    <mergeCell ref="A37:E37"/>
    <mergeCell ref="B1:E1"/>
    <mergeCell ref="A38:E38"/>
    <mergeCell ref="B5:C5"/>
    <mergeCell ref="C26:E26"/>
    <mergeCell ref="A31:E31"/>
    <mergeCell ref="C20:E20"/>
    <mergeCell ref="B4:C4"/>
    <mergeCell ref="C25:E25"/>
    <mergeCell ref="C10:E10"/>
    <mergeCell ref="C28:E28"/>
    <mergeCell ref="C13:E13"/>
    <mergeCell ref="C19:E19"/>
    <mergeCell ref="C9:E9"/>
    <mergeCell ref="A36:E36"/>
    <mergeCell ref="C21:E21"/>
    <mergeCell ref="C12:E12"/>
  </mergeCells>
  <pageMargins left="0.75" right="0.75" top="1" bottom="1" header="0.511811023622047" footer="0.511811023622047"/>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D32"/>
  </sheetPr>
  <dimension ref="A1:F241"/>
  <sheetViews>
    <sheetView zoomScale="81" zoomScaleNormal="81" workbookViewId="0">
      <pane ySplit="13" topLeftCell="A218" activePane="bottomLeft" state="frozen"/>
      <selection pane="bottomLeft" activeCell="F232" sqref="F232"/>
    </sheetView>
  </sheetViews>
  <sheetFormatPr baseColWidth="10" defaultColWidth="8.6640625" defaultRowHeight="14.4" x14ac:dyDescent="0.3"/>
  <cols>
    <col min="1" max="1" width="8" style="312" customWidth="1"/>
    <col min="2" max="2" width="60.77734375" style="334" customWidth="1"/>
    <col min="3" max="3" width="50.77734375" style="334" customWidth="1"/>
    <col min="4" max="6" width="20.77734375" style="334" customWidth="1"/>
  </cols>
  <sheetData>
    <row r="1" spans="1:6" x14ac:dyDescent="0.3">
      <c r="A1" s="3"/>
      <c r="B1" s="631"/>
      <c r="C1" s="513" t="s">
        <v>978</v>
      </c>
      <c r="D1" s="505"/>
      <c r="E1" s="505"/>
      <c r="F1" s="505"/>
    </row>
    <row r="2" spans="1:6" x14ac:dyDescent="0.3">
      <c r="A2" s="3"/>
      <c r="B2" s="505"/>
      <c r="C2" s="505"/>
      <c r="D2" s="505"/>
      <c r="E2" s="505"/>
      <c r="F2" s="505"/>
    </row>
    <row r="3" spans="1:6" x14ac:dyDescent="0.3">
      <c r="A3" s="3"/>
      <c r="B3" s="505"/>
      <c r="C3" s="505"/>
      <c r="D3" s="505"/>
      <c r="E3" s="505"/>
      <c r="F3" s="505"/>
    </row>
    <row r="4" spans="1:6" ht="4.95" customHeight="1" x14ac:dyDescent="0.3">
      <c r="A4" s="3"/>
      <c r="B4" s="505"/>
      <c r="C4" s="193"/>
      <c r="D4" s="193"/>
      <c r="E4" s="193"/>
      <c r="F4" s="193"/>
    </row>
    <row r="5" spans="1:6" x14ac:dyDescent="0.3">
      <c r="A5" s="3"/>
      <c r="B5" s="505"/>
      <c r="C5" s="655"/>
      <c r="D5" s="519"/>
      <c r="E5" s="663" t="s">
        <v>1</v>
      </c>
      <c r="F5" s="521"/>
    </row>
    <row r="6" spans="1:6" ht="21" customHeight="1" x14ac:dyDescent="0.3">
      <c r="A6" s="3"/>
      <c r="B6" s="505"/>
      <c r="C6" s="563" t="s">
        <v>6</v>
      </c>
      <c r="D6" s="519"/>
      <c r="E6" s="194" t="s">
        <v>2</v>
      </c>
      <c r="F6" s="340" t="s">
        <v>979</v>
      </c>
    </row>
    <row r="7" spans="1:6" ht="15" customHeight="1" x14ac:dyDescent="0.3">
      <c r="A7" s="3"/>
      <c r="B7" s="505"/>
      <c r="C7" s="559" t="s">
        <v>8</v>
      </c>
      <c r="D7" s="519"/>
      <c r="E7" s="194" t="s">
        <v>9</v>
      </c>
      <c r="F7" s="338">
        <v>1</v>
      </c>
    </row>
    <row r="8" spans="1:6" ht="15" customHeight="1" x14ac:dyDescent="0.3">
      <c r="A8" s="3"/>
      <c r="B8" s="505"/>
      <c r="C8" s="655"/>
      <c r="D8" s="519"/>
      <c r="E8" s="194" t="s">
        <v>10</v>
      </c>
      <c r="F8" s="178" t="s">
        <v>11</v>
      </c>
    </row>
    <row r="9" spans="1:6" ht="15" customHeight="1" x14ac:dyDescent="0.3">
      <c r="A9" s="3"/>
      <c r="B9" s="505"/>
      <c r="C9" s="655"/>
      <c r="D9" s="519"/>
      <c r="E9" s="195" t="s">
        <v>12</v>
      </c>
      <c r="F9" s="197" t="s">
        <v>13</v>
      </c>
    </row>
    <row r="10" spans="1:6" ht="15" customHeight="1" x14ac:dyDescent="0.3">
      <c r="A10" s="665" t="s">
        <v>980</v>
      </c>
      <c r="B10" s="565"/>
      <c r="C10" s="565"/>
      <c r="D10" s="565"/>
      <c r="E10" s="565"/>
      <c r="F10" s="565"/>
    </row>
    <row r="11" spans="1:6" ht="15" customHeight="1" x14ac:dyDescent="0.3">
      <c r="A11" s="657" t="s">
        <v>981</v>
      </c>
      <c r="B11" s="658"/>
      <c r="C11" s="658"/>
      <c r="D11" s="658"/>
      <c r="E11" s="658"/>
      <c r="F11" s="521"/>
    </row>
    <row r="12" spans="1:6" x14ac:dyDescent="0.3">
      <c r="A12" s="659" t="s">
        <v>16</v>
      </c>
      <c r="B12" s="660"/>
      <c r="C12" s="661"/>
      <c r="D12" s="660"/>
      <c r="E12" s="123" t="s">
        <v>10</v>
      </c>
      <c r="F12" s="356" t="s">
        <v>11</v>
      </c>
    </row>
    <row r="13" spans="1:6" ht="15" customHeight="1" x14ac:dyDescent="0.3">
      <c r="A13" s="215" t="s">
        <v>982</v>
      </c>
      <c r="B13" s="216" t="s">
        <v>22</v>
      </c>
      <c r="C13" s="216" t="s">
        <v>94</v>
      </c>
      <c r="D13" s="216" t="s">
        <v>983</v>
      </c>
      <c r="E13" s="216" t="s">
        <v>984</v>
      </c>
      <c r="F13" s="217" t="s">
        <v>985</v>
      </c>
    </row>
    <row r="14" spans="1:6" x14ac:dyDescent="0.3">
      <c r="A14" s="196" t="s">
        <v>986</v>
      </c>
      <c r="B14" s="652" t="s">
        <v>112</v>
      </c>
      <c r="C14" s="507"/>
      <c r="D14" s="507"/>
      <c r="E14" s="507"/>
      <c r="F14" s="508"/>
    </row>
    <row r="15" spans="1:6" x14ac:dyDescent="0.3">
      <c r="A15" s="85" t="s">
        <v>987</v>
      </c>
      <c r="B15" s="307" t="s">
        <v>765</v>
      </c>
      <c r="C15" s="308" t="s">
        <v>988</v>
      </c>
      <c r="D15" s="309"/>
      <c r="E15" s="397"/>
      <c r="F15" s="398">
        <f t="shared" ref="F15:F23" si="0">D15*E15</f>
        <v>0</v>
      </c>
    </row>
    <row r="16" spans="1:6" x14ac:dyDescent="0.3">
      <c r="A16" s="85" t="s">
        <v>989</v>
      </c>
      <c r="B16" s="307" t="s">
        <v>120</v>
      </c>
      <c r="C16" s="308" t="s">
        <v>988</v>
      </c>
      <c r="D16" s="309"/>
      <c r="E16" s="397"/>
      <c r="F16" s="398">
        <f t="shared" si="0"/>
        <v>0</v>
      </c>
    </row>
    <row r="17" spans="1:6" x14ac:dyDescent="0.3">
      <c r="A17" s="85" t="s">
        <v>990</v>
      </c>
      <c r="B17" s="307" t="s">
        <v>123</v>
      </c>
      <c r="C17" s="308" t="s">
        <v>991</v>
      </c>
      <c r="D17" s="309"/>
      <c r="E17" s="397"/>
      <c r="F17" s="398">
        <f t="shared" si="0"/>
        <v>0</v>
      </c>
    </row>
    <row r="18" spans="1:6" x14ac:dyDescent="0.3">
      <c r="A18" s="85" t="s">
        <v>992</v>
      </c>
      <c r="B18" s="307" t="s">
        <v>126</v>
      </c>
      <c r="C18" s="308" t="s">
        <v>991</v>
      </c>
      <c r="D18" s="309"/>
      <c r="E18" s="397"/>
      <c r="F18" s="398">
        <f t="shared" si="0"/>
        <v>0</v>
      </c>
    </row>
    <row r="19" spans="1:6" x14ac:dyDescent="0.3">
      <c r="A19" s="85" t="s">
        <v>993</v>
      </c>
      <c r="B19" s="307" t="s">
        <v>129</v>
      </c>
      <c r="C19" s="308" t="s">
        <v>994</v>
      </c>
      <c r="D19" s="309"/>
      <c r="E19" s="397"/>
      <c r="F19" s="398">
        <f t="shared" si="0"/>
        <v>0</v>
      </c>
    </row>
    <row r="20" spans="1:6" x14ac:dyDescent="0.3">
      <c r="A20" s="85" t="s">
        <v>995</v>
      </c>
      <c r="B20" s="307" t="s">
        <v>132</v>
      </c>
      <c r="C20" s="308" t="s">
        <v>996</v>
      </c>
      <c r="D20" s="309"/>
      <c r="E20" s="397"/>
      <c r="F20" s="398">
        <f t="shared" si="0"/>
        <v>0</v>
      </c>
    </row>
    <row r="21" spans="1:6" x14ac:dyDescent="0.3">
      <c r="A21" s="85" t="s">
        <v>997</v>
      </c>
      <c r="B21" s="307" t="s">
        <v>136</v>
      </c>
      <c r="C21" s="308" t="s">
        <v>991</v>
      </c>
      <c r="D21" s="309"/>
      <c r="E21" s="397"/>
      <c r="F21" s="398">
        <f t="shared" si="0"/>
        <v>0</v>
      </c>
    </row>
    <row r="22" spans="1:6" x14ac:dyDescent="0.3">
      <c r="A22" s="85" t="s">
        <v>998</v>
      </c>
      <c r="B22" s="307" t="s">
        <v>139</v>
      </c>
      <c r="C22" s="308" t="s">
        <v>991</v>
      </c>
      <c r="D22" s="309"/>
      <c r="E22" s="397"/>
      <c r="F22" s="398">
        <f t="shared" si="0"/>
        <v>0</v>
      </c>
    </row>
    <row r="23" spans="1:6" x14ac:dyDescent="0.3">
      <c r="A23" s="85" t="s">
        <v>999</v>
      </c>
      <c r="B23" s="307" t="s">
        <v>142</v>
      </c>
      <c r="C23" s="308" t="s">
        <v>1000</v>
      </c>
      <c r="D23" s="309"/>
      <c r="E23" s="397"/>
      <c r="F23" s="398">
        <f t="shared" si="0"/>
        <v>0</v>
      </c>
    </row>
    <row r="24" spans="1:6" x14ac:dyDescent="0.3">
      <c r="A24" s="86"/>
      <c r="B24" s="651" t="s">
        <v>1001</v>
      </c>
      <c r="C24" s="510"/>
      <c r="D24" s="510"/>
      <c r="E24" s="510"/>
      <c r="F24" s="399">
        <f>SUM(F15:F23)</f>
        <v>0</v>
      </c>
    </row>
    <row r="25" spans="1:6" x14ac:dyDescent="0.3">
      <c r="A25" s="87"/>
      <c r="B25" s="310"/>
      <c r="C25" s="310"/>
      <c r="D25" s="310"/>
      <c r="E25" s="310"/>
      <c r="F25" s="311"/>
    </row>
    <row r="26" spans="1:6" x14ac:dyDescent="0.3">
      <c r="A26" s="196" t="s">
        <v>1002</v>
      </c>
      <c r="B26" s="652" t="s">
        <v>145</v>
      </c>
      <c r="C26" s="507"/>
      <c r="D26" s="507"/>
      <c r="E26" s="507"/>
      <c r="F26" s="508"/>
    </row>
    <row r="27" spans="1:6" x14ac:dyDescent="0.3">
      <c r="A27" s="85" t="s">
        <v>1003</v>
      </c>
      <c r="B27" s="307" t="s">
        <v>148</v>
      </c>
      <c r="C27" s="308" t="s">
        <v>1000</v>
      </c>
      <c r="D27" s="309"/>
      <c r="E27" s="397"/>
      <c r="F27" s="398">
        <f t="shared" ref="F27:F37" si="1">D27*E27</f>
        <v>0</v>
      </c>
    </row>
    <row r="28" spans="1:6" x14ac:dyDescent="0.3">
      <c r="A28" s="85" t="s">
        <v>1004</v>
      </c>
      <c r="B28" s="307" t="s">
        <v>151</v>
      </c>
      <c r="C28" s="308" t="s">
        <v>1000</v>
      </c>
      <c r="D28" s="309"/>
      <c r="E28" s="397"/>
      <c r="F28" s="398">
        <f t="shared" si="1"/>
        <v>0</v>
      </c>
    </row>
    <row r="29" spans="1:6" x14ac:dyDescent="0.3">
      <c r="A29" s="85" t="s">
        <v>1005</v>
      </c>
      <c r="B29" s="307" t="s">
        <v>154</v>
      </c>
      <c r="C29" s="308" t="s">
        <v>1000</v>
      </c>
      <c r="D29" s="309"/>
      <c r="E29" s="397"/>
      <c r="F29" s="398">
        <f t="shared" si="1"/>
        <v>0</v>
      </c>
    </row>
    <row r="30" spans="1:6" x14ac:dyDescent="0.3">
      <c r="A30" s="85" t="s">
        <v>1006</v>
      </c>
      <c r="B30" s="307" t="s">
        <v>157</v>
      </c>
      <c r="C30" s="308" t="s">
        <v>991</v>
      </c>
      <c r="D30" s="309"/>
      <c r="E30" s="397"/>
      <c r="F30" s="398">
        <f t="shared" si="1"/>
        <v>0</v>
      </c>
    </row>
    <row r="31" spans="1:6" x14ac:dyDescent="0.3">
      <c r="A31" s="85" t="s">
        <v>1007</v>
      </c>
      <c r="B31" s="307" t="s">
        <v>161</v>
      </c>
      <c r="C31" s="308" t="s">
        <v>1000</v>
      </c>
      <c r="D31" s="309"/>
      <c r="E31" s="397"/>
      <c r="F31" s="398">
        <f t="shared" si="1"/>
        <v>0</v>
      </c>
    </row>
    <row r="32" spans="1:6" x14ac:dyDescent="0.3">
      <c r="A32" s="85" t="s">
        <v>1008</v>
      </c>
      <c r="B32" s="307" t="s">
        <v>164</v>
      </c>
      <c r="C32" s="308" t="s">
        <v>1000</v>
      </c>
      <c r="D32" s="309"/>
      <c r="E32" s="397"/>
      <c r="F32" s="398">
        <f t="shared" si="1"/>
        <v>0</v>
      </c>
    </row>
    <row r="33" spans="1:6" x14ac:dyDescent="0.3">
      <c r="A33" s="85" t="s">
        <v>1009</v>
      </c>
      <c r="B33" s="307" t="s">
        <v>167</v>
      </c>
      <c r="C33" s="308" t="s">
        <v>1000</v>
      </c>
      <c r="D33" s="309"/>
      <c r="E33" s="397"/>
      <c r="F33" s="398">
        <f t="shared" si="1"/>
        <v>0</v>
      </c>
    </row>
    <row r="34" spans="1:6" x14ac:dyDescent="0.3">
      <c r="A34" s="85" t="s">
        <v>1010</v>
      </c>
      <c r="B34" s="307" t="s">
        <v>170</v>
      </c>
      <c r="C34" s="308" t="s">
        <v>1000</v>
      </c>
      <c r="D34" s="309"/>
      <c r="E34" s="397"/>
      <c r="F34" s="398">
        <f t="shared" si="1"/>
        <v>0</v>
      </c>
    </row>
    <row r="35" spans="1:6" x14ac:dyDescent="0.3">
      <c r="A35" s="85" t="s">
        <v>1011</v>
      </c>
      <c r="B35" s="307" t="s">
        <v>174</v>
      </c>
      <c r="C35" s="308" t="s">
        <v>1000</v>
      </c>
      <c r="D35" s="309"/>
      <c r="E35" s="397"/>
      <c r="F35" s="398">
        <f t="shared" si="1"/>
        <v>0</v>
      </c>
    </row>
    <row r="36" spans="1:6" x14ac:dyDescent="0.3">
      <c r="A36" s="85" t="s">
        <v>1012</v>
      </c>
      <c r="B36" s="307" t="s">
        <v>177</v>
      </c>
      <c r="C36" s="308" t="s">
        <v>1000</v>
      </c>
      <c r="D36" s="309"/>
      <c r="E36" s="397"/>
      <c r="F36" s="398">
        <f t="shared" si="1"/>
        <v>0</v>
      </c>
    </row>
    <row r="37" spans="1:6" x14ac:dyDescent="0.3">
      <c r="A37" s="85" t="s">
        <v>1013</v>
      </c>
      <c r="B37" s="307" t="s">
        <v>180</v>
      </c>
      <c r="C37" s="308" t="s">
        <v>1000</v>
      </c>
      <c r="D37" s="309"/>
      <c r="E37" s="397"/>
      <c r="F37" s="398">
        <f t="shared" si="1"/>
        <v>0</v>
      </c>
    </row>
    <row r="38" spans="1:6" x14ac:dyDescent="0.3">
      <c r="A38" s="86"/>
      <c r="B38" s="651" t="s">
        <v>1014</v>
      </c>
      <c r="C38" s="510"/>
      <c r="D38" s="510"/>
      <c r="E38" s="510"/>
      <c r="F38" s="399">
        <f>SUM(F27:F37)</f>
        <v>0</v>
      </c>
    </row>
    <row r="39" spans="1:6" x14ac:dyDescent="0.3">
      <c r="A39" s="87"/>
      <c r="B39" s="310"/>
      <c r="C39" s="310"/>
      <c r="D39" s="310"/>
      <c r="E39" s="310"/>
      <c r="F39" s="311"/>
    </row>
    <row r="40" spans="1:6" x14ac:dyDescent="0.3">
      <c r="A40" s="196" t="s">
        <v>1015</v>
      </c>
      <c r="B40" s="652" t="s">
        <v>182</v>
      </c>
      <c r="C40" s="507"/>
      <c r="D40" s="507"/>
      <c r="E40" s="507"/>
      <c r="F40" s="508"/>
    </row>
    <row r="41" spans="1:6" x14ac:dyDescent="0.3">
      <c r="A41" s="85" t="s">
        <v>1016</v>
      </c>
      <c r="B41" s="307" t="s">
        <v>185</v>
      </c>
      <c r="C41" s="308" t="s">
        <v>1000</v>
      </c>
      <c r="D41" s="309"/>
      <c r="E41" s="397"/>
      <c r="F41" s="398">
        <f t="shared" ref="F41:F47" si="2">D41*E41</f>
        <v>0</v>
      </c>
    </row>
    <row r="42" spans="1:6" x14ac:dyDescent="0.3">
      <c r="A42" s="85" t="s">
        <v>1017</v>
      </c>
      <c r="B42" s="307" t="s">
        <v>188</v>
      </c>
      <c r="C42" s="308" t="s">
        <v>1000</v>
      </c>
      <c r="D42" s="309"/>
      <c r="E42" s="397"/>
      <c r="F42" s="398">
        <f t="shared" si="2"/>
        <v>0</v>
      </c>
    </row>
    <row r="43" spans="1:6" x14ac:dyDescent="0.3">
      <c r="A43" s="85" t="s">
        <v>1018</v>
      </c>
      <c r="B43" s="307" t="s">
        <v>191</v>
      </c>
      <c r="C43" s="308" t="s">
        <v>1000</v>
      </c>
      <c r="D43" s="309"/>
      <c r="E43" s="397"/>
      <c r="F43" s="398">
        <f t="shared" si="2"/>
        <v>0</v>
      </c>
    </row>
    <row r="44" spans="1:6" x14ac:dyDescent="0.3">
      <c r="A44" s="85" t="s">
        <v>1019</v>
      </c>
      <c r="B44" s="307" t="s">
        <v>194</v>
      </c>
      <c r="C44" s="308" t="s">
        <v>1000</v>
      </c>
      <c r="D44" s="309"/>
      <c r="E44" s="397"/>
      <c r="F44" s="398">
        <f t="shared" si="2"/>
        <v>0</v>
      </c>
    </row>
    <row r="45" spans="1:6" x14ac:dyDescent="0.3">
      <c r="A45" s="85" t="s">
        <v>1020</v>
      </c>
      <c r="B45" s="307" t="s">
        <v>197</v>
      </c>
      <c r="C45" s="308" t="s">
        <v>1000</v>
      </c>
      <c r="D45" s="309"/>
      <c r="E45" s="397"/>
      <c r="F45" s="398">
        <f t="shared" si="2"/>
        <v>0</v>
      </c>
    </row>
    <row r="46" spans="1:6" x14ac:dyDescent="0.3">
      <c r="A46" s="85" t="s">
        <v>1021</v>
      </c>
      <c r="B46" s="307" t="s">
        <v>201</v>
      </c>
      <c r="C46" s="308" t="s">
        <v>1022</v>
      </c>
      <c r="D46" s="309"/>
      <c r="E46" s="397"/>
      <c r="F46" s="398">
        <f t="shared" si="2"/>
        <v>0</v>
      </c>
    </row>
    <row r="47" spans="1:6" x14ac:dyDescent="0.3">
      <c r="A47" s="85" t="s">
        <v>1023</v>
      </c>
      <c r="B47" s="307" t="s">
        <v>206</v>
      </c>
      <c r="C47" s="308" t="s">
        <v>991</v>
      </c>
      <c r="D47" s="309"/>
      <c r="E47" s="397"/>
      <c r="F47" s="398">
        <f t="shared" si="2"/>
        <v>0</v>
      </c>
    </row>
    <row r="48" spans="1:6" x14ac:dyDescent="0.3">
      <c r="A48" s="86"/>
      <c r="B48" s="651" t="s">
        <v>1024</v>
      </c>
      <c r="C48" s="510"/>
      <c r="D48" s="510"/>
      <c r="E48" s="510"/>
      <c r="F48" s="399">
        <f>SUM(F41:F47)</f>
        <v>0</v>
      </c>
    </row>
    <row r="49" spans="1:6" x14ac:dyDescent="0.3">
      <c r="A49" s="87"/>
      <c r="B49" s="310"/>
      <c r="C49" s="310"/>
      <c r="D49" s="310"/>
      <c r="E49" s="310"/>
      <c r="F49" s="311"/>
    </row>
    <row r="50" spans="1:6" x14ac:dyDescent="0.3">
      <c r="A50" s="196" t="s">
        <v>1025</v>
      </c>
      <c r="B50" s="656" t="s">
        <v>208</v>
      </c>
      <c r="C50" s="510"/>
      <c r="D50" s="510"/>
      <c r="E50" s="510"/>
      <c r="F50" s="510"/>
    </row>
    <row r="51" spans="1:6" x14ac:dyDescent="0.3">
      <c r="A51" s="85" t="s">
        <v>1026</v>
      </c>
      <c r="B51" s="307" t="s">
        <v>210</v>
      </c>
      <c r="C51" s="308" t="s">
        <v>1000</v>
      </c>
      <c r="D51" s="309"/>
      <c r="E51" s="397"/>
      <c r="F51" s="398">
        <f>D51*E51</f>
        <v>0</v>
      </c>
    </row>
    <row r="52" spans="1:6" x14ac:dyDescent="0.3">
      <c r="A52" s="85" t="s">
        <v>1027</v>
      </c>
      <c r="B52" s="654" t="s">
        <v>213</v>
      </c>
      <c r="C52" s="510" t="inlineStr">
        <is>
          <t>M³</t>
        </is>
      </c>
      <c r="D52" s="510"/>
      <c r="E52" s="510"/>
      <c r="F52" s="524"/>
    </row>
    <row r="53" spans="1:6" x14ac:dyDescent="0.3">
      <c r="A53" s="85" t="s">
        <v>1028</v>
      </c>
      <c r="B53" s="307" t="s">
        <v>216</v>
      </c>
      <c r="C53" s="308" t="s">
        <v>1000</v>
      </c>
      <c r="D53" s="309"/>
      <c r="E53" s="397"/>
      <c r="F53" s="398">
        <f t="shared" ref="F53:F59" si="3">D53*E53</f>
        <v>0</v>
      </c>
    </row>
    <row r="54" spans="1:6" x14ac:dyDescent="0.3">
      <c r="A54" s="85" t="s">
        <v>1029</v>
      </c>
      <c r="B54" s="307" t="s">
        <v>219</v>
      </c>
      <c r="C54" s="308" t="s">
        <v>1000</v>
      </c>
      <c r="D54" s="309"/>
      <c r="E54" s="397"/>
      <c r="F54" s="398">
        <f t="shared" si="3"/>
        <v>0</v>
      </c>
    </row>
    <row r="55" spans="1:6" x14ac:dyDescent="0.3">
      <c r="A55" s="85" t="s">
        <v>1030</v>
      </c>
      <c r="B55" s="307" t="s">
        <v>222</v>
      </c>
      <c r="C55" s="308" t="s">
        <v>1000</v>
      </c>
      <c r="D55" s="309"/>
      <c r="E55" s="397"/>
      <c r="F55" s="398">
        <f t="shared" si="3"/>
        <v>0</v>
      </c>
    </row>
    <row r="56" spans="1:6" x14ac:dyDescent="0.3">
      <c r="A56" s="85" t="s">
        <v>1031</v>
      </c>
      <c r="B56" s="307" t="s">
        <v>225</v>
      </c>
      <c r="C56" s="308" t="s">
        <v>1022</v>
      </c>
      <c r="D56" s="309"/>
      <c r="E56" s="397"/>
      <c r="F56" s="398">
        <f t="shared" si="3"/>
        <v>0</v>
      </c>
    </row>
    <row r="57" spans="1:6" x14ac:dyDescent="0.3">
      <c r="A57" s="85" t="s">
        <v>1032</v>
      </c>
      <c r="B57" s="307" t="s">
        <v>228</v>
      </c>
      <c r="C57" s="308" t="s">
        <v>1022</v>
      </c>
      <c r="D57" s="309"/>
      <c r="E57" s="397"/>
      <c r="F57" s="398">
        <f t="shared" si="3"/>
        <v>0</v>
      </c>
    </row>
    <row r="58" spans="1:6" x14ac:dyDescent="0.3">
      <c r="A58" s="85" t="s">
        <v>1033</v>
      </c>
      <c r="B58" s="653" t="s">
        <v>231</v>
      </c>
      <c r="C58" s="510" t="inlineStr">
        <is>
          <t>KG</t>
        </is>
      </c>
      <c r="D58" s="510"/>
      <c r="E58" s="510"/>
      <c r="F58" s="398">
        <f t="shared" si="3"/>
        <v>0</v>
      </c>
    </row>
    <row r="59" spans="1:6" x14ac:dyDescent="0.3">
      <c r="A59" s="85" t="s">
        <v>1034</v>
      </c>
      <c r="B59" s="307" t="s">
        <v>234</v>
      </c>
      <c r="C59" s="308" t="s">
        <v>991</v>
      </c>
      <c r="D59" s="309"/>
      <c r="E59" s="397"/>
      <c r="F59" s="398">
        <f t="shared" si="3"/>
        <v>0</v>
      </c>
    </row>
    <row r="60" spans="1:6" x14ac:dyDescent="0.3">
      <c r="A60" s="85" t="s">
        <v>1035</v>
      </c>
      <c r="B60" s="654" t="s">
        <v>237</v>
      </c>
      <c r="C60" s="510" t="inlineStr">
        <is>
          <t>M²</t>
        </is>
      </c>
      <c r="D60" s="510"/>
      <c r="E60" s="510"/>
      <c r="F60" s="524"/>
    </row>
    <row r="61" spans="1:6" x14ac:dyDescent="0.3">
      <c r="A61" s="85" t="s">
        <v>1036</v>
      </c>
      <c r="B61" s="307" t="s">
        <v>240</v>
      </c>
      <c r="C61" s="308" t="s">
        <v>991</v>
      </c>
      <c r="D61" s="309"/>
      <c r="E61" s="397"/>
      <c r="F61" s="398">
        <f>D61*E61</f>
        <v>0</v>
      </c>
    </row>
    <row r="62" spans="1:6" x14ac:dyDescent="0.3">
      <c r="A62" s="85" t="s">
        <v>1037</v>
      </c>
      <c r="B62" s="307" t="s">
        <v>243</v>
      </c>
      <c r="C62" s="308" t="s">
        <v>991</v>
      </c>
      <c r="D62" s="309"/>
      <c r="E62" s="397"/>
      <c r="F62" s="398">
        <f>D62*E62</f>
        <v>0</v>
      </c>
    </row>
    <row r="63" spans="1:6" x14ac:dyDescent="0.3">
      <c r="A63" s="85" t="s">
        <v>1038</v>
      </c>
      <c r="B63" s="307" t="s">
        <v>247</v>
      </c>
      <c r="C63" s="308" t="s">
        <v>1022</v>
      </c>
      <c r="D63" s="309"/>
      <c r="E63" s="397"/>
      <c r="F63" s="398">
        <f>D63*E63</f>
        <v>0</v>
      </c>
    </row>
    <row r="64" spans="1:6" x14ac:dyDescent="0.3">
      <c r="A64" s="85" t="s">
        <v>1039</v>
      </c>
      <c r="B64" s="307" t="s">
        <v>250</v>
      </c>
      <c r="C64" s="308" t="s">
        <v>1022</v>
      </c>
      <c r="D64" s="309"/>
      <c r="E64" s="397"/>
      <c r="F64" s="398">
        <f>D64*E64</f>
        <v>0</v>
      </c>
    </row>
    <row r="65" spans="1:6" x14ac:dyDescent="0.3">
      <c r="A65" s="86"/>
      <c r="B65" s="651" t="s">
        <v>1040</v>
      </c>
      <c r="C65" s="510"/>
      <c r="D65" s="510"/>
      <c r="E65" s="510"/>
      <c r="F65" s="399">
        <f>SUM(F51:F64)</f>
        <v>0</v>
      </c>
    </row>
    <row r="66" spans="1:6" x14ac:dyDescent="0.3">
      <c r="A66" s="87"/>
      <c r="B66" s="310"/>
      <c r="C66" s="310"/>
      <c r="D66" s="310"/>
      <c r="E66" s="310"/>
      <c r="F66" s="311"/>
    </row>
    <row r="67" spans="1:6" x14ac:dyDescent="0.3">
      <c r="A67" s="196" t="s">
        <v>1041</v>
      </c>
      <c r="B67" s="652" t="s">
        <v>252</v>
      </c>
      <c r="C67" s="507"/>
      <c r="D67" s="507"/>
      <c r="E67" s="507"/>
      <c r="F67" s="508"/>
    </row>
    <row r="68" spans="1:6" x14ac:dyDescent="0.3">
      <c r="A68" s="85" t="s">
        <v>1042</v>
      </c>
      <c r="B68" s="307" t="s">
        <v>255</v>
      </c>
      <c r="C68" s="308" t="s">
        <v>991</v>
      </c>
      <c r="D68" s="309"/>
      <c r="E68" s="397"/>
      <c r="F68" s="398">
        <f t="shared" ref="F68:F74" si="4">D68*E68</f>
        <v>0</v>
      </c>
    </row>
    <row r="69" spans="1:6" x14ac:dyDescent="0.3">
      <c r="A69" s="85" t="s">
        <v>1043</v>
      </c>
      <c r="B69" s="307" t="s">
        <v>258</v>
      </c>
      <c r="C69" s="308" t="s">
        <v>991</v>
      </c>
      <c r="D69" s="309"/>
      <c r="E69" s="397"/>
      <c r="F69" s="398">
        <f t="shared" si="4"/>
        <v>0</v>
      </c>
    </row>
    <row r="70" spans="1:6" x14ac:dyDescent="0.3">
      <c r="A70" s="85" t="s">
        <v>1044</v>
      </c>
      <c r="B70" s="307" t="s">
        <v>261</v>
      </c>
      <c r="C70" s="308" t="s">
        <v>991</v>
      </c>
      <c r="D70" s="309"/>
      <c r="E70" s="397"/>
      <c r="F70" s="398">
        <f t="shared" si="4"/>
        <v>0</v>
      </c>
    </row>
    <row r="71" spans="1:6" x14ac:dyDescent="0.3">
      <c r="A71" s="85" t="s">
        <v>1045</v>
      </c>
      <c r="B71" s="307" t="s">
        <v>264</v>
      </c>
      <c r="C71" s="308" t="s">
        <v>991</v>
      </c>
      <c r="D71" s="309"/>
      <c r="E71" s="397"/>
      <c r="F71" s="398">
        <f t="shared" si="4"/>
        <v>0</v>
      </c>
    </row>
    <row r="72" spans="1:6" x14ac:dyDescent="0.3">
      <c r="A72" s="85" t="s">
        <v>1046</v>
      </c>
      <c r="B72" s="307" t="s">
        <v>268</v>
      </c>
      <c r="C72" s="308" t="s">
        <v>988</v>
      </c>
      <c r="D72" s="309"/>
      <c r="E72" s="397"/>
      <c r="F72" s="398">
        <f t="shared" si="4"/>
        <v>0</v>
      </c>
    </row>
    <row r="73" spans="1:6" x14ac:dyDescent="0.3">
      <c r="A73" s="85" t="s">
        <v>1047</v>
      </c>
      <c r="B73" s="307" t="s">
        <v>271</v>
      </c>
      <c r="C73" s="308" t="s">
        <v>988</v>
      </c>
      <c r="D73" s="309"/>
      <c r="E73" s="397"/>
      <c r="F73" s="398">
        <f t="shared" si="4"/>
        <v>0</v>
      </c>
    </row>
    <row r="74" spans="1:6" x14ac:dyDescent="0.3">
      <c r="A74" s="85" t="s">
        <v>1048</v>
      </c>
      <c r="B74" s="307" t="s">
        <v>274</v>
      </c>
      <c r="C74" s="308" t="s">
        <v>994</v>
      </c>
      <c r="D74" s="309"/>
      <c r="E74" s="397"/>
      <c r="F74" s="398">
        <f t="shared" si="4"/>
        <v>0</v>
      </c>
    </row>
    <row r="75" spans="1:6" x14ac:dyDescent="0.3">
      <c r="A75" s="86"/>
      <c r="B75" s="651" t="s">
        <v>1049</v>
      </c>
      <c r="C75" s="510"/>
      <c r="D75" s="510"/>
      <c r="E75" s="510"/>
      <c r="F75" s="399">
        <f>SUM(F68:F74)</f>
        <v>0</v>
      </c>
    </row>
    <row r="76" spans="1:6" x14ac:dyDescent="0.3">
      <c r="A76" s="87"/>
      <c r="B76" s="666"/>
      <c r="C76" s="510"/>
      <c r="D76" s="510"/>
      <c r="E76" s="510"/>
      <c r="F76" s="311"/>
    </row>
    <row r="77" spans="1:6" x14ac:dyDescent="0.3">
      <c r="A77" s="196" t="s">
        <v>1050</v>
      </c>
      <c r="B77" s="667" t="s">
        <v>276</v>
      </c>
      <c r="C77" s="510"/>
      <c r="D77" s="510"/>
      <c r="E77" s="510"/>
      <c r="F77" s="510"/>
    </row>
    <row r="78" spans="1:6" x14ac:dyDescent="0.3">
      <c r="A78" s="85" t="s">
        <v>1051</v>
      </c>
      <c r="B78" s="654" t="s">
        <v>279</v>
      </c>
      <c r="C78" s="510" t="inlineStr">
        <is>
          <t>KG</t>
        </is>
      </c>
      <c r="D78" s="510"/>
      <c r="E78" s="510"/>
      <c r="F78" s="524"/>
    </row>
    <row r="79" spans="1:6" x14ac:dyDescent="0.3">
      <c r="A79" s="85" t="s">
        <v>1052</v>
      </c>
      <c r="B79" s="307" t="s">
        <v>282</v>
      </c>
      <c r="C79" s="308" t="s">
        <v>1022</v>
      </c>
      <c r="D79" s="309"/>
      <c r="E79" s="397"/>
      <c r="F79" s="398">
        <f t="shared" ref="F79:F84" si="5">D79*E79</f>
        <v>0</v>
      </c>
    </row>
    <row r="80" spans="1:6" x14ac:dyDescent="0.3">
      <c r="A80" s="85" t="s">
        <v>1053</v>
      </c>
      <c r="B80" s="307" t="s">
        <v>286</v>
      </c>
      <c r="C80" s="308" t="s">
        <v>991</v>
      </c>
      <c r="D80" s="309"/>
      <c r="E80" s="397"/>
      <c r="F80" s="398">
        <f t="shared" si="5"/>
        <v>0</v>
      </c>
    </row>
    <row r="81" spans="1:6" x14ac:dyDescent="0.3">
      <c r="A81" s="85" t="s">
        <v>1054</v>
      </c>
      <c r="B81" s="307" t="s">
        <v>289</v>
      </c>
      <c r="C81" s="308" t="s">
        <v>991</v>
      </c>
      <c r="D81" s="309"/>
      <c r="E81" s="397"/>
      <c r="F81" s="398">
        <f t="shared" si="5"/>
        <v>0</v>
      </c>
    </row>
    <row r="82" spans="1:6" x14ac:dyDescent="0.3">
      <c r="A82" s="85" t="s">
        <v>1055</v>
      </c>
      <c r="B82" s="307" t="s">
        <v>292</v>
      </c>
      <c r="C82" s="308" t="s">
        <v>991</v>
      </c>
      <c r="D82" s="309"/>
      <c r="E82" s="397"/>
      <c r="F82" s="398">
        <f t="shared" si="5"/>
        <v>0</v>
      </c>
    </row>
    <row r="83" spans="1:6" x14ac:dyDescent="0.3">
      <c r="A83" s="85" t="s">
        <v>1056</v>
      </c>
      <c r="B83" s="307" t="s">
        <v>296</v>
      </c>
      <c r="C83" s="308" t="s">
        <v>988</v>
      </c>
      <c r="D83" s="309"/>
      <c r="E83" s="397"/>
      <c r="F83" s="398">
        <f t="shared" si="5"/>
        <v>0</v>
      </c>
    </row>
    <row r="84" spans="1:6" x14ac:dyDescent="0.3">
      <c r="A84" s="85" t="s">
        <v>1057</v>
      </c>
      <c r="B84" s="307" t="s">
        <v>299</v>
      </c>
      <c r="C84" s="308" t="s">
        <v>988</v>
      </c>
      <c r="D84" s="309"/>
      <c r="E84" s="397"/>
      <c r="F84" s="398">
        <f t="shared" si="5"/>
        <v>0</v>
      </c>
    </row>
    <row r="85" spans="1:6" x14ac:dyDescent="0.3">
      <c r="A85" s="86"/>
      <c r="B85" s="651" t="s">
        <v>1058</v>
      </c>
      <c r="C85" s="510"/>
      <c r="D85" s="510"/>
      <c r="E85" s="510"/>
      <c r="F85" s="399">
        <f>SUM(F78:F84)</f>
        <v>0</v>
      </c>
    </row>
    <row r="86" spans="1:6" x14ac:dyDescent="0.3">
      <c r="A86" s="87"/>
      <c r="B86" s="310"/>
      <c r="C86" s="310"/>
      <c r="D86" s="310"/>
      <c r="E86" s="310"/>
      <c r="F86" s="311"/>
    </row>
    <row r="87" spans="1:6" x14ac:dyDescent="0.3">
      <c r="A87" s="196" t="s">
        <v>1059</v>
      </c>
      <c r="B87" s="656" t="s">
        <v>301</v>
      </c>
      <c r="C87" s="510"/>
      <c r="D87" s="510"/>
      <c r="E87" s="510"/>
      <c r="F87" s="510"/>
    </row>
    <row r="88" spans="1:6" x14ac:dyDescent="0.3">
      <c r="A88" s="85" t="s">
        <v>1060</v>
      </c>
      <c r="B88" s="307" t="s">
        <v>304</v>
      </c>
      <c r="C88" s="308" t="s">
        <v>991</v>
      </c>
      <c r="D88" s="309"/>
      <c r="E88" s="397"/>
      <c r="F88" s="398">
        <f>D88*E88</f>
        <v>0</v>
      </c>
    </row>
    <row r="89" spans="1:6" x14ac:dyDescent="0.3">
      <c r="A89" s="85" t="s">
        <v>1061</v>
      </c>
      <c r="B89" s="654" t="s">
        <v>307</v>
      </c>
      <c r="C89" s="510" t="inlineStr">
        <is>
          <t>M²</t>
        </is>
      </c>
      <c r="D89" s="510"/>
      <c r="E89" s="510"/>
      <c r="F89" s="524"/>
    </row>
    <row r="90" spans="1:6" x14ac:dyDescent="0.3">
      <c r="A90" s="85" t="s">
        <v>1062</v>
      </c>
      <c r="B90" s="307" t="s">
        <v>310</v>
      </c>
      <c r="C90" s="308" t="s">
        <v>991</v>
      </c>
      <c r="D90" s="309"/>
      <c r="E90" s="397"/>
      <c r="F90" s="398">
        <f>D90*E90</f>
        <v>0</v>
      </c>
    </row>
    <row r="91" spans="1:6" x14ac:dyDescent="0.3">
      <c r="A91" s="86"/>
      <c r="B91" s="651" t="s">
        <v>1063</v>
      </c>
      <c r="C91" s="510"/>
      <c r="D91" s="510"/>
      <c r="E91" s="510"/>
      <c r="F91" s="399">
        <f>SUM(F88:F90)</f>
        <v>0</v>
      </c>
    </row>
    <row r="92" spans="1:6" x14ac:dyDescent="0.3">
      <c r="A92" s="87"/>
      <c r="B92" s="666"/>
      <c r="C92" s="510"/>
      <c r="D92" s="510"/>
      <c r="E92" s="510"/>
      <c r="F92" s="311"/>
    </row>
    <row r="93" spans="1:6" x14ac:dyDescent="0.3">
      <c r="A93" s="196" t="s">
        <v>1064</v>
      </c>
      <c r="B93" s="656" t="s">
        <v>312</v>
      </c>
      <c r="C93" s="510"/>
      <c r="D93" s="510"/>
      <c r="E93" s="510"/>
      <c r="F93" s="510"/>
    </row>
    <row r="94" spans="1:6" x14ac:dyDescent="0.3">
      <c r="A94" s="85" t="s">
        <v>1065</v>
      </c>
      <c r="B94" s="654" t="s">
        <v>315</v>
      </c>
      <c r="C94" s="510" t="inlineStr">
        <is>
          <t>M²</t>
        </is>
      </c>
      <c r="D94" s="510"/>
      <c r="E94" s="510"/>
      <c r="F94" s="524"/>
    </row>
    <row r="95" spans="1:6" x14ac:dyDescent="0.3">
      <c r="A95" s="85" t="s">
        <v>1066</v>
      </c>
      <c r="B95" s="307" t="s">
        <v>318</v>
      </c>
      <c r="C95" s="308" t="s">
        <v>991</v>
      </c>
      <c r="D95" s="309"/>
      <c r="E95" s="397"/>
      <c r="F95" s="398">
        <f>D95*E95</f>
        <v>0</v>
      </c>
    </row>
    <row r="96" spans="1:6" x14ac:dyDescent="0.3">
      <c r="A96" s="85" t="s">
        <v>1067</v>
      </c>
      <c r="B96" s="307" t="s">
        <v>321</v>
      </c>
      <c r="C96" s="308" t="s">
        <v>991</v>
      </c>
      <c r="D96" s="309"/>
      <c r="E96" s="397"/>
      <c r="F96" s="398">
        <f>D96*E96</f>
        <v>0</v>
      </c>
    </row>
    <row r="97" spans="1:6" x14ac:dyDescent="0.3">
      <c r="A97" s="85" t="s">
        <v>1068</v>
      </c>
      <c r="B97" s="653" t="s">
        <v>324</v>
      </c>
      <c r="C97" s="510" t="inlineStr">
        <is>
          <t>M²</t>
        </is>
      </c>
      <c r="D97" s="510"/>
      <c r="E97" s="510"/>
      <c r="F97" s="398">
        <f>D97*E97</f>
        <v>0</v>
      </c>
    </row>
    <row r="98" spans="1:6" x14ac:dyDescent="0.3">
      <c r="A98" s="86"/>
      <c r="B98" s="651" t="s">
        <v>1069</v>
      </c>
      <c r="C98" s="510"/>
      <c r="D98" s="510"/>
      <c r="E98" s="510"/>
      <c r="F98" s="399">
        <f>SUM(F94:F97)</f>
        <v>0</v>
      </c>
    </row>
    <row r="99" spans="1:6" x14ac:dyDescent="0.3">
      <c r="A99" s="87"/>
      <c r="B99" s="664"/>
      <c r="C99" s="510"/>
      <c r="D99" s="510"/>
      <c r="E99" s="510"/>
      <c r="F99" s="524"/>
    </row>
    <row r="100" spans="1:6" x14ac:dyDescent="0.3">
      <c r="A100" s="196" t="s">
        <v>1070</v>
      </c>
      <c r="B100" s="656" t="s">
        <v>326</v>
      </c>
      <c r="C100" s="510"/>
      <c r="D100" s="510"/>
      <c r="E100" s="510"/>
      <c r="F100" s="510"/>
    </row>
    <row r="101" spans="1:6" x14ac:dyDescent="0.3">
      <c r="A101" s="85" t="s">
        <v>1071</v>
      </c>
      <c r="B101" s="307" t="s">
        <v>329</v>
      </c>
      <c r="C101" s="308" t="s">
        <v>991</v>
      </c>
      <c r="D101" s="309"/>
      <c r="E101" s="397"/>
      <c r="F101" s="398">
        <f t="shared" ref="F101:F107" si="6">D101*E101</f>
        <v>0</v>
      </c>
    </row>
    <row r="102" spans="1:6" x14ac:dyDescent="0.3">
      <c r="A102" s="85" t="s">
        <v>1072</v>
      </c>
      <c r="B102" s="307" t="s">
        <v>332</v>
      </c>
      <c r="C102" s="308" t="s">
        <v>991</v>
      </c>
      <c r="D102" s="309"/>
      <c r="E102" s="397"/>
      <c r="F102" s="398">
        <f t="shared" si="6"/>
        <v>0</v>
      </c>
    </row>
    <row r="103" spans="1:6" x14ac:dyDescent="0.3">
      <c r="A103" s="85" t="s">
        <v>1073</v>
      </c>
      <c r="B103" s="307" t="s">
        <v>335</v>
      </c>
      <c r="C103" s="308" t="s">
        <v>991</v>
      </c>
      <c r="D103" s="309"/>
      <c r="E103" s="397"/>
      <c r="F103" s="398">
        <f t="shared" si="6"/>
        <v>0</v>
      </c>
    </row>
    <row r="104" spans="1:6" x14ac:dyDescent="0.3">
      <c r="A104" s="85" t="s">
        <v>1074</v>
      </c>
      <c r="B104" s="307" t="s">
        <v>338</v>
      </c>
      <c r="C104" s="308" t="s">
        <v>991</v>
      </c>
      <c r="D104" s="309"/>
      <c r="E104" s="397"/>
      <c r="F104" s="398">
        <f t="shared" si="6"/>
        <v>0</v>
      </c>
    </row>
    <row r="105" spans="1:6" x14ac:dyDescent="0.3">
      <c r="A105" s="85" t="s">
        <v>1075</v>
      </c>
      <c r="B105" s="307" t="s">
        <v>341</v>
      </c>
      <c r="C105" s="308" t="s">
        <v>991</v>
      </c>
      <c r="D105" s="309"/>
      <c r="E105" s="397"/>
      <c r="F105" s="398">
        <f t="shared" si="6"/>
        <v>0</v>
      </c>
    </row>
    <row r="106" spans="1:6" x14ac:dyDescent="0.3">
      <c r="A106" s="85" t="s">
        <v>1076</v>
      </c>
      <c r="B106" s="653" t="s">
        <v>345</v>
      </c>
      <c r="C106" s="510" t="inlineStr">
        <is>
          <t>M²</t>
        </is>
      </c>
      <c r="D106" s="510"/>
      <c r="E106" s="510"/>
      <c r="F106" s="398">
        <f t="shared" si="6"/>
        <v>0</v>
      </c>
    </row>
    <row r="107" spans="1:6" x14ac:dyDescent="0.3">
      <c r="A107" s="85" t="s">
        <v>1077</v>
      </c>
      <c r="B107" s="307" t="s">
        <v>348</v>
      </c>
      <c r="C107" s="308" t="s">
        <v>988</v>
      </c>
      <c r="D107" s="309"/>
      <c r="E107" s="397"/>
      <c r="F107" s="398">
        <f t="shared" si="6"/>
        <v>0</v>
      </c>
    </row>
    <row r="108" spans="1:6" x14ac:dyDescent="0.3">
      <c r="A108" s="85" t="s">
        <v>1078</v>
      </c>
      <c r="B108" s="654" t="s">
        <v>351</v>
      </c>
      <c r="C108" s="510" t="inlineStr">
        <is>
          <t>ML</t>
        </is>
      </c>
      <c r="D108" s="510"/>
      <c r="E108" s="510"/>
      <c r="F108" s="524"/>
    </row>
    <row r="109" spans="1:6" x14ac:dyDescent="0.3">
      <c r="A109" s="86"/>
      <c r="B109" s="651" t="s">
        <v>1079</v>
      </c>
      <c r="C109" s="510"/>
      <c r="D109" s="510"/>
      <c r="E109" s="510"/>
      <c r="F109" s="399">
        <f>SUM(F101:F108)</f>
        <v>0</v>
      </c>
    </row>
    <row r="110" spans="1:6" x14ac:dyDescent="0.3">
      <c r="A110" s="87"/>
      <c r="B110" s="310"/>
      <c r="C110" s="310"/>
      <c r="D110" s="310"/>
      <c r="E110" s="310"/>
      <c r="F110" s="311"/>
    </row>
    <row r="111" spans="1:6" x14ac:dyDescent="0.3">
      <c r="A111" s="196" t="s">
        <v>1080</v>
      </c>
      <c r="B111" s="656" t="s">
        <v>353</v>
      </c>
      <c r="C111" s="510"/>
      <c r="D111" s="510"/>
      <c r="E111" s="510"/>
      <c r="F111" s="510"/>
    </row>
    <row r="112" spans="1:6" x14ac:dyDescent="0.3">
      <c r="A112" s="85" t="s">
        <v>1081</v>
      </c>
      <c r="B112" s="307" t="s">
        <v>356</v>
      </c>
      <c r="C112" s="308" t="s">
        <v>991</v>
      </c>
      <c r="D112" s="309"/>
      <c r="E112" s="397"/>
      <c r="F112" s="398">
        <f>D112*E112</f>
        <v>0</v>
      </c>
    </row>
    <row r="113" spans="1:6" x14ac:dyDescent="0.3">
      <c r="A113" s="85" t="s">
        <v>1082</v>
      </c>
      <c r="B113" s="307" t="s">
        <v>359</v>
      </c>
      <c r="C113" s="308" t="s">
        <v>991</v>
      </c>
      <c r="D113" s="309"/>
      <c r="E113" s="397"/>
      <c r="F113" s="398">
        <f>D113*E113</f>
        <v>0</v>
      </c>
    </row>
    <row r="114" spans="1:6" x14ac:dyDescent="0.3">
      <c r="A114" s="85" t="s">
        <v>1083</v>
      </c>
      <c r="B114" s="307" t="s">
        <v>362</v>
      </c>
      <c r="C114" s="308" t="s">
        <v>991</v>
      </c>
      <c r="D114" s="309"/>
      <c r="E114" s="397"/>
      <c r="F114" s="398">
        <f>D114*E114</f>
        <v>0</v>
      </c>
    </row>
    <row r="115" spans="1:6" x14ac:dyDescent="0.3">
      <c r="A115" s="85" t="s">
        <v>1084</v>
      </c>
      <c r="B115" s="307" t="s">
        <v>365</v>
      </c>
      <c r="C115" s="308" t="s">
        <v>991</v>
      </c>
      <c r="D115" s="309"/>
      <c r="E115" s="397"/>
      <c r="F115" s="398">
        <f>D115*E115</f>
        <v>0</v>
      </c>
    </row>
    <row r="116" spans="1:6" x14ac:dyDescent="0.3">
      <c r="A116" s="85" t="s">
        <v>1085</v>
      </c>
      <c r="B116" s="653" t="s">
        <v>368</v>
      </c>
      <c r="C116" s="510" t="inlineStr">
        <is>
          <t>M²</t>
        </is>
      </c>
      <c r="D116" s="510"/>
      <c r="E116" s="510"/>
      <c r="F116" s="398">
        <f>D116*E116</f>
        <v>0</v>
      </c>
    </row>
    <row r="117" spans="1:6" x14ac:dyDescent="0.3">
      <c r="A117" s="86"/>
      <c r="B117" s="651" t="s">
        <v>1086</v>
      </c>
      <c r="C117" s="510"/>
      <c r="D117" s="510"/>
      <c r="E117" s="510"/>
      <c r="F117" s="399">
        <f>SUM(F112:F116)</f>
        <v>0</v>
      </c>
    </row>
    <row r="118" spans="1:6" x14ac:dyDescent="0.3">
      <c r="A118" s="87"/>
      <c r="B118" s="664"/>
      <c r="C118" s="510"/>
      <c r="D118" s="510"/>
      <c r="E118" s="510"/>
      <c r="F118" s="524"/>
    </row>
    <row r="119" spans="1:6" x14ac:dyDescent="0.3">
      <c r="A119" s="196" t="s">
        <v>1087</v>
      </c>
      <c r="B119" s="656" t="s">
        <v>370</v>
      </c>
      <c r="C119" s="510"/>
      <c r="D119" s="510"/>
      <c r="E119" s="510"/>
      <c r="F119" s="510"/>
    </row>
    <row r="120" spans="1:6" x14ac:dyDescent="0.3">
      <c r="A120" s="85" t="s">
        <v>1088</v>
      </c>
      <c r="B120" s="307" t="s">
        <v>373</v>
      </c>
      <c r="C120" s="308" t="s">
        <v>994</v>
      </c>
      <c r="D120" s="309"/>
      <c r="E120" s="397"/>
      <c r="F120" s="398">
        <f>D120*E120</f>
        <v>0</v>
      </c>
    </row>
    <row r="121" spans="1:6" x14ac:dyDescent="0.3">
      <c r="A121" s="85" t="s">
        <v>1089</v>
      </c>
      <c r="B121" s="653" t="s">
        <v>376</v>
      </c>
      <c r="C121" s="510" t="inlineStr">
        <is>
          <t>ML</t>
        </is>
      </c>
      <c r="D121" s="510"/>
      <c r="E121" s="510"/>
      <c r="F121" s="398">
        <f>D121*E121</f>
        <v>0</v>
      </c>
    </row>
    <row r="122" spans="1:6" x14ac:dyDescent="0.3">
      <c r="A122" s="85" t="s">
        <v>1090</v>
      </c>
      <c r="B122" s="307" t="s">
        <v>380</v>
      </c>
      <c r="C122" s="308" t="s">
        <v>994</v>
      </c>
      <c r="D122" s="309"/>
      <c r="E122" s="397"/>
      <c r="F122" s="398">
        <f>D122*E122</f>
        <v>0</v>
      </c>
    </row>
    <row r="123" spans="1:6" x14ac:dyDescent="0.3">
      <c r="A123" s="85" t="s">
        <v>1091</v>
      </c>
      <c r="B123" s="654" t="s">
        <v>383</v>
      </c>
      <c r="C123" s="510" t="inlineStr">
        <is>
          <t>ML</t>
        </is>
      </c>
      <c r="D123" s="510"/>
      <c r="E123" s="510"/>
      <c r="F123" s="524"/>
    </row>
    <row r="124" spans="1:6" x14ac:dyDescent="0.3">
      <c r="A124" s="85" t="s">
        <v>1092</v>
      </c>
      <c r="B124" s="307" t="s">
        <v>386</v>
      </c>
      <c r="C124" s="308" t="s">
        <v>988</v>
      </c>
      <c r="D124" s="309"/>
      <c r="E124" s="397"/>
      <c r="F124" s="398">
        <f>D124*E124</f>
        <v>0</v>
      </c>
    </row>
    <row r="125" spans="1:6" x14ac:dyDescent="0.3">
      <c r="A125" s="85" t="s">
        <v>1093</v>
      </c>
      <c r="B125" s="307" t="s">
        <v>390</v>
      </c>
      <c r="C125" s="308" t="s">
        <v>991</v>
      </c>
      <c r="D125" s="309"/>
      <c r="E125" s="397"/>
      <c r="F125" s="398">
        <f>D125*E125</f>
        <v>0</v>
      </c>
    </row>
    <row r="126" spans="1:6" x14ac:dyDescent="0.3">
      <c r="A126" s="85" t="s">
        <v>1094</v>
      </c>
      <c r="B126" s="307" t="s">
        <v>393</v>
      </c>
      <c r="C126" s="308" t="s">
        <v>991</v>
      </c>
      <c r="D126" s="309"/>
      <c r="E126" s="397"/>
      <c r="F126" s="398">
        <f>D126*E126</f>
        <v>0</v>
      </c>
    </row>
    <row r="127" spans="1:6" x14ac:dyDescent="0.3">
      <c r="A127" s="86"/>
      <c r="B127" s="651" t="s">
        <v>1095</v>
      </c>
      <c r="C127" s="510"/>
      <c r="D127" s="510"/>
      <c r="E127" s="510"/>
      <c r="F127" s="399">
        <f>SUM(F120:F126)</f>
        <v>0</v>
      </c>
    </row>
    <row r="128" spans="1:6" x14ac:dyDescent="0.3">
      <c r="A128" s="87"/>
      <c r="B128" s="310"/>
      <c r="C128" s="310"/>
      <c r="D128" s="310"/>
      <c r="E128" s="310"/>
      <c r="F128" s="311"/>
    </row>
    <row r="129" spans="1:6" x14ac:dyDescent="0.3">
      <c r="A129" s="196" t="s">
        <v>1096</v>
      </c>
      <c r="B129" s="656" t="s">
        <v>395</v>
      </c>
      <c r="C129" s="510"/>
      <c r="D129" s="510"/>
      <c r="E129" s="510"/>
      <c r="F129" s="510"/>
    </row>
    <row r="130" spans="1:6" x14ac:dyDescent="0.3">
      <c r="A130" s="85" t="s">
        <v>1097</v>
      </c>
      <c r="B130" s="653" t="s">
        <v>398</v>
      </c>
      <c r="C130" s="510" t="inlineStr">
        <is>
          <t>M²</t>
        </is>
      </c>
      <c r="D130" s="510"/>
      <c r="E130" s="510"/>
      <c r="F130" s="398">
        <f>D130*E130</f>
        <v>0</v>
      </c>
    </row>
    <row r="131" spans="1:6" x14ac:dyDescent="0.3">
      <c r="A131" s="85" t="s">
        <v>1098</v>
      </c>
      <c r="B131" s="307" t="s">
        <v>401</v>
      </c>
      <c r="C131" s="308" t="s">
        <v>991</v>
      </c>
      <c r="D131" s="309"/>
      <c r="E131" s="397"/>
      <c r="F131" s="398">
        <f>D131*E131</f>
        <v>0</v>
      </c>
    </row>
    <row r="132" spans="1:6" x14ac:dyDescent="0.3">
      <c r="A132" s="85" t="s">
        <v>1099</v>
      </c>
      <c r="B132" s="654" t="s">
        <v>404</v>
      </c>
      <c r="C132" s="510" t="inlineStr">
        <is>
          <t>M²</t>
        </is>
      </c>
      <c r="D132" s="510"/>
      <c r="E132" s="510"/>
      <c r="F132" s="524"/>
    </row>
    <row r="133" spans="1:6" x14ac:dyDescent="0.3">
      <c r="A133" s="85" t="s">
        <v>1100</v>
      </c>
      <c r="B133" s="307" t="s">
        <v>407</v>
      </c>
      <c r="C133" s="308" t="s">
        <v>988</v>
      </c>
      <c r="D133" s="309"/>
      <c r="E133" s="397"/>
      <c r="F133" s="398">
        <f>D133*E133</f>
        <v>0</v>
      </c>
    </row>
    <row r="134" spans="1:6" x14ac:dyDescent="0.3">
      <c r="A134" s="86"/>
      <c r="B134" s="651" t="s">
        <v>1101</v>
      </c>
      <c r="C134" s="510"/>
      <c r="D134" s="510"/>
      <c r="E134" s="510"/>
      <c r="F134" s="399">
        <f>SUM(F130:F133)</f>
        <v>0</v>
      </c>
    </row>
    <row r="135" spans="1:6" x14ac:dyDescent="0.3">
      <c r="A135" s="87"/>
      <c r="B135" s="310"/>
      <c r="C135" s="310"/>
      <c r="D135" s="310"/>
      <c r="E135" s="310"/>
      <c r="F135" s="311"/>
    </row>
    <row r="136" spans="1:6" x14ac:dyDescent="0.3">
      <c r="A136" s="196" t="s">
        <v>1102</v>
      </c>
      <c r="B136" s="656" t="s">
        <v>409</v>
      </c>
      <c r="C136" s="510"/>
      <c r="D136" s="510"/>
      <c r="E136" s="510"/>
      <c r="F136" s="510"/>
    </row>
    <row r="137" spans="1:6" x14ac:dyDescent="0.3">
      <c r="A137" s="85" t="s">
        <v>1103</v>
      </c>
      <c r="B137" s="653" t="s">
        <v>412</v>
      </c>
      <c r="C137" s="510" t="inlineStr">
        <is>
          <t>ML</t>
        </is>
      </c>
      <c r="D137" s="510"/>
      <c r="E137" s="510"/>
      <c r="F137" s="398">
        <f t="shared" ref="F137:F147" si="7">D137*E137</f>
        <v>0</v>
      </c>
    </row>
    <row r="138" spans="1:6" x14ac:dyDescent="0.3">
      <c r="A138" s="85" t="s">
        <v>1104</v>
      </c>
      <c r="B138" s="307" t="s">
        <v>415</v>
      </c>
      <c r="C138" s="308" t="s">
        <v>988</v>
      </c>
      <c r="D138" s="309"/>
      <c r="E138" s="397"/>
      <c r="F138" s="398">
        <f t="shared" si="7"/>
        <v>0</v>
      </c>
    </row>
    <row r="139" spans="1:6" x14ac:dyDescent="0.3">
      <c r="A139" s="85" t="s">
        <v>1105</v>
      </c>
      <c r="B139" s="653" t="s">
        <v>418</v>
      </c>
      <c r="C139" s="510" t="inlineStr">
        <is>
          <t>UND</t>
        </is>
      </c>
      <c r="D139" s="510"/>
      <c r="E139" s="510"/>
      <c r="F139" s="398">
        <f t="shared" si="7"/>
        <v>0</v>
      </c>
    </row>
    <row r="140" spans="1:6" x14ac:dyDescent="0.3">
      <c r="A140" s="85" t="s">
        <v>1106</v>
      </c>
      <c r="B140" s="307" t="s">
        <v>422</v>
      </c>
      <c r="C140" s="308" t="s">
        <v>988</v>
      </c>
      <c r="D140" s="309"/>
      <c r="E140" s="397"/>
      <c r="F140" s="398">
        <f t="shared" si="7"/>
        <v>0</v>
      </c>
    </row>
    <row r="141" spans="1:6" x14ac:dyDescent="0.3">
      <c r="A141" s="85" t="s">
        <v>1107</v>
      </c>
      <c r="B141" s="307" t="s">
        <v>425</v>
      </c>
      <c r="C141" s="308" t="s">
        <v>988</v>
      </c>
      <c r="D141" s="309"/>
      <c r="E141" s="397"/>
      <c r="F141" s="398">
        <f t="shared" si="7"/>
        <v>0</v>
      </c>
    </row>
    <row r="142" spans="1:6" x14ac:dyDescent="0.3">
      <c r="A142" s="85" t="s">
        <v>1108</v>
      </c>
      <c r="B142" s="307" t="s">
        <v>428</v>
      </c>
      <c r="C142" s="308" t="s">
        <v>994</v>
      </c>
      <c r="D142" s="309"/>
      <c r="E142" s="397"/>
      <c r="F142" s="398">
        <f t="shared" si="7"/>
        <v>0</v>
      </c>
    </row>
    <row r="143" spans="1:6" x14ac:dyDescent="0.3">
      <c r="A143" s="85" t="s">
        <v>1109</v>
      </c>
      <c r="B143" s="307" t="s">
        <v>432</v>
      </c>
      <c r="C143" s="308" t="s">
        <v>994</v>
      </c>
      <c r="D143" s="309"/>
      <c r="E143" s="397"/>
      <c r="F143" s="398">
        <f t="shared" si="7"/>
        <v>0</v>
      </c>
    </row>
    <row r="144" spans="1:6" x14ac:dyDescent="0.3">
      <c r="A144" s="85" t="s">
        <v>1110</v>
      </c>
      <c r="B144" s="307" t="s">
        <v>435</v>
      </c>
      <c r="C144" s="308" t="s">
        <v>994</v>
      </c>
      <c r="D144" s="309"/>
      <c r="E144" s="397"/>
      <c r="F144" s="398">
        <f t="shared" si="7"/>
        <v>0</v>
      </c>
    </row>
    <row r="145" spans="1:6" x14ac:dyDescent="0.3">
      <c r="A145" s="85" t="s">
        <v>1111</v>
      </c>
      <c r="B145" s="307" t="s">
        <v>438</v>
      </c>
      <c r="C145" s="308" t="s">
        <v>994</v>
      </c>
      <c r="D145" s="309"/>
      <c r="E145" s="397"/>
      <c r="F145" s="398">
        <f t="shared" si="7"/>
        <v>0</v>
      </c>
    </row>
    <row r="146" spans="1:6" x14ac:dyDescent="0.3">
      <c r="A146" s="85" t="s">
        <v>1112</v>
      </c>
      <c r="B146" s="307" t="s">
        <v>441</v>
      </c>
      <c r="C146" s="308" t="s">
        <v>994</v>
      </c>
      <c r="D146" s="309"/>
      <c r="E146" s="397"/>
      <c r="F146" s="398">
        <f t="shared" si="7"/>
        <v>0</v>
      </c>
    </row>
    <row r="147" spans="1:6" x14ac:dyDescent="0.3">
      <c r="A147" s="85" t="s">
        <v>1113</v>
      </c>
      <c r="B147" s="307" t="s">
        <v>445</v>
      </c>
      <c r="C147" s="308" t="s">
        <v>996</v>
      </c>
      <c r="D147" s="309"/>
      <c r="E147" s="397"/>
      <c r="F147" s="398">
        <f t="shared" si="7"/>
        <v>0</v>
      </c>
    </row>
    <row r="148" spans="1:6" x14ac:dyDescent="0.3">
      <c r="A148" s="86"/>
      <c r="B148" s="651" t="s">
        <v>1114</v>
      </c>
      <c r="C148" s="510"/>
      <c r="D148" s="510"/>
      <c r="E148" s="510"/>
      <c r="F148" s="399">
        <f>SUM(F137:F147)</f>
        <v>0</v>
      </c>
    </row>
    <row r="149" spans="1:6" x14ac:dyDescent="0.3">
      <c r="A149" s="87"/>
      <c r="B149" s="310"/>
      <c r="C149" s="310"/>
      <c r="D149" s="310"/>
      <c r="E149" s="310"/>
      <c r="F149" s="311"/>
    </row>
    <row r="150" spans="1:6" x14ac:dyDescent="0.3">
      <c r="A150" s="196" t="s">
        <v>1115</v>
      </c>
      <c r="B150" s="656" t="s">
        <v>447</v>
      </c>
      <c r="C150" s="510"/>
      <c r="D150" s="510"/>
      <c r="E150" s="510"/>
      <c r="F150" s="510"/>
    </row>
    <row r="151" spans="1:6" x14ac:dyDescent="0.3">
      <c r="A151" s="85" t="s">
        <v>1116</v>
      </c>
      <c r="B151" s="307" t="s">
        <v>450</v>
      </c>
      <c r="C151" s="308" t="s">
        <v>988</v>
      </c>
      <c r="D151" s="309"/>
      <c r="E151" s="397"/>
      <c r="F151" s="398">
        <f t="shared" ref="F151:F161" si="8">D151*E151</f>
        <v>0</v>
      </c>
    </row>
    <row r="152" spans="1:6" x14ac:dyDescent="0.3">
      <c r="A152" s="85" t="s">
        <v>1117</v>
      </c>
      <c r="B152" s="307" t="s">
        <v>453</v>
      </c>
      <c r="C152" s="308" t="s">
        <v>988</v>
      </c>
      <c r="D152" s="309"/>
      <c r="E152" s="397"/>
      <c r="F152" s="398">
        <f t="shared" si="8"/>
        <v>0</v>
      </c>
    </row>
    <row r="153" spans="1:6" x14ac:dyDescent="0.3">
      <c r="A153" s="85" t="s">
        <v>1118</v>
      </c>
      <c r="B153" s="307" t="s">
        <v>456</v>
      </c>
      <c r="C153" s="308" t="s">
        <v>994</v>
      </c>
      <c r="D153" s="309"/>
      <c r="E153" s="397"/>
      <c r="F153" s="398">
        <f t="shared" si="8"/>
        <v>0</v>
      </c>
    </row>
    <row r="154" spans="1:6" x14ac:dyDescent="0.3">
      <c r="A154" s="85" t="s">
        <v>1119</v>
      </c>
      <c r="B154" s="307" t="s">
        <v>460</v>
      </c>
      <c r="C154" s="308" t="s">
        <v>988</v>
      </c>
      <c r="D154" s="309"/>
      <c r="E154" s="397"/>
      <c r="F154" s="398">
        <f t="shared" si="8"/>
        <v>0</v>
      </c>
    </row>
    <row r="155" spans="1:6" x14ac:dyDescent="0.3">
      <c r="A155" s="85" t="s">
        <v>1120</v>
      </c>
      <c r="B155" s="307" t="s">
        <v>463</v>
      </c>
      <c r="C155" s="308" t="s">
        <v>988</v>
      </c>
      <c r="D155" s="309"/>
      <c r="E155" s="397"/>
      <c r="F155" s="398">
        <f t="shared" si="8"/>
        <v>0</v>
      </c>
    </row>
    <row r="156" spans="1:6" x14ac:dyDescent="0.3">
      <c r="A156" s="85" t="s">
        <v>1121</v>
      </c>
      <c r="B156" s="307" t="s">
        <v>466</v>
      </c>
      <c r="C156" s="308" t="s">
        <v>994</v>
      </c>
      <c r="D156" s="309"/>
      <c r="E156" s="397"/>
      <c r="F156" s="398">
        <f t="shared" si="8"/>
        <v>0</v>
      </c>
    </row>
    <row r="157" spans="1:6" x14ac:dyDescent="0.3">
      <c r="A157" s="85" t="s">
        <v>1122</v>
      </c>
      <c r="B157" s="307" t="s">
        <v>469</v>
      </c>
      <c r="C157" s="308" t="s">
        <v>994</v>
      </c>
      <c r="D157" s="309"/>
      <c r="E157" s="397"/>
      <c r="F157" s="398">
        <f t="shared" si="8"/>
        <v>0</v>
      </c>
    </row>
    <row r="158" spans="1:6" x14ac:dyDescent="0.3">
      <c r="A158" s="85" t="s">
        <v>1123</v>
      </c>
      <c r="B158" s="307" t="s">
        <v>472</v>
      </c>
      <c r="C158" s="308" t="s">
        <v>994</v>
      </c>
      <c r="D158" s="309"/>
      <c r="E158" s="397"/>
      <c r="F158" s="398">
        <f t="shared" si="8"/>
        <v>0</v>
      </c>
    </row>
    <row r="159" spans="1:6" x14ac:dyDescent="0.3">
      <c r="A159" s="85" t="s">
        <v>1124</v>
      </c>
      <c r="B159" s="307" t="s">
        <v>475</v>
      </c>
      <c r="C159" s="308" t="s">
        <v>994</v>
      </c>
      <c r="D159" s="309"/>
      <c r="E159" s="397"/>
      <c r="F159" s="398">
        <f t="shared" si="8"/>
        <v>0</v>
      </c>
    </row>
    <row r="160" spans="1:6" x14ac:dyDescent="0.3">
      <c r="A160" s="85" t="s">
        <v>1125</v>
      </c>
      <c r="B160" s="307" t="s">
        <v>479</v>
      </c>
      <c r="C160" s="308" t="s">
        <v>996</v>
      </c>
      <c r="D160" s="309"/>
      <c r="E160" s="397"/>
      <c r="F160" s="398">
        <f t="shared" si="8"/>
        <v>0</v>
      </c>
    </row>
    <row r="161" spans="1:6" x14ac:dyDescent="0.3">
      <c r="A161" s="85" t="s">
        <v>1126</v>
      </c>
      <c r="B161" s="307" t="s">
        <v>482</v>
      </c>
      <c r="C161" s="308" t="s">
        <v>996</v>
      </c>
      <c r="D161" s="309"/>
      <c r="E161" s="397"/>
      <c r="F161" s="398">
        <f t="shared" si="8"/>
        <v>0</v>
      </c>
    </row>
    <row r="162" spans="1:6" x14ac:dyDescent="0.3">
      <c r="A162" s="86"/>
      <c r="B162" s="651" t="s">
        <v>1127</v>
      </c>
      <c r="C162" s="510"/>
      <c r="D162" s="510"/>
      <c r="E162" s="510"/>
      <c r="F162" s="399">
        <f>SUM(F151:F161)</f>
        <v>0</v>
      </c>
    </row>
    <row r="163" spans="1:6" x14ac:dyDescent="0.3">
      <c r="A163" s="87"/>
      <c r="B163" s="310"/>
      <c r="C163" s="310"/>
      <c r="D163" s="310"/>
      <c r="E163" s="310"/>
      <c r="F163" s="311"/>
    </row>
    <row r="164" spans="1:6" x14ac:dyDescent="0.3">
      <c r="A164" s="196" t="s">
        <v>1128</v>
      </c>
      <c r="B164" s="656" t="s">
        <v>484</v>
      </c>
      <c r="C164" s="510"/>
      <c r="D164" s="510"/>
      <c r="E164" s="510"/>
      <c r="F164" s="510"/>
    </row>
    <row r="165" spans="1:6" x14ac:dyDescent="0.3">
      <c r="A165" s="85" t="s">
        <v>1129</v>
      </c>
      <c r="B165" s="307" t="s">
        <v>487</v>
      </c>
      <c r="C165" s="308" t="s">
        <v>988</v>
      </c>
      <c r="D165" s="309"/>
      <c r="E165" s="397"/>
      <c r="F165" s="398">
        <f t="shared" ref="F165:F170" si="9">D165*E165</f>
        <v>0</v>
      </c>
    </row>
    <row r="166" spans="1:6" x14ac:dyDescent="0.3">
      <c r="A166" s="85" t="s">
        <v>1130</v>
      </c>
      <c r="B166" s="307" t="s">
        <v>490</v>
      </c>
      <c r="C166" s="308" t="s">
        <v>994</v>
      </c>
      <c r="D166" s="309"/>
      <c r="E166" s="397"/>
      <c r="F166" s="398">
        <f t="shared" si="9"/>
        <v>0</v>
      </c>
    </row>
    <row r="167" spans="1:6" x14ac:dyDescent="0.3">
      <c r="A167" s="85" t="s">
        <v>1131</v>
      </c>
      <c r="B167" s="307" t="s">
        <v>494</v>
      </c>
      <c r="C167" s="308" t="s">
        <v>994</v>
      </c>
      <c r="D167" s="309"/>
      <c r="E167" s="397"/>
      <c r="F167" s="398">
        <f t="shared" si="9"/>
        <v>0</v>
      </c>
    </row>
    <row r="168" spans="1:6" x14ac:dyDescent="0.3">
      <c r="A168" s="85" t="s">
        <v>1132</v>
      </c>
      <c r="B168" s="307" t="s">
        <v>497</v>
      </c>
      <c r="C168" s="308" t="s">
        <v>994</v>
      </c>
      <c r="D168" s="309"/>
      <c r="E168" s="397"/>
      <c r="F168" s="398">
        <f t="shared" si="9"/>
        <v>0</v>
      </c>
    </row>
    <row r="169" spans="1:6" x14ac:dyDescent="0.3">
      <c r="A169" s="85" t="s">
        <v>1133</v>
      </c>
      <c r="B169" s="307" t="s">
        <v>500</v>
      </c>
      <c r="C169" s="308" t="s">
        <v>994</v>
      </c>
      <c r="D169" s="309"/>
      <c r="E169" s="397"/>
      <c r="F169" s="398">
        <f t="shared" si="9"/>
        <v>0</v>
      </c>
    </row>
    <row r="170" spans="1:6" x14ac:dyDescent="0.3">
      <c r="A170" s="85" t="s">
        <v>1134</v>
      </c>
      <c r="B170" s="307" t="s">
        <v>504</v>
      </c>
      <c r="C170" s="308" t="s">
        <v>996</v>
      </c>
      <c r="D170" s="309"/>
      <c r="E170" s="397"/>
      <c r="F170" s="398">
        <f t="shared" si="9"/>
        <v>0</v>
      </c>
    </row>
    <row r="171" spans="1:6" x14ac:dyDescent="0.3">
      <c r="A171" s="86"/>
      <c r="B171" s="651" t="s">
        <v>1135</v>
      </c>
      <c r="C171" s="510"/>
      <c r="D171" s="510"/>
      <c r="E171" s="510"/>
      <c r="F171" s="399">
        <f>SUM(F165:F170)</f>
        <v>0</v>
      </c>
    </row>
    <row r="172" spans="1:6" x14ac:dyDescent="0.3">
      <c r="A172" s="87"/>
      <c r="B172" s="310"/>
      <c r="C172" s="310"/>
      <c r="D172" s="310"/>
      <c r="E172" s="310"/>
      <c r="F172" s="311"/>
    </row>
    <row r="173" spans="1:6" x14ac:dyDescent="0.3">
      <c r="A173" s="196" t="s">
        <v>1136</v>
      </c>
      <c r="B173" s="656" t="s">
        <v>506</v>
      </c>
      <c r="C173" s="510"/>
      <c r="D173" s="510"/>
      <c r="E173" s="510"/>
      <c r="F173" s="510"/>
    </row>
    <row r="174" spans="1:6" x14ac:dyDescent="0.3">
      <c r="A174" s="85" t="s">
        <v>1137</v>
      </c>
      <c r="B174" s="307" t="s">
        <v>509</v>
      </c>
      <c r="C174" s="308" t="s">
        <v>994</v>
      </c>
      <c r="D174" s="309"/>
      <c r="E174" s="397"/>
      <c r="F174" s="398">
        <f>D174*E174</f>
        <v>0</v>
      </c>
    </row>
    <row r="175" spans="1:6" x14ac:dyDescent="0.3">
      <c r="A175" s="85" t="s">
        <v>1138</v>
      </c>
      <c r="B175" s="307" t="s">
        <v>512</v>
      </c>
      <c r="C175" s="308" t="s">
        <v>991</v>
      </c>
      <c r="D175" s="309"/>
      <c r="E175" s="397"/>
      <c r="F175" s="398">
        <f>D175*E175</f>
        <v>0</v>
      </c>
    </row>
    <row r="176" spans="1:6" x14ac:dyDescent="0.3">
      <c r="A176" s="85" t="s">
        <v>1139</v>
      </c>
      <c r="B176" s="307" t="s">
        <v>515</v>
      </c>
      <c r="C176" s="308" t="s">
        <v>988</v>
      </c>
      <c r="D176" s="309"/>
      <c r="E176" s="397"/>
      <c r="F176" s="398">
        <f>D176*E176</f>
        <v>0</v>
      </c>
    </row>
    <row r="177" spans="1:6" x14ac:dyDescent="0.3">
      <c r="A177" s="85" t="s">
        <v>1140</v>
      </c>
      <c r="B177" s="307" t="s">
        <v>518</v>
      </c>
      <c r="C177" s="308" t="s">
        <v>994</v>
      </c>
      <c r="D177" s="309"/>
      <c r="E177" s="397"/>
      <c r="F177" s="398">
        <f>D177*E177</f>
        <v>0</v>
      </c>
    </row>
    <row r="178" spans="1:6" x14ac:dyDescent="0.3">
      <c r="A178" s="86"/>
      <c r="B178" s="651" t="s">
        <v>1141</v>
      </c>
      <c r="C178" s="510"/>
      <c r="D178" s="510"/>
      <c r="E178" s="510"/>
      <c r="F178" s="399">
        <f>SUM(F174:F177)</f>
        <v>0</v>
      </c>
    </row>
    <row r="179" spans="1:6" x14ac:dyDescent="0.3">
      <c r="A179" s="87"/>
      <c r="B179" s="310"/>
      <c r="C179" s="310"/>
      <c r="D179" s="310"/>
      <c r="E179" s="310"/>
      <c r="F179" s="311"/>
    </row>
    <row r="180" spans="1:6" x14ac:dyDescent="0.3">
      <c r="A180" s="196" t="s">
        <v>1142</v>
      </c>
      <c r="B180" s="656" t="s">
        <v>520</v>
      </c>
      <c r="C180" s="510"/>
      <c r="D180" s="510"/>
      <c r="E180" s="510"/>
      <c r="F180" s="510"/>
    </row>
    <row r="181" spans="1:6" x14ac:dyDescent="0.3">
      <c r="A181" s="85" t="s">
        <v>1143</v>
      </c>
      <c r="B181" s="307" t="s">
        <v>523</v>
      </c>
      <c r="C181" s="308" t="s">
        <v>988</v>
      </c>
      <c r="D181" s="309"/>
      <c r="E181" s="397"/>
      <c r="F181" s="398">
        <f>D181*E181</f>
        <v>0</v>
      </c>
    </row>
    <row r="182" spans="1:6" x14ac:dyDescent="0.3">
      <c r="A182" s="85" t="s">
        <v>1144</v>
      </c>
      <c r="B182" s="307" t="s">
        <v>418</v>
      </c>
      <c r="C182" s="308" t="s">
        <v>994</v>
      </c>
      <c r="D182" s="309"/>
      <c r="E182" s="397"/>
      <c r="F182" s="398">
        <f>D182*E182</f>
        <v>0</v>
      </c>
    </row>
    <row r="183" spans="1:6" x14ac:dyDescent="0.3">
      <c r="A183" s="85" t="s">
        <v>1145</v>
      </c>
      <c r="B183" s="307" t="s">
        <v>528</v>
      </c>
      <c r="C183" s="308" t="s">
        <v>996</v>
      </c>
      <c r="D183" s="309"/>
      <c r="E183" s="397"/>
      <c r="F183" s="398">
        <f>D183*E183</f>
        <v>0</v>
      </c>
    </row>
    <row r="184" spans="1:6" x14ac:dyDescent="0.3">
      <c r="A184" s="86"/>
      <c r="B184" s="651" t="s">
        <v>1146</v>
      </c>
      <c r="C184" s="510"/>
      <c r="D184" s="510"/>
      <c r="E184" s="510"/>
      <c r="F184" s="399">
        <f>SUM(F181:F183)</f>
        <v>0</v>
      </c>
    </row>
    <row r="185" spans="1:6" x14ac:dyDescent="0.3">
      <c r="A185" s="87"/>
      <c r="B185" s="310"/>
      <c r="C185" s="310"/>
      <c r="D185" s="310"/>
      <c r="E185" s="310"/>
      <c r="F185" s="311"/>
    </row>
    <row r="186" spans="1:6" x14ac:dyDescent="0.3">
      <c r="A186" s="196" t="s">
        <v>1147</v>
      </c>
      <c r="B186" s="656" t="s">
        <v>530</v>
      </c>
      <c r="C186" s="510"/>
      <c r="D186" s="510"/>
      <c r="E186" s="510"/>
      <c r="F186" s="510"/>
    </row>
    <row r="187" spans="1:6" x14ac:dyDescent="0.3">
      <c r="A187" s="85" t="s">
        <v>1148</v>
      </c>
      <c r="B187" s="307" t="s">
        <v>533</v>
      </c>
      <c r="C187" s="308" t="s">
        <v>991</v>
      </c>
      <c r="D187" s="309"/>
      <c r="E187" s="397"/>
      <c r="F187" s="398">
        <f t="shared" ref="F187:F193" si="10">D187*E187</f>
        <v>0</v>
      </c>
    </row>
    <row r="188" spans="1:6" x14ac:dyDescent="0.3">
      <c r="A188" s="85" t="s">
        <v>1149</v>
      </c>
      <c r="B188" s="307" t="s">
        <v>536</v>
      </c>
      <c r="C188" s="308" t="s">
        <v>1000</v>
      </c>
      <c r="D188" s="309"/>
      <c r="E188" s="397"/>
      <c r="F188" s="398">
        <f t="shared" si="10"/>
        <v>0</v>
      </c>
    </row>
    <row r="189" spans="1:6" x14ac:dyDescent="0.3">
      <c r="A189" s="85" t="s">
        <v>1150</v>
      </c>
      <c r="B189" s="307" t="s">
        <v>539</v>
      </c>
      <c r="C189" s="308" t="s">
        <v>991</v>
      </c>
      <c r="D189" s="309"/>
      <c r="E189" s="397"/>
      <c r="F189" s="398">
        <f t="shared" si="10"/>
        <v>0</v>
      </c>
    </row>
    <row r="190" spans="1:6" x14ac:dyDescent="0.3">
      <c r="A190" s="85" t="s">
        <v>1151</v>
      </c>
      <c r="B190" s="307" t="s">
        <v>543</v>
      </c>
      <c r="C190" s="308" t="s">
        <v>988</v>
      </c>
      <c r="D190" s="309"/>
      <c r="E190" s="397"/>
      <c r="F190" s="398">
        <f t="shared" si="10"/>
        <v>0</v>
      </c>
    </row>
    <row r="191" spans="1:6" x14ac:dyDescent="0.3">
      <c r="A191" s="85" t="s">
        <v>1152</v>
      </c>
      <c r="B191" s="307" t="s">
        <v>547</v>
      </c>
      <c r="C191" s="308" t="s">
        <v>994</v>
      </c>
      <c r="D191" s="309"/>
      <c r="E191" s="397"/>
      <c r="F191" s="398">
        <f t="shared" si="10"/>
        <v>0</v>
      </c>
    </row>
    <row r="192" spans="1:6" x14ac:dyDescent="0.3">
      <c r="A192" s="85" t="s">
        <v>1153</v>
      </c>
      <c r="B192" s="307" t="s">
        <v>551</v>
      </c>
      <c r="C192" s="308" t="s">
        <v>1000</v>
      </c>
      <c r="D192" s="309"/>
      <c r="E192" s="397"/>
      <c r="F192" s="398">
        <f t="shared" si="10"/>
        <v>0</v>
      </c>
    </row>
    <row r="193" spans="1:6" x14ac:dyDescent="0.3">
      <c r="A193" s="85" t="s">
        <v>1154</v>
      </c>
      <c r="B193" s="307" t="s">
        <v>554</v>
      </c>
      <c r="C193" s="308" t="s">
        <v>991</v>
      </c>
      <c r="D193" s="309"/>
      <c r="E193" s="397"/>
      <c r="F193" s="398">
        <f t="shared" si="10"/>
        <v>0</v>
      </c>
    </row>
    <row r="194" spans="1:6" x14ac:dyDescent="0.3">
      <c r="A194" s="86"/>
      <c r="B194" s="651" t="s">
        <v>1155</v>
      </c>
      <c r="C194" s="510"/>
      <c r="D194" s="510"/>
      <c r="E194" s="510"/>
      <c r="F194" s="399">
        <f>SUM(F187:F193)</f>
        <v>0</v>
      </c>
    </row>
    <row r="195" spans="1:6" x14ac:dyDescent="0.3">
      <c r="A195" s="87"/>
      <c r="B195" s="310"/>
      <c r="C195" s="310"/>
      <c r="D195" s="310"/>
      <c r="E195" s="310"/>
      <c r="F195" s="311"/>
    </row>
    <row r="196" spans="1:6" x14ac:dyDescent="0.3">
      <c r="A196" s="196" t="s">
        <v>1156</v>
      </c>
      <c r="B196" s="656" t="s">
        <v>556</v>
      </c>
      <c r="C196" s="510"/>
      <c r="D196" s="510"/>
      <c r="E196" s="510"/>
      <c r="F196" s="510"/>
    </row>
    <row r="197" spans="1:6" x14ac:dyDescent="0.3">
      <c r="A197" s="85" t="s">
        <v>1157</v>
      </c>
      <c r="B197" s="307" t="s">
        <v>559</v>
      </c>
      <c r="C197" s="308" t="s">
        <v>991</v>
      </c>
      <c r="D197" s="309"/>
      <c r="E197" s="397"/>
      <c r="F197" s="398">
        <f>D197*E197</f>
        <v>0</v>
      </c>
    </row>
    <row r="198" spans="1:6" x14ac:dyDescent="0.3">
      <c r="A198" s="85" t="s">
        <v>1158</v>
      </c>
      <c r="B198" s="307" t="s">
        <v>562</v>
      </c>
      <c r="C198" s="308" t="s">
        <v>1022</v>
      </c>
      <c r="D198" s="309"/>
      <c r="E198" s="397"/>
      <c r="F198" s="398">
        <f>D198*E198</f>
        <v>0</v>
      </c>
    </row>
    <row r="199" spans="1:6" x14ac:dyDescent="0.3">
      <c r="A199" s="85" t="s">
        <v>1159</v>
      </c>
      <c r="B199" s="307" t="s">
        <v>565</v>
      </c>
      <c r="C199" s="308" t="s">
        <v>1022</v>
      </c>
      <c r="D199" s="309"/>
      <c r="E199" s="397"/>
      <c r="F199" s="398">
        <f>D199*E199</f>
        <v>0</v>
      </c>
    </row>
    <row r="200" spans="1:6" x14ac:dyDescent="0.3">
      <c r="A200" s="85" t="s">
        <v>1160</v>
      </c>
      <c r="B200" s="307" t="s">
        <v>569</v>
      </c>
      <c r="C200" s="308" t="s">
        <v>994</v>
      </c>
      <c r="D200" s="309"/>
      <c r="E200" s="397"/>
      <c r="F200" s="398">
        <f>D200*E200</f>
        <v>0</v>
      </c>
    </row>
    <row r="201" spans="1:6" x14ac:dyDescent="0.3">
      <c r="A201" s="86"/>
      <c r="B201" s="651" t="s">
        <v>1161</v>
      </c>
      <c r="C201" s="510"/>
      <c r="D201" s="510"/>
      <c r="E201" s="510"/>
      <c r="F201" s="399">
        <f>SUM(F197:F200)</f>
        <v>0</v>
      </c>
    </row>
    <row r="202" spans="1:6" x14ac:dyDescent="0.3">
      <c r="A202" s="87"/>
      <c r="B202" s="310"/>
      <c r="C202" s="310"/>
      <c r="D202" s="310"/>
      <c r="E202" s="310"/>
      <c r="F202" s="311"/>
    </row>
    <row r="203" spans="1:6" x14ac:dyDescent="0.3">
      <c r="A203" s="196" t="s">
        <v>1162</v>
      </c>
      <c r="B203" s="656" t="s">
        <v>571</v>
      </c>
      <c r="C203" s="510"/>
      <c r="D203" s="510"/>
      <c r="E203" s="510"/>
      <c r="F203" s="510"/>
    </row>
    <row r="204" spans="1:6" x14ac:dyDescent="0.3">
      <c r="A204" s="85" t="s">
        <v>1163</v>
      </c>
      <c r="B204" s="307" t="s">
        <v>574</v>
      </c>
      <c r="C204" s="308" t="s">
        <v>991</v>
      </c>
      <c r="D204" s="309"/>
      <c r="E204" s="397"/>
      <c r="F204" s="398">
        <f>D204*E204</f>
        <v>0</v>
      </c>
    </row>
    <row r="205" spans="1:6" x14ac:dyDescent="0.3">
      <c r="A205" s="85" t="s">
        <v>1164</v>
      </c>
      <c r="B205" s="307" t="s">
        <v>577</v>
      </c>
      <c r="C205" s="308" t="s">
        <v>991</v>
      </c>
      <c r="D205" s="309"/>
      <c r="E205" s="397"/>
      <c r="F205" s="398">
        <f>D205*E205</f>
        <v>0</v>
      </c>
    </row>
    <row r="206" spans="1:6" x14ac:dyDescent="0.3">
      <c r="A206" s="85" t="s">
        <v>1165</v>
      </c>
      <c r="B206" s="307" t="s">
        <v>580</v>
      </c>
      <c r="C206" s="308" t="s">
        <v>996</v>
      </c>
      <c r="D206" s="309"/>
      <c r="E206" s="397"/>
      <c r="F206" s="398">
        <f>D206*E206</f>
        <v>0</v>
      </c>
    </row>
    <row r="207" spans="1:6" x14ac:dyDescent="0.3">
      <c r="A207" s="85" t="s">
        <v>1166</v>
      </c>
      <c r="B207" s="307" t="s">
        <v>583</v>
      </c>
      <c r="C207" s="308" t="s">
        <v>996</v>
      </c>
      <c r="D207" s="309"/>
      <c r="E207" s="397"/>
      <c r="F207" s="398">
        <f>D207*E207</f>
        <v>0</v>
      </c>
    </row>
    <row r="208" spans="1:6" x14ac:dyDescent="0.3">
      <c r="A208" s="85" t="s">
        <v>1167</v>
      </c>
      <c r="B208" s="307" t="s">
        <v>587</v>
      </c>
      <c r="C208" s="308" t="s">
        <v>996</v>
      </c>
      <c r="D208" s="309"/>
      <c r="E208" s="397"/>
      <c r="F208" s="398">
        <f>D208*E208</f>
        <v>0</v>
      </c>
    </row>
    <row r="209" spans="1:6" x14ac:dyDescent="0.3">
      <c r="A209" s="86"/>
      <c r="B209" s="651" t="s">
        <v>1168</v>
      </c>
      <c r="C209" s="510"/>
      <c r="D209" s="510"/>
      <c r="E209" s="510"/>
      <c r="F209" s="399">
        <f>SUM(F204:F208)</f>
        <v>0</v>
      </c>
    </row>
    <row r="210" spans="1:6" x14ac:dyDescent="0.3">
      <c r="A210" s="87"/>
      <c r="B210" s="310"/>
      <c r="C210" s="310"/>
      <c r="D210" s="310"/>
      <c r="E210" s="310"/>
      <c r="F210" s="311"/>
    </row>
    <row r="211" spans="1:6" x14ac:dyDescent="0.3">
      <c r="A211" s="196" t="s">
        <v>1169</v>
      </c>
      <c r="B211" s="656" t="s">
        <v>1170</v>
      </c>
      <c r="C211" s="510"/>
      <c r="D211" s="510"/>
      <c r="E211" s="510"/>
      <c r="F211" s="510"/>
    </row>
    <row r="212" spans="1:6" x14ac:dyDescent="0.3">
      <c r="A212" s="85" t="s">
        <v>1171</v>
      </c>
      <c r="B212" s="307" t="s">
        <v>913</v>
      </c>
      <c r="C212" s="308" t="s">
        <v>994</v>
      </c>
      <c r="D212" s="309"/>
      <c r="E212" s="397"/>
      <c r="F212" s="398">
        <f>D212*E212</f>
        <v>0</v>
      </c>
    </row>
    <row r="213" spans="1:6" x14ac:dyDescent="0.3">
      <c r="A213" s="86"/>
      <c r="B213" s="651" t="s">
        <v>1172</v>
      </c>
      <c r="C213" s="510"/>
      <c r="D213" s="510"/>
      <c r="E213" s="510"/>
      <c r="F213" s="399">
        <f>SUM(F212:F212)</f>
        <v>0</v>
      </c>
    </row>
    <row r="214" spans="1:6" x14ac:dyDescent="0.3">
      <c r="A214" s="87"/>
      <c r="B214" s="310"/>
      <c r="C214" s="310"/>
      <c r="D214" s="310"/>
      <c r="E214" s="310"/>
      <c r="F214" s="311"/>
    </row>
    <row r="215" spans="1:6" x14ac:dyDescent="0.3">
      <c r="A215" s="196" t="s">
        <v>1173</v>
      </c>
      <c r="B215" s="656" t="s">
        <v>1174</v>
      </c>
      <c r="C215" s="510"/>
      <c r="D215" s="510"/>
      <c r="E215" s="510"/>
      <c r="F215" s="510"/>
    </row>
    <row r="216" spans="1:6" x14ac:dyDescent="0.3">
      <c r="A216" s="85" t="s">
        <v>1175</v>
      </c>
      <c r="B216" s="307" t="s">
        <v>919</v>
      </c>
      <c r="C216" s="308" t="s">
        <v>996</v>
      </c>
      <c r="D216" s="309"/>
      <c r="E216" s="397"/>
      <c r="F216" s="398">
        <f>D216*E216</f>
        <v>0</v>
      </c>
    </row>
    <row r="217" spans="1:6" x14ac:dyDescent="0.3">
      <c r="A217" s="85" t="s">
        <v>1176</v>
      </c>
      <c r="B217" s="307" t="s">
        <v>923</v>
      </c>
      <c r="C217" s="308" t="s">
        <v>996</v>
      </c>
      <c r="D217" s="309"/>
      <c r="E217" s="397"/>
      <c r="F217" s="398">
        <f>D217*E217</f>
        <v>0</v>
      </c>
    </row>
    <row r="218" spans="1:6" x14ac:dyDescent="0.3">
      <c r="A218" s="85" t="s">
        <v>1177</v>
      </c>
      <c r="B218" s="307" t="s">
        <v>927</v>
      </c>
      <c r="C218" s="308" t="s">
        <v>996</v>
      </c>
      <c r="D218" s="309"/>
      <c r="E218" s="397"/>
      <c r="F218" s="398">
        <f>D218*E218</f>
        <v>0</v>
      </c>
    </row>
    <row r="219" spans="1:6" x14ac:dyDescent="0.3">
      <c r="A219" s="85" t="s">
        <v>1178</v>
      </c>
      <c r="B219" s="307" t="s">
        <v>930</v>
      </c>
      <c r="C219" s="308" t="s">
        <v>996</v>
      </c>
      <c r="D219" s="309"/>
      <c r="E219" s="397"/>
      <c r="F219" s="398">
        <f>D219*E219</f>
        <v>0</v>
      </c>
    </row>
    <row r="220" spans="1:6" x14ac:dyDescent="0.3">
      <c r="A220" s="86"/>
      <c r="B220" s="651" t="s">
        <v>1179</v>
      </c>
      <c r="C220" s="510"/>
      <c r="D220" s="510"/>
      <c r="E220" s="510"/>
      <c r="F220" s="399">
        <f>SUM(F216:F219)</f>
        <v>0</v>
      </c>
    </row>
    <row r="221" spans="1:6" x14ac:dyDescent="0.3">
      <c r="A221" s="87"/>
      <c r="B221" s="310"/>
      <c r="C221" s="310"/>
      <c r="D221" s="310"/>
      <c r="E221" s="310"/>
      <c r="F221" s="311"/>
    </row>
    <row r="222" spans="1:6" ht="15" customHeight="1" x14ac:dyDescent="0.3">
      <c r="A222" s="88"/>
      <c r="B222" s="662" t="s">
        <v>1180</v>
      </c>
      <c r="C222" s="510"/>
      <c r="D222" s="510"/>
      <c r="E222" s="510"/>
      <c r="F222" s="400">
        <f>F24+F38+F48+F65+F75+F85+F91+F98+F109+F117+F127+F134+F148+F162+F171+F178+F184+F194+F201+F209+F213+F220</f>
        <v>0</v>
      </c>
    </row>
    <row r="223" spans="1:6" x14ac:dyDescent="0.3">
      <c r="A223" s="89"/>
      <c r="B223" s="30"/>
      <c r="C223" s="30"/>
      <c r="D223" s="30"/>
      <c r="E223" s="30"/>
      <c r="F223" s="90"/>
    </row>
    <row r="224" spans="1:6" ht="15" customHeight="1" x14ac:dyDescent="0.3">
      <c r="A224" s="87"/>
      <c r="B224" s="48" t="s">
        <v>66</v>
      </c>
      <c r="C224" s="310"/>
      <c r="D224" s="310"/>
      <c r="E224" s="401">
        <f>'Ficha Técnica del Proyecto'!$B$24</f>
        <v>0.1</v>
      </c>
      <c r="F224" s="402">
        <f>F222*E224</f>
        <v>0</v>
      </c>
    </row>
    <row r="225" spans="1:6" ht="15" customHeight="1" x14ac:dyDescent="0.3">
      <c r="A225" s="87"/>
      <c r="B225" s="48" t="s">
        <v>68</v>
      </c>
      <c r="C225" s="310"/>
      <c r="D225" s="310"/>
      <c r="E225" s="401">
        <f>'Ficha Técnica del Proyecto'!$B$25</f>
        <v>0.04</v>
      </c>
      <c r="F225" s="402">
        <f>F222*E225</f>
        <v>0</v>
      </c>
    </row>
    <row r="226" spans="1:6" ht="15" customHeight="1" x14ac:dyDescent="0.3">
      <c r="A226" s="87"/>
      <c r="B226" s="48" t="s">
        <v>69</v>
      </c>
      <c r="C226" s="310"/>
      <c r="D226" s="310"/>
      <c r="E226" s="401">
        <f>'Ficha Técnica del Proyecto'!$B$26</f>
        <v>0.12</v>
      </c>
      <c r="F226" s="402">
        <f>F222*E226</f>
        <v>0</v>
      </c>
    </row>
    <row r="227" spans="1:6" ht="15" customHeight="1" x14ac:dyDescent="0.3">
      <c r="A227" s="86"/>
      <c r="B227" s="306" t="s">
        <v>1181</v>
      </c>
      <c r="C227" s="31"/>
      <c r="D227" s="31"/>
      <c r="E227" s="32"/>
      <c r="F227" s="399">
        <f>F224+F225+F226</f>
        <v>0</v>
      </c>
    </row>
    <row r="228" spans="1:6" ht="15" customHeight="1" x14ac:dyDescent="0.3">
      <c r="A228" s="87"/>
      <c r="B228" s="48" t="s">
        <v>1182</v>
      </c>
      <c r="C228" s="310"/>
      <c r="D228" s="310"/>
      <c r="E228" s="49"/>
      <c r="F228" s="402">
        <f>F222+F227</f>
        <v>0</v>
      </c>
    </row>
    <row r="229" spans="1:6" ht="15" customHeight="1" x14ac:dyDescent="0.3">
      <c r="A229" s="87"/>
      <c r="B229" s="48" t="s">
        <v>1183</v>
      </c>
      <c r="C229" s="310"/>
      <c r="D229" s="310"/>
      <c r="E229" s="401">
        <f>'Ficha Técnica del Proyecto'!$B$27</f>
        <v>0.19</v>
      </c>
      <c r="F229" s="402">
        <f>F226*E229</f>
        <v>0</v>
      </c>
    </row>
    <row r="230" spans="1:6" x14ac:dyDescent="0.3">
      <c r="A230" s="87"/>
      <c r="B230" s="310"/>
      <c r="C230" s="310"/>
      <c r="D230" s="310"/>
      <c r="E230" s="310"/>
      <c r="F230" s="311"/>
    </row>
    <row r="231" spans="1:6" ht="24" customHeight="1" x14ac:dyDescent="0.3">
      <c r="A231" s="91"/>
      <c r="B231" s="656" t="s">
        <v>1184</v>
      </c>
      <c r="C231" s="510"/>
      <c r="D231" s="510"/>
      <c r="E231" s="510"/>
      <c r="F231" s="403">
        <f>F228+F229</f>
        <v>0</v>
      </c>
    </row>
    <row r="232" spans="1:6" x14ac:dyDescent="0.3">
      <c r="A232" s="92"/>
      <c r="B232" s="231" t="s">
        <v>43</v>
      </c>
      <c r="C232" s="362"/>
      <c r="D232" s="362"/>
      <c r="E232" s="362"/>
      <c r="F232" s="1138" t="str">
        <f>F6</f>
        <v>RYR-PP-001</v>
      </c>
    </row>
    <row r="233" spans="1:6" x14ac:dyDescent="0.3">
      <c r="A233" s="92"/>
      <c r="B233" s="231"/>
      <c r="C233" s="362"/>
      <c r="D233" s="362"/>
      <c r="E233" s="362"/>
      <c r="F233" s="229"/>
    </row>
    <row r="234" spans="1:6" ht="15" customHeight="1" x14ac:dyDescent="0.3">
      <c r="A234" s="92"/>
      <c r="B234" s="94" t="s">
        <v>1185</v>
      </c>
      <c r="C234" s="95"/>
      <c r="D234" s="95"/>
      <c r="E234" s="95"/>
      <c r="F234" s="404" t="e">
        <f>F222/'Ficha Técnica del Proyecto'!$B$16</f>
        <v>#DIV/0!</v>
      </c>
    </row>
    <row r="235" spans="1:6" ht="15" customHeight="1" x14ac:dyDescent="0.3">
      <c r="A235" s="93"/>
      <c r="B235" s="96" t="s">
        <v>1186</v>
      </c>
      <c r="C235" s="97"/>
      <c r="D235" s="97"/>
      <c r="E235" s="97"/>
      <c r="F235" s="405" t="e">
        <f>F231/'Ficha Técnica del Proyecto'!$B$16</f>
        <v>#DIV/0!</v>
      </c>
    </row>
    <row r="236" spans="1:6" x14ac:dyDescent="0.3">
      <c r="A236" s="29"/>
      <c r="B236" s="362"/>
      <c r="C236" s="362"/>
      <c r="D236" s="362"/>
      <c r="E236" s="362"/>
      <c r="F236" s="362"/>
    </row>
    <row r="237" spans="1:6" x14ac:dyDescent="0.3">
      <c r="A237" s="29"/>
      <c r="B237" s="362"/>
      <c r="C237" s="362"/>
      <c r="D237" s="362"/>
      <c r="E237" s="362"/>
      <c r="F237" s="362"/>
    </row>
    <row r="238" spans="1:6" x14ac:dyDescent="0.3">
      <c r="A238" s="29"/>
      <c r="B238" s="362"/>
      <c r="C238" s="362"/>
      <c r="D238" s="362"/>
      <c r="E238" s="362"/>
      <c r="F238" s="362"/>
    </row>
    <row r="239" spans="1:6" x14ac:dyDescent="0.3">
      <c r="A239" s="29"/>
      <c r="B239" s="362"/>
      <c r="C239" s="362"/>
      <c r="D239" s="362"/>
      <c r="E239" s="362"/>
      <c r="F239" s="362"/>
    </row>
    <row r="240" spans="1:6" x14ac:dyDescent="0.3">
      <c r="A240" s="29"/>
      <c r="B240" s="362"/>
      <c r="C240" s="362"/>
      <c r="D240" s="362"/>
      <c r="E240" s="362"/>
      <c r="F240" s="362"/>
    </row>
    <row r="241" spans="1:6" x14ac:dyDescent="0.3">
      <c r="A241" s="29"/>
      <c r="B241" s="362"/>
      <c r="C241" s="362"/>
      <c r="D241" s="362"/>
      <c r="E241" s="362"/>
      <c r="F241" s="362"/>
    </row>
  </sheetData>
  <mergeCells count="62">
    <mergeCell ref="B201:E201"/>
    <mergeCell ref="B1:B9"/>
    <mergeCell ref="B76:E76"/>
    <mergeCell ref="B180:F180"/>
    <mergeCell ref="B91:E91"/>
    <mergeCell ref="B109:E109"/>
    <mergeCell ref="B186:F186"/>
    <mergeCell ref="B118:F118"/>
    <mergeCell ref="C1:F3"/>
    <mergeCell ref="B178:E178"/>
    <mergeCell ref="C5:D5"/>
    <mergeCell ref="E5:F5"/>
    <mergeCell ref="B99:F99"/>
    <mergeCell ref="A10:F10"/>
    <mergeCell ref="B87:F87"/>
    <mergeCell ref="C7:D7"/>
    <mergeCell ref="B50:F50"/>
    <mergeCell ref="B100:F100"/>
    <mergeCell ref="B92:E92"/>
    <mergeCell ref="B93:F93"/>
    <mergeCell ref="B85:E85"/>
    <mergeCell ref="B77:F77"/>
    <mergeCell ref="B129:F129"/>
    <mergeCell ref="C6:D6"/>
    <mergeCell ref="B222:E222"/>
    <mergeCell ref="B111:F111"/>
    <mergeCell ref="B209:E209"/>
    <mergeCell ref="B220:E220"/>
    <mergeCell ref="B117:E117"/>
    <mergeCell ref="B184:E184"/>
    <mergeCell ref="B148:E148"/>
    <mergeCell ref="B164:F164"/>
    <mergeCell ref="B171:E171"/>
    <mergeCell ref="B203:F203"/>
    <mergeCell ref="B213:E213"/>
    <mergeCell ref="B196:F196"/>
    <mergeCell ref="B211:F211"/>
    <mergeCell ref="B231:E231"/>
    <mergeCell ref="C8:D8"/>
    <mergeCell ref="A11:F11"/>
    <mergeCell ref="B173:F173"/>
    <mergeCell ref="B127:E127"/>
    <mergeCell ref="B150:F150"/>
    <mergeCell ref="B215:F215"/>
    <mergeCell ref="B24:E24"/>
    <mergeCell ref="B136:F136"/>
    <mergeCell ref="B134:E134"/>
    <mergeCell ref="B194:E194"/>
    <mergeCell ref="A12:B12"/>
    <mergeCell ref="C12:D12"/>
    <mergeCell ref="C9:D9"/>
    <mergeCell ref="B14:F14"/>
    <mergeCell ref="B119:F119"/>
    <mergeCell ref="B48:E48"/>
    <mergeCell ref="B40:F40"/>
    <mergeCell ref="B98:E98"/>
    <mergeCell ref="B38:E38"/>
    <mergeCell ref="B65:E65"/>
    <mergeCell ref="B162:E162"/>
    <mergeCell ref="B26:F26"/>
    <mergeCell ref="B75:E75"/>
    <mergeCell ref="B67:F67"/>
  </mergeCells>
  <pageMargins left="0.19685039370078741" right="0.19685039370078741" top="0.19685039370078741" bottom="0.19685039370078741" header="0.51181102362204722" footer="0.51181102362204722"/>
  <pageSetup paperSize="9" scale="53"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D32"/>
  </sheetPr>
  <dimension ref="A1:F42"/>
  <sheetViews>
    <sheetView zoomScale="76" zoomScaleNormal="76" workbookViewId="0">
      <pane ySplit="11" topLeftCell="A24" activePane="bottomLeft" state="frozen"/>
      <selection pane="bottomLeft" activeCell="F41" sqref="F41"/>
    </sheetView>
  </sheetViews>
  <sheetFormatPr baseColWidth="10" defaultColWidth="8.6640625" defaultRowHeight="14.4" x14ac:dyDescent="0.3"/>
  <cols>
    <col min="1" max="1" width="6" style="334" customWidth="1"/>
    <col min="2" max="2" width="44" style="334" customWidth="1"/>
    <col min="3" max="3" width="50.77734375" style="334" customWidth="1"/>
    <col min="4" max="4" width="16.109375" style="334" customWidth="1"/>
    <col min="5" max="6" width="15.77734375" style="334" customWidth="1"/>
  </cols>
  <sheetData>
    <row r="1" spans="1:6" ht="14.4" customHeight="1" x14ac:dyDescent="0.3">
      <c r="C1" s="513" t="s">
        <v>1187</v>
      </c>
      <c r="D1" s="505"/>
      <c r="E1" s="505"/>
      <c r="F1" s="505"/>
    </row>
    <row r="2" spans="1:6" ht="14.4" customHeight="1" x14ac:dyDescent="0.3">
      <c r="C2" s="505"/>
      <c r="D2" s="505"/>
      <c r="E2" s="505"/>
      <c r="F2" s="505"/>
    </row>
    <row r="3" spans="1:6" ht="4.95" customHeight="1" x14ac:dyDescent="0.3">
      <c r="C3" s="682"/>
      <c r="D3" s="505"/>
      <c r="E3" s="505"/>
      <c r="F3" s="505"/>
    </row>
    <row r="4" spans="1:6" x14ac:dyDescent="0.3">
      <c r="C4" s="176"/>
      <c r="D4" s="628" t="s">
        <v>1</v>
      </c>
      <c r="E4" s="505"/>
      <c r="F4" s="505"/>
    </row>
    <row r="5" spans="1:6" ht="14.4" customHeight="1" x14ac:dyDescent="0.3">
      <c r="C5" s="301" t="s">
        <v>6</v>
      </c>
      <c r="D5" s="179" t="s">
        <v>2</v>
      </c>
      <c r="E5" s="671" t="s">
        <v>1188</v>
      </c>
      <c r="F5" s="582"/>
    </row>
    <row r="6" spans="1:6" ht="14.4" customHeight="1" x14ac:dyDescent="0.3">
      <c r="C6" s="177" t="s">
        <v>8</v>
      </c>
      <c r="D6" s="179" t="s">
        <v>9</v>
      </c>
      <c r="E6" s="671">
        <v>1</v>
      </c>
      <c r="F6" s="582"/>
    </row>
    <row r="7" spans="1:6" x14ac:dyDescent="0.3">
      <c r="C7" s="176"/>
      <c r="D7" s="179" t="s">
        <v>10</v>
      </c>
      <c r="E7" s="678" t="s">
        <v>11</v>
      </c>
      <c r="F7" s="582"/>
    </row>
    <row r="8" spans="1:6" x14ac:dyDescent="0.3">
      <c r="C8" s="176"/>
      <c r="D8" s="180" t="s">
        <v>12</v>
      </c>
      <c r="E8" s="680" t="s">
        <v>13</v>
      </c>
      <c r="F8" s="584"/>
    </row>
    <row r="9" spans="1:6" ht="15" customHeight="1" x14ac:dyDescent="0.3">
      <c r="A9" s="674" t="s">
        <v>1187</v>
      </c>
      <c r="B9" s="675"/>
      <c r="C9" s="675"/>
      <c r="D9" s="675"/>
      <c r="E9" s="675"/>
      <c r="F9" s="606"/>
    </row>
    <row r="10" spans="1:6" ht="15.75" customHeight="1" x14ac:dyDescent="0.3">
      <c r="A10" s="672" t="s">
        <v>1189</v>
      </c>
      <c r="B10" s="673"/>
      <c r="C10" s="673"/>
      <c r="D10" s="673"/>
      <c r="E10" s="673"/>
      <c r="F10" s="582"/>
    </row>
    <row r="11" spans="1:6" ht="19.5" customHeight="1" x14ac:dyDescent="0.3">
      <c r="A11" s="181" t="s">
        <v>1190</v>
      </c>
      <c r="B11" s="182" t="s">
        <v>87</v>
      </c>
      <c r="C11" s="182" t="s">
        <v>1191</v>
      </c>
      <c r="D11" s="182" t="s">
        <v>1192</v>
      </c>
      <c r="E11" s="676" t="s">
        <v>1193</v>
      </c>
      <c r="F11" s="582"/>
    </row>
    <row r="12" spans="1:6" x14ac:dyDescent="0.3">
      <c r="A12" s="183" t="s">
        <v>986</v>
      </c>
      <c r="B12" s="184" t="s">
        <v>112</v>
      </c>
      <c r="C12" s="406">
        <f>'Presupuesto '!F24</f>
        <v>0</v>
      </c>
      <c r="D12" s="407" t="e">
        <f>C12/'Presupuesto '!$F$222</f>
        <v>#DIV/0!</v>
      </c>
      <c r="E12" s="669" t="e">
        <f>C12/'Ficha Técnica del Proyecto'!$B$16</f>
        <v>#DIV/0!</v>
      </c>
      <c r="F12" s="582"/>
    </row>
    <row r="13" spans="1:6" x14ac:dyDescent="0.3">
      <c r="A13" s="183" t="s">
        <v>1002</v>
      </c>
      <c r="B13" s="184" t="s">
        <v>145</v>
      </c>
      <c r="C13" s="406">
        <f>'Presupuesto '!F38</f>
        <v>0</v>
      </c>
      <c r="D13" s="407" t="e">
        <f>C13/'Presupuesto '!$F$222</f>
        <v>#DIV/0!</v>
      </c>
      <c r="E13" s="669" t="e">
        <f>C13/'Ficha Técnica del Proyecto'!$B$16</f>
        <v>#DIV/0!</v>
      </c>
      <c r="F13" s="582"/>
    </row>
    <row r="14" spans="1:6" x14ac:dyDescent="0.3">
      <c r="A14" s="183" t="s">
        <v>1015</v>
      </c>
      <c r="B14" s="184" t="s">
        <v>182</v>
      </c>
      <c r="C14" s="406">
        <f>'Presupuesto '!F48</f>
        <v>0</v>
      </c>
      <c r="D14" s="407" t="e">
        <f>C14/'Presupuesto '!$F$222</f>
        <v>#DIV/0!</v>
      </c>
      <c r="E14" s="669" t="e">
        <f>C14/'Ficha Técnica del Proyecto'!$B$16</f>
        <v>#DIV/0!</v>
      </c>
      <c r="F14" s="582"/>
    </row>
    <row r="15" spans="1:6" x14ac:dyDescent="0.3">
      <c r="A15" s="183" t="s">
        <v>1025</v>
      </c>
      <c r="B15" s="184" t="s">
        <v>208</v>
      </c>
      <c r="C15" s="406">
        <f>'Presupuesto '!F65</f>
        <v>0</v>
      </c>
      <c r="D15" s="407" t="e">
        <f>C15/'Presupuesto '!$F$222</f>
        <v>#DIV/0!</v>
      </c>
      <c r="E15" s="669" t="e">
        <f>C15/'Ficha Técnica del Proyecto'!$B$16</f>
        <v>#DIV/0!</v>
      </c>
      <c r="F15" s="582"/>
    </row>
    <row r="16" spans="1:6" x14ac:dyDescent="0.3">
      <c r="A16" s="183" t="s">
        <v>1041</v>
      </c>
      <c r="B16" s="184" t="s">
        <v>252</v>
      </c>
      <c r="C16" s="406">
        <f>'Presupuesto '!F75</f>
        <v>0</v>
      </c>
      <c r="D16" s="407" t="e">
        <f>C16/'Presupuesto '!$F$222</f>
        <v>#DIV/0!</v>
      </c>
      <c r="E16" s="669" t="e">
        <f>C16/'Ficha Técnica del Proyecto'!$B$16</f>
        <v>#DIV/0!</v>
      </c>
      <c r="F16" s="582"/>
    </row>
    <row r="17" spans="1:6" x14ac:dyDescent="0.3">
      <c r="A17" s="183" t="s">
        <v>1050</v>
      </c>
      <c r="B17" s="184" t="s">
        <v>276</v>
      </c>
      <c r="C17" s="406">
        <f>'Presupuesto '!F85</f>
        <v>0</v>
      </c>
      <c r="D17" s="407" t="e">
        <f>C17/'Presupuesto '!$F$222</f>
        <v>#DIV/0!</v>
      </c>
      <c r="E17" s="669" t="e">
        <f>C17/'Ficha Técnica del Proyecto'!$B$16</f>
        <v>#DIV/0!</v>
      </c>
      <c r="F17" s="582"/>
    </row>
    <row r="18" spans="1:6" x14ac:dyDescent="0.3">
      <c r="A18" s="183" t="s">
        <v>1059</v>
      </c>
      <c r="B18" s="184" t="s">
        <v>301</v>
      </c>
      <c r="C18" s="406">
        <f>'Presupuesto '!F91</f>
        <v>0</v>
      </c>
      <c r="D18" s="407" t="e">
        <f>C18/'Presupuesto '!$F$222</f>
        <v>#DIV/0!</v>
      </c>
      <c r="E18" s="669" t="e">
        <f>C18/'Ficha Técnica del Proyecto'!$B$16</f>
        <v>#DIV/0!</v>
      </c>
      <c r="F18" s="582"/>
    </row>
    <row r="19" spans="1:6" x14ac:dyDescent="0.3">
      <c r="A19" s="183" t="s">
        <v>1064</v>
      </c>
      <c r="B19" s="184" t="s">
        <v>312</v>
      </c>
      <c r="C19" s="406">
        <f>'Presupuesto '!F98</f>
        <v>0</v>
      </c>
      <c r="D19" s="407" t="e">
        <f>C19/'Presupuesto '!$F$222</f>
        <v>#DIV/0!</v>
      </c>
      <c r="E19" s="669" t="e">
        <f>C19/'Ficha Técnica del Proyecto'!$B$16</f>
        <v>#DIV/0!</v>
      </c>
      <c r="F19" s="582"/>
    </row>
    <row r="20" spans="1:6" x14ac:dyDescent="0.3">
      <c r="A20" s="183" t="s">
        <v>1070</v>
      </c>
      <c r="B20" s="184" t="s">
        <v>326</v>
      </c>
      <c r="C20" s="406">
        <f>'Presupuesto '!F109</f>
        <v>0</v>
      </c>
      <c r="D20" s="407" t="e">
        <f>C20/'Presupuesto '!$F$222</f>
        <v>#DIV/0!</v>
      </c>
      <c r="E20" s="669" t="e">
        <f>C20/'Ficha Técnica del Proyecto'!$B$16</f>
        <v>#DIV/0!</v>
      </c>
      <c r="F20" s="582"/>
    </row>
    <row r="21" spans="1:6" x14ac:dyDescent="0.3">
      <c r="A21" s="183" t="s">
        <v>1080</v>
      </c>
      <c r="B21" s="184" t="s">
        <v>353</v>
      </c>
      <c r="C21" s="406">
        <f>'Presupuesto '!F117</f>
        <v>0</v>
      </c>
      <c r="D21" s="407" t="e">
        <f>C21/'Presupuesto '!$F$222</f>
        <v>#DIV/0!</v>
      </c>
      <c r="E21" s="669" t="e">
        <f>C21/'Ficha Técnica del Proyecto'!$B$16</f>
        <v>#DIV/0!</v>
      </c>
      <c r="F21" s="582"/>
    </row>
    <row r="22" spans="1:6" x14ac:dyDescent="0.3">
      <c r="A22" s="183" t="s">
        <v>1087</v>
      </c>
      <c r="B22" s="184" t="s">
        <v>370</v>
      </c>
      <c r="C22" s="406">
        <f>'Presupuesto '!F127</f>
        <v>0</v>
      </c>
      <c r="D22" s="407" t="e">
        <f>C22/'Presupuesto '!$F$222</f>
        <v>#DIV/0!</v>
      </c>
      <c r="E22" s="669" t="e">
        <f>C22/'Ficha Técnica del Proyecto'!$B$16</f>
        <v>#DIV/0!</v>
      </c>
      <c r="F22" s="582"/>
    </row>
    <row r="23" spans="1:6" x14ac:dyDescent="0.3">
      <c r="A23" s="183" t="s">
        <v>1096</v>
      </c>
      <c r="B23" s="184" t="s">
        <v>395</v>
      </c>
      <c r="C23" s="406">
        <f>'Presupuesto '!F134</f>
        <v>0</v>
      </c>
      <c r="D23" s="407" t="e">
        <f>C23/'Presupuesto '!$F$222</f>
        <v>#DIV/0!</v>
      </c>
      <c r="E23" s="669" t="e">
        <f>C23/'Ficha Técnica del Proyecto'!$B$16</f>
        <v>#DIV/0!</v>
      </c>
      <c r="F23" s="582"/>
    </row>
    <row r="24" spans="1:6" x14ac:dyDescent="0.3">
      <c r="A24" s="183" t="s">
        <v>1102</v>
      </c>
      <c r="B24" s="184" t="s">
        <v>409</v>
      </c>
      <c r="C24" s="406">
        <f>'Presupuesto '!F231</f>
        <v>0</v>
      </c>
      <c r="D24" s="407" t="e">
        <f>C24/'Presupuesto '!$F$222</f>
        <v>#DIV/0!</v>
      </c>
      <c r="E24" s="669" t="e">
        <f>C24/'Ficha Técnica del Proyecto'!$B$16</f>
        <v>#DIV/0!</v>
      </c>
      <c r="F24" s="582"/>
    </row>
    <row r="25" spans="1:6" x14ac:dyDescent="0.3">
      <c r="A25" s="183" t="s">
        <v>1115</v>
      </c>
      <c r="B25" s="184" t="s">
        <v>447</v>
      </c>
      <c r="C25" s="406">
        <f>'Presupuesto '!F162</f>
        <v>0</v>
      </c>
      <c r="D25" s="407" t="e">
        <f>C25/'Presupuesto '!$F$222</f>
        <v>#DIV/0!</v>
      </c>
      <c r="E25" s="669" t="e">
        <f>C25/'Ficha Técnica del Proyecto'!$B$16</f>
        <v>#DIV/0!</v>
      </c>
      <c r="F25" s="582"/>
    </row>
    <row r="26" spans="1:6" x14ac:dyDescent="0.3">
      <c r="A26" s="183" t="s">
        <v>1128</v>
      </c>
      <c r="B26" s="184" t="s">
        <v>484</v>
      </c>
      <c r="C26" s="406">
        <f>'Presupuesto '!F171</f>
        <v>0</v>
      </c>
      <c r="D26" s="407" t="e">
        <f>C26/'Presupuesto '!$F$222</f>
        <v>#DIV/0!</v>
      </c>
      <c r="E26" s="669" t="e">
        <f>C26/'Ficha Técnica del Proyecto'!$B$16</f>
        <v>#DIV/0!</v>
      </c>
      <c r="F26" s="582"/>
    </row>
    <row r="27" spans="1:6" x14ac:dyDescent="0.3">
      <c r="A27" s="183" t="s">
        <v>1136</v>
      </c>
      <c r="B27" s="184" t="s">
        <v>506</v>
      </c>
      <c r="C27" s="406">
        <f>'Presupuesto '!F178</f>
        <v>0</v>
      </c>
      <c r="D27" s="407" t="e">
        <f>C27/'Presupuesto '!$F$222</f>
        <v>#DIV/0!</v>
      </c>
      <c r="E27" s="669" t="e">
        <f>C27/'Ficha Técnica del Proyecto'!$B$16</f>
        <v>#DIV/0!</v>
      </c>
      <c r="F27" s="582"/>
    </row>
    <row r="28" spans="1:6" x14ac:dyDescent="0.3">
      <c r="A28" s="183" t="s">
        <v>1142</v>
      </c>
      <c r="B28" s="184" t="s">
        <v>520</v>
      </c>
      <c r="C28" s="406">
        <f>'Presupuesto '!F184</f>
        <v>0</v>
      </c>
      <c r="D28" s="407" t="e">
        <f>C28/'Presupuesto '!$F$222</f>
        <v>#DIV/0!</v>
      </c>
      <c r="E28" s="669" t="e">
        <f>C28/'Ficha Técnica del Proyecto'!$B$16</f>
        <v>#DIV/0!</v>
      </c>
      <c r="F28" s="582"/>
    </row>
    <row r="29" spans="1:6" x14ac:dyDescent="0.3">
      <c r="A29" s="183" t="s">
        <v>1147</v>
      </c>
      <c r="B29" s="184" t="s">
        <v>530</v>
      </c>
      <c r="C29" s="406">
        <f>'Presupuesto '!F194</f>
        <v>0</v>
      </c>
      <c r="D29" s="407" t="e">
        <f>C29/'Presupuesto '!$F$222</f>
        <v>#DIV/0!</v>
      </c>
      <c r="E29" s="669" t="e">
        <f>C29/'Ficha Técnica del Proyecto'!$B$16</f>
        <v>#DIV/0!</v>
      </c>
      <c r="F29" s="582"/>
    </row>
    <row r="30" spans="1:6" x14ac:dyDescent="0.3">
      <c r="A30" s="183" t="s">
        <v>1156</v>
      </c>
      <c r="B30" s="184" t="s">
        <v>556</v>
      </c>
      <c r="C30" s="406">
        <f>'Presupuesto '!F201</f>
        <v>0</v>
      </c>
      <c r="D30" s="407" t="e">
        <f>C30/'Presupuesto '!$F$222</f>
        <v>#DIV/0!</v>
      </c>
      <c r="E30" s="669" t="e">
        <f>C30/'Ficha Técnica del Proyecto'!$B$16</f>
        <v>#DIV/0!</v>
      </c>
      <c r="F30" s="582"/>
    </row>
    <row r="31" spans="1:6" x14ac:dyDescent="0.3">
      <c r="A31" s="183" t="s">
        <v>1162</v>
      </c>
      <c r="B31" s="184" t="s">
        <v>571</v>
      </c>
      <c r="C31" s="406">
        <f>'Presupuesto '!F209</f>
        <v>0</v>
      </c>
      <c r="D31" s="407" t="e">
        <f>C31/'Presupuesto '!$F$222</f>
        <v>#DIV/0!</v>
      </c>
      <c r="E31" s="669" t="e">
        <f>C31/'Ficha Técnica del Proyecto'!$B$16</f>
        <v>#DIV/0!</v>
      </c>
      <c r="F31" s="582"/>
    </row>
    <row r="32" spans="1:6" x14ac:dyDescent="0.3">
      <c r="A32" s="183" t="s">
        <v>1169</v>
      </c>
      <c r="B32" s="184" t="s">
        <v>1170</v>
      </c>
      <c r="C32" s="406">
        <f>'Presupuesto '!F213</f>
        <v>0</v>
      </c>
      <c r="D32" s="407" t="e">
        <f>C32/'Presupuesto '!$F$222</f>
        <v>#DIV/0!</v>
      </c>
      <c r="E32" s="669" t="e">
        <f>C32/'Ficha Técnica del Proyecto'!$B$16</f>
        <v>#DIV/0!</v>
      </c>
      <c r="F32" s="582"/>
    </row>
    <row r="33" spans="1:6" x14ac:dyDescent="0.3">
      <c r="A33" s="183" t="s">
        <v>1173</v>
      </c>
      <c r="B33" s="184" t="s">
        <v>1174</v>
      </c>
      <c r="C33" s="406">
        <f>'Presupuesto '!F220</f>
        <v>0</v>
      </c>
      <c r="D33" s="407" t="e">
        <f>C33/'Presupuesto '!$F$222</f>
        <v>#DIV/0!</v>
      </c>
      <c r="E33" s="683" t="e">
        <f>C33/'Ficha Técnica del Proyecto'!$B$16</f>
        <v>#DIV/0!</v>
      </c>
      <c r="F33" s="675"/>
    </row>
    <row r="34" spans="1:6" x14ac:dyDescent="0.3">
      <c r="A34" s="185"/>
      <c r="B34" s="186" t="s">
        <v>1194</v>
      </c>
      <c r="C34" s="408">
        <f>SUM(C12:C33)</f>
        <v>0</v>
      </c>
      <c r="D34" s="409" t="e">
        <f>C34/'Presupuesto '!$F$222</f>
        <v>#DIV/0!</v>
      </c>
      <c r="E34" s="670" t="e">
        <f>C34/'Ficha Técnica del Proyecto'!$B$16</f>
        <v>#DIV/0!</v>
      </c>
      <c r="F34" s="582"/>
    </row>
    <row r="35" spans="1:6" x14ac:dyDescent="0.3">
      <c r="A35" s="187"/>
      <c r="B35" s="358"/>
      <c r="C35" s="358"/>
      <c r="D35" s="358"/>
      <c r="E35" s="681"/>
      <c r="F35" s="582"/>
    </row>
    <row r="36" spans="1:6" ht="15" customHeight="1" x14ac:dyDescent="0.3">
      <c r="A36" s="188"/>
      <c r="B36" s="184" t="s">
        <v>1195</v>
      </c>
      <c r="C36" s="406">
        <f>'Presupuesto '!F227</f>
        <v>0</v>
      </c>
      <c r="D36" s="189"/>
      <c r="E36" s="677"/>
      <c r="F36" s="582"/>
    </row>
    <row r="37" spans="1:6" ht="15" customHeight="1" x14ac:dyDescent="0.3">
      <c r="A37" s="188"/>
      <c r="B37" s="184" t="s">
        <v>1196</v>
      </c>
      <c r="C37" s="406">
        <f>'Presupuesto '!F228</f>
        <v>0</v>
      </c>
      <c r="D37" s="189"/>
      <c r="E37" s="677"/>
      <c r="F37" s="582"/>
    </row>
    <row r="38" spans="1:6" ht="15" customHeight="1" x14ac:dyDescent="0.3">
      <c r="A38" s="188"/>
      <c r="B38" s="184" t="s">
        <v>70</v>
      </c>
      <c r="C38" s="406">
        <f>'Presupuesto '!F229</f>
        <v>0</v>
      </c>
      <c r="D38" s="189"/>
      <c r="E38" s="677"/>
      <c r="F38" s="582"/>
    </row>
    <row r="39" spans="1:6" x14ac:dyDescent="0.3">
      <c r="A39" s="187"/>
      <c r="B39" s="358"/>
      <c r="C39" s="358"/>
      <c r="D39" s="358"/>
      <c r="E39" s="679"/>
      <c r="F39" s="582"/>
    </row>
    <row r="40" spans="1:6" ht="21.75" customHeight="1" x14ac:dyDescent="0.3">
      <c r="A40" s="190"/>
      <c r="B40" s="191" t="s">
        <v>1184</v>
      </c>
      <c r="C40" s="410">
        <f>'Presupuesto '!F231</f>
        <v>0</v>
      </c>
      <c r="D40" s="192"/>
      <c r="E40" s="668"/>
      <c r="F40" s="584"/>
    </row>
    <row r="41" spans="1:6" s="227" customFormat="1" ht="15" customHeight="1" x14ac:dyDescent="0.3">
      <c r="B41" s="231" t="s">
        <v>43</v>
      </c>
      <c r="F41" s="1139" t="str">
        <f>E5</f>
        <v>RYR-RS-001</v>
      </c>
    </row>
    <row r="42" spans="1:6" ht="15" customHeight="1" x14ac:dyDescent="0.3">
      <c r="A42" s="6"/>
      <c r="B42" s="103" t="s">
        <v>1197</v>
      </c>
      <c r="C42" s="411" t="e">
        <f>C40/'Ficha Técnica del Proyecto'!$B$16</f>
        <v>#DIV/0!</v>
      </c>
      <c r="D42" s="6"/>
      <c r="E42" s="6"/>
    </row>
  </sheetData>
  <mergeCells count="39">
    <mergeCell ref="E12:F12"/>
    <mergeCell ref="E24:F24"/>
    <mergeCell ref="E33:F33"/>
    <mergeCell ref="E5:F5"/>
    <mergeCell ref="E23:F23"/>
    <mergeCell ref="E14:F14"/>
    <mergeCell ref="E21:F21"/>
    <mergeCell ref="C1:F2"/>
    <mergeCell ref="E17:F17"/>
    <mergeCell ref="E39:F39"/>
    <mergeCell ref="E8:F8"/>
    <mergeCell ref="E35:F35"/>
    <mergeCell ref="E20:F20"/>
    <mergeCell ref="E38:F38"/>
    <mergeCell ref="C3:F3"/>
    <mergeCell ref="E29:F29"/>
    <mergeCell ref="D4:F4"/>
    <mergeCell ref="E19:F19"/>
    <mergeCell ref="E28:F28"/>
    <mergeCell ref="E13:F13"/>
    <mergeCell ref="E37:F37"/>
    <mergeCell ref="E22:F22"/>
    <mergeCell ref="E18:F18"/>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s>
  <pageMargins left="0.29527559055118108" right="0.29527559055118108" top="0.19685039370078741" bottom="0.98425196850393704" header="0.51181102362204722" footer="0.51181102362204722"/>
  <pageSetup paperSize="9" scale="62" orientation="portrait" horizontalDpi="300" verticalDpi="300"/>
  <colBreaks count="1" manualBreakCount="1">
    <brk id="6" max="1048575" man="1"/>
  </col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19</vt:i4>
      </vt:variant>
      <vt:variant>
        <vt:lpstr>Rangos con nombre</vt:lpstr>
      </vt:variant>
      <vt:variant>
        <vt:i4>12</vt:i4>
      </vt:variant>
    </vt:vector>
  </HeadingPairs>
  <TitlesOfParts>
    <vt:vector size="31" baseType="lpstr">
      <vt:lpstr>Apu's</vt:lpstr>
      <vt:lpstr>Catalogo Materiales</vt:lpstr>
      <vt:lpstr>Catalogo Mano de Obra</vt:lpstr>
      <vt:lpstr>Catalogo Equipos y Herramientas</vt:lpstr>
      <vt:lpstr>Ficha Técnica del Proyecto</vt:lpstr>
      <vt:lpstr>Cantidades de Obra</vt:lpstr>
      <vt:lpstr>Dashboard</vt:lpstr>
      <vt:lpstr>Cálculo Detallado</vt:lpstr>
      <vt:lpstr>Catalogo de Actividades</vt:lpstr>
      <vt:lpstr>Planos</vt:lpstr>
      <vt:lpstr>Instructivo</vt:lpstr>
      <vt:lpstr>Presupuesto </vt:lpstr>
      <vt:lpstr>Resumen</vt:lpstr>
      <vt:lpstr>Cronograma </vt:lpstr>
      <vt:lpstr>Memoria de Cálculo</vt:lpstr>
      <vt:lpstr>Acta de Obra</vt:lpstr>
      <vt:lpstr>Informe Diario</vt:lpstr>
      <vt:lpstr>Informe Semanal</vt:lpstr>
      <vt:lpstr>Informe Mensual</vt:lpstr>
      <vt:lpstr>'Acta de Obra'!Área_de_impresión</vt:lpstr>
      <vt:lpstr>'Apu''s'!Área_de_impresión</vt:lpstr>
      <vt:lpstr>'Informe Diario'!Área_de_impresión</vt:lpstr>
      <vt:lpstr>'Informe Mensual'!Área_de_impresión</vt:lpstr>
      <vt:lpstr>'Informe Semanal'!Área_de_impresión</vt:lpstr>
      <vt:lpstr>'Memoria de Cálculo'!Área_de_impresión</vt:lpstr>
      <vt:lpstr>'Acta de Obra'!Títulos_a_imprimir</vt:lpstr>
      <vt:lpstr>'Cronograma '!Títulos_a_imprimir</vt:lpstr>
      <vt:lpstr>'Informe Diario'!Títulos_a_imprimir</vt:lpstr>
      <vt:lpstr>'Informe Mensual'!Títulos_a_imprimir</vt:lpstr>
      <vt:lpstr>'Informe Semanal'!Títulos_a_imprimir</vt:lpstr>
      <vt:lpstr>'Presupuesto '!Títulos_a_imprimir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Hugo Fernando Hurtado Ruiz</cp:lastModifiedBy>
  <cp:revision>1</cp:revision>
  <cp:lastPrinted>2026-09-14T01:27:33Z</cp:lastPrinted>
  <dcterms:created xsi:type="dcterms:W3CDTF">2026-08-07T19:45:20Z</dcterms:created>
  <dcterms:modified xsi:type="dcterms:W3CDTF">2026-09-16T19:13:21Z</dcterms:modified>
  <dc:language>en-US</dc:language>
</cp:coreProperties>
</file>