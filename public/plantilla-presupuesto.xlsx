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Resumen" sheetId="3" r:id="rId13"/>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3.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10</xdr:row>
      <xdr:rowOff>0</xdr:rowOff>
    </xdr:from>
    <xdr:to>
      <xdr:col>19</xdr:col>
      <xdr:colOff>457560</xdr:colOff>
      <xdr:row>30</xdr:row>
      <xdr:rowOff>93240</xdr:rowOff>
    </xdr:to>
    <graphicFrame>
      <nvGraphicFramePr>
        <xdr: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xdr:clientData/>
  </xdr:twoCellAnchor>
  <xdr:twoCellAnchor editAs="oneCell">
    <xdr:from>
      <xdr:col>0</xdr:col>
      <xdr:colOff>0</xdr:colOff>
      <xdr:row>0</xdr:row>
      <xdr:rowOff>0</xdr:rowOff>
    </xdr:from>
    <xdr:to>
      <xdr:col>1</xdr:col>
      <xdr:colOff>2684921</xdr:colOff>
      <xdr:row>8</xdr:row>
      <xdr:rowOff>8526</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33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3.xml><?xml version="1.0" encoding="utf-8"?>
<worksheet xmlns="http://schemas.openxmlformats.org/spreadsheetml/2006/main">
  <sheetPr>
    <tabColor rgb="FF2E7D32"/>
    <outlinePr summaryBelow="1" summaryRight="1"/>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1223" min="1" max="1"/>
    <col width="44" customWidth="1" style="1223" min="2" max="2"/>
    <col width="50.77734375" customWidth="1" style="1223" min="3" max="3"/>
    <col width="16.109375" customWidth="1" style="1223" min="4" max="4"/>
    <col width="15.77734375" customWidth="1" style="1223" min="5" max="6"/>
  </cols>
  <sheetData>
    <row r="1" ht="14.4" customHeight="1" s="1223">
      <c r="A1" s="1258" t="n"/>
      <c r="B1" s="1258" t="n"/>
      <c r="C1" s="532" t="inlineStr">
        <is>
          <t>RESUMEN EJECUTIVO DEL PRESUPUESTO</t>
        </is>
      </c>
    </row>
    <row r="2" ht="14.4" customHeight="1" s="1223">
      <c r="A2" s="1258" t="n"/>
      <c r="B2" s="1258" t="n"/>
    </row>
    <row r="3" ht="4.95" customHeight="1" s="1223">
      <c r="A3" s="1258" t="n"/>
      <c r="B3" s="1258" t="n"/>
      <c r="C3" s="693" t="n"/>
    </row>
    <row r="4">
      <c r="A4" s="1258" t="n"/>
      <c r="B4" s="1258" t="n"/>
      <c r="C4" s="166" t="n"/>
      <c r="D4" s="661" t="inlineStr">
        <is>
          <t>CONTROL DOCUMENTAL</t>
        </is>
      </c>
    </row>
    <row r="5" ht="14.4" customHeight="1" s="1223">
      <c r="A5" s="1258" t="n"/>
      <c r="B5" s="1258" t="n"/>
      <c r="C5" s="537" t="inlineStr">
        <is>
          <t>REFORMAS Y REMODELACIONES</t>
        </is>
      </c>
      <c r="D5" s="169" t="inlineStr">
        <is>
          <t>Código</t>
        </is>
      </c>
      <c r="E5" s="688" t="inlineStr">
        <is>
          <t>RYR-RS-001</t>
        </is>
      </c>
      <c r="F5" s="605" t="n"/>
    </row>
    <row r="6" ht="14.4" customHeight="1" s="1223">
      <c r="A6" s="1258" t="n"/>
      <c r="B6" s="1258" t="n"/>
      <c r="C6" s="167" t="inlineStr">
        <is>
          <t>DISEÑAMOS, RENOVAMOS Y CONSTRUIMOS ESPACIOS QUE INSPIRAN</t>
        </is>
      </c>
      <c r="D6" s="169" t="inlineStr">
        <is>
          <t>Versión</t>
        </is>
      </c>
      <c r="E6" s="688" t="n">
        <v>1</v>
      </c>
      <c r="F6" s="605" t="n"/>
    </row>
    <row r="7">
      <c r="A7" s="1258" t="n"/>
      <c r="B7" s="1258" t="n"/>
      <c r="C7" s="166" t="n"/>
      <c r="D7" s="169" t="inlineStr">
        <is>
          <t>Fecha de Emisión</t>
        </is>
      </c>
      <c r="E7" s="700" t="inlineStr">
        <is>
          <t>10/09/2026</t>
        </is>
      </c>
      <c r="F7" s="605" t="n"/>
    </row>
    <row r="8">
      <c r="C8" s="166" t="n"/>
      <c r="D8" s="170" t="inlineStr">
        <is>
          <t>Página</t>
        </is>
      </c>
      <c r="E8" s="690" t="inlineStr">
        <is>
          <t>1 de 1</t>
        </is>
      </c>
      <c r="F8" s="609" t="n"/>
    </row>
    <row r="9" ht="15" customHeight="1" s="1223">
      <c r="A9" s="698" t="inlineStr">
        <is>
          <t>RESUMEN EJECUTIVO DEL PRESUPUESTO</t>
        </is>
      </c>
      <c r="B9" s="543" t="n"/>
      <c r="C9" s="543" t="n"/>
      <c r="D9" s="543" t="n"/>
      <c r="E9" s="543" t="n"/>
      <c r="F9" s="623" t="n"/>
    </row>
    <row r="10" ht="15.75" customHeight="1" s="1223">
      <c r="A10" s="696" t="inlineStr">
        <is>
          <t>Participación de cada capítulo dentro del Costo Directo Total</t>
        </is>
      </c>
      <c r="B10" s="697" t="n"/>
      <c r="C10" s="697" t="n"/>
      <c r="D10" s="697" t="n"/>
      <c r="E10" s="697" t="n"/>
      <c r="F10" s="605" t="n"/>
    </row>
    <row r="11" ht="19.5" customHeight="1" s="1223">
      <c r="A11" s="171" t="inlineStr">
        <is>
          <t>Cap.</t>
        </is>
      </c>
      <c r="B11" s="172" t="inlineStr">
        <is>
          <t>Capítulo</t>
        </is>
      </c>
      <c r="C11" s="172" t="inlineStr">
        <is>
          <t>Valor (COP)</t>
        </is>
      </c>
      <c r="D11" s="172" t="inlineStr">
        <is>
          <t>% Participación</t>
        </is>
      </c>
      <c r="E11" s="699" t="inlineStr">
        <is>
          <t>$/m² construido</t>
        </is>
      </c>
      <c r="F11" s="605" t="n"/>
    </row>
    <row r="12">
      <c r="A12" s="173" t="inlineStr">
        <is>
          <t>1</t>
        </is>
      </c>
      <c r="B12" s="174" t="inlineStr">
        <is>
          <t>PRELIMINARES</t>
        </is>
      </c>
      <c r="C12" s="486">
        <f>'Presupuesto '!F25</f>
        <v/>
      </c>
      <c r="D12" s="487">
        <f>C12/'Presupuesto '!$F$240</f>
        <v/>
      </c>
      <c r="E12" s="686">
        <f>C12/'Ficha Técnica del Proyecto'!$B$21</f>
        <v/>
      </c>
      <c r="F12" s="605" t="n"/>
    </row>
    <row r="13">
      <c r="A13" s="173" t="inlineStr">
        <is>
          <t>2</t>
        </is>
      </c>
      <c r="B13" s="174" t="inlineStr">
        <is>
          <t>MOVIMIENTO DE TIERRAS</t>
        </is>
      </c>
      <c r="C13" s="486">
        <f>'Presupuesto '!F39</f>
        <v/>
      </c>
      <c r="D13" s="487">
        <f>C13/'Presupuesto '!$F$240</f>
        <v/>
      </c>
      <c r="E13" s="686">
        <f>C13/'Ficha Técnica del Proyecto'!$B$21</f>
        <v/>
      </c>
      <c r="F13" s="605" t="n"/>
    </row>
    <row r="14">
      <c r="A14" s="173" t="inlineStr">
        <is>
          <t>3</t>
        </is>
      </c>
      <c r="B14" s="174" t="inlineStr">
        <is>
          <t>CIMENTACIONES</t>
        </is>
      </c>
      <c r="C14" s="486">
        <f>'Presupuesto '!F49</f>
        <v/>
      </c>
      <c r="D14" s="487">
        <f>C14/'Presupuesto '!$F$240</f>
        <v/>
      </c>
      <c r="E14" s="686">
        <f>C14/'Ficha Técnica del Proyecto'!$B$21</f>
        <v/>
      </c>
      <c r="F14" s="605" t="n"/>
    </row>
    <row r="15">
      <c r="A15" s="173" t="inlineStr">
        <is>
          <t>4</t>
        </is>
      </c>
      <c r="B15" s="174" t="inlineStr">
        <is>
          <t>ESTRUCTURA</t>
        </is>
      </c>
      <c r="C15" s="486">
        <f>'Presupuesto '!F69</f>
        <v/>
      </c>
      <c r="D15" s="487">
        <f>C15/'Presupuesto '!$F$240</f>
        <v/>
      </c>
      <c r="E15" s="686">
        <f>C15/'Ficha Técnica del Proyecto'!$B$21</f>
        <v/>
      </c>
      <c r="F15" s="605" t="n"/>
    </row>
    <row r="16">
      <c r="A16" s="173" t="inlineStr">
        <is>
          <t>5</t>
        </is>
      </c>
      <c r="B16" s="174" t="inlineStr">
        <is>
          <t>MAMPOSTERÍA</t>
        </is>
      </c>
      <c r="C16" s="486">
        <f>'Presupuesto '!F81</f>
        <v/>
      </c>
      <c r="D16" s="487">
        <f>C16/'Presupuesto '!$F$240</f>
        <v/>
      </c>
      <c r="E16" s="686">
        <f>C16/'Ficha Técnica del Proyecto'!$B$21</f>
        <v/>
      </c>
      <c r="F16" s="605" t="n"/>
    </row>
    <row r="17">
      <c r="A17" s="173" t="inlineStr">
        <is>
          <t>6</t>
        </is>
      </c>
      <c r="B17" s="174" t="inlineStr">
        <is>
          <t>CUBIERTAS</t>
        </is>
      </c>
      <c r="C17" s="486">
        <f>'Presupuesto '!F93</f>
        <v/>
      </c>
      <c r="D17" s="487">
        <f>C17/'Presupuesto '!$F$240</f>
        <v/>
      </c>
      <c r="E17" s="686">
        <f>C17/'Ficha Técnica del Proyecto'!$B$21</f>
        <v/>
      </c>
      <c r="F17" s="605" t="n"/>
    </row>
    <row r="18">
      <c r="A18" s="173" t="inlineStr">
        <is>
          <t>7</t>
        </is>
      </c>
      <c r="B18" s="174" t="inlineStr">
        <is>
          <t>IMPERMEABILIZACIONES</t>
        </is>
      </c>
      <c r="C18" s="486">
        <f>'Presupuesto '!F100</f>
        <v/>
      </c>
      <c r="D18" s="487">
        <f>C18/'Presupuesto '!$F$240</f>
        <v/>
      </c>
      <c r="E18" s="686">
        <f>C18/'Ficha Técnica del Proyecto'!$B$21</f>
        <v/>
      </c>
      <c r="F18" s="605" t="n"/>
    </row>
    <row r="19">
      <c r="A19" s="173" t="inlineStr">
        <is>
          <t>8</t>
        </is>
      </c>
      <c r="B19" s="174" t="inlineStr">
        <is>
          <t>PAÑETES Y REVOQUES</t>
        </is>
      </c>
      <c r="C19" s="486">
        <f>'Presupuesto '!F107</f>
        <v/>
      </c>
      <c r="D19" s="487">
        <f>C19/'Presupuesto '!$F$240</f>
        <v/>
      </c>
      <c r="E19" s="686">
        <f>C19/'Ficha Técnica del Proyecto'!$B$21</f>
        <v/>
      </c>
      <c r="F19" s="605" t="n"/>
    </row>
    <row r="20">
      <c r="A20" s="173" t="inlineStr">
        <is>
          <t>9</t>
        </is>
      </c>
      <c r="B20" s="174" t="inlineStr">
        <is>
          <t>PISOS Y ENCHAPES</t>
        </is>
      </c>
      <c r="C20" s="486">
        <f>'Presupuesto '!F121</f>
        <v/>
      </c>
      <c r="D20" s="487">
        <f>C20/'Presupuesto '!$F$240</f>
        <v/>
      </c>
      <c r="E20" s="686">
        <f>C20/'Ficha Técnica del Proyecto'!$B$21</f>
        <v/>
      </c>
      <c r="F20" s="605" t="n"/>
    </row>
    <row r="21">
      <c r="A21" s="173" t="inlineStr">
        <is>
          <t>10</t>
        </is>
      </c>
      <c r="B21" s="174" t="inlineStr">
        <is>
          <t>PINTURA</t>
        </is>
      </c>
      <c r="C21" s="486">
        <f>'Presupuesto '!F129</f>
        <v/>
      </c>
      <c r="D21" s="487">
        <f>C21/'Presupuesto '!$F$240</f>
        <v/>
      </c>
      <c r="E21" s="686">
        <f>C21/'Ficha Técnica del Proyecto'!$B$21</f>
        <v/>
      </c>
      <c r="F21" s="605" t="n"/>
    </row>
    <row r="22">
      <c r="A22" s="173" t="inlineStr">
        <is>
          <t>11</t>
        </is>
      </c>
      <c r="B22" s="174" t="inlineStr">
        <is>
          <t>CARPINTERÍA</t>
        </is>
      </c>
      <c r="C22" s="486">
        <f>'Presupuesto '!F140</f>
        <v/>
      </c>
      <c r="D22" s="487">
        <f>C22/'Presupuesto '!$F$240</f>
        <v/>
      </c>
      <c r="E22" s="686">
        <f>C22/'Ficha Técnica del Proyecto'!$B$21</f>
        <v/>
      </c>
      <c r="F22" s="605" t="n"/>
    </row>
    <row r="23">
      <c r="A23" s="173" t="inlineStr">
        <is>
          <t>12</t>
        </is>
      </c>
      <c r="B23" s="174" t="inlineStr">
        <is>
          <t>VIDRIOS</t>
        </is>
      </c>
      <c r="C23" s="486">
        <f>'Presupuesto '!F147</f>
        <v/>
      </c>
      <c r="D23" s="487">
        <f>C23/'Presupuesto '!$F$240</f>
        <v/>
      </c>
      <c r="E23" s="686">
        <f>C23/'Ficha Técnica del Proyecto'!$B$21</f>
        <v/>
      </c>
      <c r="F23" s="605" t="n"/>
    </row>
    <row r="24">
      <c r="A24" s="173" t="inlineStr">
        <is>
          <t>13</t>
        </is>
      </c>
      <c r="B24" s="174" t="inlineStr">
        <is>
          <t>INSTALACIONES HIDROSANITARIAS</t>
        </is>
      </c>
      <c r="C24" s="486">
        <f>'Presupuesto '!F249</f>
        <v/>
      </c>
      <c r="D24" s="487">
        <f>C24/'Presupuesto '!$F$240</f>
        <v/>
      </c>
      <c r="E24" s="686">
        <f>C24/'Ficha Técnica del Proyecto'!$B$21</f>
        <v/>
      </c>
      <c r="F24" s="605" t="n"/>
    </row>
    <row r="25">
      <c r="A25" s="173" t="inlineStr">
        <is>
          <t>14</t>
        </is>
      </c>
      <c r="B25" s="174" t="inlineStr">
        <is>
          <t>INSTALACIONES ELÉCTRICAS</t>
        </is>
      </c>
      <c r="C25" s="486">
        <f>'Presupuesto '!F176</f>
        <v/>
      </c>
      <c r="D25" s="487">
        <f>C25/'Presupuesto '!$F$240</f>
        <v/>
      </c>
      <c r="E25" s="686">
        <f>C25/'Ficha Técnica del Proyecto'!$B$21</f>
        <v/>
      </c>
      <c r="F25" s="605" t="n"/>
    </row>
    <row r="26">
      <c r="A26" s="173" t="inlineStr">
        <is>
          <t>15</t>
        </is>
      </c>
      <c r="B26" s="174" t="inlineStr">
        <is>
          <t>COMUNICACIONES Y SEGURIDAD</t>
        </is>
      </c>
      <c r="C26" s="486">
        <f>'Presupuesto '!F185</f>
        <v/>
      </c>
      <c r="D26" s="487">
        <f>C26/'Presupuesto '!$F$240</f>
        <v/>
      </c>
      <c r="E26" s="686">
        <f>C26/'Ficha Técnica del Proyecto'!$B$21</f>
        <v/>
      </c>
      <c r="F26" s="605" t="n"/>
    </row>
    <row r="27">
      <c r="A27" s="173" t="inlineStr">
        <is>
          <t>16</t>
        </is>
      </c>
      <c r="B27" s="174" t="inlineStr">
        <is>
          <t>CLIMATIZACIÓN Y VENTILACIÓN</t>
        </is>
      </c>
      <c r="C27" s="486">
        <f>'Presupuesto '!F192</f>
        <v/>
      </c>
      <c r="D27" s="487">
        <f>C27/'Presupuesto '!$F$240</f>
        <v/>
      </c>
      <c r="E27" s="686">
        <f>C27/'Ficha Técnica del Proyecto'!$B$21</f>
        <v/>
      </c>
      <c r="F27" s="605" t="n"/>
    </row>
    <row r="28">
      <c r="A28" s="173" t="inlineStr">
        <is>
          <t>17</t>
        </is>
      </c>
      <c r="B28" s="174" t="inlineStr">
        <is>
          <t>GAS</t>
        </is>
      </c>
      <c r="C28" s="486">
        <f>'Presupuesto '!F198</f>
        <v/>
      </c>
      <c r="D28" s="487">
        <f>C28/'Presupuesto '!$F$240</f>
        <v/>
      </c>
      <c r="E28" s="686">
        <f>C28/'Ficha Técnica del Proyecto'!$B$21</f>
        <v/>
      </c>
      <c r="F28" s="605" t="n"/>
    </row>
    <row r="29">
      <c r="A29" s="173" t="inlineStr">
        <is>
          <t>18</t>
        </is>
      </c>
      <c r="B29" s="174" t="inlineStr">
        <is>
          <t>URBANISMO Y EXTERIORES</t>
        </is>
      </c>
      <c r="C29" s="486">
        <f>'Presupuesto '!F212</f>
        <v/>
      </c>
      <c r="D29" s="487">
        <f>C29/'Presupuesto '!$F$240</f>
        <v/>
      </c>
      <c r="E29" s="686">
        <f>C29/'Ficha Técnica del Proyecto'!$B$21</f>
        <v/>
      </c>
      <c r="F29" s="605" t="n"/>
    </row>
    <row r="30">
      <c r="A30" s="173" t="inlineStr">
        <is>
          <t>19</t>
        </is>
      </c>
      <c r="B30" s="174" t="inlineStr">
        <is>
          <t>OBRAS COMPLEMENTARIAS</t>
        </is>
      </c>
      <c r="C30" s="486">
        <f>'Presupuesto '!F219</f>
        <v/>
      </c>
      <c r="D30" s="487">
        <f>C30/'Presupuesto '!$F$240</f>
        <v/>
      </c>
      <c r="E30" s="686">
        <f>C30/'Ficha Técnica del Proyecto'!$B$21</f>
        <v/>
      </c>
      <c r="F30" s="605" t="n"/>
    </row>
    <row r="31">
      <c r="A31" s="173" t="inlineStr">
        <is>
          <t>20</t>
        </is>
      </c>
      <c r="B31" s="174" t="inlineStr">
        <is>
          <t>ASEO, ENTREGA Y CIERRE</t>
        </is>
      </c>
      <c r="C31" s="486">
        <f>'Presupuesto '!F227</f>
        <v/>
      </c>
      <c r="D31" s="487">
        <f>C31/'Presupuesto '!$F$240</f>
        <v/>
      </c>
      <c r="E31" s="686">
        <f>C31/'Ficha Técnica del Proyecto'!$B$21</f>
        <v/>
      </c>
      <c r="F31" s="605" t="n"/>
    </row>
    <row r="32">
      <c r="A32" s="173" t="inlineStr">
        <is>
          <t>21</t>
        </is>
      </c>
      <c r="B32" s="174" t="inlineStr">
        <is>
          <t>ASCENSORES</t>
        </is>
      </c>
      <c r="C32" s="486">
        <f>'Presupuesto '!F231</f>
        <v/>
      </c>
      <c r="D32" s="487">
        <f>C32/'Presupuesto '!$F$240</f>
        <v/>
      </c>
      <c r="E32" s="686">
        <f>C32/'Ficha Técnica del Proyecto'!$B$21</f>
        <v/>
      </c>
      <c r="F32" s="605" t="n"/>
    </row>
    <row r="33">
      <c r="A33" s="173" t="inlineStr">
        <is>
          <t>22</t>
        </is>
      </c>
      <c r="B33" s="174" t="inlineStr">
        <is>
          <t>GESTIÓN, DISEÑO Y ADMINISTRACIÓN</t>
        </is>
      </c>
      <c r="C33" s="486">
        <f>'Presupuesto '!F238</f>
        <v/>
      </c>
      <c r="D33" s="487">
        <f>C33/'Presupuesto '!$F$240</f>
        <v/>
      </c>
      <c r="E33" s="687">
        <f>C33/'Ficha Técnica del Proyecto'!$B$21</f>
        <v/>
      </c>
      <c r="F33" s="543" t="n"/>
    </row>
    <row r="34">
      <c r="A34" s="175" t="n"/>
      <c r="B34" s="176" t="inlineStr">
        <is>
          <t>COSTO DIRECTO TOTAL</t>
        </is>
      </c>
      <c r="C34" s="488">
        <f>SUM(C12:C33)</f>
        <v/>
      </c>
      <c r="D34" s="489">
        <f>C34/'Presupuesto '!$F$240</f>
        <v/>
      </c>
      <c r="E34" s="695">
        <f>C34/'Ficha Técnica del Proyecto'!$B$21</f>
        <v/>
      </c>
      <c r="F34" s="605" t="n"/>
    </row>
    <row r="35">
      <c r="A35" s="177" t="n"/>
      <c r="B35" s="278" t="n"/>
      <c r="C35" s="278" t="n"/>
      <c r="D35" s="278" t="n"/>
      <c r="E35" s="691" t="n"/>
      <c r="F35" s="605" t="n"/>
    </row>
    <row r="36" ht="15" customHeight="1" s="1223">
      <c r="A36" s="178" t="n"/>
      <c r="B36" s="174" t="inlineStr">
        <is>
          <t>Subtotal AIU (A+I+U)</t>
        </is>
      </c>
      <c r="C36" s="486">
        <f>'Presupuesto '!F227</f>
        <v/>
      </c>
      <c r="D36" s="179" t="n"/>
      <c r="E36" s="692" t="n"/>
      <c r="F36" s="605" t="n"/>
    </row>
    <row r="37" ht="15" customHeight="1" s="1223">
      <c r="A37" s="178" t="n"/>
      <c r="B37" s="174" t="inlineStr">
        <is>
          <t>Costo Directo + AIU</t>
        </is>
      </c>
      <c r="C37" s="486">
        <f>'Presupuesto '!F228</f>
        <v/>
      </c>
      <c r="D37" s="179" t="n"/>
      <c r="E37" s="692" t="n"/>
      <c r="F37" s="605" t="n"/>
    </row>
    <row r="38" ht="15" customHeight="1" s="1223">
      <c r="A38" s="178" t="n"/>
      <c r="B38" s="174" t="inlineStr">
        <is>
          <t>IVA sobre Utilidad</t>
        </is>
      </c>
      <c r="C38" s="486">
        <f>'Presupuesto '!F229</f>
        <v/>
      </c>
      <c r="D38" s="179" t="n"/>
      <c r="E38" s="692" t="n"/>
      <c r="F38" s="605" t="n"/>
    </row>
    <row r="39">
      <c r="A39" s="177" t="n"/>
      <c r="B39" s="278" t="n"/>
      <c r="C39" s="278" t="n"/>
      <c r="D39" s="278" t="n"/>
      <c r="E39" s="689" t="n"/>
      <c r="F39" s="605" t="n"/>
    </row>
    <row r="40" ht="21.75" customHeight="1" s="1223">
      <c r="A40" s="180" t="n"/>
      <c r="B40" s="181" t="inlineStr">
        <is>
          <t>PRESUPUESTO TOTAL DE OBRA</t>
        </is>
      </c>
      <c r="C40" s="490">
        <f>'Presupuesto '!F249</f>
        <v/>
      </c>
      <c r="D40" s="182" t="n"/>
      <c r="E40" s="694" t="n"/>
      <c r="F40" s="609" t="n"/>
    </row>
    <row r="41" ht="15" customFormat="1" customHeight="1" s="202">
      <c r="B41" s="206" t="inlineStr">
        <is>
          <t>REV. 10/09/2026</t>
        </is>
      </c>
      <c r="F41" s="351">
        <f>E5</f>
        <v/>
      </c>
    </row>
    <row r="42" ht="15" customHeight="1" s="1223">
      <c r="A42" s="5" t="n"/>
      <c r="B42" s="98" t="inlineStr">
        <is>
          <t>Costo por m² construido (Presupuesto Total)</t>
        </is>
      </c>
      <c r="C42" s="491">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2026-09-19T01:39:27Z</dcterms:modified>
  <cp:lastModifiedBy>Hugo Fernando Hurtado Ruiz</cp:lastModifiedBy>
  <cp:revision>1</cp:revision>
  <cp:lastPrinted>2026-09-14T01:27:33Z</cp:lastPrinted>
</cp:coreProperties>
</file>