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5.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harts/chart1.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Ficha Técnica del Proyecto" sheetId="1" r:id="rId5"/>
    <sheet name="Presupuesto " sheetId="2" r:id="rId12"/>
    <sheet name="Resumen" sheetId="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<sst xmlns="http://schemas.openxmlformats.org/spreadsheetml/2006/main" count="5620" uniqueCount="2783">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</sst>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21" Type="http://schemas.openxmlformats.org/officeDocument/2006/relationships/styles" Target="styles.xml"/><Relationship Id="rId12" Type="http://schemas.openxmlformats.org/officeDocument/2006/relationships/worksheet" Target="worksheets/sheet12.xml"/><Relationship Id="rId20" Type="http://schemas.openxmlformats.org/officeDocument/2006/relationships/theme" Target="theme/theme1.xml"/><Relationship Id="rId5" Type="http://schemas.openxmlformats.org/officeDocument/2006/relationships/worksheet" Target="worksheets/sheet5.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s>
</file>

<file path=xl/worksheets/_rels/sheet12.xml.rels><?xml version="1.0" encoding="UTF-8" standalone="yes"?>
<Relationships xmlns="http://schemas.openxmlformats.org/package/2006/relationships"></Relationships>
</file>

<file path=xl/worksheets/_rels/sheet13.xml.rels><?xml version="1.0" encoding="UTF-8" standalone="yes"?>
<Relationships xmlns="http://schemas.openxmlformats.org/package/2006/relationships"></Relationships>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x14ac:dyDescent="0.3"/>
  <cols>
    <col min="1" max="1" width="42" style="334" customWidth="1"/>
    <col min="2" max="2" width="20.77734375" style="334" customWidth="1"/>
    <col min="3" max="3" width="50.77734375" style="334" customWidth="1"/>
    <col min="4" max="5" width="15.77734375" style="334" customWidth="1"/>
  </cols>
  <sheetData>
    <row r="1" spans="1:5" ht="25.5" customHeight="1" x14ac:dyDescent="0.3">
      <c r="A1" s="4"/>
      <c r="B1" s="557" t="s">
        <v>44</v>
      </c>
      <c r="C1" s="505"/>
      <c r="D1" s="505"/>
      <c r="E1" s="505"/>
    </row>
    <row r="2" spans="1:5" ht="4.95" customHeight="1" x14ac:dyDescent="0.3">
      <c r="A2" s="5"/>
      <c r="B2" s="564"/>
      <c r="C2" s="565"/>
      <c r="D2" s="565"/>
      <c r="E2" s="565"/>
    </row>
    <row r="3" spans="1:5" ht="18" customHeight="1" x14ac:dyDescent="0.3">
      <c r="A3" s="5"/>
      <c r="B3" s="198"/>
      <c r="C3" s="199"/>
      <c r="D3" s="520" t="s">
        <v>1</v>
      </c>
      <c r="E3" s="521"/>
    </row>
    <row r="4" spans="1:5" ht="15" customHeight="1" x14ac:dyDescent="0.3">
      <c r="A4" s="5"/>
      <c r="B4" s="563" t="s">
        <v>6</v>
      </c>
      <c r="C4" s="519"/>
      <c r="D4" s="100" t="s">
        <v>2</v>
      </c>
      <c r="E4" s="340" t="s">
        <v>45</v>
      </c>
    </row>
    <row r="5" spans="1:5" ht="15" customHeight="1" x14ac:dyDescent="0.3">
      <c r="A5" s="5"/>
      <c r="B5" s="559" t="s">
        <v>8</v>
      </c>
      <c r="C5" s="519"/>
      <c r="D5" s="100" t="s">
        <v>9</v>
      </c>
      <c r="E5" s="338">
        <v>1</v>
      </c>
    </row>
    <row r="6" spans="1:5" ht="15" customHeight="1" x14ac:dyDescent="0.3">
      <c r="A6" s="5"/>
      <c r="B6" s="200"/>
      <c r="C6" s="201"/>
      <c r="D6" s="100" t="s">
        <v>10</v>
      </c>
      <c r="E6" s="178" t="s">
        <v>11</v>
      </c>
    </row>
    <row r="7" spans="1:5" ht="15" customHeight="1" x14ac:dyDescent="0.3">
      <c r="B7" s="200"/>
      <c r="C7" s="201"/>
      <c r="D7" s="101" t="s">
        <v>12</v>
      </c>
      <c r="E7" s="339" t="s">
        <v>13</v>
      </c>
    </row>
    <row r="8" spans="1:5" ht="15" customHeight="1" x14ac:dyDescent="0.3">
      <c r="A8" s="566" t="s">
        <v>46</v>
      </c>
      <c r="B8" s="505"/>
      <c r="C8" s="505"/>
      <c r="D8" s="505"/>
      <c r="E8" s="505"/>
    </row>
    <row r="9" spans="1:5" ht="15" customHeight="1" x14ac:dyDescent="0.3">
      <c r="A9" s="104" t="s">
        <v>47</v>
      </c>
      <c r="B9" s="105"/>
      <c r="C9" s="560" t="s">
        <v>48</v>
      </c>
      <c r="D9" s="505"/>
      <c r="E9" s="505"/>
    </row>
    <row r="10" spans="1:5" ht="15" customHeight="1" x14ac:dyDescent="0.3">
      <c r="A10" s="106" t="s">
        <v>49</v>
      </c>
      <c r="B10" s="107"/>
      <c r="C10" s="562" t="s">
        <v>50</v>
      </c>
      <c r="D10" s="505"/>
      <c r="E10" s="505"/>
    </row>
    <row r="11" spans="1:5" ht="15" customHeight="1" x14ac:dyDescent="0.3">
      <c r="A11" s="104" t="s">
        <v>51</v>
      </c>
      <c r="B11" s="105"/>
      <c r="C11" s="560" t="s">
        <v>52</v>
      </c>
      <c r="D11" s="505"/>
      <c r="E11" s="505"/>
    </row>
    <row r="12" spans="1:5" ht="15" customHeight="1" x14ac:dyDescent="0.3">
      <c r="A12" s="106" t="s">
        <v>53</v>
      </c>
      <c r="B12" s="107"/>
      <c r="C12" s="562" t="s">
        <v>52</v>
      </c>
      <c r="D12" s="505"/>
      <c r="E12" s="505"/>
    </row>
    <row r="13" spans="1:5" ht="15" customHeight="1" x14ac:dyDescent="0.3">
      <c r="A13" s="104" t="s">
        <v>54</v>
      </c>
      <c r="B13" s="108">
        <f>B9*B12</f>
        <v>0</v>
      </c>
      <c r="C13" s="560" t="s">
        <v>52</v>
      </c>
      <c r="D13" s="505"/>
      <c r="E13" s="505"/>
    </row>
    <row r="14" spans="1:5" ht="15" customHeight="1" x14ac:dyDescent="0.3">
      <c r="A14" s="106" t="s">
        <v>55</v>
      </c>
      <c r="B14" s="107"/>
      <c r="C14" s="562" t="s">
        <v>52</v>
      </c>
      <c r="D14" s="505"/>
      <c r="E14" s="505"/>
    </row>
    <row r="15" spans="1:5" ht="15" customHeight="1" x14ac:dyDescent="0.3">
      <c r="A15" s="104" t="s">
        <v>56</v>
      </c>
      <c r="B15" s="105"/>
      <c r="C15" s="560" t="s">
        <v>52</v>
      </c>
      <c r="D15" s="505"/>
      <c r="E15" s="505"/>
    </row>
    <row r="16" spans="1:5" ht="15" customHeight="1" x14ac:dyDescent="0.3">
      <c r="A16" s="106" t="s">
        <v>57</v>
      </c>
      <c r="B16" s="109">
        <f>B13+B14+B15</f>
        <v>0</v>
      </c>
      <c r="C16" s="562" t="s">
        <v>52</v>
      </c>
      <c r="D16" s="505"/>
      <c r="E16" s="505"/>
    </row>
    <row r="17" spans="1:5" ht="15" customHeight="1" x14ac:dyDescent="0.3">
      <c r="A17" s="104" t="s">
        <v>58</v>
      </c>
      <c r="B17" s="105"/>
      <c r="C17" s="560" t="s">
        <v>59</v>
      </c>
      <c r="D17" s="505"/>
      <c r="E17" s="505"/>
    </row>
    <row r="18" spans="1:5" ht="15" customHeight="1" x14ac:dyDescent="0.3">
      <c r="A18" s="106" t="s">
        <v>60</v>
      </c>
      <c r="B18" s="107"/>
      <c r="C18" s="562" t="s">
        <v>52</v>
      </c>
      <c r="D18" s="505"/>
      <c r="E18" s="505"/>
    </row>
    <row r="19" spans="1:5" ht="15" customHeight="1" x14ac:dyDescent="0.3">
      <c r="A19" s="104" t="s">
        <v>61</v>
      </c>
      <c r="B19" s="105"/>
      <c r="C19" s="560" t="s">
        <v>59</v>
      </c>
      <c r="D19" s="505"/>
      <c r="E19" s="505"/>
    </row>
    <row r="20" spans="1:5" ht="15" customHeight="1" x14ac:dyDescent="0.3">
      <c r="A20" s="106" t="s">
        <v>62</v>
      </c>
      <c r="B20" s="107"/>
      <c r="C20" s="562" t="s">
        <v>59</v>
      </c>
      <c r="D20" s="505"/>
      <c r="E20" s="505"/>
    </row>
    <row r="21" spans="1:5" ht="15" customHeight="1" x14ac:dyDescent="0.3">
      <c r="A21" s="104" t="s">
        <v>63</v>
      </c>
      <c r="B21" s="105"/>
      <c r="C21" s="560" t="s">
        <v>64</v>
      </c>
      <c r="D21" s="505"/>
      <c r="E21" s="505"/>
    </row>
    <row r="22" spans="1:5" x14ac:dyDescent="0.3">
      <c r="A22" s="298"/>
      <c r="B22" s="298"/>
      <c r="C22" s="567"/>
      <c r="D22" s="505"/>
      <c r="E22" s="505"/>
    </row>
    <row r="23" spans="1:5" ht="15" customHeight="1" x14ac:dyDescent="0.3">
      <c r="A23" s="561" t="s">
        <v>65</v>
      </c>
      <c r="B23" s="505"/>
      <c r="C23" s="505"/>
      <c r="D23" s="505"/>
      <c r="E23" s="505"/>
    </row>
    <row r="24" spans="1:5" ht="15" customHeight="1" x14ac:dyDescent="0.3">
      <c r="A24" s="104" t="s">
        <v>66</v>
      </c>
      <c r="B24" s="386">
        <v>0.1</v>
      </c>
      <c r="C24" s="560" t="s">
        <v>67</v>
      </c>
      <c r="D24" s="505"/>
      <c r="E24" s="505"/>
    </row>
    <row r="25" spans="1:5" ht="15" customHeight="1" x14ac:dyDescent="0.3">
      <c r="A25" s="106" t="s">
        <v>68</v>
      </c>
      <c r="B25" s="387">
        <v>0.04</v>
      </c>
      <c r="C25" s="562" t="s">
        <v>67</v>
      </c>
      <c r="D25" s="505"/>
      <c r="E25" s="505"/>
    </row>
    <row r="26" spans="1:5" ht="15" customHeight="1" x14ac:dyDescent="0.3">
      <c r="A26" s="104" t="s">
        <v>69</v>
      </c>
      <c r="B26" s="386">
        <v>0.12</v>
      </c>
      <c r="C26" s="560" t="s">
        <v>67</v>
      </c>
      <c r="D26" s="505"/>
      <c r="E26" s="505"/>
    </row>
    <row r="27" spans="1:5" ht="15" customHeight="1" x14ac:dyDescent="0.3">
      <c r="A27" s="106" t="s">
        <v>70</v>
      </c>
      <c r="B27" s="387">
        <v>0.19</v>
      </c>
      <c r="C27" s="562" t="s">
        <v>71</v>
      </c>
      <c r="D27" s="505"/>
      <c r="E27" s="505"/>
    </row>
    <row r="28" spans="1:5" x14ac:dyDescent="0.3">
      <c r="A28" s="298"/>
      <c r="B28" s="298"/>
      <c r="C28" s="567"/>
      <c r="D28" s="505"/>
      <c r="E28" s="505"/>
    </row>
    <row r="29" spans="1:5" ht="15" customHeight="1" x14ac:dyDescent="0.3">
      <c r="A29" s="110" t="s">
        <v>72</v>
      </c>
      <c r="B29" s="388">
        <f>B24+B25+B26</f>
        <v>0.26</v>
      </c>
      <c r="C29" s="567"/>
      <c r="D29" s="505"/>
      <c r="E29" s="505"/>
    </row>
    <row r="30" spans="1:5" x14ac:dyDescent="0.3">
      <c r="A30" s="298"/>
      <c r="B30" s="298"/>
      <c r="C30" s="567"/>
      <c r="D30" s="505"/>
      <c r="E30" s="505"/>
    </row>
    <row r="31" spans="1:5" ht="15" customHeight="1" x14ac:dyDescent="0.3">
      <c r="A31" s="561" t="s">
        <v>73</v>
      </c>
      <c r="B31" s="505"/>
      <c r="C31" s="505"/>
      <c r="D31" s="505"/>
      <c r="E31" s="505"/>
    </row>
    <row r="32" spans="1:5" s="227" customFormat="1" ht="15" customHeight="1" x14ac:dyDescent="0.3">
      <c r="A32" s="228" t="s">
        <v>43</v>
      </c>
      <c r="B32" s="226"/>
      <c r="C32" s="226"/>
      <c r="D32" s="226"/>
      <c r="E32" s="1125" t="str">
        <f>E4</f>
        <v>RYR-FT-001</v>
      </c>
    </row>
    <row r="33" spans="1:5" ht="25.5" customHeight="1" x14ac:dyDescent="0.3">
      <c r="A33" s="558" t="s">
        <v>74</v>
      </c>
      <c r="B33" s="505"/>
      <c r="C33" s="505"/>
      <c r="D33" s="505"/>
      <c r="E33" s="505"/>
    </row>
    <row r="34" spans="1:5" ht="25.5" customHeight="1" x14ac:dyDescent="0.3">
      <c r="A34" s="558" t="s">
        <v>75</v>
      </c>
      <c r="B34" s="505"/>
      <c r="C34" s="505"/>
      <c r="D34" s="505"/>
      <c r="E34" s="505"/>
    </row>
    <row r="35" spans="1:5" ht="25.5" customHeight="1" x14ac:dyDescent="0.3">
      <c r="A35" s="558" t="s">
        <v>76</v>
      </c>
      <c r="B35" s="505"/>
      <c r="C35" s="505"/>
      <c r="D35" s="505"/>
      <c r="E35" s="505"/>
    </row>
    <row r="36" spans="1:5" ht="25.5" customHeight="1" x14ac:dyDescent="0.3">
      <c r="A36" s="558" t="s">
        <v>77</v>
      </c>
      <c r="B36" s="505"/>
      <c r="C36" s="505"/>
      <c r="D36" s="505"/>
      <c r="E36" s="505"/>
    </row>
    <row r="37" spans="1:5" ht="25.5" customHeight="1" x14ac:dyDescent="0.3">
      <c r="A37" s="558" t="s">
        <v>78</v>
      </c>
      <c r="B37" s="505"/>
      <c r="C37" s="505"/>
      <c r="D37" s="505"/>
      <c r="E37" s="505"/>
    </row>
    <row r="38" spans="1:5" ht="25.5" customHeight="1" x14ac:dyDescent="0.3">
      <c r="A38" s="558" t="s">
        <v>79</v>
      </c>
      <c r="B38" s="505"/>
      <c r="C38" s="505"/>
      <c r="D38" s="505"/>
      <c r="E38" s="505"/>
    </row>
    <row r="39" spans="1:5" ht="25.5" customHeight="1" x14ac:dyDescent="0.3">
      <c r="A39" s="558" t="s">
        <v>80</v>
      </c>
      <c r="B39" s="505"/>
      <c r="C39" s="505"/>
      <c r="D39" s="505"/>
      <c r="E39" s="505"/>
    </row>
    <row r="40" spans="1:5" ht="25.5" customHeight="1" x14ac:dyDescent="0.3">
      <c r="A40" s="558" t="s">
        <v>81</v>
      </c>
      <c r="B40" s="505"/>
      <c r="C40" s="505"/>
      <c r="D40" s="505"/>
      <c r="E40" s="505"/>
    </row>
    <row r="41" spans="1:5" ht="25.5" customHeight="1" x14ac:dyDescent="0.3">
      <c r="A41" s="558" t="s">
        <v>82</v>
      </c>
      <c r="B41" s="505"/>
      <c r="C41" s="505"/>
      <c r="D41" s="505"/>
      <c r="E41" s="505"/>
    </row>
    <row r="42" spans="1:5" ht="25.5" customHeight="1" x14ac:dyDescent="0.3">
      <c r="A42" s="558" t="s">
        <v>83</v>
      </c>
      <c r="B42" s="505"/>
      <c r="C42" s="505"/>
      <c r="D42" s="505"/>
      <c r="E42" s="505"/>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x14ac:dyDescent="0.3"/>
  <cols>
    <col min="1" max="1" width="8" style="312" customWidth="1"/>
    <col min="2" max="2" width="60.77734375" style="334" customWidth="1"/>
    <col min="3" max="3" width="50.77734375" style="334" customWidth="1"/>
    <col min="4" max="6" width="20.77734375" style="334" customWidth="1"/>
  </cols>
  <sheetData>
    <row r="1" spans="1:6" x14ac:dyDescent="0.3">
      <c r="A1" s="3"/>
      <c r="B1" s="631"/>
      <c r="C1" s="513" t="s">
        <v>978</v>
      </c>
      <c r="D1" s="505"/>
      <c r="E1" s="505"/>
      <c r="F1" s="505"/>
    </row>
    <row r="2" spans="1:6" x14ac:dyDescent="0.3">
      <c r="A2" s="3"/>
      <c r="B2" s="505"/>
      <c r="C2" s="505"/>
      <c r="D2" s="505"/>
      <c r="E2" s="505"/>
      <c r="F2" s="505"/>
    </row>
    <row r="3" spans="1:6" x14ac:dyDescent="0.3">
      <c r="A3" s="3"/>
      <c r="B3" s="505"/>
      <c r="C3" s="505"/>
      <c r="D3" s="505"/>
      <c r="E3" s="505"/>
      <c r="F3" s="505"/>
    </row>
    <row r="4" spans="1:6" ht="4.95" customHeight="1" x14ac:dyDescent="0.3">
      <c r="A4" s="3"/>
      <c r="B4" s="505"/>
      <c r="C4" s="193"/>
      <c r="D4" s="193"/>
      <c r="E4" s="193"/>
      <c r="F4" s="193"/>
    </row>
    <row r="5" spans="1:6" x14ac:dyDescent="0.3">
      <c r="A5" s="3"/>
      <c r="B5" s="505"/>
      <c r="C5" s="655"/>
      <c r="D5" s="519"/>
      <c r="E5" s="663" t="s">
        <v>1</v>
      </c>
      <c r="F5" s="521"/>
    </row>
    <row r="6" spans="1:6" ht="21" customHeight="1" x14ac:dyDescent="0.3">
      <c r="A6" s="3"/>
      <c r="B6" s="505"/>
      <c r="C6" s="563" t="s">
        <v>6</v>
      </c>
      <c r="D6" s="519"/>
      <c r="E6" s="194" t="s">
        <v>2</v>
      </c>
      <c r="F6" s="340" t="s">
        <v>979</v>
      </c>
    </row>
    <row r="7" spans="1:6" ht="15" customHeight="1" x14ac:dyDescent="0.3">
      <c r="A7" s="3"/>
      <c r="B7" s="505"/>
      <c r="C7" s="559" t="s">
        <v>8</v>
      </c>
      <c r="D7" s="519"/>
      <c r="E7" s="194" t="s">
        <v>9</v>
      </c>
      <c r="F7" s="338">
        <v>1</v>
      </c>
    </row>
    <row r="8" spans="1:6" ht="15" customHeight="1" x14ac:dyDescent="0.3">
      <c r="A8" s="3"/>
      <c r="B8" s="505"/>
      <c r="C8" s="655"/>
      <c r="D8" s="519"/>
      <c r="E8" s="194" t="s">
        <v>10</v>
      </c>
      <c r="F8" s="178" t="s">
        <v>11</v>
      </c>
    </row>
    <row r="9" spans="1:6" ht="15" customHeight="1" x14ac:dyDescent="0.3">
      <c r="A9" s="3"/>
      <c r="B9" s="505"/>
      <c r="C9" s="655"/>
      <c r="D9" s="519"/>
      <c r="E9" s="195" t="s">
        <v>12</v>
      </c>
      <c r="F9" s="197" t="s">
        <v>13</v>
      </c>
    </row>
    <row r="10" spans="1:6" ht="15" customHeight="1" x14ac:dyDescent="0.3">
      <c r="A10" s="665" t="s">
        <v>980</v>
      </c>
      <c r="B10" s="565"/>
      <c r="C10" s="565"/>
      <c r="D10" s="565"/>
      <c r="E10" s="565"/>
      <c r="F10" s="565"/>
    </row>
    <row r="11" spans="1:6" ht="15" customHeight="1" x14ac:dyDescent="0.3">
      <c r="A11" s="657" t="s">
        <v>981</v>
      </c>
      <c r="B11" s="658"/>
      <c r="C11" s="658"/>
      <c r="D11" s="658"/>
      <c r="E11" s="658"/>
      <c r="F11" s="521"/>
    </row>
    <row r="12" spans="1:6" x14ac:dyDescent="0.3">
      <c r="A12" s="659" t="s">
        <v>16</v>
      </c>
      <c r="B12" s="660"/>
      <c r="C12" s="661"/>
      <c r="D12" s="660"/>
      <c r="E12" s="123" t="s">
        <v>10</v>
      </c>
      <c r="F12" s="356" t="s">
        <v>11</v>
      </c>
    </row>
    <row r="13" spans="1:6" ht="15" customHeight="1" x14ac:dyDescent="0.3">
      <c r="A13" s="215" t="s">
        <v>982</v>
      </c>
      <c r="B13" s="216" t="s">
        <v>22</v>
      </c>
      <c r="C13" s="216" t="s">
        <v>94</v>
      </c>
      <c r="D13" s="216" t="s">
        <v>983</v>
      </c>
      <c r="E13" s="216" t="s">
        <v>984</v>
      </c>
      <c r="F13" s="217" t="s">
        <v>985</v>
      </c>
    </row>
    <row r="14" spans="1:6" x14ac:dyDescent="0.3">
      <c r="A14" s="196" t="s">
        <v>986</v>
      </c>
      <c r="B14" s="652" t="s">
        <v>112</v>
      </c>
      <c r="C14" s="507"/>
      <c r="D14" s="507"/>
      <c r="E14" s="507"/>
      <c r="F14" s="508"/>
    </row>
    <row r="15" spans="1:6" x14ac:dyDescent="0.3">
      <c r="A15" s="85" t="s">
        <v>987</v>
      </c>
      <c r="B15" s="307" t="s">
        <v>765</v>
      </c>
      <c r="C15" s="308" t="s">
        <v>988</v>
      </c>
      <c r="D15" s="309"/>
      <c r="E15" s="397"/>
      <c r="F15" s="398">
        <f t="shared" ref="F15:F23" si="0">D15*E15</f>
        <v>0</v>
      </c>
    </row>
    <row r="16" spans="1:6" x14ac:dyDescent="0.3">
      <c r="A16" s="85" t="s">
        <v>989</v>
      </c>
      <c r="B16" s="307" t="s">
        <v>120</v>
      </c>
      <c r="C16" s="308" t="s">
        <v>988</v>
      </c>
      <c r="D16" s="309"/>
      <c r="E16" s="397"/>
      <c r="F16" s="398">
        <f t="shared" si="0"/>
        <v>0</v>
      </c>
    </row>
    <row r="17" spans="1:6" x14ac:dyDescent="0.3">
      <c r="A17" s="85" t="s">
        <v>990</v>
      </c>
      <c r="B17" s="307" t="s">
        <v>123</v>
      </c>
      <c r="C17" s="308" t="s">
        <v>991</v>
      </c>
      <c r="D17" s="309"/>
      <c r="E17" s="397"/>
      <c r="F17" s="398">
        <f t="shared" si="0"/>
        <v>0</v>
      </c>
    </row>
    <row r="18" spans="1:6" x14ac:dyDescent="0.3">
      <c r="A18" s="85" t="s">
        <v>992</v>
      </c>
      <c r="B18" s="307" t="s">
        <v>126</v>
      </c>
      <c r="C18" s="308" t="s">
        <v>991</v>
      </c>
      <c r="D18" s="309"/>
      <c r="E18" s="397"/>
      <c r="F18" s="398">
        <f t="shared" si="0"/>
        <v>0</v>
      </c>
    </row>
    <row r="19" spans="1:6" x14ac:dyDescent="0.3">
      <c r="A19" s="85" t="s">
        <v>993</v>
      </c>
      <c r="B19" s="307" t="s">
        <v>129</v>
      </c>
      <c r="C19" s="308" t="s">
        <v>994</v>
      </c>
      <c r="D19" s="309"/>
      <c r="E19" s="397"/>
      <c r="F19" s="398">
        <f t="shared" si="0"/>
        <v>0</v>
      </c>
    </row>
    <row r="20" spans="1:6" x14ac:dyDescent="0.3">
      <c r="A20" s="85" t="s">
        <v>995</v>
      </c>
      <c r="B20" s="307" t="s">
        <v>132</v>
      </c>
      <c r="C20" s="308" t="s">
        <v>996</v>
      </c>
      <c r="D20" s="309"/>
      <c r="E20" s="397"/>
      <c r="F20" s="398">
        <f t="shared" si="0"/>
        <v>0</v>
      </c>
    </row>
    <row r="21" spans="1:6" x14ac:dyDescent="0.3">
      <c r="A21" s="85" t="s">
        <v>997</v>
      </c>
      <c r="B21" s="307" t="s">
        <v>136</v>
      </c>
      <c r="C21" s="308" t="s">
        <v>991</v>
      </c>
      <c r="D21" s="309"/>
      <c r="E21" s="397"/>
      <c r="F21" s="398">
        <f t="shared" si="0"/>
        <v>0</v>
      </c>
    </row>
    <row r="22" spans="1:6" x14ac:dyDescent="0.3">
      <c r="A22" s="85" t="s">
        <v>998</v>
      </c>
      <c r="B22" s="307" t="s">
        <v>139</v>
      </c>
      <c r="C22" s="308" t="s">
        <v>991</v>
      </c>
      <c r="D22" s="309"/>
      <c r="E22" s="397"/>
      <c r="F22" s="398">
        <f t="shared" si="0"/>
        <v>0</v>
      </c>
    </row>
    <row r="23" spans="1:6" x14ac:dyDescent="0.3">
      <c r="A23" s="85" t="s">
        <v>999</v>
      </c>
      <c r="B23" s="307" t="s">
        <v>142</v>
      </c>
      <c r="C23" s="308" t="s">
        <v>1000</v>
      </c>
      <c r="D23" s="309"/>
      <c r="E23" s="397"/>
      <c r="F23" s="398">
        <f t="shared" si="0"/>
        <v>0</v>
      </c>
    </row>
    <row r="24" spans="1:6" x14ac:dyDescent="0.3">
      <c r="A24" s="86"/>
      <c r="B24" s="651" t="s">
        <v>1001</v>
      </c>
      <c r="C24" s="510"/>
      <c r="D24" s="510"/>
      <c r="E24" s="510"/>
      <c r="F24" s="399">
        <f>SUM(F15:F23)</f>
        <v>0</v>
      </c>
    </row>
    <row r="25" spans="1:6" x14ac:dyDescent="0.3">
      <c r="A25" s="87"/>
      <c r="B25" s="310"/>
      <c r="C25" s="310"/>
      <c r="D25" s="310"/>
      <c r="E25" s="310"/>
      <c r="F25" s="311"/>
    </row>
    <row r="26" spans="1:6" x14ac:dyDescent="0.3">
      <c r="A26" s="196" t="s">
        <v>1002</v>
      </c>
      <c r="B26" s="652" t="s">
        <v>145</v>
      </c>
      <c r="C26" s="507"/>
      <c r="D26" s="507"/>
      <c r="E26" s="507"/>
      <c r="F26" s="508"/>
    </row>
    <row r="27" spans="1:6" x14ac:dyDescent="0.3">
      <c r="A27" s="85" t="s">
        <v>1003</v>
      </c>
      <c r="B27" s="307" t="s">
        <v>148</v>
      </c>
      <c r="C27" s="308" t="s">
        <v>1000</v>
      </c>
      <c r="D27" s="309"/>
      <c r="E27" s="397"/>
      <c r="F27" s="398">
        <f t="shared" ref="F27:F37" si="1">D27*E27</f>
        <v>0</v>
      </c>
    </row>
    <row r="28" spans="1:6" x14ac:dyDescent="0.3">
      <c r="A28" s="85" t="s">
        <v>1004</v>
      </c>
      <c r="B28" s="307" t="s">
        <v>151</v>
      </c>
      <c r="C28" s="308" t="s">
        <v>1000</v>
      </c>
      <c r="D28" s="309"/>
      <c r="E28" s="397"/>
      <c r="F28" s="398">
        <f t="shared" si="1"/>
        <v>0</v>
      </c>
    </row>
    <row r="29" spans="1:6" x14ac:dyDescent="0.3">
      <c r="A29" s="85" t="s">
        <v>1005</v>
      </c>
      <c r="B29" s="307" t="s">
        <v>154</v>
      </c>
      <c r="C29" s="308" t="s">
        <v>1000</v>
      </c>
      <c r="D29" s="309"/>
      <c r="E29" s="397"/>
      <c r="F29" s="398">
        <f t="shared" si="1"/>
        <v>0</v>
      </c>
    </row>
    <row r="30" spans="1:6" x14ac:dyDescent="0.3">
      <c r="A30" s="85" t="s">
        <v>1006</v>
      </c>
      <c r="B30" s="307" t="s">
        <v>157</v>
      </c>
      <c r="C30" s="308" t="s">
        <v>991</v>
      </c>
      <c r="D30" s="309"/>
      <c r="E30" s="397"/>
      <c r="F30" s="398">
        <f t="shared" si="1"/>
        <v>0</v>
      </c>
    </row>
    <row r="31" spans="1:6" x14ac:dyDescent="0.3">
      <c r="A31" s="85" t="s">
        <v>1007</v>
      </c>
      <c r="B31" s="307" t="s">
        <v>161</v>
      </c>
      <c r="C31" s="308" t="s">
        <v>1000</v>
      </c>
      <c r="D31" s="309"/>
      <c r="E31" s="397"/>
      <c r="F31" s="398">
        <f t="shared" si="1"/>
        <v>0</v>
      </c>
    </row>
    <row r="32" spans="1:6" x14ac:dyDescent="0.3">
      <c r="A32" s="85" t="s">
        <v>1008</v>
      </c>
      <c r="B32" s="307" t="s">
        <v>164</v>
      </c>
      <c r="C32" s="308" t="s">
        <v>1000</v>
      </c>
      <c r="D32" s="309"/>
      <c r="E32" s="397"/>
      <c r="F32" s="398">
        <f t="shared" si="1"/>
        <v>0</v>
      </c>
    </row>
    <row r="33" spans="1:6" x14ac:dyDescent="0.3">
      <c r="A33" s="85" t="s">
        <v>1009</v>
      </c>
      <c r="B33" s="307" t="s">
        <v>167</v>
      </c>
      <c r="C33" s="308" t="s">
        <v>1000</v>
      </c>
      <c r="D33" s="309"/>
      <c r="E33" s="397"/>
      <c r="F33" s="398">
        <f t="shared" si="1"/>
        <v>0</v>
      </c>
    </row>
    <row r="34" spans="1:6" x14ac:dyDescent="0.3">
      <c r="A34" s="85" t="s">
        <v>1010</v>
      </c>
      <c r="B34" s="307" t="s">
        <v>170</v>
      </c>
      <c r="C34" s="308" t="s">
        <v>1000</v>
      </c>
      <c r="D34" s="309"/>
      <c r="E34" s="397"/>
      <c r="F34" s="398">
        <f t="shared" si="1"/>
        <v>0</v>
      </c>
    </row>
    <row r="35" spans="1:6" x14ac:dyDescent="0.3">
      <c r="A35" s="85" t="s">
        <v>1011</v>
      </c>
      <c r="B35" s="307" t="s">
        <v>174</v>
      </c>
      <c r="C35" s="308" t="s">
        <v>1000</v>
      </c>
      <c r="D35" s="309"/>
      <c r="E35" s="397"/>
      <c r="F35" s="398">
        <f t="shared" si="1"/>
        <v>0</v>
      </c>
    </row>
    <row r="36" spans="1:6" x14ac:dyDescent="0.3">
      <c r="A36" s="85" t="s">
        <v>1012</v>
      </c>
      <c r="B36" s="307" t="s">
        <v>177</v>
      </c>
      <c r="C36" s="308" t="s">
        <v>1000</v>
      </c>
      <c r="D36" s="309"/>
      <c r="E36" s="397"/>
      <c r="F36" s="398">
        <f t="shared" si="1"/>
        <v>0</v>
      </c>
    </row>
    <row r="37" spans="1:6" x14ac:dyDescent="0.3">
      <c r="A37" s="85" t="s">
        <v>1013</v>
      </c>
      <c r="B37" s="307" t="s">
        <v>180</v>
      </c>
      <c r="C37" s="308" t="s">
        <v>1000</v>
      </c>
      <c r="D37" s="309"/>
      <c r="E37" s="397"/>
      <c r="F37" s="398">
        <f t="shared" si="1"/>
        <v>0</v>
      </c>
    </row>
    <row r="38" spans="1:6" x14ac:dyDescent="0.3">
      <c r="A38" s="86"/>
      <c r="B38" s="651" t="s">
        <v>1014</v>
      </c>
      <c r="C38" s="510"/>
      <c r="D38" s="510"/>
      <c r="E38" s="510"/>
      <c r="F38" s="399">
        <f>SUM(F27:F37)</f>
        <v>0</v>
      </c>
    </row>
    <row r="39" spans="1:6" x14ac:dyDescent="0.3">
      <c r="A39" s="87"/>
      <c r="B39" s="310"/>
      <c r="C39" s="310"/>
      <c r="D39" s="310"/>
      <c r="E39" s="310"/>
      <c r="F39" s="311"/>
    </row>
    <row r="40" spans="1:6" x14ac:dyDescent="0.3">
      <c r="A40" s="196" t="s">
        <v>1015</v>
      </c>
      <c r="B40" s="652" t="s">
        <v>182</v>
      </c>
      <c r="C40" s="507"/>
      <c r="D40" s="507"/>
      <c r="E40" s="507"/>
      <c r="F40" s="508"/>
    </row>
    <row r="41" spans="1:6" x14ac:dyDescent="0.3">
      <c r="A41" s="85" t="s">
        <v>1016</v>
      </c>
      <c r="B41" s="307" t="s">
        <v>185</v>
      </c>
      <c r="C41" s="308" t="s">
        <v>1000</v>
      </c>
      <c r="D41" s="309"/>
      <c r="E41" s="397"/>
      <c r="F41" s="398">
        <f t="shared" ref="F41:F47" si="2">D41*E41</f>
        <v>0</v>
      </c>
    </row>
    <row r="42" spans="1:6" x14ac:dyDescent="0.3">
      <c r="A42" s="85" t="s">
        <v>1017</v>
      </c>
      <c r="B42" s="307" t="s">
        <v>188</v>
      </c>
      <c r="C42" s="308" t="s">
        <v>1000</v>
      </c>
      <c r="D42" s="309"/>
      <c r="E42" s="397"/>
      <c r="F42" s="398">
        <f t="shared" si="2"/>
        <v>0</v>
      </c>
    </row>
    <row r="43" spans="1:6" x14ac:dyDescent="0.3">
      <c r="A43" s="85" t="s">
        <v>1018</v>
      </c>
      <c r="B43" s="307" t="s">
        <v>191</v>
      </c>
      <c r="C43" s="308" t="s">
        <v>1000</v>
      </c>
      <c r="D43" s="309"/>
      <c r="E43" s="397"/>
      <c r="F43" s="398">
        <f t="shared" si="2"/>
        <v>0</v>
      </c>
    </row>
    <row r="44" spans="1:6" x14ac:dyDescent="0.3">
      <c r="A44" s="85" t="s">
        <v>1019</v>
      </c>
      <c r="B44" s="307" t="s">
        <v>194</v>
      </c>
      <c r="C44" s="308" t="s">
        <v>1000</v>
      </c>
      <c r="D44" s="309"/>
      <c r="E44" s="397"/>
      <c r="F44" s="398">
        <f t="shared" si="2"/>
        <v>0</v>
      </c>
    </row>
    <row r="45" spans="1:6" x14ac:dyDescent="0.3">
      <c r="A45" s="85" t="s">
        <v>1020</v>
      </c>
      <c r="B45" s="307" t="s">
        <v>197</v>
      </c>
      <c r="C45" s="308" t="s">
        <v>1000</v>
      </c>
      <c r="D45" s="309"/>
      <c r="E45" s="397"/>
      <c r="F45" s="398">
        <f t="shared" si="2"/>
        <v>0</v>
      </c>
    </row>
    <row r="46" spans="1:6" x14ac:dyDescent="0.3">
      <c r="A46" s="85" t="s">
        <v>1021</v>
      </c>
      <c r="B46" s="307" t="s">
        <v>201</v>
      </c>
      <c r="C46" s="308" t="s">
        <v>1022</v>
      </c>
      <c r="D46" s="309"/>
      <c r="E46" s="397"/>
      <c r="F46" s="398">
        <f t="shared" si="2"/>
        <v>0</v>
      </c>
    </row>
    <row r="47" spans="1:6" x14ac:dyDescent="0.3">
      <c r="A47" s="85" t="s">
        <v>1023</v>
      </c>
      <c r="B47" s="307" t="s">
        <v>206</v>
      </c>
      <c r="C47" s="308" t="s">
        <v>991</v>
      </c>
      <c r="D47" s="309"/>
      <c r="E47" s="397"/>
      <c r="F47" s="398">
        <f t="shared" si="2"/>
        <v>0</v>
      </c>
    </row>
    <row r="48" spans="1:6" x14ac:dyDescent="0.3">
      <c r="A48" s="86"/>
      <c r="B48" s="651" t="s">
        <v>1024</v>
      </c>
      <c r="C48" s="510"/>
      <c r="D48" s="510"/>
      <c r="E48" s="510"/>
      <c r="F48" s="399">
        <f>SUM(F41:F47)</f>
        <v>0</v>
      </c>
    </row>
    <row r="49" spans="1:6" x14ac:dyDescent="0.3">
      <c r="A49" s="87"/>
      <c r="B49" s="310"/>
      <c r="C49" s="310"/>
      <c r="D49" s="310"/>
      <c r="E49" s="310"/>
      <c r="F49" s="311"/>
    </row>
    <row r="50" spans="1:6" x14ac:dyDescent="0.3">
      <c r="A50" s="196" t="s">
        <v>1025</v>
      </c>
      <c r="B50" s="656" t="s">
        <v>208</v>
      </c>
      <c r="C50" s="510"/>
      <c r="D50" s="510"/>
      <c r="E50" s="510"/>
      <c r="F50" s="510"/>
    </row>
    <row r="51" spans="1:6" x14ac:dyDescent="0.3">
      <c r="A51" s="85" t="s">
        <v>1026</v>
      </c>
      <c r="B51" s="307" t="s">
        <v>210</v>
      </c>
      <c r="C51" s="308" t="s">
        <v>1000</v>
      </c>
      <c r="D51" s="309"/>
      <c r="E51" s="397"/>
      <c r="F51" s="398">
        <f>D51*E51</f>
        <v>0</v>
      </c>
    </row>
    <row r="52" spans="1:6" x14ac:dyDescent="0.3">
      <c r="A52" s="85" t="s">
        <v>1027</v>
      </c>
      <c r="B52" s="307" t="s">
        <v>213</v>
      </c>
      <c r="C52" s="308" t="inlineStr">
        <is>
          <t>M³</t>
        </is>
      </c>
      <c r="D52" s="309"/>
      <c r="E52" s="397"/>
      <c r="F52" s="398">
        <f>D52*E52</f>
      </c>
    </row>
    <row r="53" spans="1:6" x14ac:dyDescent="0.3">
      <c r="A53" s="85" t="s">
        <v>1028</v>
      </c>
      <c r="B53" s="307" t="s">
        <v>216</v>
      </c>
      <c r="C53" s="308" t="s">
        <v>1000</v>
      </c>
      <c r="D53" s="309"/>
      <c r="E53" s="397"/>
      <c r="F53" s="398">
        <f t="shared" ref="F53:F59" si="3">D53*E53</f>
        <v>0</v>
      </c>
    </row>
    <row r="54" spans="1:6" x14ac:dyDescent="0.3">
      <c r="A54" s="85" t="s">
        <v>1029</v>
      </c>
      <c r="B54" s="307" t="s">
        <v>219</v>
      </c>
      <c r="C54" s="308" t="s">
        <v>1000</v>
      </c>
      <c r="D54" s="309"/>
      <c r="E54" s="397"/>
      <c r="F54" s="398">
        <f t="shared" si="3"/>
        <v>0</v>
      </c>
    </row>
    <row r="55" spans="1:6" x14ac:dyDescent="0.3">
      <c r="A55" s="85" t="s">
        <v>1030</v>
      </c>
      <c r="B55" s="307" t="s">
        <v>222</v>
      </c>
      <c r="C55" s="308" t="s">
        <v>1000</v>
      </c>
      <c r="D55" s="309"/>
      <c r="E55" s="397"/>
      <c r="F55" s="398">
        <f t="shared" si="3"/>
        <v>0</v>
      </c>
    </row>
    <row r="56" spans="1:6" x14ac:dyDescent="0.3">
      <c r="A56" s="85" t="s">
        <v>1031</v>
      </c>
      <c r="B56" s="307" t="s">
        <v>225</v>
      </c>
      <c r="C56" s="308" t="s">
        <v>1022</v>
      </c>
      <c r="D56" s="309"/>
      <c r="E56" s="397"/>
      <c r="F56" s="398">
        <f t="shared" si="3"/>
        <v>0</v>
      </c>
    </row>
    <row r="57" spans="1:6" x14ac:dyDescent="0.3">
      <c r="A57" s="85" t="s">
        <v>1032</v>
      </c>
      <c r="B57" s="307" t="s">
        <v>228</v>
      </c>
      <c r="C57" s="308" t="s">
        <v>1022</v>
      </c>
      <c r="D57" s="309"/>
      <c r="E57" s="397"/>
      <c r="F57" s="398">
        <f t="shared" si="3"/>
        <v>0</v>
      </c>
    </row>
    <row r="58" spans="1:6" x14ac:dyDescent="0.3">
      <c r="A58" s="85" t="s">
        <v>1033</v>
      </c>
      <c r="B58" s="307" t="s">
        <v>231</v>
      </c>
      <c r="C58" s="308" t="inlineStr">
        <is>
          <t>KG</t>
        </is>
      </c>
      <c r="D58" s="309"/>
      <c r="E58" s="397"/>
      <c r="F58" s="398">
        <f t="shared" si="3"/>
        <v>0</v>
      </c>
    </row>
    <row r="59" spans="1:6" x14ac:dyDescent="0.3">
      <c r="A59" s="85" t="s">
        <v>1034</v>
      </c>
      <c r="B59" s="307" t="s">
        <v>234</v>
      </c>
      <c r="C59" s="308" t="s">
        <v>991</v>
      </c>
      <c r="D59" s="309"/>
      <c r="E59" s="397"/>
      <c r="F59" s="398">
        <f t="shared" si="3"/>
        <v>0</v>
      </c>
    </row>
    <row r="60" spans="1:6" x14ac:dyDescent="0.3">
      <c r="A60" s="85" t="s">
        <v>1035</v>
      </c>
      <c r="B60" s="307" t="s">
        <v>237</v>
      </c>
      <c r="C60" s="308" t="inlineStr">
        <is>
          <t>M²</t>
        </is>
      </c>
      <c r="D60" s="309"/>
      <c r="E60" s="397"/>
      <c r="F60" s="398">
        <f>D60*E60</f>
      </c>
    </row>
    <row r="61" spans="1:6" x14ac:dyDescent="0.3">
      <c r="A61" s="85" t="s">
        <v>1036</v>
      </c>
      <c r="B61" s="307" t="s">
        <v>240</v>
      </c>
      <c r="C61" s="308" t="s">
        <v>991</v>
      </c>
      <c r="D61" s="309"/>
      <c r="E61" s="397"/>
      <c r="F61" s="398">
        <f>D61*E61</f>
        <v>0</v>
      </c>
    </row>
    <row r="62" spans="1:6" x14ac:dyDescent="0.3">
      <c r="A62" s="85" t="s">
        <v>1037</v>
      </c>
      <c r="B62" s="307" t="s">
        <v>243</v>
      </c>
      <c r="C62" s="308" t="s">
        <v>991</v>
      </c>
      <c r="D62" s="309"/>
      <c r="E62" s="397"/>
      <c r="F62" s="398">
        <f>D62*E62</f>
        <v>0</v>
      </c>
    </row>
    <row r="63" spans="1:6" x14ac:dyDescent="0.3">
      <c r="A63" s="85" t="s">
        <v>1038</v>
      </c>
      <c r="B63" s="307" t="s">
        <v>247</v>
      </c>
      <c r="C63" s="308" t="s">
        <v>1022</v>
      </c>
      <c r="D63" s="309"/>
      <c r="E63" s="397"/>
      <c r="F63" s="398">
        <f>D63*E63</f>
        <v>0</v>
      </c>
    </row>
    <row r="64" spans="1:6" x14ac:dyDescent="0.3">
      <c r="A64" s="85" t="s">
        <v>1039</v>
      </c>
      <c r="B64" s="307" t="s">
        <v>250</v>
      </c>
      <c r="C64" s="308" t="s">
        <v>1022</v>
      </c>
      <c r="D64" s="309"/>
      <c r="E64" s="397"/>
      <c r="F64" s="398">
        <f>D64*E64</f>
        <v>0</v>
      </c>
    </row>
    <row r="65" spans="1:6" x14ac:dyDescent="0.3">
      <c r="A65" s="86"/>
      <c r="B65" s="651" t="s">
        <v>1040</v>
      </c>
      <c r="C65" s="510"/>
      <c r="D65" s="510"/>
      <c r="E65" s="510"/>
      <c r="F65" s="399">
        <f>SUM(F51:F64)</f>
        <v>0</v>
      </c>
    </row>
    <row r="66" spans="1:6" x14ac:dyDescent="0.3">
      <c r="A66" s="87"/>
      <c r="B66" s="310"/>
      <c r="C66" s="310"/>
      <c r="D66" s="310"/>
      <c r="E66" s="310"/>
      <c r="F66" s="311"/>
    </row>
    <row r="67" spans="1:6" x14ac:dyDescent="0.3">
      <c r="A67" s="196" t="s">
        <v>1041</v>
      </c>
      <c r="B67" s="652" t="s">
        <v>252</v>
      </c>
      <c r="C67" s="507"/>
      <c r="D67" s="507"/>
      <c r="E67" s="507"/>
      <c r="F67" s="508"/>
    </row>
    <row r="68" spans="1:6" x14ac:dyDescent="0.3">
      <c r="A68" s="85" t="s">
        <v>1042</v>
      </c>
      <c r="B68" s="307" t="s">
        <v>255</v>
      </c>
      <c r="C68" s="308" t="s">
        <v>991</v>
      </c>
      <c r="D68" s="309"/>
      <c r="E68" s="397"/>
      <c r="F68" s="398">
        <f t="shared" ref="F68:F74" si="4">D68*E68</f>
        <v>0</v>
      </c>
    </row>
    <row r="69" spans="1:6" x14ac:dyDescent="0.3">
      <c r="A69" s="85" t="s">
        <v>1043</v>
      </c>
      <c r="B69" s="307" t="s">
        <v>258</v>
      </c>
      <c r="C69" s="308" t="s">
        <v>991</v>
      </c>
      <c r="D69" s="309"/>
      <c r="E69" s="397"/>
      <c r="F69" s="398">
        <f t="shared" si="4"/>
        <v>0</v>
      </c>
    </row>
    <row r="70" spans="1:6" x14ac:dyDescent="0.3">
      <c r="A70" s="85" t="s">
        <v>1044</v>
      </c>
      <c r="B70" s="307" t="s">
        <v>261</v>
      </c>
      <c r="C70" s="308" t="s">
        <v>991</v>
      </c>
      <c r="D70" s="309"/>
      <c r="E70" s="397"/>
      <c r="F70" s="398">
        <f t="shared" si="4"/>
        <v>0</v>
      </c>
    </row>
    <row r="71" spans="1:6" x14ac:dyDescent="0.3">
      <c r="A71" s="85" t="s">
        <v>1045</v>
      </c>
      <c r="B71" s="307" t="s">
        <v>264</v>
      </c>
      <c r="C71" s="308" t="s">
        <v>991</v>
      </c>
      <c r="D71" s="309"/>
      <c r="E71" s="397"/>
      <c r="F71" s="398">
        <f t="shared" si="4"/>
        <v>0</v>
      </c>
    </row>
    <row r="72" spans="1:6" x14ac:dyDescent="0.3">
      <c r="A72" s="85" t="s">
        <v>1046</v>
      </c>
      <c r="B72" s="307" t="s">
        <v>268</v>
      </c>
      <c r="C72" s="308" t="s">
        <v>988</v>
      </c>
      <c r="D72" s="309"/>
      <c r="E72" s="397"/>
      <c r="F72" s="398">
        <f t="shared" si="4"/>
        <v>0</v>
      </c>
    </row>
    <row r="73" spans="1:6" x14ac:dyDescent="0.3">
      <c r="A73" s="85" t="s">
        <v>1047</v>
      </c>
      <c r="B73" s="307" t="s">
        <v>271</v>
      </c>
      <c r="C73" s="308" t="s">
        <v>988</v>
      </c>
      <c r="D73" s="309"/>
      <c r="E73" s="397"/>
      <c r="F73" s="398">
        <f t="shared" si="4"/>
        <v>0</v>
      </c>
    </row>
    <row r="74" spans="1:6" x14ac:dyDescent="0.3">
      <c r="A74" s="85" t="s">
        <v>1048</v>
      </c>
      <c r="B74" s="307" t="s">
        <v>274</v>
      </c>
      <c r="C74" s="308" t="s">
        <v>994</v>
      </c>
      <c r="D74" s="309"/>
      <c r="E74" s="397"/>
      <c r="F74" s="398">
        <f t="shared" si="4"/>
        <v>0</v>
      </c>
    </row>
    <row r="75" spans="1:6" x14ac:dyDescent="0.3">
      <c r="A75" s="86"/>
      <c r="B75" s="651" t="s">
        <v>1049</v>
      </c>
      <c r="C75" s="510"/>
      <c r="D75" s="510"/>
      <c r="E75" s="510"/>
      <c r="F75" s="399">
        <f>SUM(F68:F74)</f>
        <v>0</v>
      </c>
    </row>
    <row r="76" spans="1:6" x14ac:dyDescent="0.3">
      <c r="A76" s="87"/>
      <c r="B76" s="666"/>
      <c r="C76" s="510"/>
      <c r="D76" s="510"/>
      <c r="E76" s="510"/>
      <c r="F76" s="311"/>
    </row>
    <row r="77" spans="1:6" x14ac:dyDescent="0.3">
      <c r="A77" s="196" t="s">
        <v>1050</v>
      </c>
      <c r="B77" s="667" t="s">
        <v>276</v>
      </c>
      <c r="C77" s="510"/>
      <c r="D77" s="510"/>
      <c r="E77" s="510"/>
      <c r="F77" s="510"/>
    </row>
    <row r="78" spans="1:6" x14ac:dyDescent="0.3">
      <c r="A78" s="85" t="s">
        <v>1051</v>
      </c>
      <c r="B78" s="307" t="s">
        <v>279</v>
      </c>
      <c r="C78" s="308" t="inlineStr">
        <is>
          <t>KG</t>
        </is>
      </c>
      <c r="D78" s="309"/>
      <c r="E78" s="397"/>
      <c r="F78" s="398">
        <f>D78*E78</f>
      </c>
    </row>
    <row r="79" spans="1:6" x14ac:dyDescent="0.3">
      <c r="A79" s="85" t="s">
        <v>1052</v>
      </c>
      <c r="B79" s="307" t="s">
        <v>282</v>
      </c>
      <c r="C79" s="308" t="s">
        <v>1022</v>
      </c>
      <c r="D79" s="309"/>
      <c r="E79" s="397"/>
      <c r="F79" s="398">
        <f t="shared" ref="F79:F84" si="5">D79*E79</f>
        <v>0</v>
      </c>
    </row>
    <row r="80" spans="1:6" x14ac:dyDescent="0.3">
      <c r="A80" s="85" t="s">
        <v>1053</v>
      </c>
      <c r="B80" s="307" t="s">
        <v>286</v>
      </c>
      <c r="C80" s="308" t="s">
        <v>991</v>
      </c>
      <c r="D80" s="309"/>
      <c r="E80" s="397"/>
      <c r="F80" s="398">
        <f t="shared" si="5"/>
        <v>0</v>
      </c>
    </row>
    <row r="81" spans="1:6" x14ac:dyDescent="0.3">
      <c r="A81" s="85" t="s">
        <v>1054</v>
      </c>
      <c r="B81" s="307" t="s">
        <v>289</v>
      </c>
      <c r="C81" s="308" t="s">
        <v>991</v>
      </c>
      <c r="D81" s="309"/>
      <c r="E81" s="397"/>
      <c r="F81" s="398">
        <f t="shared" si="5"/>
        <v>0</v>
      </c>
    </row>
    <row r="82" spans="1:6" x14ac:dyDescent="0.3">
      <c r="A82" s="85" t="s">
        <v>1055</v>
      </c>
      <c r="B82" s="307" t="s">
        <v>292</v>
      </c>
      <c r="C82" s="308" t="s">
        <v>991</v>
      </c>
      <c r="D82" s="309"/>
      <c r="E82" s="397"/>
      <c r="F82" s="398">
        <f t="shared" si="5"/>
        <v>0</v>
      </c>
    </row>
    <row r="83" spans="1:6" x14ac:dyDescent="0.3">
      <c r="A83" s="85" t="s">
        <v>1056</v>
      </c>
      <c r="B83" s="307" t="s">
        <v>296</v>
      </c>
      <c r="C83" s="308" t="s">
        <v>988</v>
      </c>
      <c r="D83" s="309"/>
      <c r="E83" s="397"/>
      <c r="F83" s="398">
        <f t="shared" si="5"/>
        <v>0</v>
      </c>
    </row>
    <row r="84" spans="1:6" x14ac:dyDescent="0.3">
      <c r="A84" s="85" t="s">
        <v>1057</v>
      </c>
      <c r="B84" s="307" t="s">
        <v>299</v>
      </c>
      <c r="C84" s="308" t="s">
        <v>988</v>
      </c>
      <c r="D84" s="309"/>
      <c r="E84" s="397"/>
      <c r="F84" s="398">
        <f t="shared" si="5"/>
        <v>0</v>
      </c>
    </row>
    <row r="85" spans="1:6" x14ac:dyDescent="0.3">
      <c r="A85" s="86"/>
      <c r="B85" s="651" t="s">
        <v>1058</v>
      </c>
      <c r="C85" s="510"/>
      <c r="D85" s="510"/>
      <c r="E85" s="510"/>
      <c r="F85" s="399">
        <f>SUM(F78:F84)</f>
        <v>0</v>
      </c>
    </row>
    <row r="86" spans="1:6" x14ac:dyDescent="0.3">
      <c r="A86" s="87"/>
      <c r="B86" s="310"/>
      <c r="C86" s="310"/>
      <c r="D86" s="310"/>
      <c r="E86" s="310"/>
      <c r="F86" s="311"/>
    </row>
    <row r="87" spans="1:6" x14ac:dyDescent="0.3">
      <c r="A87" s="196" t="s">
        <v>1059</v>
      </c>
      <c r="B87" s="656" t="s">
        <v>301</v>
      </c>
      <c r="C87" s="510"/>
      <c r="D87" s="510"/>
      <c r="E87" s="510"/>
      <c r="F87" s="510"/>
    </row>
    <row r="88" spans="1:6" x14ac:dyDescent="0.3">
      <c r="A88" s="85" t="s">
        <v>1060</v>
      </c>
      <c r="B88" s="307" t="s">
        <v>304</v>
      </c>
      <c r="C88" s="308" t="s">
        <v>991</v>
      </c>
      <c r="D88" s="309"/>
      <c r="E88" s="397"/>
      <c r="F88" s="398">
        <f>D88*E88</f>
        <v>0</v>
      </c>
    </row>
    <row r="89" spans="1:6" x14ac:dyDescent="0.3">
      <c r="A89" s="85" t="s">
        <v>1061</v>
      </c>
      <c r="B89" s="307" t="s">
        <v>307</v>
      </c>
      <c r="C89" s="308" t="inlineStr">
        <is>
          <t>M²</t>
        </is>
      </c>
      <c r="D89" s="309"/>
      <c r="E89" s="397"/>
      <c r="F89" s="398">
        <f>D89*E89</f>
      </c>
    </row>
    <row r="90" spans="1:6" x14ac:dyDescent="0.3">
      <c r="A90" s="85" t="s">
        <v>1062</v>
      </c>
      <c r="B90" s="307" t="s">
        <v>310</v>
      </c>
      <c r="C90" s="308" t="s">
        <v>991</v>
      </c>
      <c r="D90" s="309"/>
      <c r="E90" s="397"/>
      <c r="F90" s="398">
        <f>D90*E90</f>
        <v>0</v>
      </c>
    </row>
    <row r="91" spans="1:6" x14ac:dyDescent="0.3">
      <c r="A91" s="86"/>
      <c r="B91" s="651" t="s">
        <v>1063</v>
      </c>
      <c r="C91" s="510"/>
      <c r="D91" s="510"/>
      <c r="E91" s="510"/>
      <c r="F91" s="399">
        <f>SUM(F88:F90)</f>
        <v>0</v>
      </c>
    </row>
    <row r="92" spans="1:6" x14ac:dyDescent="0.3">
      <c r="A92" s="87"/>
      <c r="B92" s="666"/>
      <c r="C92" s="510"/>
      <c r="D92" s="510"/>
      <c r="E92" s="510"/>
      <c r="F92" s="311"/>
    </row>
    <row r="93" spans="1:6" x14ac:dyDescent="0.3">
      <c r="A93" s="196" t="s">
        <v>1064</v>
      </c>
      <c r="B93" s="656" t="s">
        <v>312</v>
      </c>
      <c r="C93" s="510"/>
      <c r="D93" s="510"/>
      <c r="E93" s="510"/>
      <c r="F93" s="510"/>
    </row>
    <row r="94" spans="1:6" x14ac:dyDescent="0.3">
      <c r="A94" s="85" t="s">
        <v>1065</v>
      </c>
      <c r="B94" s="307" t="s">
        <v>315</v>
      </c>
      <c r="C94" s="308" t="inlineStr">
        <is>
          <t>M²</t>
        </is>
      </c>
      <c r="D94" s="309"/>
      <c r="E94" s="397"/>
      <c r="F94" s="398">
        <f>D94*E94</f>
      </c>
    </row>
    <row r="95" spans="1:6" x14ac:dyDescent="0.3">
      <c r="A95" s="85" t="s">
        <v>1066</v>
      </c>
      <c r="B95" s="307" t="s">
        <v>318</v>
      </c>
      <c r="C95" s="308" t="s">
        <v>991</v>
      </c>
      <c r="D95" s="309"/>
      <c r="E95" s="397"/>
      <c r="F95" s="398">
        <f>D95*E95</f>
        <v>0</v>
      </c>
    </row>
    <row r="96" spans="1:6" x14ac:dyDescent="0.3">
      <c r="A96" s="85" t="s">
        <v>1067</v>
      </c>
      <c r="B96" s="307" t="s">
        <v>321</v>
      </c>
      <c r="C96" s="308" t="s">
        <v>991</v>
      </c>
      <c r="D96" s="309"/>
      <c r="E96" s="397"/>
      <c r="F96" s="398">
        <f>D96*E96</f>
        <v>0</v>
      </c>
    </row>
    <row r="97" spans="1:6" x14ac:dyDescent="0.3">
      <c r="A97" s="85" t="s">
        <v>1068</v>
      </c>
      <c r="B97" s="307" t="s">
        <v>324</v>
      </c>
      <c r="C97" s="308" t="inlineStr">
        <is>
          <t>M²</t>
        </is>
      </c>
      <c r="D97" s="309"/>
      <c r="E97" s="397"/>
      <c r="F97" s="398">
        <f>D97*E97</f>
        <v>0</v>
      </c>
    </row>
    <row r="98" spans="1:6" x14ac:dyDescent="0.3">
      <c r="A98" s="86"/>
      <c r="B98" s="651" t="s">
        <v>1069</v>
      </c>
      <c r="C98" s="510"/>
      <c r="D98" s="510"/>
      <c r="E98" s="510"/>
      <c r="F98" s="399">
        <f>SUM(F94:F97)</f>
        <v>0</v>
      </c>
    </row>
    <row r="99" spans="1:6" x14ac:dyDescent="0.3">
      <c r="A99" s="87"/>
      <c r="B99" s="664"/>
      <c r="C99" s="510"/>
      <c r="D99" s="510"/>
      <c r="E99" s="510"/>
      <c r="F99" s="524"/>
    </row>
    <row r="100" spans="1:6" x14ac:dyDescent="0.3">
      <c r="A100" s="196" t="s">
        <v>1070</v>
      </c>
      <c r="B100" s="656" t="s">
        <v>326</v>
      </c>
      <c r="C100" s="510"/>
      <c r="D100" s="510"/>
      <c r="E100" s="510"/>
      <c r="F100" s="510"/>
    </row>
    <row r="101" spans="1:6" x14ac:dyDescent="0.3">
      <c r="A101" s="85" t="s">
        <v>1071</v>
      </c>
      <c r="B101" s="307" t="s">
        <v>329</v>
      </c>
      <c r="C101" s="308" t="s">
        <v>991</v>
      </c>
      <c r="D101" s="309"/>
      <c r="E101" s="397"/>
      <c r="F101" s="398">
        <f t="shared" ref="F101:F107" si="6">D101*E101</f>
        <v>0</v>
      </c>
    </row>
    <row r="102" spans="1:6" x14ac:dyDescent="0.3">
      <c r="A102" s="85" t="s">
        <v>1072</v>
      </c>
      <c r="B102" s="307" t="s">
        <v>332</v>
      </c>
      <c r="C102" s="308" t="s">
        <v>991</v>
      </c>
      <c r="D102" s="309"/>
      <c r="E102" s="397"/>
      <c r="F102" s="398">
        <f t="shared" si="6"/>
        <v>0</v>
      </c>
    </row>
    <row r="103" spans="1:6" x14ac:dyDescent="0.3">
      <c r="A103" s="85" t="s">
        <v>1073</v>
      </c>
      <c r="B103" s="307" t="s">
        <v>335</v>
      </c>
      <c r="C103" s="308" t="s">
        <v>991</v>
      </c>
      <c r="D103" s="309"/>
      <c r="E103" s="397"/>
      <c r="F103" s="398">
        <f t="shared" si="6"/>
        <v>0</v>
      </c>
    </row>
    <row r="104" spans="1:6" x14ac:dyDescent="0.3">
      <c r="A104" s="85" t="s">
        <v>1074</v>
      </c>
      <c r="B104" s="307" t="s">
        <v>338</v>
      </c>
      <c r="C104" s="308" t="s">
        <v>991</v>
      </c>
      <c r="D104" s="309"/>
      <c r="E104" s="397"/>
      <c r="F104" s="398">
        <f t="shared" si="6"/>
        <v>0</v>
      </c>
    </row>
    <row r="105" spans="1:6" x14ac:dyDescent="0.3">
      <c r="A105" s="85" t="s">
        <v>1075</v>
      </c>
      <c r="B105" s="307" t="s">
        <v>341</v>
      </c>
      <c r="C105" s="308" t="s">
        <v>991</v>
      </c>
      <c r="D105" s="309"/>
      <c r="E105" s="397"/>
      <c r="F105" s="398">
        <f t="shared" si="6"/>
        <v>0</v>
      </c>
    </row>
    <row r="106" spans="1:6" x14ac:dyDescent="0.3">
      <c r="A106" s="85" t="s">
        <v>1076</v>
      </c>
      <c r="B106" s="307" t="s">
        <v>345</v>
      </c>
      <c r="C106" s="308" t="inlineStr">
        <is>
          <t>M²</t>
        </is>
      </c>
      <c r="D106" s="309"/>
      <c r="E106" s="397"/>
      <c r="F106" s="398">
        <f t="shared" si="6"/>
        <v>0</v>
      </c>
    </row>
    <row r="107" spans="1:6" x14ac:dyDescent="0.3">
      <c r="A107" s="85" t="s">
        <v>1077</v>
      </c>
      <c r="B107" s="307" t="s">
        <v>348</v>
      </c>
      <c r="C107" s="308" t="s">
        <v>988</v>
      </c>
      <c r="D107" s="309"/>
      <c r="E107" s="397"/>
      <c r="F107" s="398">
        <f t="shared" si="6"/>
        <v>0</v>
      </c>
    </row>
    <row r="108" spans="1:6" x14ac:dyDescent="0.3">
      <c r="A108" s="85" t="s">
        <v>1078</v>
      </c>
      <c r="B108" s="307" t="s">
        <v>351</v>
      </c>
      <c r="C108" s="308" t="inlineStr">
        <is>
          <t>ML</t>
        </is>
      </c>
      <c r="D108" s="309"/>
      <c r="E108" s="397"/>
      <c r="F108" s="398">
        <f>D108*E108</f>
      </c>
    </row>
    <row r="109" spans="1:6" x14ac:dyDescent="0.3">
      <c r="A109" s="86"/>
      <c r="B109" s="651" t="s">
        <v>1079</v>
      </c>
      <c r="C109" s="510"/>
      <c r="D109" s="510"/>
      <c r="E109" s="510"/>
      <c r="F109" s="399">
        <f>SUM(F101:F108)</f>
        <v>0</v>
      </c>
    </row>
    <row r="110" spans="1:6" x14ac:dyDescent="0.3">
      <c r="A110" s="87"/>
      <c r="B110" s="310"/>
      <c r="C110" s="310"/>
      <c r="D110" s="310"/>
      <c r="E110" s="310"/>
      <c r="F110" s="311"/>
    </row>
    <row r="111" spans="1:6" x14ac:dyDescent="0.3">
      <c r="A111" s="196" t="s">
        <v>1080</v>
      </c>
      <c r="B111" s="656" t="s">
        <v>353</v>
      </c>
      <c r="C111" s="510"/>
      <c r="D111" s="510"/>
      <c r="E111" s="510"/>
      <c r="F111" s="510"/>
    </row>
    <row r="112" spans="1:6" x14ac:dyDescent="0.3">
      <c r="A112" s="85" t="s">
        <v>1081</v>
      </c>
      <c r="B112" s="307" t="s">
        <v>356</v>
      </c>
      <c r="C112" s="308" t="s">
        <v>991</v>
      </c>
      <c r="D112" s="309"/>
      <c r="E112" s="397"/>
      <c r="F112" s="398">
        <f>D112*E112</f>
        <v>0</v>
      </c>
    </row>
    <row r="113" spans="1:6" x14ac:dyDescent="0.3">
      <c r="A113" s="85" t="s">
        <v>1082</v>
      </c>
      <c r="B113" s="307" t="s">
        <v>359</v>
      </c>
      <c r="C113" s="308" t="s">
        <v>991</v>
      </c>
      <c r="D113" s="309"/>
      <c r="E113" s="397"/>
      <c r="F113" s="398">
        <f>D113*E113</f>
        <v>0</v>
      </c>
    </row>
    <row r="114" spans="1:6" x14ac:dyDescent="0.3">
      <c r="A114" s="85" t="s">
        <v>1083</v>
      </c>
      <c r="B114" s="307" t="s">
        <v>362</v>
      </c>
      <c r="C114" s="308" t="s">
        <v>991</v>
      </c>
      <c r="D114" s="309"/>
      <c r="E114" s="397"/>
      <c r="F114" s="398">
        <f>D114*E114</f>
        <v>0</v>
      </c>
    </row>
    <row r="115" spans="1:6" x14ac:dyDescent="0.3">
      <c r="A115" s="85" t="s">
        <v>1084</v>
      </c>
      <c r="B115" s="307" t="s">
        <v>365</v>
      </c>
      <c r="C115" s="308" t="s">
        <v>991</v>
      </c>
      <c r="D115" s="309"/>
      <c r="E115" s="397"/>
      <c r="F115" s="398">
        <f>D115*E115</f>
        <v>0</v>
      </c>
    </row>
    <row r="116" spans="1:6" x14ac:dyDescent="0.3">
      <c r="A116" s="85" t="s">
        <v>1085</v>
      </c>
      <c r="B116" s="307" t="s">
        <v>368</v>
      </c>
      <c r="C116" s="308" t="inlineStr">
        <is>
          <t>M²</t>
        </is>
      </c>
      <c r="D116" s="309"/>
      <c r="E116" s="397"/>
      <c r="F116" s="398">
        <f>D116*E116</f>
        <v>0</v>
      </c>
    </row>
    <row r="117" spans="1:6" x14ac:dyDescent="0.3">
      <c r="A117" s="86"/>
      <c r="B117" s="651" t="s">
        <v>1086</v>
      </c>
      <c r="C117" s="510"/>
      <c r="D117" s="510"/>
      <c r="E117" s="510"/>
      <c r="F117" s="399">
        <f>SUM(F112:F116)</f>
        <v>0</v>
      </c>
    </row>
    <row r="118" spans="1:6" x14ac:dyDescent="0.3">
      <c r="A118" s="87"/>
      <c r="B118" s="664"/>
      <c r="C118" s="510"/>
      <c r="D118" s="510"/>
      <c r="E118" s="510"/>
      <c r="F118" s="524"/>
    </row>
    <row r="119" spans="1:6" x14ac:dyDescent="0.3">
      <c r="A119" s="196" t="s">
        <v>1087</v>
      </c>
      <c r="B119" s="656" t="s">
        <v>370</v>
      </c>
      <c r="C119" s="510"/>
      <c r="D119" s="510"/>
      <c r="E119" s="510"/>
      <c r="F119" s="510"/>
    </row>
    <row r="120" spans="1:6" x14ac:dyDescent="0.3">
      <c r="A120" s="85" t="s">
        <v>1088</v>
      </c>
      <c r="B120" s="307" t="s">
        <v>373</v>
      </c>
      <c r="C120" s="308" t="s">
        <v>994</v>
      </c>
      <c r="D120" s="309"/>
      <c r="E120" s="397"/>
      <c r="F120" s="398">
        <f>D120*E120</f>
        <v>0</v>
      </c>
    </row>
    <row r="121" spans="1:6" x14ac:dyDescent="0.3">
      <c r="A121" s="85" t="s">
        <v>1089</v>
      </c>
      <c r="B121" s="307" t="s">
        <v>376</v>
      </c>
      <c r="C121" s="308" t="inlineStr">
        <is>
          <t>ML</t>
        </is>
      </c>
      <c r="D121" s="309"/>
      <c r="E121" s="397"/>
      <c r="F121" s="398">
        <f>D121*E121</f>
        <v>0</v>
      </c>
    </row>
    <row r="122" spans="1:6" x14ac:dyDescent="0.3">
      <c r="A122" s="85" t="s">
        <v>1090</v>
      </c>
      <c r="B122" s="307" t="s">
        <v>380</v>
      </c>
      <c r="C122" s="308" t="s">
        <v>994</v>
      </c>
      <c r="D122" s="309"/>
      <c r="E122" s="397"/>
      <c r="F122" s="398">
        <f>D122*E122</f>
        <v>0</v>
      </c>
    </row>
    <row r="123" spans="1:6" x14ac:dyDescent="0.3">
      <c r="A123" s="85" t="s">
        <v>1091</v>
      </c>
      <c r="B123" s="307" t="s">
        <v>383</v>
      </c>
      <c r="C123" s="308" t="inlineStr">
        <is>
          <t>ML</t>
        </is>
      </c>
      <c r="D123" s="309"/>
      <c r="E123" s="397"/>
      <c r="F123" s="398">
        <f>D123*E123</f>
      </c>
    </row>
    <row r="124" spans="1:6" x14ac:dyDescent="0.3">
      <c r="A124" s="85" t="s">
        <v>1092</v>
      </c>
      <c r="B124" s="307" t="s">
        <v>386</v>
      </c>
      <c r="C124" s="308" t="s">
        <v>988</v>
      </c>
      <c r="D124" s="309"/>
      <c r="E124" s="397"/>
      <c r="F124" s="398">
        <f>D124*E124</f>
        <v>0</v>
      </c>
    </row>
    <row r="125" spans="1:6" x14ac:dyDescent="0.3">
      <c r="A125" s="85" t="s">
        <v>1093</v>
      </c>
      <c r="B125" s="307" t="s">
        <v>390</v>
      </c>
      <c r="C125" s="308" t="s">
        <v>991</v>
      </c>
      <c r="D125" s="309"/>
      <c r="E125" s="397"/>
      <c r="F125" s="398">
        <f>D125*E125</f>
        <v>0</v>
      </c>
    </row>
    <row r="126" spans="1:6" x14ac:dyDescent="0.3">
      <c r="A126" s="85" t="s">
        <v>1094</v>
      </c>
      <c r="B126" s="307" t="s">
        <v>393</v>
      </c>
      <c r="C126" s="308" t="s">
        <v>991</v>
      </c>
      <c r="D126" s="309"/>
      <c r="E126" s="397"/>
      <c r="F126" s="398">
        <f>D126*E126</f>
        <v>0</v>
      </c>
    </row>
    <row r="127" spans="1:6" x14ac:dyDescent="0.3">
      <c r="A127" s="86"/>
      <c r="B127" s="651" t="s">
        <v>1095</v>
      </c>
      <c r="C127" s="510"/>
      <c r="D127" s="510"/>
      <c r="E127" s="510"/>
      <c r="F127" s="399">
        <f>SUM(F120:F126)</f>
        <v>0</v>
      </c>
    </row>
    <row r="128" spans="1:6" x14ac:dyDescent="0.3">
      <c r="A128" s="87"/>
      <c r="B128" s="310"/>
      <c r="C128" s="310"/>
      <c r="D128" s="310"/>
      <c r="E128" s="310"/>
      <c r="F128" s="311"/>
    </row>
    <row r="129" spans="1:6" x14ac:dyDescent="0.3">
      <c r="A129" s="196" t="s">
        <v>1096</v>
      </c>
      <c r="B129" s="656" t="s">
        <v>395</v>
      </c>
      <c r="C129" s="510"/>
      <c r="D129" s="510"/>
      <c r="E129" s="510"/>
      <c r="F129" s="510"/>
    </row>
    <row r="130" spans="1:6" x14ac:dyDescent="0.3">
      <c r="A130" s="85" t="s">
        <v>1097</v>
      </c>
      <c r="B130" s="307" t="s">
        <v>398</v>
      </c>
      <c r="C130" s="308" t="inlineStr">
        <is>
          <t>M²</t>
        </is>
      </c>
      <c r="D130" s="309"/>
      <c r="E130" s="397"/>
      <c r="F130" s="398">
        <f>D130*E130</f>
        <v>0</v>
      </c>
    </row>
    <row r="131" spans="1:6" x14ac:dyDescent="0.3">
      <c r="A131" s="85" t="s">
        <v>1098</v>
      </c>
      <c r="B131" s="307" t="s">
        <v>401</v>
      </c>
      <c r="C131" s="308" t="s">
        <v>991</v>
      </c>
      <c r="D131" s="309"/>
      <c r="E131" s="397"/>
      <c r="F131" s="398">
        <f>D131*E131</f>
        <v>0</v>
      </c>
    </row>
    <row r="132" spans="1:6" x14ac:dyDescent="0.3">
      <c r="A132" s="85" t="s">
        <v>1099</v>
      </c>
      <c r="B132" s="307" t="s">
        <v>404</v>
      </c>
      <c r="C132" s="308" t="inlineStr">
        <is>
          <t>M²</t>
        </is>
      </c>
      <c r="D132" s="309"/>
      <c r="E132" s="397"/>
      <c r="F132" s="398">
        <f>D132*E132</f>
      </c>
    </row>
    <row r="133" spans="1:6" x14ac:dyDescent="0.3">
      <c r="A133" s="85" t="s">
        <v>1100</v>
      </c>
      <c r="B133" s="307" t="s">
        <v>407</v>
      </c>
      <c r="C133" s="308" t="s">
        <v>988</v>
      </c>
      <c r="D133" s="309"/>
      <c r="E133" s="397"/>
      <c r="F133" s="398">
        <f>D133*E133</f>
        <v>0</v>
      </c>
    </row>
    <row r="134" spans="1:6" x14ac:dyDescent="0.3">
      <c r="A134" s="86"/>
      <c r="B134" s="651" t="s">
        <v>1101</v>
      </c>
      <c r="C134" s="510"/>
      <c r="D134" s="510"/>
      <c r="E134" s="510"/>
      <c r="F134" s="399">
        <f>SUM(F130:F133)</f>
        <v>0</v>
      </c>
    </row>
    <row r="135" spans="1:6" x14ac:dyDescent="0.3">
      <c r="A135" s="87"/>
      <c r="B135" s="310"/>
      <c r="C135" s="310"/>
      <c r="D135" s="310"/>
      <c r="E135" s="310"/>
      <c r="F135" s="311"/>
    </row>
    <row r="136" spans="1:6" x14ac:dyDescent="0.3">
      <c r="A136" s="196" t="s">
        <v>1102</v>
      </c>
      <c r="B136" s="656" t="s">
        <v>409</v>
      </c>
      <c r="C136" s="510"/>
      <c r="D136" s="510"/>
      <c r="E136" s="510"/>
      <c r="F136" s="510"/>
    </row>
    <row r="137" spans="1:6" x14ac:dyDescent="0.3">
      <c r="A137" s="85" t="s">
        <v>1103</v>
      </c>
      <c r="B137" s="307" t="s">
        <v>412</v>
      </c>
      <c r="C137" s="308" t="inlineStr">
        <is>
          <t>ML</t>
        </is>
      </c>
      <c r="D137" s="309"/>
      <c r="E137" s="397"/>
      <c r="F137" s="398">
        <f t="shared" ref="F137:F147" si="7">D137*E137</f>
        <v>0</v>
      </c>
    </row>
    <row r="138" spans="1:6" x14ac:dyDescent="0.3">
      <c r="A138" s="85" t="s">
        <v>1104</v>
      </c>
      <c r="B138" s="307" t="s">
        <v>415</v>
      </c>
      <c r="C138" s="308" t="s">
        <v>988</v>
      </c>
      <c r="D138" s="309"/>
      <c r="E138" s="397"/>
      <c r="F138" s="398">
        <f t="shared" si="7"/>
        <v>0</v>
      </c>
    </row>
    <row r="139" spans="1:6" x14ac:dyDescent="0.3">
      <c r="A139" s="85" t="s">
        <v>1105</v>
      </c>
      <c r="B139" s="307" t="s">
        <v>418</v>
      </c>
      <c r="C139" s="308" t="inlineStr">
        <is>
          <t>UND</t>
        </is>
      </c>
      <c r="D139" s="309"/>
      <c r="E139" s="397"/>
      <c r="F139" s="398">
        <f t="shared" si="7"/>
        <v>0</v>
      </c>
    </row>
    <row r="140" spans="1:6" x14ac:dyDescent="0.3">
      <c r="A140" s="85" t="s">
        <v>1106</v>
      </c>
      <c r="B140" s="307" t="s">
        <v>422</v>
      </c>
      <c r="C140" s="308" t="s">
        <v>988</v>
      </c>
      <c r="D140" s="309"/>
      <c r="E140" s="397"/>
      <c r="F140" s="398">
        <f t="shared" si="7"/>
        <v>0</v>
      </c>
    </row>
    <row r="141" spans="1:6" x14ac:dyDescent="0.3">
      <c r="A141" s="85" t="s">
        <v>1107</v>
      </c>
      <c r="B141" s="307" t="s">
        <v>425</v>
      </c>
      <c r="C141" s="308" t="s">
        <v>988</v>
      </c>
      <c r="D141" s="309"/>
      <c r="E141" s="397"/>
      <c r="F141" s="398">
        <f t="shared" si="7"/>
        <v>0</v>
      </c>
    </row>
    <row r="142" spans="1:6" x14ac:dyDescent="0.3">
      <c r="A142" s="85" t="s">
        <v>1108</v>
      </c>
      <c r="B142" s="307" t="s">
        <v>428</v>
      </c>
      <c r="C142" s="308" t="s">
        <v>994</v>
      </c>
      <c r="D142" s="309"/>
      <c r="E142" s="397"/>
      <c r="F142" s="398">
        <f t="shared" si="7"/>
        <v>0</v>
      </c>
    </row>
    <row r="143" spans="1:6" x14ac:dyDescent="0.3">
      <c r="A143" s="85" t="s">
        <v>1109</v>
      </c>
      <c r="B143" s="307" t="s">
        <v>432</v>
      </c>
      <c r="C143" s="308" t="s">
        <v>994</v>
      </c>
      <c r="D143" s="309"/>
      <c r="E143" s="397"/>
      <c r="F143" s="398">
        <f t="shared" si="7"/>
        <v>0</v>
      </c>
    </row>
    <row r="144" spans="1:6" x14ac:dyDescent="0.3">
      <c r="A144" s="85" t="s">
        <v>1110</v>
      </c>
      <c r="B144" s="307" t="s">
        <v>435</v>
      </c>
      <c r="C144" s="308" t="s">
        <v>994</v>
      </c>
      <c r="D144" s="309"/>
      <c r="E144" s="397"/>
      <c r="F144" s="398">
        <f t="shared" si="7"/>
        <v>0</v>
      </c>
    </row>
    <row r="145" spans="1:6" x14ac:dyDescent="0.3">
      <c r="A145" s="85" t="s">
        <v>1111</v>
      </c>
      <c r="B145" s="307" t="s">
        <v>438</v>
      </c>
      <c r="C145" s="308" t="s">
        <v>994</v>
      </c>
      <c r="D145" s="309"/>
      <c r="E145" s="397"/>
      <c r="F145" s="398">
        <f t="shared" si="7"/>
        <v>0</v>
      </c>
    </row>
    <row r="146" spans="1:6" x14ac:dyDescent="0.3">
      <c r="A146" s="85" t="s">
        <v>1112</v>
      </c>
      <c r="B146" s="307" t="s">
        <v>441</v>
      </c>
      <c r="C146" s="308" t="s">
        <v>994</v>
      </c>
      <c r="D146" s="309"/>
      <c r="E146" s="397"/>
      <c r="F146" s="398">
        <f t="shared" si="7"/>
        <v>0</v>
      </c>
    </row>
    <row r="147" spans="1:6" x14ac:dyDescent="0.3">
      <c r="A147" s="85" t="s">
        <v>1113</v>
      </c>
      <c r="B147" s="307" t="s">
        <v>445</v>
      </c>
      <c r="C147" s="308" t="s">
        <v>996</v>
      </c>
      <c r="D147" s="309"/>
      <c r="E147" s="397"/>
      <c r="F147" s="398">
        <f t="shared" si="7"/>
        <v>0</v>
      </c>
    </row>
    <row r="148" spans="1:6" x14ac:dyDescent="0.3">
      <c r="A148" s="86"/>
      <c r="B148" s="651" t="s">
        <v>1114</v>
      </c>
      <c r="C148" s="510"/>
      <c r="D148" s="510"/>
      <c r="E148" s="510"/>
      <c r="F148" s="399">
        <f>SUM(F137:F147)</f>
        <v>0</v>
      </c>
    </row>
    <row r="149" spans="1:6" x14ac:dyDescent="0.3">
      <c r="A149" s="87"/>
      <c r="B149" s="310"/>
      <c r="C149" s="310"/>
      <c r="D149" s="310"/>
      <c r="E149" s="310"/>
      <c r="F149" s="311"/>
    </row>
    <row r="150" spans="1:6" x14ac:dyDescent="0.3">
      <c r="A150" s="196" t="s">
        <v>1115</v>
      </c>
      <c r="B150" s="656" t="s">
        <v>447</v>
      </c>
      <c r="C150" s="510"/>
      <c r="D150" s="510"/>
      <c r="E150" s="510"/>
      <c r="F150" s="510"/>
    </row>
    <row r="151" spans="1:6" x14ac:dyDescent="0.3">
      <c r="A151" s="85" t="s">
        <v>1116</v>
      </c>
      <c r="B151" s="307" t="s">
        <v>450</v>
      </c>
      <c r="C151" s="308" t="s">
        <v>988</v>
      </c>
      <c r="D151" s="309"/>
      <c r="E151" s="397"/>
      <c r="F151" s="398">
        <f t="shared" ref="F151:F161" si="8">D151*E151</f>
        <v>0</v>
      </c>
    </row>
    <row r="152" spans="1:6" x14ac:dyDescent="0.3">
      <c r="A152" s="85" t="s">
        <v>1117</v>
      </c>
      <c r="B152" s="307" t="s">
        <v>453</v>
      </c>
      <c r="C152" s="308" t="s">
        <v>988</v>
      </c>
      <c r="D152" s="309"/>
      <c r="E152" s="397"/>
      <c r="F152" s="398">
        <f t="shared" si="8"/>
        <v>0</v>
      </c>
    </row>
    <row r="153" spans="1:6" x14ac:dyDescent="0.3">
      <c r="A153" s="85" t="s">
        <v>1118</v>
      </c>
      <c r="B153" s="307" t="s">
        <v>456</v>
      </c>
      <c r="C153" s="308" t="s">
        <v>994</v>
      </c>
      <c r="D153" s="309"/>
      <c r="E153" s="397"/>
      <c r="F153" s="398">
        <f t="shared" si="8"/>
        <v>0</v>
      </c>
    </row>
    <row r="154" spans="1:6" x14ac:dyDescent="0.3">
      <c r="A154" s="85" t="s">
        <v>1119</v>
      </c>
      <c r="B154" s="307" t="s">
        <v>460</v>
      </c>
      <c r="C154" s="308" t="s">
        <v>988</v>
      </c>
      <c r="D154" s="309"/>
      <c r="E154" s="397"/>
      <c r="F154" s="398">
        <f t="shared" si="8"/>
        <v>0</v>
      </c>
    </row>
    <row r="155" spans="1:6" x14ac:dyDescent="0.3">
      <c r="A155" s="85" t="s">
        <v>1120</v>
      </c>
      <c r="B155" s="307" t="s">
        <v>463</v>
      </c>
      <c r="C155" s="308" t="s">
        <v>988</v>
      </c>
      <c r="D155" s="309"/>
      <c r="E155" s="397"/>
      <c r="F155" s="398">
        <f t="shared" si="8"/>
        <v>0</v>
      </c>
    </row>
    <row r="156" spans="1:6" x14ac:dyDescent="0.3">
      <c r="A156" s="85" t="s">
        <v>1121</v>
      </c>
      <c r="B156" s="307" t="s">
        <v>466</v>
      </c>
      <c r="C156" s="308" t="s">
        <v>994</v>
      </c>
      <c r="D156" s="309"/>
      <c r="E156" s="397"/>
      <c r="F156" s="398">
        <f t="shared" si="8"/>
        <v>0</v>
      </c>
    </row>
    <row r="157" spans="1:6" x14ac:dyDescent="0.3">
      <c r="A157" s="85" t="s">
        <v>1122</v>
      </c>
      <c r="B157" s="307" t="s">
        <v>469</v>
      </c>
      <c r="C157" s="308" t="s">
        <v>994</v>
      </c>
      <c r="D157" s="309"/>
      <c r="E157" s="397"/>
      <c r="F157" s="398">
        <f t="shared" si="8"/>
        <v>0</v>
      </c>
    </row>
    <row r="158" spans="1:6" x14ac:dyDescent="0.3">
      <c r="A158" s="85" t="s">
        <v>1123</v>
      </c>
      <c r="B158" s="307" t="s">
        <v>472</v>
      </c>
      <c r="C158" s="308" t="s">
        <v>994</v>
      </c>
      <c r="D158" s="309"/>
      <c r="E158" s="397"/>
      <c r="F158" s="398">
        <f t="shared" si="8"/>
        <v>0</v>
      </c>
    </row>
    <row r="159" spans="1:6" x14ac:dyDescent="0.3">
      <c r="A159" s="85" t="s">
        <v>1124</v>
      </c>
      <c r="B159" s="307" t="s">
        <v>475</v>
      </c>
      <c r="C159" s="308" t="s">
        <v>994</v>
      </c>
      <c r="D159" s="309"/>
      <c r="E159" s="397"/>
      <c r="F159" s="398">
        <f t="shared" si="8"/>
        <v>0</v>
      </c>
    </row>
    <row r="160" spans="1:6" x14ac:dyDescent="0.3">
      <c r="A160" s="85" t="s">
        <v>1125</v>
      </c>
      <c r="B160" s="307" t="s">
        <v>479</v>
      </c>
      <c r="C160" s="308" t="s">
        <v>996</v>
      </c>
      <c r="D160" s="309"/>
      <c r="E160" s="397"/>
      <c r="F160" s="398">
        <f t="shared" si="8"/>
        <v>0</v>
      </c>
    </row>
    <row r="161" spans="1:6" x14ac:dyDescent="0.3">
      <c r="A161" s="85" t="s">
        <v>1126</v>
      </c>
      <c r="B161" s="307" t="s">
        <v>482</v>
      </c>
      <c r="C161" s="308" t="s">
        <v>996</v>
      </c>
      <c r="D161" s="309"/>
      <c r="E161" s="397"/>
      <c r="F161" s="398">
        <f t="shared" si="8"/>
        <v>0</v>
      </c>
    </row>
    <row r="162" spans="1:6" x14ac:dyDescent="0.3">
      <c r="A162" s="86"/>
      <c r="B162" s="651" t="s">
        <v>1127</v>
      </c>
      <c r="C162" s="510"/>
      <c r="D162" s="510"/>
      <c r="E162" s="510"/>
      <c r="F162" s="399">
        <f>SUM(F151:F161)</f>
        <v>0</v>
      </c>
    </row>
    <row r="163" spans="1:6" x14ac:dyDescent="0.3">
      <c r="A163" s="87"/>
      <c r="B163" s="310"/>
      <c r="C163" s="310"/>
      <c r="D163" s="310"/>
      <c r="E163" s="310"/>
      <c r="F163" s="311"/>
    </row>
    <row r="164" spans="1:6" x14ac:dyDescent="0.3">
      <c r="A164" s="196" t="s">
        <v>1128</v>
      </c>
      <c r="B164" s="656" t="s">
        <v>484</v>
      </c>
      <c r="C164" s="510"/>
      <c r="D164" s="510"/>
      <c r="E164" s="510"/>
      <c r="F164" s="510"/>
    </row>
    <row r="165" spans="1:6" x14ac:dyDescent="0.3">
      <c r="A165" s="85" t="s">
        <v>1129</v>
      </c>
      <c r="B165" s="307" t="s">
        <v>487</v>
      </c>
      <c r="C165" s="308" t="s">
        <v>988</v>
      </c>
      <c r="D165" s="309"/>
      <c r="E165" s="397"/>
      <c r="F165" s="398">
        <f t="shared" ref="F165:F170" si="9">D165*E165</f>
        <v>0</v>
      </c>
    </row>
    <row r="166" spans="1:6" x14ac:dyDescent="0.3">
      <c r="A166" s="85" t="s">
        <v>1130</v>
      </c>
      <c r="B166" s="307" t="s">
        <v>490</v>
      </c>
      <c r="C166" s="308" t="s">
        <v>994</v>
      </c>
      <c r="D166" s="309"/>
      <c r="E166" s="397"/>
      <c r="F166" s="398">
        <f t="shared" si="9"/>
        <v>0</v>
      </c>
    </row>
    <row r="167" spans="1:6" x14ac:dyDescent="0.3">
      <c r="A167" s="85" t="s">
        <v>1131</v>
      </c>
      <c r="B167" s="307" t="s">
        <v>494</v>
      </c>
      <c r="C167" s="308" t="s">
        <v>994</v>
      </c>
      <c r="D167" s="309"/>
      <c r="E167" s="397"/>
      <c r="F167" s="398">
        <f t="shared" si="9"/>
        <v>0</v>
      </c>
    </row>
    <row r="168" spans="1:6" x14ac:dyDescent="0.3">
      <c r="A168" s="85" t="s">
        <v>1132</v>
      </c>
      <c r="B168" s="307" t="s">
        <v>497</v>
      </c>
      <c r="C168" s="308" t="s">
        <v>994</v>
      </c>
      <c r="D168" s="309"/>
      <c r="E168" s="397"/>
      <c r="F168" s="398">
        <f t="shared" si="9"/>
        <v>0</v>
      </c>
    </row>
    <row r="169" spans="1:6" x14ac:dyDescent="0.3">
      <c r="A169" s="85" t="s">
        <v>1133</v>
      </c>
      <c r="B169" s="307" t="s">
        <v>500</v>
      </c>
      <c r="C169" s="308" t="s">
        <v>994</v>
      </c>
      <c r="D169" s="309"/>
      <c r="E169" s="397"/>
      <c r="F169" s="398">
        <f t="shared" si="9"/>
        <v>0</v>
      </c>
    </row>
    <row r="170" spans="1:6" x14ac:dyDescent="0.3">
      <c r="A170" s="85" t="s">
        <v>1134</v>
      </c>
      <c r="B170" s="307" t="s">
        <v>504</v>
      </c>
      <c r="C170" s="308" t="s">
        <v>996</v>
      </c>
      <c r="D170" s="309"/>
      <c r="E170" s="397"/>
      <c r="F170" s="398">
        <f t="shared" si="9"/>
        <v>0</v>
      </c>
    </row>
    <row r="171" spans="1:6" x14ac:dyDescent="0.3">
      <c r="A171" s="86"/>
      <c r="B171" s="651" t="s">
        <v>1135</v>
      </c>
      <c r="C171" s="510"/>
      <c r="D171" s="510"/>
      <c r="E171" s="510"/>
      <c r="F171" s="399">
        <f>SUM(F165:F170)</f>
        <v>0</v>
      </c>
    </row>
    <row r="172" spans="1:6" x14ac:dyDescent="0.3">
      <c r="A172" s="87"/>
      <c r="B172" s="310"/>
      <c r="C172" s="310"/>
      <c r="D172" s="310"/>
      <c r="E172" s="310"/>
      <c r="F172" s="311"/>
    </row>
    <row r="173" spans="1:6" x14ac:dyDescent="0.3">
      <c r="A173" s="196" t="s">
        <v>1136</v>
      </c>
      <c r="B173" s="656" t="s">
        <v>506</v>
      </c>
      <c r="C173" s="510"/>
      <c r="D173" s="510"/>
      <c r="E173" s="510"/>
      <c r="F173" s="510"/>
    </row>
    <row r="174" spans="1:6" x14ac:dyDescent="0.3">
      <c r="A174" s="85" t="s">
        <v>1137</v>
      </c>
      <c r="B174" s="307" t="s">
        <v>509</v>
      </c>
      <c r="C174" s="308" t="s">
        <v>994</v>
      </c>
      <c r="D174" s="309"/>
      <c r="E174" s="397"/>
      <c r="F174" s="398">
        <f>D174*E174</f>
        <v>0</v>
      </c>
    </row>
    <row r="175" spans="1:6" x14ac:dyDescent="0.3">
      <c r="A175" s="85" t="s">
        <v>1138</v>
      </c>
      <c r="B175" s="307" t="s">
        <v>512</v>
      </c>
      <c r="C175" s="308" t="s">
        <v>991</v>
      </c>
      <c r="D175" s="309"/>
      <c r="E175" s="397"/>
      <c r="F175" s="398">
        <f>D175*E175</f>
        <v>0</v>
      </c>
    </row>
    <row r="176" spans="1:6" x14ac:dyDescent="0.3">
      <c r="A176" s="85" t="s">
        <v>1139</v>
      </c>
      <c r="B176" s="307" t="s">
        <v>515</v>
      </c>
      <c r="C176" s="308" t="s">
        <v>988</v>
      </c>
      <c r="D176" s="309"/>
      <c r="E176" s="397"/>
      <c r="F176" s="398">
        <f>D176*E176</f>
        <v>0</v>
      </c>
    </row>
    <row r="177" spans="1:6" x14ac:dyDescent="0.3">
      <c r="A177" s="85" t="s">
        <v>1140</v>
      </c>
      <c r="B177" s="307" t="s">
        <v>518</v>
      </c>
      <c r="C177" s="308" t="s">
        <v>994</v>
      </c>
      <c r="D177" s="309"/>
      <c r="E177" s="397"/>
      <c r="F177" s="398">
        <f>D177*E177</f>
        <v>0</v>
      </c>
    </row>
    <row r="178" spans="1:6" x14ac:dyDescent="0.3">
      <c r="A178" s="86"/>
      <c r="B178" s="651" t="s">
        <v>1141</v>
      </c>
      <c r="C178" s="510"/>
      <c r="D178" s="510"/>
      <c r="E178" s="510"/>
      <c r="F178" s="399">
        <f>SUM(F174:F177)</f>
        <v>0</v>
      </c>
    </row>
    <row r="179" spans="1:6" x14ac:dyDescent="0.3">
      <c r="A179" s="87"/>
      <c r="B179" s="310"/>
      <c r="C179" s="310"/>
      <c r="D179" s="310"/>
      <c r="E179" s="310"/>
      <c r="F179" s="311"/>
    </row>
    <row r="180" spans="1:6" x14ac:dyDescent="0.3">
      <c r="A180" s="196" t="s">
        <v>1142</v>
      </c>
      <c r="B180" s="656" t="s">
        <v>520</v>
      </c>
      <c r="C180" s="510"/>
      <c r="D180" s="510"/>
      <c r="E180" s="510"/>
      <c r="F180" s="510"/>
    </row>
    <row r="181" spans="1:6" x14ac:dyDescent="0.3">
      <c r="A181" s="85" t="s">
        <v>1143</v>
      </c>
      <c r="B181" s="307" t="s">
        <v>523</v>
      </c>
      <c r="C181" s="308" t="s">
        <v>988</v>
      </c>
      <c r="D181" s="309"/>
      <c r="E181" s="397"/>
      <c r="F181" s="398">
        <f>D181*E181</f>
        <v>0</v>
      </c>
    </row>
    <row r="182" spans="1:6" x14ac:dyDescent="0.3">
      <c r="A182" s="85" t="s">
        <v>1144</v>
      </c>
      <c r="B182" s="307" t="s">
        <v>418</v>
      </c>
      <c r="C182" s="308" t="s">
        <v>994</v>
      </c>
      <c r="D182" s="309"/>
      <c r="E182" s="397"/>
      <c r="F182" s="398">
        <f>D182*E182</f>
        <v>0</v>
      </c>
    </row>
    <row r="183" spans="1:6" x14ac:dyDescent="0.3">
      <c r="A183" s="85" t="s">
        <v>1145</v>
      </c>
      <c r="B183" s="307" t="s">
        <v>528</v>
      </c>
      <c r="C183" s="308" t="s">
        <v>996</v>
      </c>
      <c r="D183" s="309"/>
      <c r="E183" s="397"/>
      <c r="F183" s="398">
        <f>D183*E183</f>
        <v>0</v>
      </c>
    </row>
    <row r="184" spans="1:6" x14ac:dyDescent="0.3">
      <c r="A184" s="86"/>
      <c r="B184" s="651" t="s">
        <v>1146</v>
      </c>
      <c r="C184" s="510"/>
      <c r="D184" s="510"/>
      <c r="E184" s="510"/>
      <c r="F184" s="399">
        <f>SUM(F181:F183)</f>
        <v>0</v>
      </c>
    </row>
    <row r="185" spans="1:6" x14ac:dyDescent="0.3">
      <c r="A185" s="87"/>
      <c r="B185" s="310"/>
      <c r="C185" s="310"/>
      <c r="D185" s="310"/>
      <c r="E185" s="310"/>
      <c r="F185" s="311"/>
    </row>
    <row r="186" spans="1:6" x14ac:dyDescent="0.3">
      <c r="A186" s="196" t="s">
        <v>1147</v>
      </c>
      <c r="B186" s="656" t="s">
        <v>530</v>
      </c>
      <c r="C186" s="510"/>
      <c r="D186" s="510"/>
      <c r="E186" s="510"/>
      <c r="F186" s="510"/>
    </row>
    <row r="187" spans="1:6" x14ac:dyDescent="0.3">
      <c r="A187" s="85" t="s">
        <v>1148</v>
      </c>
      <c r="B187" s="307" t="s">
        <v>533</v>
      </c>
      <c r="C187" s="308" t="s">
        <v>991</v>
      </c>
      <c r="D187" s="309"/>
      <c r="E187" s="397"/>
      <c r="F187" s="398">
        <f t="shared" ref="F187:F193" si="10">D187*E187</f>
        <v>0</v>
      </c>
    </row>
    <row r="188" spans="1:6" x14ac:dyDescent="0.3">
      <c r="A188" s="85" t="s">
        <v>1149</v>
      </c>
      <c r="B188" s="307" t="s">
        <v>536</v>
      </c>
      <c r="C188" s="308" t="s">
        <v>1000</v>
      </c>
      <c r="D188" s="309"/>
      <c r="E188" s="397"/>
      <c r="F188" s="398">
        <f t="shared" si="10"/>
        <v>0</v>
      </c>
    </row>
    <row r="189" spans="1:6" x14ac:dyDescent="0.3">
      <c r="A189" s="85" t="s">
        <v>1150</v>
      </c>
      <c r="B189" s="307" t="s">
        <v>539</v>
      </c>
      <c r="C189" s="308" t="s">
        <v>991</v>
      </c>
      <c r="D189" s="309"/>
      <c r="E189" s="397"/>
      <c r="F189" s="398">
        <f t="shared" si="10"/>
        <v>0</v>
      </c>
    </row>
    <row r="190" spans="1:6" x14ac:dyDescent="0.3">
      <c r="A190" s="85" t="s">
        <v>1151</v>
      </c>
      <c r="B190" s="307" t="s">
        <v>543</v>
      </c>
      <c r="C190" s="308" t="s">
        <v>988</v>
      </c>
      <c r="D190" s="309"/>
      <c r="E190" s="397"/>
      <c r="F190" s="398">
        <f t="shared" si="10"/>
        <v>0</v>
      </c>
    </row>
    <row r="191" spans="1:6" x14ac:dyDescent="0.3">
      <c r="A191" s="85" t="s">
        <v>1152</v>
      </c>
      <c r="B191" s="307" t="s">
        <v>547</v>
      </c>
      <c r="C191" s="308" t="s">
        <v>994</v>
      </c>
      <c r="D191" s="309"/>
      <c r="E191" s="397"/>
      <c r="F191" s="398">
        <f t="shared" si="10"/>
        <v>0</v>
      </c>
    </row>
    <row r="192" spans="1:6" x14ac:dyDescent="0.3">
      <c r="A192" s="85" t="s">
        <v>1153</v>
      </c>
      <c r="B192" s="307" t="s">
        <v>551</v>
      </c>
      <c r="C192" s="308" t="s">
        <v>1000</v>
      </c>
      <c r="D192" s="309"/>
      <c r="E192" s="397"/>
      <c r="F192" s="398">
        <f t="shared" si="10"/>
        <v>0</v>
      </c>
    </row>
    <row r="193" spans="1:6" x14ac:dyDescent="0.3">
      <c r="A193" s="85" t="s">
        <v>1154</v>
      </c>
      <c r="B193" s="307" t="s">
        <v>554</v>
      </c>
      <c r="C193" s="308" t="s">
        <v>991</v>
      </c>
      <c r="D193" s="309"/>
      <c r="E193" s="397"/>
      <c r="F193" s="398">
        <f t="shared" si="10"/>
        <v>0</v>
      </c>
    </row>
    <row r="194" spans="1:6" x14ac:dyDescent="0.3">
      <c r="A194" s="86"/>
      <c r="B194" s="651" t="s">
        <v>1155</v>
      </c>
      <c r="C194" s="510"/>
      <c r="D194" s="510"/>
      <c r="E194" s="510"/>
      <c r="F194" s="399">
        <f>SUM(F187:F193)</f>
        <v>0</v>
      </c>
    </row>
    <row r="195" spans="1:6" x14ac:dyDescent="0.3">
      <c r="A195" s="87"/>
      <c r="B195" s="310"/>
      <c r="C195" s="310"/>
      <c r="D195" s="310"/>
      <c r="E195" s="310"/>
      <c r="F195" s="311"/>
    </row>
    <row r="196" spans="1:6" x14ac:dyDescent="0.3">
      <c r="A196" s="196" t="s">
        <v>1156</v>
      </c>
      <c r="B196" s="656" t="s">
        <v>556</v>
      </c>
      <c r="C196" s="510"/>
      <c r="D196" s="510"/>
      <c r="E196" s="510"/>
      <c r="F196" s="510"/>
    </row>
    <row r="197" spans="1:6" x14ac:dyDescent="0.3">
      <c r="A197" s="85" t="s">
        <v>1157</v>
      </c>
      <c r="B197" s="307" t="s">
        <v>559</v>
      </c>
      <c r="C197" s="308" t="s">
        <v>991</v>
      </c>
      <c r="D197" s="309"/>
      <c r="E197" s="397"/>
      <c r="F197" s="398">
        <f>D197*E197</f>
        <v>0</v>
      </c>
    </row>
    <row r="198" spans="1:6" x14ac:dyDescent="0.3">
      <c r="A198" s="85" t="s">
        <v>1158</v>
      </c>
      <c r="B198" s="307" t="s">
        <v>562</v>
      </c>
      <c r="C198" s="308" t="s">
        <v>1022</v>
      </c>
      <c r="D198" s="309"/>
      <c r="E198" s="397"/>
      <c r="F198" s="398">
        <f>D198*E198</f>
        <v>0</v>
      </c>
    </row>
    <row r="199" spans="1:6" x14ac:dyDescent="0.3">
      <c r="A199" s="85" t="s">
        <v>1159</v>
      </c>
      <c r="B199" s="307" t="s">
        <v>565</v>
      </c>
      <c r="C199" s="308" t="s">
        <v>1022</v>
      </c>
      <c r="D199" s="309"/>
      <c r="E199" s="397"/>
      <c r="F199" s="398">
        <f>D199*E199</f>
        <v>0</v>
      </c>
    </row>
    <row r="200" spans="1:6" x14ac:dyDescent="0.3">
      <c r="A200" s="85" t="s">
        <v>1160</v>
      </c>
      <c r="B200" s="307" t="s">
        <v>569</v>
      </c>
      <c r="C200" s="308" t="s">
        <v>994</v>
      </c>
      <c r="D200" s="309"/>
      <c r="E200" s="397"/>
      <c r="F200" s="398">
        <f>D200*E200</f>
        <v>0</v>
      </c>
    </row>
    <row r="201" spans="1:6" x14ac:dyDescent="0.3">
      <c r="A201" s="86"/>
      <c r="B201" s="651" t="s">
        <v>1161</v>
      </c>
      <c r="C201" s="510"/>
      <c r="D201" s="510"/>
      <c r="E201" s="510"/>
      <c r="F201" s="399">
        <f>SUM(F197:F200)</f>
        <v>0</v>
      </c>
    </row>
    <row r="202" spans="1:6" x14ac:dyDescent="0.3">
      <c r="A202" s="87"/>
      <c r="B202" s="310"/>
      <c r="C202" s="310"/>
      <c r="D202" s="310"/>
      <c r="E202" s="310"/>
      <c r="F202" s="311"/>
    </row>
    <row r="203" spans="1:6" x14ac:dyDescent="0.3">
      <c r="A203" s="196" t="s">
        <v>1162</v>
      </c>
      <c r="B203" s="656" t="s">
        <v>571</v>
      </c>
      <c r="C203" s="510"/>
      <c r="D203" s="510"/>
      <c r="E203" s="510"/>
      <c r="F203" s="510"/>
    </row>
    <row r="204" spans="1:6" x14ac:dyDescent="0.3">
      <c r="A204" s="85" t="s">
        <v>1163</v>
      </c>
      <c r="B204" s="307" t="s">
        <v>574</v>
      </c>
      <c r="C204" s="308" t="s">
        <v>991</v>
      </c>
      <c r="D204" s="309"/>
      <c r="E204" s="397"/>
      <c r="F204" s="398">
        <f>D204*E204</f>
        <v>0</v>
      </c>
    </row>
    <row r="205" spans="1:6" x14ac:dyDescent="0.3">
      <c r="A205" s="85" t="s">
        <v>1164</v>
      </c>
      <c r="B205" s="307" t="s">
        <v>577</v>
      </c>
      <c r="C205" s="308" t="s">
        <v>991</v>
      </c>
      <c r="D205" s="309"/>
      <c r="E205" s="397"/>
      <c r="F205" s="398">
        <f>D205*E205</f>
        <v>0</v>
      </c>
    </row>
    <row r="206" spans="1:6" x14ac:dyDescent="0.3">
      <c r="A206" s="85" t="s">
        <v>1165</v>
      </c>
      <c r="B206" s="307" t="s">
        <v>580</v>
      </c>
      <c r="C206" s="308" t="s">
        <v>996</v>
      </c>
      <c r="D206" s="309"/>
      <c r="E206" s="397"/>
      <c r="F206" s="398">
        <f>D206*E206</f>
        <v>0</v>
      </c>
    </row>
    <row r="207" spans="1:6" x14ac:dyDescent="0.3">
      <c r="A207" s="85" t="s">
        <v>1166</v>
      </c>
      <c r="B207" s="307" t="s">
        <v>583</v>
      </c>
      <c r="C207" s="308" t="s">
        <v>996</v>
      </c>
      <c r="D207" s="309"/>
      <c r="E207" s="397"/>
      <c r="F207" s="398">
        <f>D207*E207</f>
        <v>0</v>
      </c>
    </row>
    <row r="208" spans="1:6" x14ac:dyDescent="0.3">
      <c r="A208" s="85" t="s">
        <v>1167</v>
      </c>
      <c r="B208" s="307" t="s">
        <v>587</v>
      </c>
      <c r="C208" s="308" t="s">
        <v>996</v>
      </c>
      <c r="D208" s="309"/>
      <c r="E208" s="397"/>
      <c r="F208" s="398">
        <f>D208*E208</f>
        <v>0</v>
      </c>
    </row>
    <row r="209" spans="1:6" x14ac:dyDescent="0.3">
      <c r="A209" s="86"/>
      <c r="B209" s="651" t="s">
        <v>1168</v>
      </c>
      <c r="C209" s="510"/>
      <c r="D209" s="510"/>
      <c r="E209" s="510"/>
      <c r="F209" s="399">
        <f>SUM(F204:F208)</f>
        <v>0</v>
      </c>
    </row>
    <row r="210" spans="1:6" x14ac:dyDescent="0.3">
      <c r="A210" s="87"/>
      <c r="B210" s="310"/>
      <c r="C210" s="310"/>
      <c r="D210" s="310"/>
      <c r="E210" s="310"/>
      <c r="F210" s="311"/>
    </row>
    <row r="211" spans="1:6" x14ac:dyDescent="0.3">
      <c r="A211" s="196" t="s">
        <v>1169</v>
      </c>
      <c r="B211" s="656" t="s">
        <v>1170</v>
      </c>
      <c r="C211" s="510"/>
      <c r="D211" s="510"/>
      <c r="E211" s="510"/>
      <c r="F211" s="510"/>
    </row>
    <row r="212" spans="1:6" x14ac:dyDescent="0.3">
      <c r="A212" s="85" t="s">
        <v>1171</v>
      </c>
      <c r="B212" s="307" t="s">
        <v>913</v>
      </c>
      <c r="C212" s="308" t="s">
        <v>994</v>
      </c>
      <c r="D212" s="309"/>
      <c r="E212" s="397"/>
      <c r="F212" s="398">
        <f>D212*E212</f>
        <v>0</v>
      </c>
    </row>
    <row r="213" spans="1:6" x14ac:dyDescent="0.3">
      <c r="A213" s="86"/>
      <c r="B213" s="651" t="s">
        <v>1172</v>
      </c>
      <c r="C213" s="510"/>
      <c r="D213" s="510"/>
      <c r="E213" s="510"/>
      <c r="F213" s="399">
        <f>SUM(F212:F212)</f>
        <v>0</v>
      </c>
    </row>
    <row r="214" spans="1:6" x14ac:dyDescent="0.3">
      <c r="A214" s="87"/>
      <c r="B214" s="310"/>
      <c r="C214" s="310"/>
      <c r="D214" s="310"/>
      <c r="E214" s="310"/>
      <c r="F214" s="311"/>
    </row>
    <row r="215" spans="1:6" x14ac:dyDescent="0.3">
      <c r="A215" s="196" t="s">
        <v>1173</v>
      </c>
      <c r="B215" s="656" t="s">
        <v>1174</v>
      </c>
      <c r="C215" s="510"/>
      <c r="D215" s="510"/>
      <c r="E215" s="510"/>
      <c r="F215" s="510"/>
    </row>
    <row r="216" spans="1:6" x14ac:dyDescent="0.3">
      <c r="A216" s="85" t="s">
        <v>1175</v>
      </c>
      <c r="B216" s="307" t="s">
        <v>919</v>
      </c>
      <c r="C216" s="308" t="s">
        <v>996</v>
      </c>
      <c r="D216" s="309"/>
      <c r="E216" s="397"/>
      <c r="F216" s="398">
        <f>D216*E216</f>
        <v>0</v>
      </c>
    </row>
    <row r="217" spans="1:6" x14ac:dyDescent="0.3">
      <c r="A217" s="85" t="s">
        <v>1176</v>
      </c>
      <c r="B217" s="307" t="s">
        <v>923</v>
      </c>
      <c r="C217" s="308" t="s">
        <v>996</v>
      </c>
      <c r="D217" s="309"/>
      <c r="E217" s="397"/>
      <c r="F217" s="398">
        <f>D217*E217</f>
        <v>0</v>
      </c>
    </row>
    <row r="218" spans="1:6" x14ac:dyDescent="0.3">
      <c r="A218" s="85" t="s">
        <v>1177</v>
      </c>
      <c r="B218" s="307" t="s">
        <v>927</v>
      </c>
      <c r="C218" s="308" t="s">
        <v>996</v>
      </c>
      <c r="D218" s="309"/>
      <c r="E218" s="397"/>
      <c r="F218" s="398">
        <f>D218*E218</f>
        <v>0</v>
      </c>
    </row>
    <row r="219" spans="1:6" x14ac:dyDescent="0.3">
      <c r="A219" s="85" t="s">
        <v>1178</v>
      </c>
      <c r="B219" s="307" t="s">
        <v>930</v>
      </c>
      <c r="C219" s="308" t="s">
        <v>996</v>
      </c>
      <c r="D219" s="309"/>
      <c r="E219" s="397"/>
      <c r="F219" s="398">
        <f>D219*E219</f>
        <v>0</v>
      </c>
    </row>
    <row r="220" spans="1:6" x14ac:dyDescent="0.3">
      <c r="A220" s="86"/>
      <c r="B220" s="651" t="s">
        <v>1179</v>
      </c>
      <c r="C220" s="510"/>
      <c r="D220" s="510"/>
      <c r="E220" s="510"/>
      <c r="F220" s="399">
        <f>SUM(F216:F219)</f>
        <v>0</v>
      </c>
    </row>
    <row r="221" spans="1:6" x14ac:dyDescent="0.3">
      <c r="A221" s="87"/>
      <c r="B221" s="310"/>
      <c r="C221" s="310"/>
      <c r="D221" s="310"/>
      <c r="E221" s="310"/>
      <c r="F221" s="311"/>
    </row>
    <row r="222" spans="1:6" ht="15" customHeight="1" x14ac:dyDescent="0.3">
      <c r="A222" s="88"/>
      <c r="B222" s="662" t="s">
        <v>1180</v>
      </c>
      <c r="C222" s="510"/>
      <c r="D222" s="510"/>
      <c r="E222" s="510"/>
      <c r="F222" s="400">
        <f>F24+F38+F48+F65+F75+F85+F91+F98+F109+F117+F127+F134+F148+F162+F171+F178+F184+F194+F201+F209+F213+F220</f>
        <v>0</v>
      </c>
    </row>
    <row r="223" spans="1:6" x14ac:dyDescent="0.3">
      <c r="A223" s="89"/>
      <c r="B223" s="30"/>
      <c r="C223" s="30"/>
      <c r="D223" s="30"/>
      <c r="E223" s="30"/>
      <c r="F223" s="90"/>
    </row>
    <row r="224" spans="1:6" ht="15" customHeight="1" x14ac:dyDescent="0.3">
      <c r="A224" s="87"/>
      <c r="B224" s="48" t="s">
        <v>66</v>
      </c>
      <c r="C224" s="310"/>
      <c r="D224" s="310"/>
      <c r="E224" s="401">
        <f>'Ficha Técnica del Proyecto'!$B$24</f>
        <v>0.1</v>
      </c>
      <c r="F224" s="402">
        <f>F222*E224</f>
        <v>0</v>
      </c>
    </row>
    <row r="225" spans="1:6" ht="15" customHeight="1" x14ac:dyDescent="0.3">
      <c r="A225" s="87"/>
      <c r="B225" s="48" t="s">
        <v>68</v>
      </c>
      <c r="C225" s="310"/>
      <c r="D225" s="310"/>
      <c r="E225" s="401">
        <f>'Ficha Técnica del Proyecto'!$B$25</f>
        <v>0.04</v>
      </c>
      <c r="F225" s="402">
        <f>F222*E225</f>
        <v>0</v>
      </c>
    </row>
    <row r="226" spans="1:6" ht="15" customHeight="1" x14ac:dyDescent="0.3">
      <c r="A226" s="87"/>
      <c r="B226" s="48" t="s">
        <v>69</v>
      </c>
      <c r="C226" s="310"/>
      <c r="D226" s="310"/>
      <c r="E226" s="401">
        <f>'Ficha Técnica del Proyecto'!$B$26</f>
        <v>0.12</v>
      </c>
      <c r="F226" s="402">
        <f>F222*E226</f>
        <v>0</v>
      </c>
    </row>
    <row r="227" spans="1:6" ht="15" customHeight="1" x14ac:dyDescent="0.3">
      <c r="A227" s="86"/>
      <c r="B227" s="306" t="s">
        <v>1181</v>
      </c>
      <c r="C227" s="31"/>
      <c r="D227" s="31"/>
      <c r="E227" s="32"/>
      <c r="F227" s="399">
        <f>F224+F225+F226</f>
        <v>0</v>
      </c>
    </row>
    <row r="228" spans="1:6" ht="15" customHeight="1" x14ac:dyDescent="0.3">
      <c r="A228" s="87"/>
      <c r="B228" s="48" t="s">
        <v>1182</v>
      </c>
      <c r="C228" s="310"/>
      <c r="D228" s="310"/>
      <c r="E228" s="49"/>
      <c r="F228" s="402">
        <f>F222+F227</f>
        <v>0</v>
      </c>
    </row>
    <row r="229" spans="1:6" ht="15" customHeight="1" x14ac:dyDescent="0.3">
      <c r="A229" s="87"/>
      <c r="B229" s="48" t="s">
        <v>1183</v>
      </c>
      <c r="C229" s="310"/>
      <c r="D229" s="310"/>
      <c r="E229" s="401">
        <f>'Ficha Técnica del Proyecto'!$B$27</f>
        <v>0.19</v>
      </c>
      <c r="F229" s="402">
        <f>F226*E229</f>
        <v>0</v>
      </c>
    </row>
    <row r="230" spans="1:6" x14ac:dyDescent="0.3">
      <c r="A230" s="87"/>
      <c r="B230" s="310"/>
      <c r="C230" s="310"/>
      <c r="D230" s="310"/>
      <c r="E230" s="310"/>
      <c r="F230" s="311"/>
    </row>
    <row r="231" spans="1:6" ht="24" customHeight="1" x14ac:dyDescent="0.3">
      <c r="A231" s="91"/>
      <c r="B231" s="656" t="s">
        <v>1184</v>
      </c>
      <c r="C231" s="510"/>
      <c r="D231" s="510"/>
      <c r="E231" s="510"/>
      <c r="F231" s="403">
        <f>F228+F229</f>
        <v>0</v>
      </c>
    </row>
    <row r="232" spans="1:6" x14ac:dyDescent="0.3">
      <c r="A232" s="92"/>
      <c r="B232" s="231" t="s">
        <v>43</v>
      </c>
      <c r="C232" s="362"/>
      <c r="D232" s="362"/>
      <c r="E232" s="362"/>
      <c r="F232" s="1138" t="str">
        <f>F6</f>
        <v>RYR-PP-001</v>
      </c>
    </row>
    <row r="233" spans="1:6" x14ac:dyDescent="0.3">
      <c r="A233" s="92"/>
      <c r="B233" s="231"/>
      <c r="C233" s="362"/>
      <c r="D233" s="362"/>
      <c r="E233" s="362"/>
      <c r="F233" s="229"/>
    </row>
    <row r="234" spans="1:6" ht="15" customHeight="1" x14ac:dyDescent="0.3">
      <c r="A234" s="92"/>
      <c r="B234" s="94" t="s">
        <v>1185</v>
      </c>
      <c r="C234" s="95"/>
      <c r="D234" s="95"/>
      <c r="E234" s="95"/>
      <c r="F234" s="404" t="e">
        <f>F222/'Ficha Técnica del Proyecto'!$B$16</f>
        <v>#DIV/0!</v>
      </c>
    </row>
    <row r="235" spans="1:6" ht="15" customHeight="1" x14ac:dyDescent="0.3">
      <c r="A235" s="93"/>
      <c r="B235" s="96" t="s">
        <v>1186</v>
      </c>
      <c r="C235" s="97"/>
      <c r="D235" s="97"/>
      <c r="E235" s="97"/>
      <c r="F235" s="405" t="e">
        <f>F231/'Ficha Técnica del Proyecto'!$B$16</f>
        <v>#DIV/0!</v>
      </c>
    </row>
    <row r="236" spans="1:6" x14ac:dyDescent="0.3">
      <c r="A236" s="29"/>
      <c r="B236" s="362"/>
      <c r="C236" s="362"/>
      <c r="D236" s="362"/>
      <c r="E236" s="362"/>
      <c r="F236" s="362"/>
    </row>
    <row r="237" spans="1:6" x14ac:dyDescent="0.3">
      <c r="A237" s="29"/>
      <c r="B237" s="362"/>
      <c r="C237" s="362"/>
      <c r="D237" s="362"/>
      <c r="E237" s="362"/>
      <c r="F237" s="362"/>
    </row>
    <row r="238" spans="1:6" x14ac:dyDescent="0.3">
      <c r="A238" s="29"/>
      <c r="B238" s="362"/>
      <c r="C238" s="362"/>
      <c r="D238" s="362"/>
      <c r="E238" s="362"/>
      <c r="F238" s="362"/>
    </row>
    <row r="239" spans="1:6" x14ac:dyDescent="0.3">
      <c r="A239" s="29"/>
      <c r="B239" s="362"/>
      <c r="C239" s="362"/>
      <c r="D239" s="362"/>
      <c r="E239" s="362"/>
      <c r="F239" s="362"/>
    </row>
    <row r="240" spans="1:6" x14ac:dyDescent="0.3">
      <c r="A240" s="29"/>
      <c r="B240" s="362"/>
      <c r="C240" s="362"/>
      <c r="D240" s="362"/>
      <c r="E240" s="362"/>
      <c r="F240" s="362"/>
    </row>
    <row r="241" spans="1:6" x14ac:dyDescent="0.3">
      <c r="A241" s="29"/>
      <c r="B241" s="362"/>
      <c r="C241" s="362"/>
      <c r="D241" s="362"/>
      <c r="E241" s="362"/>
      <c r="F241" s="362"/>
    </row>
  </sheetData>
  <mergeCells count="62">
    <mergeCell ref="B201:E201"/>
    <mergeCell ref="B1:B9"/>
    <mergeCell ref="B76:E76"/>
    <mergeCell ref="B180:F180"/>
    <mergeCell ref="B91:E91"/>
    <mergeCell ref="B109:E109"/>
    <mergeCell ref="B186:F186"/>
    <mergeCell ref="B118:F118"/>
    <mergeCell ref="C1:F3"/>
    <mergeCell ref="B178:E178"/>
    <mergeCell ref="C5:D5"/>
    <mergeCell ref="E5:F5"/>
    <mergeCell ref="B99:F99"/>
    <mergeCell ref="A10:F10"/>
    <mergeCell ref="B87:F87"/>
    <mergeCell ref="C7:D7"/>
    <mergeCell ref="B50:F50"/>
    <mergeCell ref="B100:F100"/>
    <mergeCell ref="B92:E92"/>
    <mergeCell ref="B93:F93"/>
    <mergeCell ref="B85:E85"/>
    <mergeCell ref="B77:F77"/>
    <mergeCell ref="B129:F129"/>
    <mergeCell ref="C6:D6"/>
    <mergeCell ref="B222:E222"/>
    <mergeCell ref="B111:F111"/>
    <mergeCell ref="B209:E209"/>
    <mergeCell ref="B220:E220"/>
    <mergeCell ref="B117:E117"/>
    <mergeCell ref="B184:E184"/>
    <mergeCell ref="B148:E148"/>
    <mergeCell ref="B164:F164"/>
    <mergeCell ref="B171:E171"/>
    <mergeCell ref="B203:F203"/>
    <mergeCell ref="B213:E213"/>
    <mergeCell ref="B196:F196"/>
    <mergeCell ref="B211:F211"/>
    <mergeCell ref="B231:E231"/>
    <mergeCell ref="C8:D8"/>
    <mergeCell ref="A11:F11"/>
    <mergeCell ref="B173:F173"/>
    <mergeCell ref="B127:E127"/>
    <mergeCell ref="B150:F150"/>
    <mergeCell ref="B215:F215"/>
    <mergeCell ref="B24:E24"/>
    <mergeCell ref="B136:F136"/>
    <mergeCell ref="B134:E134"/>
    <mergeCell ref="B194:E194"/>
    <mergeCell ref="A12:B12"/>
    <mergeCell ref="C12:D12"/>
    <mergeCell ref="C9:D9"/>
    <mergeCell ref="B14:F14"/>
    <mergeCell ref="B119:F119"/>
    <mergeCell ref="B48:E48"/>
    <mergeCell ref="B40:F40"/>
    <mergeCell ref="B98:E98"/>
    <mergeCell ref="B38:E38"/>
    <mergeCell ref="B65:E65"/>
    <mergeCell ref="B162:E162"/>
    <mergeCell ref="B26:F26"/>
    <mergeCell ref="B75:E75"/>
    <mergeCell ref="B67:F67"/>
  </mergeCells>
  <pageMargins left="0.19685039370078741" right="0.19685039370078741" top="0.19685039370078741" bottom="0.19685039370078741" header="0.51181102362204722" footer="0.51181102362204722"/>
  <pageSetup paperSize="9" scale="53"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D32"/>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x14ac:dyDescent="0.3"/>
  <cols>
    <col min="1" max="1" width="6" style="334" customWidth="1"/>
    <col min="2" max="2" width="44" style="334" customWidth="1"/>
    <col min="3" max="3" width="50.77734375" style="334" customWidth="1"/>
    <col min="4" max="4" width="16.109375" style="334" customWidth="1"/>
    <col min="5" max="6" width="15.77734375" style="334" customWidth="1"/>
  </cols>
  <sheetData>
    <row r="1" spans="1:6" ht="14.4" customHeight="1" x14ac:dyDescent="0.3">
      <c r="C1" s="513" t="s">
        <v>1187</v>
      </c>
      <c r="D1" s="505"/>
      <c r="E1" s="505"/>
      <c r="F1" s="505"/>
    </row>
    <row r="2" spans="1:6" ht="14.4" customHeight="1" x14ac:dyDescent="0.3">
      <c r="C2" s="505"/>
      <c r="D2" s="505"/>
      <c r="E2" s="505"/>
      <c r="F2" s="505"/>
    </row>
    <row r="3" spans="1:6" ht="4.95" customHeight="1" x14ac:dyDescent="0.3">
      <c r="C3" s="682"/>
      <c r="D3" s="505"/>
      <c r="E3" s="505"/>
      <c r="F3" s="505"/>
    </row>
    <row r="4" spans="1:6" x14ac:dyDescent="0.3">
      <c r="C4" s="176"/>
      <c r="D4" s="628" t="s">
        <v>1</v>
      </c>
      <c r="E4" s="505"/>
      <c r="F4" s="505"/>
    </row>
    <row r="5" spans="1:6" ht="14.4" customHeight="1" x14ac:dyDescent="0.3">
      <c r="C5" s="301" t="s">
        <v>6</v>
      </c>
      <c r="D5" s="179" t="s">
        <v>2</v>
      </c>
      <c r="E5" s="671" t="s">
        <v>1188</v>
      </c>
      <c r="F5" s="582"/>
    </row>
    <row r="6" spans="1:6" ht="14.4" customHeight="1" x14ac:dyDescent="0.3">
      <c r="C6" s="177" t="s">
        <v>8</v>
      </c>
      <c r="D6" s="179" t="s">
        <v>9</v>
      </c>
      <c r="E6" s="671">
        <v>1</v>
      </c>
      <c r="F6" s="582"/>
    </row>
    <row r="7" spans="1:6" x14ac:dyDescent="0.3">
      <c r="C7" s="176"/>
      <c r="D7" s="179" t="s">
        <v>10</v>
      </c>
      <c r="E7" s="678" t="s">
        <v>11</v>
      </c>
      <c r="F7" s="582"/>
    </row>
    <row r="8" spans="1:6" x14ac:dyDescent="0.3">
      <c r="C8" s="176"/>
      <c r="D8" s="180" t="s">
        <v>12</v>
      </c>
      <c r="E8" s="680" t="s">
        <v>13</v>
      </c>
      <c r="F8" s="584"/>
    </row>
    <row r="9" spans="1:6" ht="15" customHeight="1" x14ac:dyDescent="0.3">
      <c r="A9" s="674" t="s">
        <v>1187</v>
      </c>
      <c r="B9" s="675"/>
      <c r="C9" s="675"/>
      <c r="D9" s="675"/>
      <c r="E9" s="675"/>
      <c r="F9" s="606"/>
    </row>
    <row r="10" spans="1:6" ht="15.75" customHeight="1" x14ac:dyDescent="0.3">
      <c r="A10" s="672" t="s">
        <v>1189</v>
      </c>
      <c r="B10" s="673"/>
      <c r="C10" s="673"/>
      <c r="D10" s="673"/>
      <c r="E10" s="673"/>
      <c r="F10" s="582"/>
    </row>
    <row r="11" spans="1:6" ht="19.5" customHeight="1" x14ac:dyDescent="0.3">
      <c r="A11" s="181" t="s">
        <v>1190</v>
      </c>
      <c r="B11" s="182" t="s">
        <v>87</v>
      </c>
      <c r="C11" s="182" t="s">
        <v>1191</v>
      </c>
      <c r="D11" s="182" t="s">
        <v>1192</v>
      </c>
      <c r="E11" s="676" t="s">
        <v>1193</v>
      </c>
      <c r="F11" s="582"/>
    </row>
    <row r="12" spans="1:6" x14ac:dyDescent="0.3">
      <c r="A12" s="183" t="s">
        <v>986</v>
      </c>
      <c r="B12" s="184" t="s">
        <v>112</v>
      </c>
      <c r="C12" s="406">
        <f>'Presupuesto '!F24</f>
        <v>0</v>
      </c>
      <c r="D12" s="407" t="e">
        <f>C12/'Presupuesto '!$F$222</f>
        <v>#DIV/0!</v>
      </c>
      <c r="E12" s="669" t="e">
        <f>C12/'Ficha Técnica del Proyecto'!$B$16</f>
        <v>#DIV/0!</v>
      </c>
      <c r="F12" s="582"/>
    </row>
    <row r="13" spans="1:6" x14ac:dyDescent="0.3">
      <c r="A13" s="183" t="s">
        <v>1002</v>
      </c>
      <c r="B13" s="184" t="s">
        <v>145</v>
      </c>
      <c r="C13" s="406">
        <f>'Presupuesto '!F38</f>
        <v>0</v>
      </c>
      <c r="D13" s="407" t="e">
        <f>C13/'Presupuesto '!$F$222</f>
        <v>#DIV/0!</v>
      </c>
      <c r="E13" s="669" t="e">
        <f>C13/'Ficha Técnica del Proyecto'!$B$16</f>
        <v>#DIV/0!</v>
      </c>
      <c r="F13" s="582"/>
    </row>
    <row r="14" spans="1:6" x14ac:dyDescent="0.3">
      <c r="A14" s="183" t="s">
        <v>1015</v>
      </c>
      <c r="B14" s="184" t="s">
        <v>182</v>
      </c>
      <c r="C14" s="406">
        <f>'Presupuesto '!F48</f>
        <v>0</v>
      </c>
      <c r="D14" s="407" t="e">
        <f>C14/'Presupuesto '!$F$222</f>
        <v>#DIV/0!</v>
      </c>
      <c r="E14" s="669" t="e">
        <f>C14/'Ficha Técnica del Proyecto'!$B$16</f>
        <v>#DIV/0!</v>
      </c>
      <c r="F14" s="582"/>
    </row>
    <row r="15" spans="1:6" x14ac:dyDescent="0.3">
      <c r="A15" s="183" t="s">
        <v>1025</v>
      </c>
      <c r="B15" s="184" t="s">
        <v>208</v>
      </c>
      <c r="C15" s="406">
        <f>'Presupuesto '!F65</f>
        <v>0</v>
      </c>
      <c r="D15" s="407" t="e">
        <f>C15/'Presupuesto '!$F$222</f>
        <v>#DIV/0!</v>
      </c>
      <c r="E15" s="669" t="e">
        <f>C15/'Ficha Técnica del Proyecto'!$B$16</f>
        <v>#DIV/0!</v>
      </c>
      <c r="F15" s="582"/>
    </row>
    <row r="16" spans="1:6" x14ac:dyDescent="0.3">
      <c r="A16" s="183" t="s">
        <v>1041</v>
      </c>
      <c r="B16" s="184" t="s">
        <v>252</v>
      </c>
      <c r="C16" s="406">
        <f>'Presupuesto '!F75</f>
        <v>0</v>
      </c>
      <c r="D16" s="407" t="e">
        <f>C16/'Presupuesto '!$F$222</f>
        <v>#DIV/0!</v>
      </c>
      <c r="E16" s="669" t="e">
        <f>C16/'Ficha Técnica del Proyecto'!$B$16</f>
        <v>#DIV/0!</v>
      </c>
      <c r="F16" s="582"/>
    </row>
    <row r="17" spans="1:6" x14ac:dyDescent="0.3">
      <c r="A17" s="183" t="s">
        <v>1050</v>
      </c>
      <c r="B17" s="184" t="s">
        <v>276</v>
      </c>
      <c r="C17" s="406">
        <f>'Presupuesto '!F85</f>
        <v>0</v>
      </c>
      <c r="D17" s="407" t="e">
        <f>C17/'Presupuesto '!$F$222</f>
        <v>#DIV/0!</v>
      </c>
      <c r="E17" s="669" t="e">
        <f>C17/'Ficha Técnica del Proyecto'!$B$16</f>
        <v>#DIV/0!</v>
      </c>
      <c r="F17" s="582"/>
    </row>
    <row r="18" spans="1:6" x14ac:dyDescent="0.3">
      <c r="A18" s="183" t="s">
        <v>1059</v>
      </c>
      <c r="B18" s="184" t="s">
        <v>301</v>
      </c>
      <c r="C18" s="406">
        <f>'Presupuesto '!F91</f>
        <v>0</v>
      </c>
      <c r="D18" s="407" t="e">
        <f>C18/'Presupuesto '!$F$222</f>
        <v>#DIV/0!</v>
      </c>
      <c r="E18" s="669" t="e">
        <f>C18/'Ficha Técnica del Proyecto'!$B$16</f>
        <v>#DIV/0!</v>
      </c>
      <c r="F18" s="582"/>
    </row>
    <row r="19" spans="1:6" x14ac:dyDescent="0.3">
      <c r="A19" s="183" t="s">
        <v>1064</v>
      </c>
      <c r="B19" s="184" t="s">
        <v>312</v>
      </c>
      <c r="C19" s="406">
        <f>'Presupuesto '!F98</f>
        <v>0</v>
      </c>
      <c r="D19" s="407" t="e">
        <f>C19/'Presupuesto '!$F$222</f>
        <v>#DIV/0!</v>
      </c>
      <c r="E19" s="669" t="e">
        <f>C19/'Ficha Técnica del Proyecto'!$B$16</f>
        <v>#DIV/0!</v>
      </c>
      <c r="F19" s="582"/>
    </row>
    <row r="20" spans="1:6" x14ac:dyDescent="0.3">
      <c r="A20" s="183" t="s">
        <v>1070</v>
      </c>
      <c r="B20" s="184" t="s">
        <v>326</v>
      </c>
      <c r="C20" s="406">
        <f>'Presupuesto '!F109</f>
        <v>0</v>
      </c>
      <c r="D20" s="407" t="e">
        <f>C20/'Presupuesto '!$F$222</f>
        <v>#DIV/0!</v>
      </c>
      <c r="E20" s="669" t="e">
        <f>C20/'Ficha Técnica del Proyecto'!$B$16</f>
        <v>#DIV/0!</v>
      </c>
      <c r="F20" s="582"/>
    </row>
    <row r="21" spans="1:6" x14ac:dyDescent="0.3">
      <c r="A21" s="183" t="s">
        <v>1080</v>
      </c>
      <c r="B21" s="184" t="s">
        <v>353</v>
      </c>
      <c r="C21" s="406">
        <f>'Presupuesto '!F117</f>
        <v>0</v>
      </c>
      <c r="D21" s="407" t="e">
        <f>C21/'Presupuesto '!$F$222</f>
        <v>#DIV/0!</v>
      </c>
      <c r="E21" s="669" t="e">
        <f>C21/'Ficha Técnica del Proyecto'!$B$16</f>
        <v>#DIV/0!</v>
      </c>
      <c r="F21" s="582"/>
    </row>
    <row r="22" spans="1:6" x14ac:dyDescent="0.3">
      <c r="A22" s="183" t="s">
        <v>1087</v>
      </c>
      <c r="B22" s="184" t="s">
        <v>370</v>
      </c>
      <c r="C22" s="406">
        <f>'Presupuesto '!F127</f>
        <v>0</v>
      </c>
      <c r="D22" s="407" t="e">
        <f>C22/'Presupuesto '!$F$222</f>
        <v>#DIV/0!</v>
      </c>
      <c r="E22" s="669" t="e">
        <f>C22/'Ficha Técnica del Proyecto'!$B$16</f>
        <v>#DIV/0!</v>
      </c>
      <c r="F22" s="582"/>
    </row>
    <row r="23" spans="1:6" x14ac:dyDescent="0.3">
      <c r="A23" s="183" t="s">
        <v>1096</v>
      </c>
      <c r="B23" s="184" t="s">
        <v>395</v>
      </c>
      <c r="C23" s="406">
        <f>'Presupuesto '!F134</f>
        <v>0</v>
      </c>
      <c r="D23" s="407" t="e">
        <f>C23/'Presupuesto '!$F$222</f>
        <v>#DIV/0!</v>
      </c>
      <c r="E23" s="669" t="e">
        <f>C23/'Ficha Técnica del Proyecto'!$B$16</f>
        <v>#DIV/0!</v>
      </c>
      <c r="F23" s="582"/>
    </row>
    <row r="24" spans="1:6" x14ac:dyDescent="0.3">
      <c r="A24" s="183" t="s">
        <v>1102</v>
      </c>
      <c r="B24" s="184" t="s">
        <v>409</v>
      </c>
      <c r="C24" s="406">
        <f>'Presupuesto '!F231</f>
        <v>0</v>
      </c>
      <c r="D24" s="407" t="e">
        <f>C24/'Presupuesto '!$F$222</f>
        <v>#DIV/0!</v>
      </c>
      <c r="E24" s="669" t="e">
        <f>C24/'Ficha Técnica del Proyecto'!$B$16</f>
        <v>#DIV/0!</v>
      </c>
      <c r="F24" s="582"/>
    </row>
    <row r="25" spans="1:6" x14ac:dyDescent="0.3">
      <c r="A25" s="183" t="s">
        <v>1115</v>
      </c>
      <c r="B25" s="184" t="s">
        <v>447</v>
      </c>
      <c r="C25" s="406">
        <f>'Presupuesto '!F162</f>
        <v>0</v>
      </c>
      <c r="D25" s="407" t="e">
        <f>C25/'Presupuesto '!$F$222</f>
        <v>#DIV/0!</v>
      </c>
      <c r="E25" s="669" t="e">
        <f>C25/'Ficha Técnica del Proyecto'!$B$16</f>
        <v>#DIV/0!</v>
      </c>
      <c r="F25" s="582"/>
    </row>
    <row r="26" spans="1:6" x14ac:dyDescent="0.3">
      <c r="A26" s="183" t="s">
        <v>1128</v>
      </c>
      <c r="B26" s="184" t="s">
        <v>484</v>
      </c>
      <c r="C26" s="406">
        <f>'Presupuesto '!F171</f>
        <v>0</v>
      </c>
      <c r="D26" s="407" t="e">
        <f>C26/'Presupuesto '!$F$222</f>
        <v>#DIV/0!</v>
      </c>
      <c r="E26" s="669" t="e">
        <f>C26/'Ficha Técnica del Proyecto'!$B$16</f>
        <v>#DIV/0!</v>
      </c>
      <c r="F26" s="582"/>
    </row>
    <row r="27" spans="1:6" x14ac:dyDescent="0.3">
      <c r="A27" s="183" t="s">
        <v>1136</v>
      </c>
      <c r="B27" s="184" t="s">
        <v>506</v>
      </c>
      <c r="C27" s="406">
        <f>'Presupuesto '!F178</f>
        <v>0</v>
      </c>
      <c r="D27" s="407" t="e">
        <f>C27/'Presupuesto '!$F$222</f>
        <v>#DIV/0!</v>
      </c>
      <c r="E27" s="669" t="e">
        <f>C27/'Ficha Técnica del Proyecto'!$B$16</f>
        <v>#DIV/0!</v>
      </c>
      <c r="F27" s="582"/>
    </row>
    <row r="28" spans="1:6" x14ac:dyDescent="0.3">
      <c r="A28" s="183" t="s">
        <v>1142</v>
      </c>
      <c r="B28" s="184" t="s">
        <v>520</v>
      </c>
      <c r="C28" s="406">
        <f>'Presupuesto '!F184</f>
        <v>0</v>
      </c>
      <c r="D28" s="407" t="e">
        <f>C28/'Presupuesto '!$F$222</f>
        <v>#DIV/0!</v>
      </c>
      <c r="E28" s="669" t="e">
        <f>C28/'Ficha Técnica del Proyecto'!$B$16</f>
        <v>#DIV/0!</v>
      </c>
      <c r="F28" s="582"/>
    </row>
    <row r="29" spans="1:6" x14ac:dyDescent="0.3">
      <c r="A29" s="183" t="s">
        <v>1147</v>
      </c>
      <c r="B29" s="184" t="s">
        <v>530</v>
      </c>
      <c r="C29" s="406">
        <f>'Presupuesto '!F194</f>
        <v>0</v>
      </c>
      <c r="D29" s="407" t="e">
        <f>C29/'Presupuesto '!$F$222</f>
        <v>#DIV/0!</v>
      </c>
      <c r="E29" s="669" t="e">
        <f>C29/'Ficha Técnica del Proyecto'!$B$16</f>
        <v>#DIV/0!</v>
      </c>
      <c r="F29" s="582"/>
    </row>
    <row r="30" spans="1:6" x14ac:dyDescent="0.3">
      <c r="A30" s="183" t="s">
        <v>1156</v>
      </c>
      <c r="B30" s="184" t="s">
        <v>556</v>
      </c>
      <c r="C30" s="406">
        <f>'Presupuesto '!F201</f>
        <v>0</v>
      </c>
      <c r="D30" s="407" t="e">
        <f>C30/'Presupuesto '!$F$222</f>
        <v>#DIV/0!</v>
      </c>
      <c r="E30" s="669" t="e">
        <f>C30/'Ficha Técnica del Proyecto'!$B$16</f>
        <v>#DIV/0!</v>
      </c>
      <c r="F30" s="582"/>
    </row>
    <row r="31" spans="1:6" x14ac:dyDescent="0.3">
      <c r="A31" s="183" t="s">
        <v>1162</v>
      </c>
      <c r="B31" s="184" t="s">
        <v>571</v>
      </c>
      <c r="C31" s="406">
        <f>'Presupuesto '!F209</f>
        <v>0</v>
      </c>
      <c r="D31" s="407" t="e">
        <f>C31/'Presupuesto '!$F$222</f>
        <v>#DIV/0!</v>
      </c>
      <c r="E31" s="669" t="e">
        <f>C31/'Ficha Técnica del Proyecto'!$B$16</f>
        <v>#DIV/0!</v>
      </c>
      <c r="F31" s="582"/>
    </row>
    <row r="32" spans="1:6" x14ac:dyDescent="0.3">
      <c r="A32" s="183" t="s">
        <v>1169</v>
      </c>
      <c r="B32" s="184" t="s">
        <v>1170</v>
      </c>
      <c r="C32" s="406">
        <f>'Presupuesto '!F213</f>
        <v>0</v>
      </c>
      <c r="D32" s="407" t="e">
        <f>C32/'Presupuesto '!$F$222</f>
        <v>#DIV/0!</v>
      </c>
      <c r="E32" s="669" t="e">
        <f>C32/'Ficha Técnica del Proyecto'!$B$16</f>
        <v>#DIV/0!</v>
      </c>
      <c r="F32" s="582"/>
    </row>
    <row r="33" spans="1:6" x14ac:dyDescent="0.3">
      <c r="A33" s="183" t="s">
        <v>1173</v>
      </c>
      <c r="B33" s="184" t="s">
        <v>1174</v>
      </c>
      <c r="C33" s="406">
        <f>'Presupuesto '!F220</f>
        <v>0</v>
      </c>
      <c r="D33" s="407" t="e">
        <f>C33/'Presupuesto '!$F$222</f>
        <v>#DIV/0!</v>
      </c>
      <c r="E33" s="683" t="e">
        <f>C33/'Ficha Técnica del Proyecto'!$B$16</f>
        <v>#DIV/0!</v>
      </c>
      <c r="F33" s="675"/>
    </row>
    <row r="34" spans="1:6" x14ac:dyDescent="0.3">
      <c r="A34" s="185"/>
      <c r="B34" s="186" t="s">
        <v>1194</v>
      </c>
      <c r="C34" s="408">
        <f>SUM(C12:C33)</f>
        <v>0</v>
      </c>
      <c r="D34" s="409" t="e">
        <f>C34/'Presupuesto '!$F$222</f>
        <v>#DIV/0!</v>
      </c>
      <c r="E34" s="670" t="e">
        <f>C34/'Ficha Técnica del Proyecto'!$B$16</f>
        <v>#DIV/0!</v>
      </c>
      <c r="F34" s="582"/>
    </row>
    <row r="35" spans="1:6" x14ac:dyDescent="0.3">
      <c r="A35" s="187"/>
      <c r="B35" s="358"/>
      <c r="C35" s="358"/>
      <c r="D35" s="358"/>
      <c r="E35" s="681"/>
      <c r="F35" s="582"/>
    </row>
    <row r="36" spans="1:6" ht="15" customHeight="1" x14ac:dyDescent="0.3">
      <c r="A36" s="188"/>
      <c r="B36" s="184" t="s">
        <v>1195</v>
      </c>
      <c r="C36" s="406">
        <f>'Presupuesto '!F227</f>
        <v>0</v>
      </c>
      <c r="D36" s="189"/>
      <c r="E36" s="677"/>
      <c r="F36" s="582"/>
    </row>
    <row r="37" spans="1:6" ht="15" customHeight="1" x14ac:dyDescent="0.3">
      <c r="A37" s="188"/>
      <c r="B37" s="184" t="s">
        <v>1196</v>
      </c>
      <c r="C37" s="406">
        <f>'Presupuesto '!F228</f>
        <v>0</v>
      </c>
      <c r="D37" s="189"/>
      <c r="E37" s="677"/>
      <c r="F37" s="582"/>
    </row>
    <row r="38" spans="1:6" ht="15" customHeight="1" x14ac:dyDescent="0.3">
      <c r="A38" s="188"/>
      <c r="B38" s="184" t="s">
        <v>70</v>
      </c>
      <c r="C38" s="406">
        <f>'Presupuesto '!F229</f>
        <v>0</v>
      </c>
      <c r="D38" s="189"/>
      <c r="E38" s="677"/>
      <c r="F38" s="582"/>
    </row>
    <row r="39" spans="1:6" x14ac:dyDescent="0.3">
      <c r="A39" s="187"/>
      <c r="B39" s="358"/>
      <c r="C39" s="358"/>
      <c r="D39" s="358"/>
      <c r="E39" s="679"/>
      <c r="F39" s="582"/>
    </row>
    <row r="40" spans="1:6" ht="21.75" customHeight="1" x14ac:dyDescent="0.3">
      <c r="A40" s="190"/>
      <c r="B40" s="191" t="s">
        <v>1184</v>
      </c>
      <c r="C40" s="410">
        <f>'Presupuesto '!F231</f>
        <v>0</v>
      </c>
      <c r="D40" s="192"/>
      <c r="E40" s="668"/>
      <c r="F40" s="584"/>
    </row>
    <row r="41" spans="1:6" s="227" customFormat="1" ht="15" customHeight="1" x14ac:dyDescent="0.3">
      <c r="B41" s="231" t="s">
        <v>43</v>
      </c>
      <c r="F41" s="1139" t="str">
        <f>E5</f>
        <v>RYR-RS-001</v>
      </c>
    </row>
    <row r="42" spans="1:6" ht="15" customHeight="1" x14ac:dyDescent="0.3">
      <c r="A42" s="6"/>
      <c r="B42" s="103" t="s">
        <v>1197</v>
      </c>
      <c r="C42" s="411" t="e">
        <f>C40/'Ficha Técnica del Proyecto'!$B$16</f>
        <v>#DIV/0!</v>
      </c>
      <c r="D42" s="6"/>
      <c r="E42" s="6"/>
    </row>
  </sheetData>
  <mergeCells count="39">
    <mergeCell ref="E12:F12"/>
    <mergeCell ref="E24:F24"/>
    <mergeCell ref="E33:F33"/>
    <mergeCell ref="E5:F5"/>
    <mergeCell ref="E23:F23"/>
    <mergeCell ref="E14:F14"/>
    <mergeCell ref="E21:F21"/>
    <mergeCell ref="C1:F2"/>
    <mergeCell ref="E17:F17"/>
    <mergeCell ref="E39:F39"/>
    <mergeCell ref="E8:F8"/>
    <mergeCell ref="E35:F35"/>
    <mergeCell ref="E20:F20"/>
    <mergeCell ref="E38:F38"/>
    <mergeCell ref="C3:F3"/>
    <mergeCell ref="E29:F29"/>
    <mergeCell ref="D4:F4"/>
    <mergeCell ref="E19:F19"/>
    <mergeCell ref="E28:F28"/>
    <mergeCell ref="E13:F13"/>
    <mergeCell ref="E37:F37"/>
    <mergeCell ref="E22:F22"/>
    <mergeCell ref="E18:F18"/>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s>
  <pageMargins left="0.29527559055118108" right="0.29527559055118108" top="0.19685039370078741" bottom="0.98425196850393704" header="0.51181102362204722" footer="0.51181102362204722"/>
  <pageSetup paperSize="9" scale="62" orientation="portrait" horizontalDpi="300" verticalDpi="300"/>
  <colBreaks count="1" manualBreakCount="1">
    <brk id="6"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