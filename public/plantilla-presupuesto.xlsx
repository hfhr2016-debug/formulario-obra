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Resumen" sheetId="3" state="visible" r:id="rId3"/>
  </sheets>
  <definedName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D53" s="1447" t="n"/>
      <c r="E53" s="1448" t="n"/>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D59" s="1447" t="n"/>
      <c r="E59" s="1448" t="n"/>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D61" s="1447" t="n"/>
      <c r="E61" s="1448" t="n"/>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D84" s="1447" t="n"/>
      <c r="E84" s="1448" t="n"/>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D97" s="1447" t="n"/>
      <c r="E97" s="1448" t="n"/>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D103" s="1447" t="n"/>
      <c r="E103" s="1448" t="n"/>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D106" s="1447" t="n"/>
      <c r="E106" s="1448" t="n"/>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D115" s="1447" t="n"/>
      <c r="E115" s="1448" t="n"/>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D117" s="1447" t="n"/>
      <c r="E117" s="1448" t="n"/>
      <c r="F117">
        <f>D117*E117</f>
        <v/>
      </c>
    </row>
    <row r="118">
      <c r="A118" s="80" t="inlineStr">
        <is>
          <t>9.9</t>
        </is>
      </c>
      <c r="B118" s="365" t="inlineStr">
        <is>
          <t>Piso en concreto afinado con endurecedor de cuarzo</t>
        </is>
      </c>
      <c r="C118" s="257" t="inlineStr">
        <is>
          <t>M²</t>
        </is>
      </c>
      <c r="D118" s="1447" t="n"/>
      <c r="E118" s="1448" t="n"/>
      <c r="F118">
        <f>D118*E118</f>
        <v/>
      </c>
    </row>
    <row r="119">
      <c r="A119" s="80" t="inlineStr">
        <is>
          <t>9.10</t>
        </is>
      </c>
      <c r="B119" s="365" t="inlineStr">
        <is>
          <t>Baldosa de granito</t>
        </is>
      </c>
      <c r="C119" s="257" t="inlineStr">
        <is>
          <t>M²</t>
        </is>
      </c>
      <c r="D119" s="1447" t="n"/>
      <c r="E119" s="1448" t="n"/>
      <c r="F119">
        <f>D119*E119</f>
        <v/>
      </c>
    </row>
    <row r="120">
      <c r="A120" s="80" t="inlineStr">
        <is>
          <t>9.11</t>
        </is>
      </c>
      <c r="B120" s="365" t="inlineStr">
        <is>
          <t>Enchape en granito pulido</t>
        </is>
      </c>
      <c r="C120" s="257" t="inlineStr">
        <is>
          <t>M²</t>
        </is>
      </c>
      <c r="D120" s="1447" t="n"/>
      <c r="E120" s="1448" t="n"/>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D128" s="1447" t="n"/>
      <c r="E128" s="1448" t="n"/>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D133" s="1447" t="n"/>
      <c r="E133" s="1448" t="n"/>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D135" s="1447" t="n"/>
      <c r="E135" s="1448" t="n"/>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D143" s="1447" t="n"/>
      <c r="E143" s="1448" t="n"/>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D145" s="1447" t="n"/>
      <c r="E145" s="1448" t="n"/>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D150" s="1447" t="n"/>
      <c r="E150" s="1448" t="n"/>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D152" s="1447" t="n"/>
      <c r="E152" s="1448" t="n"/>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319">
        <f>'Presupuesto '!F25</f>
        <v/>
      </c>
      <c r="D12" s="1320">
        <f>C12/'Presupuesto '!$F$240</f>
        <v/>
      </c>
      <c r="E12" s="1321">
        <f>C12/'Ficha Técnica del Proyecto'!$B$21</f>
        <v/>
      </c>
      <c r="F12" s="625" t="n"/>
    </row>
    <row r="13">
      <c r="A13" s="170" t="inlineStr">
        <is>
          <t>2</t>
        </is>
      </c>
      <c r="B13" s="171" t="inlineStr">
        <is>
          <t>MOVIMIENTO DE TIERRAS</t>
        </is>
      </c>
      <c r="C13" s="1319">
        <f>'Presupuesto '!F39</f>
        <v/>
      </c>
      <c r="D13" s="1320">
        <f>C13/'Presupuesto '!$F$240</f>
        <v/>
      </c>
      <c r="E13" s="1321">
        <f>C13/'Ficha Técnica del Proyecto'!$B$21</f>
        <v/>
      </c>
      <c r="F13" s="625" t="n"/>
    </row>
    <row r="14">
      <c r="A14" s="170" t="inlineStr">
        <is>
          <t>3</t>
        </is>
      </c>
      <c r="B14" s="171" t="inlineStr">
        <is>
          <t>CIMENTACIONES</t>
        </is>
      </c>
      <c r="C14" s="1319">
        <f>'Presupuesto '!F49</f>
        <v/>
      </c>
      <c r="D14" s="1320">
        <f>C14/'Presupuesto '!$F$240</f>
        <v/>
      </c>
      <c r="E14" s="1321">
        <f>C14/'Ficha Técnica del Proyecto'!$B$21</f>
        <v/>
      </c>
      <c r="F14" s="625" t="n"/>
    </row>
    <row r="15">
      <c r="A15" s="170" t="inlineStr">
        <is>
          <t>4</t>
        </is>
      </c>
      <c r="B15" s="171" t="inlineStr">
        <is>
          <t>ESTRUCTURA</t>
        </is>
      </c>
      <c r="C15" s="1319">
        <f>'Presupuesto '!F69</f>
        <v/>
      </c>
      <c r="D15" s="1320">
        <f>C15/'Presupuesto '!$F$240</f>
        <v/>
      </c>
      <c r="E15" s="1321">
        <f>C15/'Ficha Técnica del Proyecto'!$B$21</f>
        <v/>
      </c>
      <c r="F15" s="625" t="n"/>
    </row>
    <row r="16">
      <c r="A16" s="170" t="inlineStr">
        <is>
          <t>5</t>
        </is>
      </c>
      <c r="B16" s="171" t="inlineStr">
        <is>
          <t>MAMPOSTERÍA</t>
        </is>
      </c>
      <c r="C16" s="1319">
        <f>'Presupuesto '!F81</f>
        <v/>
      </c>
      <c r="D16" s="1320">
        <f>C16/'Presupuesto '!$F$240</f>
        <v/>
      </c>
      <c r="E16" s="1321">
        <f>C16/'Ficha Técnica del Proyecto'!$B$21</f>
        <v/>
      </c>
      <c r="F16" s="625" t="n"/>
    </row>
    <row r="17">
      <c r="A17" s="170" t="inlineStr">
        <is>
          <t>6</t>
        </is>
      </c>
      <c r="B17" s="171" t="inlineStr">
        <is>
          <t>CUBIERTAS</t>
        </is>
      </c>
      <c r="C17" s="1319">
        <f>'Presupuesto '!F93</f>
        <v/>
      </c>
      <c r="D17" s="1320">
        <f>C17/'Presupuesto '!$F$240</f>
        <v/>
      </c>
      <c r="E17" s="1321">
        <f>C17/'Ficha Técnica del Proyecto'!$B$21</f>
        <v/>
      </c>
      <c r="F17" s="625" t="n"/>
    </row>
    <row r="18">
      <c r="A18" s="170" t="inlineStr">
        <is>
          <t>7</t>
        </is>
      </c>
      <c r="B18" s="171" t="inlineStr">
        <is>
          <t>IMPERMEABILIZACIONES</t>
        </is>
      </c>
      <c r="C18" s="1319">
        <f>'Presupuesto '!F100</f>
        <v/>
      </c>
      <c r="D18" s="1320">
        <f>C18/'Presupuesto '!$F$240</f>
        <v/>
      </c>
      <c r="E18" s="1321">
        <f>C18/'Ficha Técnica del Proyecto'!$B$21</f>
        <v/>
      </c>
      <c r="F18" s="625" t="n"/>
    </row>
    <row r="19">
      <c r="A19" s="170" t="inlineStr">
        <is>
          <t>8</t>
        </is>
      </c>
      <c r="B19" s="171" t="inlineStr">
        <is>
          <t>PAÑETES Y REVOQUES</t>
        </is>
      </c>
      <c r="C19" s="1319">
        <f>'Presupuesto '!F107</f>
        <v/>
      </c>
      <c r="D19" s="1320">
        <f>C19/'Presupuesto '!$F$240</f>
        <v/>
      </c>
      <c r="E19" s="1321">
        <f>C19/'Ficha Técnica del Proyecto'!$B$21</f>
        <v/>
      </c>
      <c r="F19" s="625" t="n"/>
    </row>
    <row r="20">
      <c r="A20" s="170" t="inlineStr">
        <is>
          <t>9</t>
        </is>
      </c>
      <c r="B20" s="171" t="inlineStr">
        <is>
          <t>PISOS Y ENCHAPES</t>
        </is>
      </c>
      <c r="C20" s="1319">
        <f>'Presupuesto '!F121</f>
        <v/>
      </c>
      <c r="D20" s="1320">
        <f>C20/'Presupuesto '!$F$240</f>
        <v/>
      </c>
      <c r="E20" s="1321">
        <f>C20/'Ficha Técnica del Proyecto'!$B$21</f>
        <v/>
      </c>
      <c r="F20" s="625" t="n"/>
    </row>
    <row r="21">
      <c r="A21" s="170" t="inlineStr">
        <is>
          <t>10</t>
        </is>
      </c>
      <c r="B21" s="171" t="inlineStr">
        <is>
          <t>PINTURA</t>
        </is>
      </c>
      <c r="C21" s="1319">
        <f>'Presupuesto '!F129</f>
        <v/>
      </c>
      <c r="D21" s="1320">
        <f>C21/'Presupuesto '!$F$240</f>
        <v/>
      </c>
      <c r="E21" s="1321">
        <f>C21/'Ficha Técnica del Proyecto'!$B$21</f>
        <v/>
      </c>
      <c r="F21" s="625" t="n"/>
    </row>
    <row r="22">
      <c r="A22" s="170" t="inlineStr">
        <is>
          <t>11</t>
        </is>
      </c>
      <c r="B22" s="171" t="inlineStr">
        <is>
          <t>CARPINTERÍA</t>
        </is>
      </c>
      <c r="C22" s="1319">
        <f>'Presupuesto '!F140</f>
        <v/>
      </c>
      <c r="D22" s="1320">
        <f>C22/'Presupuesto '!$F$240</f>
        <v/>
      </c>
      <c r="E22" s="1321">
        <f>C22/'Ficha Técnica del Proyecto'!$B$21</f>
        <v/>
      </c>
      <c r="F22" s="625" t="n"/>
    </row>
    <row r="23">
      <c r="A23" s="170" t="inlineStr">
        <is>
          <t>12</t>
        </is>
      </c>
      <c r="B23" s="171" t="inlineStr">
        <is>
          <t>VIDRIOS</t>
        </is>
      </c>
      <c r="C23" s="1319">
        <f>'Presupuesto '!F147</f>
        <v/>
      </c>
      <c r="D23" s="1320">
        <f>C23/'Presupuesto '!$F$240</f>
        <v/>
      </c>
      <c r="E23" s="1321">
        <f>C23/'Ficha Técnica del Proyecto'!$B$21</f>
        <v/>
      </c>
      <c r="F23" s="625" t="n"/>
    </row>
    <row r="24">
      <c r="A24" s="170" t="inlineStr">
        <is>
          <t>13</t>
        </is>
      </c>
      <c r="B24" s="171" t="inlineStr">
        <is>
          <t>INSTALACIONES HIDROSANITARIAS</t>
        </is>
      </c>
      <c r="C24" s="1319">
        <f>'Presupuesto '!F249</f>
        <v/>
      </c>
      <c r="D24" s="1320">
        <f>C24/'Presupuesto '!$F$240</f>
        <v/>
      </c>
      <c r="E24" s="1321">
        <f>C24/'Ficha Técnica del Proyecto'!$B$21</f>
        <v/>
      </c>
      <c r="F24" s="625" t="n"/>
    </row>
    <row r="25">
      <c r="A25" s="170" t="inlineStr">
        <is>
          <t>14</t>
        </is>
      </c>
      <c r="B25" s="171" t="inlineStr">
        <is>
          <t>INSTALACIONES ELÉCTRICAS</t>
        </is>
      </c>
      <c r="C25" s="1319">
        <f>'Presupuesto '!F176</f>
        <v/>
      </c>
      <c r="D25" s="1320">
        <f>C25/'Presupuesto '!$F$240</f>
        <v/>
      </c>
      <c r="E25" s="1321">
        <f>C25/'Ficha Técnica del Proyecto'!$B$21</f>
        <v/>
      </c>
      <c r="F25" s="625" t="n"/>
    </row>
    <row r="26">
      <c r="A26" s="170" t="inlineStr">
        <is>
          <t>15</t>
        </is>
      </c>
      <c r="B26" s="171" t="inlineStr">
        <is>
          <t>COMUNICACIONES Y SEGURIDAD</t>
        </is>
      </c>
      <c r="C26" s="1319">
        <f>'Presupuesto '!F185</f>
        <v/>
      </c>
      <c r="D26" s="1320">
        <f>C26/'Presupuesto '!$F$240</f>
        <v/>
      </c>
      <c r="E26" s="1321">
        <f>C26/'Ficha Técnica del Proyecto'!$B$21</f>
        <v/>
      </c>
      <c r="F26" s="625" t="n"/>
    </row>
    <row r="27">
      <c r="A27" s="170" t="inlineStr">
        <is>
          <t>16</t>
        </is>
      </c>
      <c r="B27" s="171" t="inlineStr">
        <is>
          <t>CLIMATIZACIÓN Y VENTILACIÓN</t>
        </is>
      </c>
      <c r="C27" s="1319">
        <f>'Presupuesto '!F192</f>
        <v/>
      </c>
      <c r="D27" s="1320">
        <f>C27/'Presupuesto '!$F$240</f>
        <v/>
      </c>
      <c r="E27" s="1321">
        <f>C27/'Ficha Técnica del Proyecto'!$B$21</f>
        <v/>
      </c>
      <c r="F27" s="625" t="n"/>
    </row>
    <row r="28">
      <c r="A28" s="170" t="inlineStr">
        <is>
          <t>17</t>
        </is>
      </c>
      <c r="B28" s="171" t="inlineStr">
        <is>
          <t>GAS</t>
        </is>
      </c>
      <c r="C28" s="1319">
        <f>'Presupuesto '!F198</f>
        <v/>
      </c>
      <c r="D28" s="1320">
        <f>C28/'Presupuesto '!$F$240</f>
        <v/>
      </c>
      <c r="E28" s="1321">
        <f>C28/'Ficha Técnica del Proyecto'!$B$21</f>
        <v/>
      </c>
      <c r="F28" s="625" t="n"/>
    </row>
    <row r="29">
      <c r="A29" s="170" t="inlineStr">
        <is>
          <t>18</t>
        </is>
      </c>
      <c r="B29" s="171" t="inlineStr">
        <is>
          <t>URBANISMO Y EXTERIORES</t>
        </is>
      </c>
      <c r="C29" s="1319">
        <f>'Presupuesto '!F212</f>
        <v/>
      </c>
      <c r="D29" s="1320">
        <f>C29/'Presupuesto '!$F$240</f>
        <v/>
      </c>
      <c r="E29" s="1321">
        <f>C29/'Ficha Técnica del Proyecto'!$B$21</f>
        <v/>
      </c>
      <c r="F29" s="625" t="n"/>
    </row>
    <row r="30">
      <c r="A30" s="170" t="inlineStr">
        <is>
          <t>19</t>
        </is>
      </c>
      <c r="B30" s="171" t="inlineStr">
        <is>
          <t>OBRAS COMPLEMENTARIAS</t>
        </is>
      </c>
      <c r="C30" s="1319">
        <f>'Presupuesto '!F219</f>
        <v/>
      </c>
      <c r="D30" s="1320">
        <f>C30/'Presupuesto '!$F$240</f>
        <v/>
      </c>
      <c r="E30" s="1321">
        <f>C30/'Ficha Técnica del Proyecto'!$B$21</f>
        <v/>
      </c>
      <c r="F30" s="625" t="n"/>
    </row>
    <row r="31">
      <c r="A31" s="170" t="inlineStr">
        <is>
          <t>20</t>
        </is>
      </c>
      <c r="B31" s="171" t="inlineStr">
        <is>
          <t>ASEO, ENTREGA Y CIERRE</t>
        </is>
      </c>
      <c r="C31" s="1319">
        <f>'Presupuesto '!F227</f>
        <v/>
      </c>
      <c r="D31" s="1320">
        <f>C31/'Presupuesto '!$F$240</f>
        <v/>
      </c>
      <c r="E31" s="1321">
        <f>C31/'Ficha Técnica del Proyecto'!$B$21</f>
        <v/>
      </c>
      <c r="F31" s="625" t="n"/>
    </row>
    <row r="32">
      <c r="A32" s="170" t="inlineStr">
        <is>
          <t>21</t>
        </is>
      </c>
      <c r="B32" s="171" t="inlineStr">
        <is>
          <t>ASCENSORES</t>
        </is>
      </c>
      <c r="C32" s="1319">
        <f>'Presupuesto '!F231</f>
        <v/>
      </c>
      <c r="D32" s="1320">
        <f>C32/'Presupuesto '!$F$240</f>
        <v/>
      </c>
      <c r="E32" s="1321">
        <f>C32/'Ficha Técnica del Proyecto'!$B$21</f>
        <v/>
      </c>
      <c r="F32" s="625" t="n"/>
    </row>
    <row r="33">
      <c r="A33" s="170" t="inlineStr">
        <is>
          <t>22</t>
        </is>
      </c>
      <c r="B33" s="171" t="inlineStr">
        <is>
          <t>GESTIÓN, DISEÑO Y ADMINISTRACIÓN</t>
        </is>
      </c>
      <c r="C33" s="1319">
        <f>'Presupuesto '!F238</f>
        <v/>
      </c>
      <c r="D33" s="1320">
        <f>C33/'Presupuesto '!$F$240</f>
        <v/>
      </c>
      <c r="E33" s="1322">
        <f>C33/'Ficha Técnica del Proyecto'!$B$21</f>
        <v/>
      </c>
      <c r="F33" s="579" t="n"/>
    </row>
    <row r="34">
      <c r="A34" s="172" t="n"/>
      <c r="B34" s="173" t="inlineStr">
        <is>
          <t>COSTO DIRECTO TOTAL</t>
        </is>
      </c>
      <c r="C34" s="1323">
        <f>SUM(C12:C33)</f>
        <v/>
      </c>
      <c r="D34" s="1324">
        <f>C34/'Presupuesto '!$F$240</f>
        <v/>
      </c>
      <c r="E34" s="1325">
        <f>C34/'Ficha Técnica del Proyecto'!$B$21</f>
        <v/>
      </c>
      <c r="F34" s="625" t="n"/>
    </row>
    <row r="35">
      <c r="A35" s="174" t="n"/>
      <c r="B35" s="274" t="n"/>
      <c r="C35" s="274" t="n"/>
      <c r="D35" s="274" t="n"/>
      <c r="E35" s="1326" t="n"/>
      <c r="F35" s="625" t="n"/>
    </row>
    <row r="36" ht="15" customHeight="1" s="550">
      <c r="A36" s="175" t="n"/>
      <c r="B36" s="171" t="inlineStr">
        <is>
          <t>Subtotal AIU (A+I+U)</t>
        </is>
      </c>
      <c r="C36" s="1319">
        <f>'Presupuesto '!F227</f>
        <v/>
      </c>
      <c r="D36" s="176" t="n"/>
      <c r="E36" s="725" t="n"/>
      <c r="F36" s="625" t="n"/>
    </row>
    <row r="37" ht="15" customHeight="1" s="550">
      <c r="A37" s="175" t="n"/>
      <c r="B37" s="171" t="inlineStr">
        <is>
          <t>Costo Directo + AIU</t>
        </is>
      </c>
      <c r="C37" s="1319">
        <f>'Presupuesto '!F228</f>
        <v/>
      </c>
      <c r="D37" s="176" t="n"/>
      <c r="E37" s="725" t="n"/>
      <c r="F37" s="625" t="n"/>
    </row>
    <row r="38" ht="15" customHeight="1" s="550">
      <c r="A38" s="175" t="n"/>
      <c r="B38" s="171" t="inlineStr">
        <is>
          <t>IVA sobre Utilidad</t>
        </is>
      </c>
      <c r="C38" s="1319">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32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32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2026-09-20T05:13:28Z</dcterms:modified>
  <cp:lastModifiedBy>Hugo Fernando Hurtado Ruiz</cp:lastModifiedBy>
  <cp:revision>1</cp:revision>
  <cp:lastPrinted>2026-09-14T01:27:33Z</cp:lastPrinted>
</cp:coreProperties>
</file>