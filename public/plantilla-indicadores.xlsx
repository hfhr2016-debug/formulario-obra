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dicador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Calibri"/>
      <sz val="10"/>
    </font>
    <font>
      <name val="Calibri"/>
      <b val="1"/>
      <sz val="10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80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39" fillId="3" borderId="7" applyAlignment="1" applyProtection="1" pivotButton="0" quotePrefix="0" xfId="3">
      <alignment horizontal="center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39" fillId="0" borderId="7" applyAlignment="1" applyProtection="1" pivotButton="0" quotePrefix="0" xfId="3">
      <alignment horizontal="center" vertical="center" wrapText="1"/>
      <protection locked="0" hidden="0"/>
    </xf>
    <xf numFmtId="0" fontId="39" fillId="0" borderId="7" applyAlignment="1" applyProtection="1" pivotButton="0" quotePrefix="0" xfId="3">
      <alignment horizontal="left" vertical="center" wrapText="1"/>
      <protection locked="0" hidden="0"/>
    </xf>
    <xf numFmtId="0" fontId="39" fillId="0" borderId="7" applyAlignment="1" pivotButton="0" quotePrefix="0" xfId="3">
      <alignment horizontal="left" vertical="center" wrapText="1"/>
    </xf>
    <xf numFmtId="0" fontId="39" fillId="0" borderId="7" applyAlignment="1" applyProtection="1" pivotButton="0" quotePrefix="0" xfId="3">
      <alignment horizontal="center" vertical="center"/>
      <protection locked="0" hidden="0"/>
    </xf>
    <xf numFmtId="0" fontId="39" fillId="0" borderId="11" applyAlignment="1" pivotButton="0" quotePrefix="0" xfId="3">
      <alignment horizontal="left" vertical="center" wrapText="1"/>
    </xf>
    <xf numFmtId="0" fontId="39" fillId="0" borderId="11" applyAlignment="1" applyProtection="1" pivotButton="0" quotePrefix="0" xfId="3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40" fillId="0" borderId="7" applyAlignment="1" pivotButton="0" quotePrefix="0" xfId="3">
      <alignment horizontal="left" vertical="center" wrapText="1"/>
    </xf>
    <xf numFmtId="0" fontId="39" fillId="0" borderId="7" applyAlignment="1" applyProtection="1" pivotButton="0" quotePrefix="0" xfId="3">
      <alignment horizontal="left" vertical="top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9" fillId="0" borderId="14" applyAlignment="1" applyProtection="1" pivotButton="0" quotePrefix="0" xfId="3">
      <alignment horizontal="left" vertical="center" wrapText="1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2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4937</xdr:colOff>
      <xdr:row>6</xdr:row>
      <xdr:rowOff>10557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024000" cy="133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P6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44" customWidth="1" style="127" min="1" max="1"/>
    <col width="8.44140625" customWidth="1" style="127" min="2" max="13"/>
    <col width="15" customWidth="1" style="127" min="14" max="14"/>
    <col width="11" customWidth="1" style="127" min="15" max="15"/>
    <col width="14" customWidth="1" style="127" min="16" max="16"/>
    <col width="8.88671875" customWidth="1" style="127" min="17" max="16384"/>
  </cols>
  <sheetData>
    <row r="1" ht="40.05" customHeight="1" s="127">
      <c r="B1" s="220" t="inlineStr">
        <is>
          <t>INDICADORES DEL SG-SST</t>
        </is>
      </c>
    </row>
    <row r="2" ht="14.4" customHeight="1" s="127"/>
    <row r="3" ht="4.95" customHeight="1" s="127">
      <c r="B3" s="225" t="n"/>
    </row>
    <row r="4" ht="15" customHeight="1" s="127">
      <c r="B4" s="92" t="n"/>
      <c r="M4" s="92" t="n"/>
      <c r="N4" s="139" t="inlineStr">
        <is>
          <t>CONTROL DOCUMENTAL</t>
        </is>
      </c>
      <c r="O4" s="93" t="n"/>
      <c r="P4" s="89" t="n"/>
    </row>
    <row r="5" ht="15" customHeight="1" s="127">
      <c r="B5" s="63" t="inlineStr">
        <is>
          <t>REFORMAS Y REMODELACIONES</t>
        </is>
      </c>
      <c r="M5" s="92" t="n"/>
      <c r="N5" s="5" t="inlineStr">
        <is>
          <t>Código</t>
        </is>
      </c>
      <c r="O5" s="64" t="inlineStr">
        <is>
          <t>RYR-SS-015</t>
        </is>
      </c>
      <c r="P5" s="89" t="n"/>
    </row>
    <row r="6" ht="15" customHeight="1" s="127">
      <c r="B6" s="67" t="inlineStr">
        <is>
          <t>DISEÑAMOS, RENOVAMOS Y CONSTRUIMOS ESPACIOS QUE INSPIRAN.</t>
        </is>
      </c>
      <c r="M6" s="92" t="n"/>
      <c r="N6" s="5" t="inlineStr">
        <is>
          <t>Versión</t>
        </is>
      </c>
      <c r="O6" s="64" t="n">
        <v>1</v>
      </c>
      <c r="P6" s="89" t="n"/>
    </row>
    <row r="7" ht="15" customHeight="1" s="127">
      <c r="B7" s="92" t="n"/>
      <c r="M7" s="92" t="n"/>
      <c r="N7" s="5" t="inlineStr">
        <is>
          <t>Fecha de Emisión</t>
        </is>
      </c>
      <c r="O7" s="64" t="inlineStr">
        <is>
          <t>04/10/2026</t>
        </is>
      </c>
      <c r="P7" s="89" t="n"/>
    </row>
    <row r="8" ht="15" customHeight="1" s="127">
      <c r="B8" s="92" t="n"/>
      <c r="M8" s="92" t="n"/>
      <c r="N8" s="254" t="inlineStr">
        <is>
          <t>Página</t>
        </is>
      </c>
      <c r="O8" s="58" t="inlineStr">
        <is>
          <t>1 de 2</t>
        </is>
      </c>
      <c r="P8" s="94" t="n"/>
    </row>
    <row r="9" ht="15" customHeight="1" s="127">
      <c r="A9" s="255" t="inlineStr">
        <is>
          <t>Accidentalidad, salud y gestión del año · Resolución 0312 de 2019 · Decreto 1072 de 2015</t>
        </is>
      </c>
      <c r="B9" s="349" t="n"/>
      <c r="C9" s="349" t="n"/>
      <c r="D9" s="349" t="n"/>
      <c r="E9" s="349" t="n"/>
      <c r="F9" s="349" t="n"/>
      <c r="G9" s="349" t="n"/>
      <c r="H9" s="349" t="n"/>
      <c r="I9" s="349" t="n"/>
      <c r="J9" s="349" t="n"/>
      <c r="K9" s="349" t="n"/>
      <c r="L9" s="349" t="n"/>
      <c r="M9" s="349" t="n"/>
      <c r="N9" s="349" t="n"/>
      <c r="O9" s="349" t="n"/>
      <c r="P9" s="351" t="n"/>
    </row>
    <row r="10" ht="16.5" customHeight="1" s="127">
      <c r="A10" s="137" t="inlineStr">
        <is>
          <t>DATOS GENERALES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8" t="n"/>
      <c r="O10" s="98" t="n"/>
      <c r="P10" s="97" t="n"/>
    </row>
    <row r="11" ht="21" customHeight="1" s="127">
      <c r="A11" s="59" t="inlineStr">
        <is>
          <t>Proyecto / Obra</t>
        </is>
      </c>
      <c r="B11" s="360" t="n"/>
      <c r="C11" s="361" t="n"/>
      <c r="D11" s="361" t="n"/>
      <c r="E11" s="361" t="n"/>
      <c r="F11" s="361" t="n"/>
      <c r="G11" s="361" t="n"/>
      <c r="H11" s="361" t="n"/>
      <c r="I11" s="362" t="n"/>
      <c r="J11" s="59" t="inlineStr">
        <is>
          <t>Año</t>
        </is>
      </c>
      <c r="K11" s="93" t="n"/>
      <c r="L11" s="89" t="n"/>
      <c r="M11" s="363" t="n"/>
      <c r="N11" s="361" t="n"/>
      <c r="O11" s="361" t="n"/>
      <c r="P11" s="362" t="n"/>
    </row>
    <row r="12" ht="21" customHeight="1" s="127">
      <c r="A12" s="59" t="inlineStr">
        <is>
          <t>Contratista / Empresa</t>
        </is>
      </c>
      <c r="B12" s="364" t="n"/>
      <c r="C12" s="361" t="n"/>
      <c r="D12" s="361" t="n"/>
      <c r="E12" s="361" t="n"/>
      <c r="F12" s="361" t="n"/>
      <c r="G12" s="361" t="n"/>
      <c r="H12" s="361" t="n"/>
      <c r="I12" s="362" t="n"/>
      <c r="J12" s="59" t="inlineStr">
        <is>
          <t>Responsable</t>
        </is>
      </c>
      <c r="K12" s="93" t="n"/>
      <c r="L12" s="89" t="n"/>
      <c r="M12" s="364" t="n"/>
      <c r="N12" s="361" t="n"/>
      <c r="O12" s="361" t="n"/>
      <c r="P12" s="362" t="n"/>
    </row>
    <row r="13" ht="16.5" customHeight="1" s="127">
      <c r="A13" s="137" t="inlineStr">
        <is>
          <t>1. DATOS BASE DEL AÑO (se llenan cada mes)</t>
        </is>
      </c>
      <c r="B13" s="98" t="n"/>
      <c r="C13" s="98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7" t="n"/>
    </row>
    <row r="14" ht="19.05" customHeight="1" s="127">
      <c r="A14" s="74" t="inlineStr">
        <is>
          <t>Dato</t>
        </is>
      </c>
      <c r="B14" s="74" t="inlineStr">
        <is>
          <t>Ene</t>
        </is>
      </c>
      <c r="C14" s="74" t="inlineStr">
        <is>
          <t>Feb</t>
        </is>
      </c>
      <c r="D14" s="74" t="inlineStr">
        <is>
          <t>Mar</t>
        </is>
      </c>
      <c r="E14" s="74" t="inlineStr">
        <is>
          <t>Abr</t>
        </is>
      </c>
      <c r="F14" s="74" t="inlineStr">
        <is>
          <t>May</t>
        </is>
      </c>
      <c r="G14" s="74" t="inlineStr">
        <is>
          <t>Jun</t>
        </is>
      </c>
      <c r="H14" s="74" t="inlineStr">
        <is>
          <t>Jul</t>
        </is>
      </c>
      <c r="I14" s="74" t="inlineStr">
        <is>
          <t>Ago</t>
        </is>
      </c>
      <c r="J14" s="74" t="inlineStr">
        <is>
          <t>Sep</t>
        </is>
      </c>
      <c r="K14" s="74" t="inlineStr">
        <is>
          <t>Oct</t>
        </is>
      </c>
      <c r="L14" s="74" t="inlineStr">
        <is>
          <t>Nov</t>
        </is>
      </c>
      <c r="M14" s="74" t="inlineStr">
        <is>
          <t>Dic</t>
        </is>
      </c>
      <c r="N14" s="74" t="inlineStr">
        <is>
          <t>Año</t>
        </is>
      </c>
      <c r="O14" s="74" t="inlineStr">
        <is>
          <t>Nota</t>
        </is>
      </c>
      <c r="P14" s="89" t="n"/>
    </row>
    <row r="15" ht="16.95" customHeight="1" s="127">
      <c r="A15" s="365" t="inlineStr">
        <is>
          <t>Promedio de trabajadores</t>
        </is>
      </c>
      <c r="B15" s="366" t="n"/>
      <c r="C15" s="366" t="n"/>
      <c r="D15" s="366" t="n"/>
      <c r="E15" s="366" t="n"/>
      <c r="F15" s="366" t="n"/>
      <c r="G15" s="366" t="n"/>
      <c r="H15" s="366" t="n"/>
      <c r="I15" s="366" t="n"/>
      <c r="J15" s="366" t="n"/>
      <c r="K15" s="366" t="n"/>
      <c r="L15" s="366" t="n"/>
      <c r="M15" s="366" t="n"/>
      <c r="N15" s="175">
        <f>IFERROR(AVERAGE(B15:M15),"")</f>
        <v/>
      </c>
      <c r="O15" s="366" t="n"/>
      <c r="P15" s="362" t="n"/>
    </row>
    <row r="16" ht="16.95" customHeight="1" s="127">
      <c r="A16" s="365" t="inlineStr">
        <is>
          <t>Horas-hombre trabajadas (HHT)</t>
        </is>
      </c>
      <c r="B16" s="366" t="n"/>
      <c r="C16" s="366" t="n"/>
      <c r="D16" s="366" t="n"/>
      <c r="E16" s="366" t="n"/>
      <c r="F16" s="366" t="n"/>
      <c r="G16" s="366" t="n"/>
      <c r="H16" s="366" t="n"/>
      <c r="I16" s="366" t="n"/>
      <c r="J16" s="366" t="n"/>
      <c r="K16" s="366" t="n"/>
      <c r="L16" s="366" t="n"/>
      <c r="M16" s="366" t="n"/>
      <c r="N16" s="176">
        <f>IF(COUNT(B16:M16)=0,"",SUM(B16:M16))</f>
        <v/>
      </c>
      <c r="O16" s="366" t="n"/>
      <c r="P16" s="362" t="n"/>
    </row>
    <row r="17" ht="16.95" customHeight="1" s="127">
      <c r="A17" s="365" t="inlineStr">
        <is>
          <t>Accidentes de trabajo (AT)</t>
        </is>
      </c>
      <c r="B17" s="366" t="n"/>
      <c r="C17" s="366" t="n"/>
      <c r="D17" s="366" t="n"/>
      <c r="E17" s="366" t="n"/>
      <c r="F17" s="366" t="n"/>
      <c r="G17" s="366" t="n"/>
      <c r="H17" s="366" t="n"/>
      <c r="I17" s="366" t="n"/>
      <c r="J17" s="366" t="n"/>
      <c r="K17" s="366" t="n"/>
      <c r="L17" s="366" t="n"/>
      <c r="M17" s="366" t="n"/>
      <c r="N17" s="176">
        <f>IF(COUNT(B17:M17)=0,"",SUM(B17:M17))</f>
        <v/>
      </c>
      <c r="O17" s="366" t="n"/>
      <c r="P17" s="362" t="n"/>
    </row>
    <row r="18" ht="16.95" customHeight="1" s="127">
      <c r="A18" s="365" t="inlineStr">
        <is>
          <t>AT con incapacidad</t>
        </is>
      </c>
      <c r="B18" s="366" t="n"/>
      <c r="C18" s="366" t="n"/>
      <c r="D18" s="366" t="n"/>
      <c r="E18" s="366" t="n"/>
      <c r="F18" s="366" t="n"/>
      <c r="G18" s="366" t="n"/>
      <c r="H18" s="366" t="n"/>
      <c r="I18" s="366" t="n"/>
      <c r="J18" s="366" t="n"/>
      <c r="K18" s="366" t="n"/>
      <c r="L18" s="366" t="n"/>
      <c r="M18" s="366" t="n"/>
      <c r="N18" s="176">
        <f>IF(COUNT(B18:M18)=0,"",SUM(B18:M18))</f>
        <v/>
      </c>
      <c r="O18" s="366" t="n"/>
      <c r="P18" s="362" t="n"/>
    </row>
    <row r="19" ht="16.95" customHeight="1" s="127">
      <c r="A19" s="365" t="inlineStr">
        <is>
          <t>Días de incapacidad por AT</t>
        </is>
      </c>
      <c r="B19" s="366" t="n"/>
      <c r="C19" s="366" t="n"/>
      <c r="D19" s="366" t="n"/>
      <c r="E19" s="366" t="n"/>
      <c r="F19" s="366" t="n"/>
      <c r="G19" s="366" t="n"/>
      <c r="H19" s="366" t="n"/>
      <c r="I19" s="366" t="n"/>
      <c r="J19" s="366" t="n"/>
      <c r="K19" s="366" t="n"/>
      <c r="L19" s="366" t="n"/>
      <c r="M19" s="366" t="n"/>
      <c r="N19" s="176">
        <f>IF(COUNT(B19:M19)=0,"",SUM(B19:M19))</f>
        <v/>
      </c>
      <c r="O19" s="366" t="n"/>
      <c r="P19" s="362" t="n"/>
    </row>
    <row r="20" ht="16.95" customHeight="1" s="127">
      <c r="A20" s="365" t="inlineStr">
        <is>
          <t>AT mortales</t>
        </is>
      </c>
      <c r="B20" s="366" t="n"/>
      <c r="C20" s="366" t="n"/>
      <c r="D20" s="366" t="n"/>
      <c r="E20" s="366" t="n"/>
      <c r="F20" s="366" t="n"/>
      <c r="G20" s="366" t="n"/>
      <c r="H20" s="366" t="n"/>
      <c r="I20" s="366" t="n"/>
      <c r="J20" s="366" t="n"/>
      <c r="K20" s="366" t="n"/>
      <c r="L20" s="366" t="n"/>
      <c r="M20" s="366" t="n"/>
      <c r="N20" s="176">
        <f>IF(COUNT(B20:M20)=0,"",SUM(B20:M20))</f>
        <v/>
      </c>
      <c r="O20" s="366" t="n"/>
      <c r="P20" s="362" t="n"/>
    </row>
    <row r="21" ht="16.95" customHeight="1" s="127">
      <c r="A21" s="365" t="inlineStr">
        <is>
          <t>Casos nuevos de enfermedad laboral</t>
        </is>
      </c>
      <c r="B21" s="366" t="n"/>
      <c r="C21" s="366" t="n"/>
      <c r="D21" s="366" t="n"/>
      <c r="E21" s="366" t="n"/>
      <c r="F21" s="366" t="n"/>
      <c r="G21" s="366" t="n"/>
      <c r="H21" s="366" t="n"/>
      <c r="I21" s="366" t="n"/>
      <c r="J21" s="366" t="n"/>
      <c r="K21" s="366" t="n"/>
      <c r="L21" s="366" t="n"/>
      <c r="M21" s="366" t="n"/>
      <c r="N21" s="176">
        <f>IF(COUNT(B21:M21)=0,"",SUM(B21:M21))</f>
        <v/>
      </c>
      <c r="O21" s="366" t="n"/>
      <c r="P21" s="362" t="n"/>
    </row>
    <row r="22" ht="16.95" customHeight="1" s="127">
      <c r="A22" s="365" t="inlineStr">
        <is>
          <t>Casos antiguos de enfermedad laboral</t>
        </is>
      </c>
      <c r="B22" s="366" t="n"/>
      <c r="C22" s="366" t="n"/>
      <c r="D22" s="366" t="n"/>
      <c r="E22" s="366" t="n"/>
      <c r="F22" s="366" t="n"/>
      <c r="G22" s="366" t="n"/>
      <c r="H22" s="366" t="n"/>
      <c r="I22" s="366" t="n"/>
      <c r="J22" s="366" t="n"/>
      <c r="K22" s="366" t="n"/>
      <c r="L22" s="366" t="n"/>
      <c r="M22" s="366" t="n"/>
      <c r="N22" s="176">
        <f>IF(COUNT(B22:M22)=0,"",SUM(B22:M22))</f>
        <v/>
      </c>
      <c r="O22" s="366" t="n"/>
      <c r="P22" s="362" t="n"/>
    </row>
    <row r="23" ht="16.95" customHeight="1" s="127">
      <c r="A23" s="365" t="inlineStr">
        <is>
          <t>Incidentes y casi accidentes</t>
        </is>
      </c>
      <c r="B23" s="366" t="n"/>
      <c r="C23" s="366" t="n"/>
      <c r="D23" s="366" t="n"/>
      <c r="E23" s="366" t="n"/>
      <c r="F23" s="366" t="n"/>
      <c r="G23" s="366" t="n"/>
      <c r="H23" s="366" t="n"/>
      <c r="I23" s="366" t="n"/>
      <c r="J23" s="366" t="n"/>
      <c r="K23" s="366" t="n"/>
      <c r="L23" s="366" t="n"/>
      <c r="M23" s="366" t="n"/>
      <c r="N23" s="176">
        <f>IF(COUNT(B23:M23)=0,"",SUM(B23:M23))</f>
        <v/>
      </c>
      <c r="O23" s="366" t="n"/>
      <c r="P23" s="362" t="n"/>
    </row>
    <row r="24" ht="16.95" customHeight="1" s="127">
      <c r="A24" s="365" t="inlineStr">
        <is>
          <t>Días de ausencia por incapacidad médica</t>
        </is>
      </c>
      <c r="B24" s="366" t="n"/>
      <c r="C24" s="366" t="n"/>
      <c r="D24" s="366" t="n"/>
      <c r="E24" s="366" t="n"/>
      <c r="F24" s="366" t="n"/>
      <c r="G24" s="366" t="n"/>
      <c r="H24" s="366" t="n"/>
      <c r="I24" s="366" t="n"/>
      <c r="J24" s="366" t="n"/>
      <c r="K24" s="366" t="n"/>
      <c r="L24" s="366" t="n"/>
      <c r="M24" s="366" t="n"/>
      <c r="N24" s="176">
        <f>IF(COUNT(B24:M24)=0,"",SUM(B24:M24))</f>
        <v/>
      </c>
      <c r="O24" s="366" t="n"/>
      <c r="P24" s="362" t="n"/>
    </row>
    <row r="25" ht="16.95" customHeight="1" s="127">
      <c r="A25" s="365" t="inlineStr">
        <is>
          <t>Días de trabajo programados</t>
        </is>
      </c>
      <c r="B25" s="366" t="n"/>
      <c r="C25" s="366" t="n"/>
      <c r="D25" s="366" t="n"/>
      <c r="E25" s="366" t="n"/>
      <c r="F25" s="366" t="n"/>
      <c r="G25" s="366" t="n"/>
      <c r="H25" s="366" t="n"/>
      <c r="I25" s="366" t="n"/>
      <c r="J25" s="366" t="n"/>
      <c r="K25" s="366" t="n"/>
      <c r="L25" s="366" t="n"/>
      <c r="M25" s="366" t="n"/>
      <c r="N25" s="176">
        <f>IF(COUNT(B25:M25)=0,"",SUM(B25:M25))</f>
        <v/>
      </c>
      <c r="O25" s="366" t="n"/>
      <c r="P25" s="362" t="n"/>
    </row>
    <row r="26" ht="16.5" customHeight="1" s="127">
      <c r="A26" s="137" t="inlineStr">
        <is>
          <t>2. INDICADORES DE ACCIDENTALIDAD Y SALUD (se calculan solos)</t>
        </is>
      </c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7" t="n"/>
    </row>
    <row r="27" ht="19.05" customHeight="1" s="127">
      <c r="A27" s="74" t="inlineStr">
        <is>
          <t>Indicador</t>
        </is>
      </c>
      <c r="B27" s="74" t="inlineStr">
        <is>
          <t>Ene</t>
        </is>
      </c>
      <c r="C27" s="74" t="inlineStr">
        <is>
          <t>Feb</t>
        </is>
      </c>
      <c r="D27" s="74" t="inlineStr">
        <is>
          <t>Mar</t>
        </is>
      </c>
      <c r="E27" s="74" t="inlineStr">
        <is>
          <t>Abr</t>
        </is>
      </c>
      <c r="F27" s="74" t="inlineStr">
        <is>
          <t>May</t>
        </is>
      </c>
      <c r="G27" s="74" t="inlineStr">
        <is>
          <t>Jun</t>
        </is>
      </c>
      <c r="H27" s="74" t="inlineStr">
        <is>
          <t>Jul</t>
        </is>
      </c>
      <c r="I27" s="74" t="inlineStr">
        <is>
          <t>Ago</t>
        </is>
      </c>
      <c r="J27" s="74" t="inlineStr">
        <is>
          <t>Sep</t>
        </is>
      </c>
      <c r="K27" s="74" t="inlineStr">
        <is>
          <t>Oct</t>
        </is>
      </c>
      <c r="L27" s="74" t="inlineStr">
        <is>
          <t>Nov</t>
        </is>
      </c>
      <c r="M27" s="74" t="inlineStr">
        <is>
          <t>Dic</t>
        </is>
      </c>
      <c r="N27" s="74" t="inlineStr">
        <is>
          <t>Año (acum.)</t>
        </is>
      </c>
      <c r="O27" s="74" t="inlineStr">
        <is>
          <t>Meta</t>
        </is>
      </c>
      <c r="P27" s="89" t="n"/>
    </row>
    <row r="28" ht="16.95" customHeight="1" s="127">
      <c r="A28" s="365" t="inlineStr">
        <is>
          <t>Frecuencia de accidentalidad (%)</t>
        </is>
      </c>
      <c r="B28" s="53">
        <f>IFERROR(IF(OR(B15="",B15=0,B17=""),"",B17/B15*100),"")</f>
        <v/>
      </c>
      <c r="C28" s="53">
        <f>IFERROR(IF(OR(C15="",C15=0,C17=""),"",C17/C15*100),"")</f>
        <v/>
      </c>
      <c r="D28" s="53">
        <f>IFERROR(IF(OR(D15="",D15=0,D17=""),"",D17/D15*100),"")</f>
        <v/>
      </c>
      <c r="E28" s="53">
        <f>IFERROR(IF(OR(E15="",E15=0,E17=""),"",E17/E15*100),"")</f>
        <v/>
      </c>
      <c r="F28" s="53">
        <f>IFERROR(IF(OR(F15="",F15=0,F17=""),"",F17/F15*100),"")</f>
        <v/>
      </c>
      <c r="G28" s="53">
        <f>IFERROR(IF(OR(G15="",G15=0,G17=""),"",G17/G15*100),"")</f>
        <v/>
      </c>
      <c r="H28" s="53">
        <f>IFERROR(IF(OR(H15="",H15=0,H17=""),"",H17/H15*100),"")</f>
        <v/>
      </c>
      <c r="I28" s="53">
        <f>IFERROR(IF(OR(I15="",I15=0,I17=""),"",I17/I15*100),"")</f>
        <v/>
      </c>
      <c r="J28" s="53">
        <f>IFERROR(IF(OR(J15="",J15=0,J17=""),"",J17/J15*100),"")</f>
        <v/>
      </c>
      <c r="K28" s="53">
        <f>IFERROR(IF(OR(K15="",K15=0,K17=""),"",K17/K15*100),"")</f>
        <v/>
      </c>
      <c r="L28" s="53">
        <f>IFERROR(IF(OR(L15="",L15=0,L17=""),"",L17/L15*100),"")</f>
        <v/>
      </c>
      <c r="M28" s="53">
        <f>IFERROR(IF(OR(M15="",M15=0,M17=""),"",M17/M15*100),"")</f>
        <v/>
      </c>
      <c r="N28" s="53">
        <f>IFERROR(IF(OR(N15="",N15=0,N17=""),"",N17/N15*100),"")</f>
        <v/>
      </c>
      <c r="O28" s="366" t="n"/>
      <c r="P28" s="362" t="n"/>
    </row>
    <row r="29" ht="16.95" customHeight="1" s="127">
      <c r="A29" s="365" t="inlineStr">
        <is>
          <t>Severidad de accidentalidad (%)</t>
        </is>
      </c>
      <c r="B29" s="53">
        <f>IFERROR(IF(OR(B15="",B15=0,B19=""),"",B19/B15*100),"")</f>
        <v/>
      </c>
      <c r="C29" s="53">
        <f>IFERROR(IF(OR(C15="",C15=0,C19=""),"",C19/C15*100),"")</f>
        <v/>
      </c>
      <c r="D29" s="53">
        <f>IFERROR(IF(OR(D15="",D15=0,D19=""),"",D19/D15*100),"")</f>
        <v/>
      </c>
      <c r="E29" s="53">
        <f>IFERROR(IF(OR(E15="",E15=0,E19=""),"",E19/E15*100),"")</f>
        <v/>
      </c>
      <c r="F29" s="53">
        <f>IFERROR(IF(OR(F15="",F15=0,F19=""),"",F19/F15*100),"")</f>
        <v/>
      </c>
      <c r="G29" s="53">
        <f>IFERROR(IF(OR(G15="",G15=0,G19=""),"",G19/G15*100),"")</f>
        <v/>
      </c>
      <c r="H29" s="53">
        <f>IFERROR(IF(OR(H15="",H15=0,H19=""),"",H19/H15*100),"")</f>
        <v/>
      </c>
      <c r="I29" s="53">
        <f>IFERROR(IF(OR(I15="",I15=0,I19=""),"",I19/I15*100),"")</f>
        <v/>
      </c>
      <c r="J29" s="53">
        <f>IFERROR(IF(OR(J15="",J15=0,J19=""),"",J19/J15*100),"")</f>
        <v/>
      </c>
      <c r="K29" s="53">
        <f>IFERROR(IF(OR(K15="",K15=0,K19=""),"",K19/K15*100),"")</f>
        <v/>
      </c>
      <c r="L29" s="53">
        <f>IFERROR(IF(OR(L15="",L15=0,L19=""),"",L19/L15*100),"")</f>
        <v/>
      </c>
      <c r="M29" s="53">
        <f>IFERROR(IF(OR(M15="",M15=0,M19=""),"",M19/M15*100),"")</f>
        <v/>
      </c>
      <c r="N29" s="53">
        <f>IFERROR(IF(OR(N15="",N15=0,N19=""),"",N19/N15*100),"")</f>
        <v/>
      </c>
      <c r="O29" s="366" t="n"/>
      <c r="P29" s="362" t="n"/>
    </row>
    <row r="30" ht="16.95" customHeight="1" s="127">
      <c r="A30" s="365" t="inlineStr">
        <is>
          <t>Proporción de AT mortales (%)</t>
        </is>
      </c>
      <c r="B30" s="53">
        <f>IFERROR(IF(OR(B17="",B17=0,B20=""),"",B20/B17*100),"")</f>
        <v/>
      </c>
      <c r="C30" s="53">
        <f>IFERROR(IF(OR(C17="",C17=0,C20=""),"",C20/C17*100),"")</f>
        <v/>
      </c>
      <c r="D30" s="53">
        <f>IFERROR(IF(OR(D17="",D17=0,D20=""),"",D20/D17*100),"")</f>
        <v/>
      </c>
      <c r="E30" s="53">
        <f>IFERROR(IF(OR(E17="",E17=0,E20=""),"",E20/E17*100),"")</f>
        <v/>
      </c>
      <c r="F30" s="53">
        <f>IFERROR(IF(OR(F17="",F17=0,F20=""),"",F20/F17*100),"")</f>
        <v/>
      </c>
      <c r="G30" s="53">
        <f>IFERROR(IF(OR(G17="",G17=0,G20=""),"",G20/G17*100),"")</f>
        <v/>
      </c>
      <c r="H30" s="53">
        <f>IFERROR(IF(OR(H17="",H17=0,H20=""),"",H20/H17*100),"")</f>
        <v/>
      </c>
      <c r="I30" s="53">
        <f>IFERROR(IF(OR(I17="",I17=0,I20=""),"",I20/I17*100),"")</f>
        <v/>
      </c>
      <c r="J30" s="53">
        <f>IFERROR(IF(OR(J17="",J17=0,J20=""),"",J20/J17*100),"")</f>
        <v/>
      </c>
      <c r="K30" s="53">
        <f>IFERROR(IF(OR(K17="",K17=0,K20=""),"",K20/K17*100),"")</f>
        <v/>
      </c>
      <c r="L30" s="53">
        <f>IFERROR(IF(OR(L17="",L17=0,L20=""),"",L20/L17*100),"")</f>
        <v/>
      </c>
      <c r="M30" s="53">
        <f>IFERROR(IF(OR(M17="",M17=0,M20=""),"",M20/M17*100),"")</f>
        <v/>
      </c>
      <c r="N30" s="53">
        <f>IFERROR(IF(OR(N17="",N17=0,N20=""),"",N20/N17*100),"")</f>
        <v/>
      </c>
      <c r="O30" s="366" t="n"/>
      <c r="P30" s="362" t="n"/>
    </row>
    <row r="31" ht="29" customHeight="1" s="127">
      <c r="A31" s="365" t="inlineStr">
        <is>
          <t>Incidencia de enfermedad laboral (por 100.000)</t>
        </is>
      </c>
      <c r="B31" s="53">
        <f>IFERROR(IF(OR(B15="",B15=0,B21=""),"",B21/B15*100000),"")</f>
        <v/>
      </c>
      <c r="C31" s="53">
        <f>IFERROR(IF(OR(C15="",C15=0,C21=""),"",C21/C15*100000),"")</f>
        <v/>
      </c>
      <c r="D31" s="53">
        <f>IFERROR(IF(OR(D15="",D15=0,D21=""),"",D21/D15*100000),"")</f>
        <v/>
      </c>
      <c r="E31" s="53">
        <f>IFERROR(IF(OR(E15="",E15=0,E21=""),"",E21/E15*100000),"")</f>
        <v/>
      </c>
      <c r="F31" s="53">
        <f>IFERROR(IF(OR(F15="",F15=0,F21=""),"",F21/F15*100000),"")</f>
        <v/>
      </c>
      <c r="G31" s="53">
        <f>IFERROR(IF(OR(G15="",G15=0,G21=""),"",G21/G15*100000),"")</f>
        <v/>
      </c>
      <c r="H31" s="53">
        <f>IFERROR(IF(OR(H15="",H15=0,H21=""),"",H21/H15*100000),"")</f>
        <v/>
      </c>
      <c r="I31" s="53">
        <f>IFERROR(IF(OR(I15="",I15=0,I21=""),"",I21/I15*100000),"")</f>
        <v/>
      </c>
      <c r="J31" s="53">
        <f>IFERROR(IF(OR(J15="",J15=0,J21=""),"",J21/J15*100000),"")</f>
        <v/>
      </c>
      <c r="K31" s="53">
        <f>IFERROR(IF(OR(K15="",K15=0,K21=""),"",K21/K15*100000),"")</f>
        <v/>
      </c>
      <c r="L31" s="53">
        <f>IFERROR(IF(OR(L15="",L15=0,L21=""),"",L21/L15*100000),"")</f>
        <v/>
      </c>
      <c r="M31" s="53">
        <f>IFERROR(IF(OR(M15="",M15=0,M21=""),"",M21/M15*100000),"")</f>
        <v/>
      </c>
      <c r="N31" s="53">
        <f>IFERROR(IF(OR(N15="",N15=0,N21=""),"",N21/N15*100000),"")</f>
        <v/>
      </c>
      <c r="O31" s="366" t="n"/>
      <c r="P31" s="362" t="n"/>
    </row>
    <row r="32" ht="29" customHeight="1" s="127">
      <c r="A32" s="365" t="inlineStr">
        <is>
          <t>Prevalencia de enfermedad laboral (por 100.000)</t>
        </is>
      </c>
      <c r="B32" s="53">
        <f>IFERROR(IF(OR(B15="",B15=0,AND(B21="",B22="")),"",(B21+B22)/B15*100000),"")</f>
        <v/>
      </c>
      <c r="C32" s="53">
        <f>IFERROR(IF(OR(C15="",C15=0,AND(C21="",C22="")),"",(C21+C22)/C15*100000),"")</f>
        <v/>
      </c>
      <c r="D32" s="53">
        <f>IFERROR(IF(OR(D15="",D15=0,AND(D21="",D22="")),"",(D21+D22)/D15*100000),"")</f>
        <v/>
      </c>
      <c r="E32" s="53">
        <f>IFERROR(IF(OR(E15="",E15=0,AND(E21="",E22="")),"",(E21+E22)/E15*100000),"")</f>
        <v/>
      </c>
      <c r="F32" s="53">
        <f>IFERROR(IF(OR(F15="",F15=0,AND(F21="",F22="")),"",(F21+F22)/F15*100000),"")</f>
        <v/>
      </c>
      <c r="G32" s="53">
        <f>IFERROR(IF(OR(G15="",G15=0,AND(G21="",G22="")),"",(G21+G22)/G15*100000),"")</f>
        <v/>
      </c>
      <c r="H32" s="53">
        <f>IFERROR(IF(OR(H15="",H15=0,AND(H21="",H22="")),"",(H21+H22)/H15*100000),"")</f>
        <v/>
      </c>
      <c r="I32" s="53">
        <f>IFERROR(IF(OR(I15="",I15=0,AND(I21="",I22="")),"",(I21+I22)/I15*100000),"")</f>
        <v/>
      </c>
      <c r="J32" s="53">
        <f>IFERROR(IF(OR(J15="",J15=0,AND(J21="",J22="")),"",(J21+J22)/J15*100000),"")</f>
        <v/>
      </c>
      <c r="K32" s="53">
        <f>IFERROR(IF(OR(K15="",K15=0,AND(K21="",K22="")),"",(K21+K22)/K15*100000),"")</f>
        <v/>
      </c>
      <c r="L32" s="53">
        <f>IFERROR(IF(OR(L15="",L15=0,AND(L21="",L22="")),"",(L21+L22)/L15*100000),"")</f>
        <v/>
      </c>
      <c r="M32" s="53">
        <f>IFERROR(IF(OR(M15="",M15=0,AND(M21="",M22="")),"",(M21+M22)/M15*100000),"")</f>
        <v/>
      </c>
      <c r="N32" s="53">
        <f>IFERROR(IF(OR(N15="",N15=0,AND(N21="",N22="")),"",(N21+N22)/N15*100000),"")</f>
        <v/>
      </c>
      <c r="O32" s="366" t="n"/>
      <c r="P32" s="362" t="n"/>
    </row>
    <row r="33" ht="16.95" customHeight="1" s="127">
      <c r="A33" s="365" t="inlineStr">
        <is>
          <t>Ausentismo por causa médica (%)</t>
        </is>
      </c>
      <c r="B33" s="53">
        <f>IFERROR(IF(OR(B25="",B25=0,B24=""),"",B24/B25*100),"")</f>
        <v/>
      </c>
      <c r="C33" s="53">
        <f>IFERROR(IF(OR(C25="",C25=0,C24=""),"",C24/C25*100),"")</f>
        <v/>
      </c>
      <c r="D33" s="53">
        <f>IFERROR(IF(OR(D25="",D25=0,D24=""),"",D24/D25*100),"")</f>
        <v/>
      </c>
      <c r="E33" s="53">
        <f>IFERROR(IF(OR(E25="",E25=0,E24=""),"",E24/E25*100),"")</f>
        <v/>
      </c>
      <c r="F33" s="53">
        <f>IFERROR(IF(OR(F25="",F25=0,F24=""),"",F24/F25*100),"")</f>
        <v/>
      </c>
      <c r="G33" s="53">
        <f>IFERROR(IF(OR(G25="",G25=0,G24=""),"",G24/G25*100),"")</f>
        <v/>
      </c>
      <c r="H33" s="53">
        <f>IFERROR(IF(OR(H25="",H25=0,H24=""),"",H24/H25*100),"")</f>
        <v/>
      </c>
      <c r="I33" s="53">
        <f>IFERROR(IF(OR(I25="",I25=0,I24=""),"",I24/I25*100),"")</f>
        <v/>
      </c>
      <c r="J33" s="53">
        <f>IFERROR(IF(OR(J25="",J25=0,J24=""),"",J24/J25*100),"")</f>
        <v/>
      </c>
      <c r="K33" s="53">
        <f>IFERROR(IF(OR(K25="",K25=0,K24=""),"",K24/K25*100),"")</f>
        <v/>
      </c>
      <c r="L33" s="53">
        <f>IFERROR(IF(OR(L25="",L25=0,L24=""),"",L24/L25*100),"")</f>
        <v/>
      </c>
      <c r="M33" s="53">
        <f>IFERROR(IF(OR(M25="",M25=0,M24=""),"",M24/M25*100),"")</f>
        <v/>
      </c>
      <c r="N33" s="53">
        <f>IFERROR(IF(OR(N25="",N25=0,N24=""),"",N24/N25*100),"")</f>
        <v/>
      </c>
      <c r="O33" s="366" t="n"/>
      <c r="P33" s="362" t="n"/>
    </row>
    <row r="34" ht="29" customHeight="1" s="127">
      <c r="A34" s="365" t="inlineStr">
        <is>
          <t>Índice de frecuencia, IF (AT × 240.000 ÷ HHT)</t>
        </is>
      </c>
      <c r="B34" s="53">
        <f>IFERROR(IF(OR(B16="",B16=0,B17=""),"",B17*240000/B16),"")</f>
        <v/>
      </c>
      <c r="C34" s="53">
        <f>IFERROR(IF(OR(C16="",C16=0,C17=""),"",C17*240000/C16),"")</f>
        <v/>
      </c>
      <c r="D34" s="53">
        <f>IFERROR(IF(OR(D16="",D16=0,D17=""),"",D17*240000/D16),"")</f>
        <v/>
      </c>
      <c r="E34" s="53">
        <f>IFERROR(IF(OR(E16="",E16=0,E17=""),"",E17*240000/E16),"")</f>
        <v/>
      </c>
      <c r="F34" s="53">
        <f>IFERROR(IF(OR(F16="",F16=0,F17=""),"",F17*240000/F16),"")</f>
        <v/>
      </c>
      <c r="G34" s="53">
        <f>IFERROR(IF(OR(G16="",G16=0,G17=""),"",G17*240000/G16),"")</f>
        <v/>
      </c>
      <c r="H34" s="53">
        <f>IFERROR(IF(OR(H16="",H16=0,H17=""),"",H17*240000/H16),"")</f>
        <v/>
      </c>
      <c r="I34" s="53">
        <f>IFERROR(IF(OR(I16="",I16=0,I17=""),"",I17*240000/I16),"")</f>
        <v/>
      </c>
      <c r="J34" s="53">
        <f>IFERROR(IF(OR(J16="",J16=0,J17=""),"",J17*240000/J16),"")</f>
        <v/>
      </c>
      <c r="K34" s="53">
        <f>IFERROR(IF(OR(K16="",K16=0,K17=""),"",K17*240000/K16),"")</f>
        <v/>
      </c>
      <c r="L34" s="53">
        <f>IFERROR(IF(OR(L16="",L16=0,L17=""),"",L17*240000/L16),"")</f>
        <v/>
      </c>
      <c r="M34" s="53">
        <f>IFERROR(IF(OR(M16="",M16=0,M17=""),"",M17*240000/M16),"")</f>
        <v/>
      </c>
      <c r="N34" s="53">
        <f>IFERROR(IF(OR(N16="",N16=0,N17=""),"",N17*240000/N16),"")</f>
        <v/>
      </c>
      <c r="O34" s="366" t="n"/>
      <c r="P34" s="362" t="n"/>
    </row>
    <row r="35" ht="29" customHeight="1" s="127">
      <c r="A35" s="365" t="inlineStr">
        <is>
          <t>Índice de severidad, IS (días × 240.000 ÷ HHT)</t>
        </is>
      </c>
      <c r="B35" s="53">
        <f>IFERROR(IF(OR(B16="",B16=0,B19=""),"",B19*240000/B16),"")</f>
        <v/>
      </c>
      <c r="C35" s="53">
        <f>IFERROR(IF(OR(C16="",C16=0,C19=""),"",C19*240000/C16),"")</f>
        <v/>
      </c>
      <c r="D35" s="53">
        <f>IFERROR(IF(OR(D16="",D16=0,D19=""),"",D19*240000/D16),"")</f>
        <v/>
      </c>
      <c r="E35" s="53">
        <f>IFERROR(IF(OR(E16="",E16=0,E19=""),"",E19*240000/E16),"")</f>
        <v/>
      </c>
      <c r="F35" s="53">
        <f>IFERROR(IF(OR(F16="",F16=0,F19=""),"",F19*240000/F16),"")</f>
        <v/>
      </c>
      <c r="G35" s="53">
        <f>IFERROR(IF(OR(G16="",G16=0,G19=""),"",G19*240000/G16),"")</f>
        <v/>
      </c>
      <c r="H35" s="53">
        <f>IFERROR(IF(OR(H16="",H16=0,H19=""),"",H19*240000/H16),"")</f>
        <v/>
      </c>
      <c r="I35" s="53">
        <f>IFERROR(IF(OR(I16="",I16=0,I19=""),"",I19*240000/I16),"")</f>
        <v/>
      </c>
      <c r="J35" s="53">
        <f>IFERROR(IF(OR(J16="",J16=0,J19=""),"",J19*240000/J16),"")</f>
        <v/>
      </c>
      <c r="K35" s="53">
        <f>IFERROR(IF(OR(K16="",K16=0,K19=""),"",K19*240000/K16),"")</f>
        <v/>
      </c>
      <c r="L35" s="53">
        <f>IFERROR(IF(OR(L16="",L16=0,L19=""),"",L19*240000/L16),"")</f>
        <v/>
      </c>
      <c r="M35" s="53">
        <f>IFERROR(IF(OR(M16="",M16=0,M19=""),"",M19*240000/M16),"")</f>
        <v/>
      </c>
      <c r="N35" s="53">
        <f>IFERROR(IF(OR(N16="",N16=0,N19=""),"",N19*240000/N16),"")</f>
        <v/>
      </c>
      <c r="O35" s="366" t="n"/>
      <c r="P35" s="362" t="n"/>
    </row>
    <row r="36" ht="29" customHeight="1" s="127">
      <c r="A36" s="367" t="inlineStr">
        <is>
          <t>Índice de lesiones incapacitantes, ILI (IF × IS ÷ 1.000)</t>
        </is>
      </c>
      <c r="B36" s="332">
        <f>IFERROR(IF(OR(B34="",B35=""),"",B34*B35/1000),"")</f>
        <v/>
      </c>
      <c r="C36" s="332">
        <f>IFERROR(IF(OR(C34="",C35=""),"",C34*C35/1000),"")</f>
        <v/>
      </c>
      <c r="D36" s="332">
        <f>IFERROR(IF(OR(D34="",D35=""),"",D34*D35/1000),"")</f>
        <v/>
      </c>
      <c r="E36" s="332">
        <f>IFERROR(IF(OR(E34="",E35=""),"",E34*E35/1000),"")</f>
        <v/>
      </c>
      <c r="F36" s="332">
        <f>IFERROR(IF(OR(F34="",F35=""),"",F34*F35/1000),"")</f>
        <v/>
      </c>
      <c r="G36" s="332">
        <f>IFERROR(IF(OR(G34="",G35=""),"",G34*G35/1000),"")</f>
        <v/>
      </c>
      <c r="H36" s="332">
        <f>IFERROR(IF(OR(H34="",H35=""),"",H34*H35/1000),"")</f>
        <v/>
      </c>
      <c r="I36" s="332">
        <f>IFERROR(IF(OR(I34="",I35=""),"",I34*I35/1000),"")</f>
        <v/>
      </c>
      <c r="J36" s="332">
        <f>IFERROR(IF(OR(J34="",J35=""),"",J34*J35/1000),"")</f>
        <v/>
      </c>
      <c r="K36" s="332">
        <f>IFERROR(IF(OR(K34="",K35=""),"",K34*K35/1000),"")</f>
        <v/>
      </c>
      <c r="L36" s="332">
        <f>IFERROR(IF(OR(L34="",L35=""),"",L34*L35/1000),"")</f>
        <v/>
      </c>
      <c r="M36" s="332">
        <f>IFERROR(IF(OR(M34="",M35=""),"",M34*M35/1000),"")</f>
        <v/>
      </c>
      <c r="N36" s="332">
        <f>IFERROR(IF(OR(N34="",N35=""),"",N34*N35/1000),"")</f>
        <v/>
      </c>
      <c r="O36" s="368" t="n"/>
      <c r="P36" s="369" t="n"/>
    </row>
    <row r="37" ht="16.05" customHeight="1" s="127">
      <c r="A37" s="255" t="inlineStr">
        <is>
          <t>El año (acum.) se calcula con los totales del año (y el promedio de trabajadores). Meta: la define el proyecto. IF e IS usan K = 240.000 (100 trabajadores × 48 horas × 50 semanas).</t>
        </is>
      </c>
      <c r="B37" s="349" t="n"/>
      <c r="C37" s="349" t="n"/>
      <c r="D37" s="349" t="n"/>
      <c r="E37" s="349" t="n"/>
      <c r="F37" s="349" t="n"/>
      <c r="G37" s="349" t="n"/>
      <c r="H37" s="349" t="n"/>
      <c r="I37" s="349" t="n"/>
      <c r="J37" s="349" t="n"/>
      <c r="K37" s="349" t="n"/>
      <c r="L37" s="349" t="n"/>
      <c r="M37" s="349" t="n"/>
      <c r="N37" s="349" t="n"/>
      <c r="O37" s="349" t="n"/>
      <c r="P37" s="351" t="n"/>
    </row>
    <row r="38" ht="16.5" customHeight="1" s="127">
      <c r="A38" s="137" t="inlineStr">
        <is>
          <t>3. INDICADORES DE GESTIÓN (programado vs. ejecutado)</t>
        </is>
      </c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8" t="n"/>
      <c r="N38" s="98" t="n"/>
      <c r="O38" s="98" t="n"/>
      <c r="P38" s="97" t="n"/>
    </row>
    <row r="39" ht="19.05" customHeight="1" s="127">
      <c r="A39" s="74" t="inlineStr">
        <is>
          <t>Indicador</t>
        </is>
      </c>
      <c r="B39" s="74" t="inlineStr">
        <is>
          <t>Ene</t>
        </is>
      </c>
      <c r="C39" s="74" t="inlineStr">
        <is>
          <t>Feb</t>
        </is>
      </c>
      <c r="D39" s="74" t="inlineStr">
        <is>
          <t>Mar</t>
        </is>
      </c>
      <c r="E39" s="74" t="inlineStr">
        <is>
          <t>Abr</t>
        </is>
      </c>
      <c r="F39" s="74" t="inlineStr">
        <is>
          <t>May</t>
        </is>
      </c>
      <c r="G39" s="74" t="inlineStr">
        <is>
          <t>Jun</t>
        </is>
      </c>
      <c r="H39" s="74" t="inlineStr">
        <is>
          <t>Jul</t>
        </is>
      </c>
      <c r="I39" s="74" t="inlineStr">
        <is>
          <t>Ago</t>
        </is>
      </c>
      <c r="J39" s="74" t="inlineStr">
        <is>
          <t>Sep</t>
        </is>
      </c>
      <c r="K39" s="74" t="inlineStr">
        <is>
          <t>Oct</t>
        </is>
      </c>
      <c r="L39" s="74" t="inlineStr">
        <is>
          <t>Nov</t>
        </is>
      </c>
      <c r="M39" s="74" t="inlineStr">
        <is>
          <t>Dic</t>
        </is>
      </c>
      <c r="N39" s="74" t="inlineStr">
        <is>
          <t>Año (acum.)</t>
        </is>
      </c>
      <c r="O39" s="74" t="inlineStr">
        <is>
          <t>Meta</t>
        </is>
      </c>
      <c r="P39" s="89" t="n"/>
    </row>
    <row r="40" ht="16.95" customHeight="1" s="127">
      <c r="A40" s="365" t="inlineStr">
        <is>
          <t>Capacitaciones programadas</t>
        </is>
      </c>
      <c r="B40" s="366" t="n"/>
      <c r="C40" s="366" t="n"/>
      <c r="D40" s="366" t="n"/>
      <c r="E40" s="366" t="n"/>
      <c r="F40" s="366" t="n"/>
      <c r="G40" s="366" t="n"/>
      <c r="H40" s="366" t="n"/>
      <c r="I40" s="366" t="n"/>
      <c r="J40" s="366" t="n"/>
      <c r="K40" s="366" t="n"/>
      <c r="L40" s="366" t="n"/>
      <c r="M40" s="366" t="n"/>
      <c r="N40" s="176">
        <f>IF(COUNT(B40:M40)=0,"",SUM(B40:M40))</f>
        <v/>
      </c>
      <c r="O40" s="366" t="n"/>
      <c r="P40" s="362" t="n"/>
    </row>
    <row r="41" ht="16.95" customHeight="1" s="127">
      <c r="A41" s="365" t="inlineStr">
        <is>
          <t>Capacitaciones ejecutadas</t>
        </is>
      </c>
      <c r="B41" s="366" t="n"/>
      <c r="C41" s="366" t="n"/>
      <c r="D41" s="366" t="n"/>
      <c r="E41" s="366" t="n"/>
      <c r="F41" s="366" t="n"/>
      <c r="G41" s="366" t="n"/>
      <c r="H41" s="366" t="n"/>
      <c r="I41" s="366" t="n"/>
      <c r="J41" s="366" t="n"/>
      <c r="K41" s="366" t="n"/>
      <c r="L41" s="366" t="n"/>
      <c r="M41" s="366" t="n"/>
      <c r="N41" s="176">
        <f>IF(COUNT(B41:M41)=0,"",SUM(B41:M41))</f>
        <v/>
      </c>
      <c r="O41" s="366" t="n"/>
      <c r="P41" s="362" t="n"/>
    </row>
    <row r="42" ht="16.95" customHeight="1" s="127">
      <c r="A42" s="370" t="inlineStr">
        <is>
          <t>Cumplimiento del plan de capacitación (%)</t>
        </is>
      </c>
      <c r="B42" s="55">
        <f>IFERROR(IF(OR(B40="",B40=0,B41=""),"",B41/B40),"")</f>
        <v/>
      </c>
      <c r="C42" s="55">
        <f>IFERROR(IF(OR(C40="",C40=0,C41=""),"",C41/C40),"")</f>
        <v/>
      </c>
      <c r="D42" s="55">
        <f>IFERROR(IF(OR(D40="",D40=0,D41=""),"",D41/D40),"")</f>
        <v/>
      </c>
      <c r="E42" s="55">
        <f>IFERROR(IF(OR(E40="",E40=0,E41=""),"",E41/E40),"")</f>
        <v/>
      </c>
      <c r="F42" s="55">
        <f>IFERROR(IF(OR(F40="",F40=0,F41=""),"",F41/F40),"")</f>
        <v/>
      </c>
      <c r="G42" s="55">
        <f>IFERROR(IF(OR(G40="",G40=0,G41=""),"",G41/G40),"")</f>
        <v/>
      </c>
      <c r="H42" s="55">
        <f>IFERROR(IF(OR(H40="",H40=0,H41=""),"",H41/H40),"")</f>
        <v/>
      </c>
      <c r="I42" s="55">
        <f>IFERROR(IF(OR(I40="",I40=0,I41=""),"",I41/I40),"")</f>
        <v/>
      </c>
      <c r="J42" s="55">
        <f>IFERROR(IF(OR(J40="",J40=0,J41=""),"",J41/J40),"")</f>
        <v/>
      </c>
      <c r="K42" s="55">
        <f>IFERROR(IF(OR(K40="",K40=0,K41=""),"",K41/K40),"")</f>
        <v/>
      </c>
      <c r="L42" s="55">
        <f>IFERROR(IF(OR(L40="",L40=0,L41=""),"",L41/L40),"")</f>
        <v/>
      </c>
      <c r="M42" s="55">
        <f>IFERROR(IF(OR(M40="",M40=0,M41=""),"",M41/M40),"")</f>
        <v/>
      </c>
      <c r="N42" s="55">
        <f>IFERROR(IF(OR(N40="",N40=0,N41=""),"",N41/N40),"")</f>
        <v/>
      </c>
      <c r="O42" s="366" t="n"/>
      <c r="P42" s="362" t="n"/>
    </row>
    <row r="43" ht="16.95" customHeight="1" s="127">
      <c r="A43" s="365" t="inlineStr">
        <is>
          <t>Inspecciones programadas</t>
        </is>
      </c>
      <c r="B43" s="366" t="n"/>
      <c r="C43" s="366" t="n"/>
      <c r="D43" s="366" t="n"/>
      <c r="E43" s="366" t="n"/>
      <c r="F43" s="366" t="n"/>
      <c r="G43" s="366" t="n"/>
      <c r="H43" s="366" t="n"/>
      <c r="I43" s="366" t="n"/>
      <c r="J43" s="366" t="n"/>
      <c r="K43" s="366" t="n"/>
      <c r="L43" s="366" t="n"/>
      <c r="M43" s="366" t="n"/>
      <c r="N43" s="176">
        <f>IF(COUNT(B43:M43)=0,"",SUM(B43:M43))</f>
        <v/>
      </c>
      <c r="O43" s="366" t="n"/>
      <c r="P43" s="362" t="n"/>
    </row>
    <row r="44" ht="16.95" customHeight="1" s="127">
      <c r="A44" s="365" t="inlineStr">
        <is>
          <t>Inspecciones ejecutadas</t>
        </is>
      </c>
      <c r="B44" s="366" t="n"/>
      <c r="C44" s="366" t="n"/>
      <c r="D44" s="366" t="n"/>
      <c r="E44" s="366" t="n"/>
      <c r="F44" s="366" t="n"/>
      <c r="G44" s="366" t="n"/>
      <c r="H44" s="366" t="n"/>
      <c r="I44" s="366" t="n"/>
      <c r="J44" s="366" t="n"/>
      <c r="K44" s="366" t="n"/>
      <c r="L44" s="366" t="n"/>
      <c r="M44" s="366" t="n"/>
      <c r="N44" s="176">
        <f>IF(COUNT(B44:M44)=0,"",SUM(B44:M44))</f>
        <v/>
      </c>
      <c r="O44" s="366" t="n"/>
      <c r="P44" s="362" t="n"/>
    </row>
    <row r="45" ht="16.95" customHeight="1" s="127">
      <c r="A45" s="370" t="inlineStr">
        <is>
          <t>Cumplimiento del plan de inspecciones (%)</t>
        </is>
      </c>
      <c r="B45" s="55">
        <f>IFERROR(IF(OR(B43="",B43=0,B44=""),"",B44/B43),"")</f>
        <v/>
      </c>
      <c r="C45" s="55">
        <f>IFERROR(IF(OR(C43="",C43=0,C44=""),"",C44/C43),"")</f>
        <v/>
      </c>
      <c r="D45" s="55">
        <f>IFERROR(IF(OR(D43="",D43=0,D44=""),"",D44/D43),"")</f>
        <v/>
      </c>
      <c r="E45" s="55">
        <f>IFERROR(IF(OR(E43="",E43=0,E44=""),"",E44/E43),"")</f>
        <v/>
      </c>
      <c r="F45" s="55">
        <f>IFERROR(IF(OR(F43="",F43=0,F44=""),"",F44/F43),"")</f>
        <v/>
      </c>
      <c r="G45" s="55">
        <f>IFERROR(IF(OR(G43="",G43=0,G44=""),"",G44/G43),"")</f>
        <v/>
      </c>
      <c r="H45" s="55">
        <f>IFERROR(IF(OR(H43="",H43=0,H44=""),"",H44/H43),"")</f>
        <v/>
      </c>
      <c r="I45" s="55">
        <f>IFERROR(IF(OR(I43="",I43=0,I44=""),"",I44/I43),"")</f>
        <v/>
      </c>
      <c r="J45" s="55">
        <f>IFERROR(IF(OR(J43="",J43=0,J44=""),"",J44/J43),"")</f>
        <v/>
      </c>
      <c r="K45" s="55">
        <f>IFERROR(IF(OR(K43="",K43=0,K44=""),"",K44/K43),"")</f>
        <v/>
      </c>
      <c r="L45" s="55">
        <f>IFERROR(IF(OR(L43="",L43=0,L44=""),"",L44/L43),"")</f>
        <v/>
      </c>
      <c r="M45" s="55">
        <f>IFERROR(IF(OR(M43="",M43=0,M44=""),"",M44/M43),"")</f>
        <v/>
      </c>
      <c r="N45" s="55">
        <f>IFERROR(IF(OR(N43="",N43=0,N44=""),"",N44/N43),"")</f>
        <v/>
      </c>
      <c r="O45" s="366" t="n"/>
      <c r="P45" s="362" t="n"/>
    </row>
    <row r="46" ht="16.95" customHeight="1" s="127">
      <c r="A46" s="365" t="inlineStr">
        <is>
          <t>Acciones correctivas abiertas en el mes</t>
        </is>
      </c>
      <c r="B46" s="366" t="n"/>
      <c r="C46" s="366" t="n"/>
      <c r="D46" s="366" t="n"/>
      <c r="E46" s="366" t="n"/>
      <c r="F46" s="366" t="n"/>
      <c r="G46" s="366" t="n"/>
      <c r="H46" s="366" t="n"/>
      <c r="I46" s="366" t="n"/>
      <c r="J46" s="366" t="n"/>
      <c r="K46" s="366" t="n"/>
      <c r="L46" s="366" t="n"/>
      <c r="M46" s="366" t="n"/>
      <c r="N46" s="176">
        <f>IF(COUNT(B46:M46)=0,"",SUM(B46:M46))</f>
        <v/>
      </c>
      <c r="O46" s="366" t="n"/>
      <c r="P46" s="362" t="n"/>
    </row>
    <row r="47" ht="16.95" customHeight="1" s="127">
      <c r="A47" s="365" t="inlineStr">
        <is>
          <t>Acciones correctivas cerradas en el mes</t>
        </is>
      </c>
      <c r="B47" s="366" t="n"/>
      <c r="C47" s="366" t="n"/>
      <c r="D47" s="366" t="n"/>
      <c r="E47" s="366" t="n"/>
      <c r="F47" s="366" t="n"/>
      <c r="G47" s="366" t="n"/>
      <c r="H47" s="366" t="n"/>
      <c r="I47" s="366" t="n"/>
      <c r="J47" s="366" t="n"/>
      <c r="K47" s="366" t="n"/>
      <c r="L47" s="366" t="n"/>
      <c r="M47" s="366" t="n"/>
      <c r="N47" s="176">
        <f>IF(COUNT(B47:M47)=0,"",SUM(B47:M47))</f>
        <v/>
      </c>
      <c r="O47" s="366" t="n"/>
      <c r="P47" s="362" t="n"/>
    </row>
    <row r="48" ht="16.95" customHeight="1" s="127">
      <c r="A48" s="370" t="inlineStr">
        <is>
          <t>Cierre de acciones correctivas (%)</t>
        </is>
      </c>
      <c r="B48" s="55">
        <f>IFERROR(IF(OR(B46="",B46=0,B47=""),"",B47/B46),"")</f>
        <v/>
      </c>
      <c r="C48" s="55">
        <f>IFERROR(IF(OR(C46="",C46=0,C47=""),"",C47/C46),"")</f>
        <v/>
      </c>
      <c r="D48" s="55">
        <f>IFERROR(IF(OR(D46="",D46=0,D47=""),"",D47/D46),"")</f>
        <v/>
      </c>
      <c r="E48" s="55">
        <f>IFERROR(IF(OR(E46="",E46=0,E47=""),"",E47/E46),"")</f>
        <v/>
      </c>
      <c r="F48" s="55">
        <f>IFERROR(IF(OR(F46="",F46=0,F47=""),"",F47/F46),"")</f>
        <v/>
      </c>
      <c r="G48" s="55">
        <f>IFERROR(IF(OR(G46="",G46=0,G47=""),"",G47/G46),"")</f>
        <v/>
      </c>
      <c r="H48" s="55">
        <f>IFERROR(IF(OR(H46="",H46=0,H47=""),"",H47/H46),"")</f>
        <v/>
      </c>
      <c r="I48" s="55">
        <f>IFERROR(IF(OR(I46="",I46=0,I47=""),"",I47/I46),"")</f>
        <v/>
      </c>
      <c r="J48" s="55">
        <f>IFERROR(IF(OR(J46="",J46=0,J47=""),"",J47/J46),"")</f>
        <v/>
      </c>
      <c r="K48" s="55">
        <f>IFERROR(IF(OR(K46="",K46=0,K47=""),"",K47/K46),"")</f>
        <v/>
      </c>
      <c r="L48" s="55">
        <f>IFERROR(IF(OR(L46="",L46=0,L47=""),"",L47/L46),"")</f>
        <v/>
      </c>
      <c r="M48" s="55">
        <f>IFERROR(IF(OR(M46="",M46=0,M47=""),"",M47/M46),"")</f>
        <v/>
      </c>
      <c r="N48" s="55">
        <f>IFERROR(IF(OR(N46="",N46=0,N47=""),"",N47/N46),"")</f>
        <v/>
      </c>
      <c r="O48" s="366" t="n"/>
      <c r="P48" s="362" t="n"/>
    </row>
    <row r="49" ht="29" customHeight="1" s="127">
      <c r="A49" s="365" t="inlineStr">
        <is>
          <t>Actos y condiciones inseguras reportados (N°)</t>
        </is>
      </c>
      <c r="B49" s="366" t="n"/>
      <c r="C49" s="366" t="n"/>
      <c r="D49" s="366" t="n"/>
      <c r="E49" s="366" t="n"/>
      <c r="F49" s="366" t="n"/>
      <c r="G49" s="366" t="n"/>
      <c r="H49" s="366" t="n"/>
      <c r="I49" s="366" t="n"/>
      <c r="J49" s="366" t="n"/>
      <c r="K49" s="366" t="n"/>
      <c r="L49" s="366" t="n"/>
      <c r="M49" s="366" t="n"/>
      <c r="N49" s="176">
        <f>IF(COUNT(B49:M49)=0,"",SUM(B49:M49))</f>
        <v/>
      </c>
      <c r="O49" s="366" t="n"/>
      <c r="P49" s="362" t="n"/>
    </row>
    <row r="50" ht="16.5" customHeight="1" s="127">
      <c r="A50" s="137" t="inlineStr">
        <is>
          <t>ANÁLISIS Y DECISIONES</t>
        </is>
      </c>
      <c r="B50" s="98" t="n"/>
      <c r="C50" s="98" t="n"/>
      <c r="D50" s="98" t="n"/>
      <c r="E50" s="98" t="n"/>
      <c r="F50" s="98" t="n"/>
      <c r="G50" s="98" t="n"/>
      <c r="H50" s="98" t="n"/>
      <c r="I50" s="98" t="n"/>
      <c r="J50" s="98" t="n"/>
      <c r="K50" s="98" t="n"/>
      <c r="L50" s="98" t="n"/>
      <c r="M50" s="98" t="n"/>
      <c r="N50" s="98" t="n"/>
      <c r="O50" s="98" t="n"/>
      <c r="P50" s="97" t="n"/>
    </row>
    <row r="51" ht="30" customHeight="1" s="127">
      <c r="A51" s="371" t="n"/>
      <c r="B51" s="372" t="n"/>
      <c r="C51" s="372" t="n"/>
      <c r="D51" s="372" t="n"/>
      <c r="E51" s="372" t="n"/>
      <c r="F51" s="372" t="n"/>
      <c r="G51" s="372" t="n"/>
      <c r="H51" s="372" t="n"/>
      <c r="I51" s="372" t="n"/>
      <c r="J51" s="372" t="n"/>
      <c r="K51" s="372" t="n"/>
      <c r="L51" s="372" t="n"/>
      <c r="M51" s="372" t="n"/>
      <c r="N51" s="372" t="n"/>
      <c r="O51" s="372" t="n"/>
      <c r="P51" s="369" t="n"/>
    </row>
    <row r="52" ht="30" customHeight="1" s="127">
      <c r="A52" s="373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  <c r="M52" s="374" t="n"/>
      <c r="N52" s="374" t="n"/>
      <c r="O52" s="374" t="n"/>
      <c r="P52" s="375" t="n"/>
    </row>
    <row r="53" ht="30" customHeight="1" s="127">
      <c r="A53" s="373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  <c r="M53" s="374" t="n"/>
      <c r="N53" s="374" t="n"/>
      <c r="O53" s="374" t="n"/>
      <c r="P53" s="375" t="n"/>
    </row>
    <row r="54" ht="30" customHeight="1" s="127">
      <c r="A54" s="373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  <c r="M54" s="374" t="n"/>
      <c r="N54" s="374" t="n"/>
      <c r="O54" s="374" t="n"/>
      <c r="P54" s="375" t="n"/>
    </row>
    <row r="55" ht="30" customHeight="1" s="127">
      <c r="A55" s="376" t="n"/>
      <c r="B55" s="377" t="n"/>
      <c r="C55" s="377" t="n"/>
      <c r="D55" s="377" t="n"/>
      <c r="E55" s="377" t="n"/>
      <c r="F55" s="377" t="n"/>
      <c r="G55" s="377" t="n"/>
      <c r="H55" s="377" t="n"/>
      <c r="I55" s="377" t="n"/>
      <c r="J55" s="377" t="n"/>
      <c r="K55" s="377" t="n"/>
      <c r="L55" s="377" t="n"/>
      <c r="M55" s="377" t="n"/>
      <c r="N55" s="377" t="n"/>
      <c r="O55" s="377" t="n"/>
      <c r="P55" s="378" t="n"/>
    </row>
    <row r="56" ht="16.5" customHeight="1" s="127">
      <c r="A56" s="137" t="inlineStr">
        <is>
          <t>FIRMAS</t>
        </is>
      </c>
      <c r="B56" s="98" t="n"/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8" t="n"/>
      <c r="O56" s="98" t="n"/>
      <c r="P56" s="97" t="n"/>
    </row>
    <row r="57" ht="18" customHeight="1" s="127">
      <c r="A57" s="359" t="inlineStr">
        <is>
          <t>Firmas del informe</t>
        </is>
      </c>
      <c r="B57" s="261" t="inlineStr">
        <is>
          <t>ELABORÓ — RESPONSABLE SST</t>
        </is>
      </c>
      <c r="C57" s="347" t="n"/>
      <c r="D57" s="347" t="n"/>
      <c r="E57" s="348" t="n"/>
      <c r="F57" s="261" t="inlineStr">
        <is>
          <t>REVISÓ — RESIDENTE DE OBRA</t>
        </is>
      </c>
      <c r="G57" s="347" t="n"/>
      <c r="H57" s="347" t="n"/>
      <c r="I57" s="347" t="n"/>
      <c r="J57" s="348" t="n"/>
      <c r="K57" s="261" t="inlineStr">
        <is>
          <t>Vo.Bo. — GERENCIA / INTERVENTORÍA</t>
        </is>
      </c>
      <c r="L57" s="347" t="n"/>
      <c r="M57" s="347" t="n"/>
      <c r="N57" s="347" t="n"/>
      <c r="O57" s="347" t="n"/>
      <c r="P57" s="348" t="n"/>
    </row>
    <row r="58" ht="42" customHeight="1" s="127">
      <c r="A58" s="131" t="n"/>
      <c r="B58" s="302" t="inlineStr">
        <is>
          <t>Firma:</t>
        </is>
      </c>
      <c r="C58" s="97" t="n"/>
      <c r="D58" s="379" t="n"/>
      <c r="E58" s="378" t="n"/>
      <c r="F58" s="302" t="inlineStr">
        <is>
          <t>Firma:</t>
        </is>
      </c>
      <c r="G58" s="97" t="n"/>
      <c r="H58" s="379" t="n"/>
      <c r="I58" s="377" t="n"/>
      <c r="J58" s="378" t="n"/>
      <c r="K58" s="302" t="inlineStr">
        <is>
          <t>Firma:</t>
        </is>
      </c>
      <c r="L58" s="97" t="n"/>
      <c r="M58" s="379" t="n"/>
      <c r="N58" s="377" t="n"/>
      <c r="O58" s="377" t="n"/>
      <c r="P58" s="378" t="n"/>
    </row>
    <row r="59" ht="21" customHeight="1" s="127">
      <c r="A59" s="131" t="n"/>
      <c r="B59" s="70" t="inlineStr">
        <is>
          <t>Nombre:</t>
        </is>
      </c>
      <c r="C59" s="89" t="n"/>
      <c r="D59" s="364" t="n"/>
      <c r="E59" s="362" t="n"/>
      <c r="F59" s="70" t="inlineStr">
        <is>
          <t>Nombre:</t>
        </is>
      </c>
      <c r="G59" s="89" t="n"/>
      <c r="H59" s="364" t="n"/>
      <c r="I59" s="361" t="n"/>
      <c r="J59" s="362" t="n"/>
      <c r="K59" s="70" t="inlineStr">
        <is>
          <t>Nombre:</t>
        </is>
      </c>
      <c r="L59" s="89" t="n"/>
      <c r="M59" s="364" t="n"/>
      <c r="N59" s="361" t="n"/>
      <c r="O59" s="361" t="n"/>
      <c r="P59" s="362" t="n"/>
    </row>
    <row r="60" ht="21" customHeight="1" s="127">
      <c r="A60" s="132" t="n"/>
      <c r="B60" s="70" t="inlineStr">
        <is>
          <t>Cargo:</t>
        </is>
      </c>
      <c r="C60" s="89" t="n"/>
      <c r="D60" s="364" t="n"/>
      <c r="E60" s="362" t="n"/>
      <c r="F60" s="70" t="inlineStr">
        <is>
          <t>Cargo:</t>
        </is>
      </c>
      <c r="G60" s="89" t="n"/>
      <c r="H60" s="364" t="n"/>
      <c r="I60" s="361" t="n"/>
      <c r="J60" s="362" t="n"/>
      <c r="K60" s="70" t="inlineStr">
        <is>
          <t>Cargo:</t>
        </is>
      </c>
      <c r="L60" s="89" t="n"/>
      <c r="M60" s="364" t="n"/>
      <c r="N60" s="361" t="n"/>
      <c r="O60" s="361" t="n"/>
      <c r="P60" s="362" t="n"/>
    </row>
    <row r="61">
      <c r="A61" s="25" t="inlineStr">
        <is>
          <t>REV. 04/10/2026</t>
        </is>
      </c>
      <c r="I61" s="105">
        <f>O5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3">
    <mergeCell ref="O7:P7"/>
    <mergeCell ref="D60:E60"/>
    <mergeCell ref="O6:P6"/>
    <mergeCell ref="O15:P15"/>
    <mergeCell ref="J11:L11"/>
    <mergeCell ref="A9:P9"/>
    <mergeCell ref="O32:P32"/>
    <mergeCell ref="M59:P59"/>
    <mergeCell ref="O41:P41"/>
    <mergeCell ref="O35:P35"/>
    <mergeCell ref="K58:L58"/>
    <mergeCell ref="B6:M6"/>
    <mergeCell ref="O16:P16"/>
    <mergeCell ref="O25:P25"/>
    <mergeCell ref="O43:P43"/>
    <mergeCell ref="O40:P40"/>
    <mergeCell ref="O27:P27"/>
    <mergeCell ref="N4:P4"/>
    <mergeCell ref="O8:P8"/>
    <mergeCell ref="O17:P17"/>
    <mergeCell ref="B7:M7"/>
    <mergeCell ref="H58:J58"/>
    <mergeCell ref="A26:P26"/>
    <mergeCell ref="H60:J60"/>
    <mergeCell ref="B8:M8"/>
    <mergeCell ref="O45:P45"/>
    <mergeCell ref="B12:I12"/>
    <mergeCell ref="A10:P10"/>
    <mergeCell ref="O29:P29"/>
    <mergeCell ref="O44:P44"/>
    <mergeCell ref="O31:P31"/>
    <mergeCell ref="O21:P21"/>
    <mergeCell ref="B5:M5"/>
    <mergeCell ref="M60:P60"/>
    <mergeCell ref="B4:M4"/>
    <mergeCell ref="A57:A60"/>
    <mergeCell ref="A37:P37"/>
    <mergeCell ref="H59:J59"/>
    <mergeCell ref="O19:P19"/>
    <mergeCell ref="O34:P34"/>
    <mergeCell ref="O28:P28"/>
    <mergeCell ref="A38:P38"/>
    <mergeCell ref="O39:P39"/>
    <mergeCell ref="O36:P36"/>
    <mergeCell ref="B58:C58"/>
    <mergeCell ref="K60:L60"/>
    <mergeCell ref="O30:P30"/>
    <mergeCell ref="O5:P5"/>
    <mergeCell ref="B11:I11"/>
    <mergeCell ref="O20:P20"/>
    <mergeCell ref="B60:C60"/>
    <mergeCell ref="O22:P22"/>
    <mergeCell ref="O46:P46"/>
    <mergeCell ref="M11:P11"/>
    <mergeCell ref="O47:P47"/>
    <mergeCell ref="A51:P55"/>
    <mergeCell ref="O48:P48"/>
    <mergeCell ref="B57:E57"/>
    <mergeCell ref="B1:P2"/>
    <mergeCell ref="B3:P3"/>
    <mergeCell ref="O23:P23"/>
    <mergeCell ref="M12:P12"/>
    <mergeCell ref="A50:P50"/>
    <mergeCell ref="F57:J57"/>
    <mergeCell ref="B59:C59"/>
    <mergeCell ref="O24:P24"/>
    <mergeCell ref="O18:P18"/>
    <mergeCell ref="O33:P33"/>
    <mergeCell ref="I61:P61"/>
    <mergeCell ref="F59:G59"/>
    <mergeCell ref="A13:P13"/>
    <mergeCell ref="M58:P58"/>
    <mergeCell ref="O49:P49"/>
    <mergeCell ref="J12:L12"/>
    <mergeCell ref="K59:L59"/>
    <mergeCell ref="K57:P57"/>
    <mergeCell ref="O42:P42"/>
    <mergeCell ref="D58:E58"/>
    <mergeCell ref="F58:G58"/>
    <mergeCell ref="A56:P56"/>
    <mergeCell ref="F60:G60"/>
    <mergeCell ref="O14:P14"/>
    <mergeCell ref="D59:E59"/>
  </mergeCells>
  <pageMargins left="0.4" right="0.4" top="0.4" bottom="0.7" header="0.5" footer="0.5"/>
  <pageSetup orientation="landscape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2026-10-10T05:18:08Z</dcterms:modified>
  <cp:lastModifiedBy>Hugo Fernando Hurtado Ruiz</cp:lastModifiedBy>
</cp:coreProperties>
</file>