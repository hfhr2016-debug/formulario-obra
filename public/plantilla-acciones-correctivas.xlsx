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cciones Correctiv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fonts count="2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b val="1"/>
      <color theme="0"/>
      <sz val="8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color rgb="FF1B2A45"/>
      <sz val="10"/>
    </font>
    <font>
      <name val="Calibri"/>
      <b val="1"/>
      <sz val="9"/>
    </font>
  </fonts>
  <fills count="13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2F75B5"/>
        <bgColor rgb="FF003366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rgb="FF2F75B5"/>
        <bgColor rgb="FFEEF1F6"/>
      </patternFill>
    </fill>
    <fill>
      <patternFill patternType="solid">
        <fgColor theme="0" tint="-0.0499893185216834"/>
        <bgColor rgb="FF003366"/>
      </patternFill>
    </fill>
    <fill>
      <patternFill patternType="solid">
        <fgColor rgb="FFFCCF6A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 style="thin">
        <color theme="3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/>
      <right/>
      <top/>
      <bottom style="thin">
        <color theme="3" tint="0.5999633777886288"/>
      </bottom>
      <diagonal/>
    </border>
    <border>
      <left style="thin">
        <color theme="0"/>
      </left>
      <right/>
      <top/>
      <bottom style="thin">
        <color theme="3" tint="0.5999633777886288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 style="thin">
        <color rgb="FF9AA3B2"/>
      </left>
      <right style="thin">
        <color rgb="FF9AA3B2"/>
      </right>
      <top/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126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1" fillId="7" borderId="7" applyAlignment="1" pivotButton="0" quotePrefix="0" xfId="3">
      <alignment horizontal="left" vertical="center"/>
    </xf>
    <xf numFmtId="0" fontId="12" fillId="4" borderId="1" applyAlignment="1" pivotButton="0" quotePrefix="0" xfId="3">
      <alignment horizontal="center" vertical="center"/>
    </xf>
    <xf numFmtId="0" fontId="12" fillId="4" borderId="0" applyAlignment="1" pivotButton="0" quotePrefix="0" xfId="3">
      <alignment horizontal="center" vertical="center"/>
    </xf>
    <xf numFmtId="0" fontId="12" fillId="4" borderId="6" applyAlignment="1" pivotButton="0" quotePrefix="0" xfId="3">
      <alignment horizontal="center" vertical="center"/>
    </xf>
    <xf numFmtId="0" fontId="13" fillId="8" borderId="8" applyAlignment="1" pivotButton="0" quotePrefix="0" xfId="3">
      <alignment vertical="center"/>
    </xf>
    <xf numFmtId="0" fontId="15" fillId="4" borderId="0" applyAlignment="1" pivotButton="0" quotePrefix="0" xfId="3">
      <alignment horizontal="center" vertical="center"/>
    </xf>
    <xf numFmtId="0" fontId="11" fillId="7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1" fillId="9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9" fillId="7" borderId="7" applyAlignment="1" pivotButton="0" quotePrefix="0" xfId="3">
      <alignment horizontal="left" vertical="center" wrapText="1"/>
    </xf>
    <xf numFmtId="0" fontId="22" fillId="0" borderId="7" applyAlignment="1" pivotButton="0" quotePrefix="0" xfId="3">
      <alignment horizontal="left" vertical="center" wrapText="1" indent="1"/>
    </xf>
    <xf numFmtId="0" fontId="19" fillId="7" borderId="7" applyAlignment="1" pivotButton="0" quotePrefix="0" xfId="3">
      <alignment horizontal="center" vertical="center" wrapText="1"/>
    </xf>
    <xf numFmtId="0" fontId="22" fillId="0" borderId="7" applyAlignment="1" pivotButton="0" quotePrefix="0" xfId="3">
      <alignment horizontal="center" vertical="center"/>
    </xf>
    <xf numFmtId="0" fontId="22" fillId="0" borderId="7" applyAlignment="1" pivotButton="0" quotePrefix="0" xfId="3">
      <alignment horizontal="left" vertical="center" shrinkToFit="1" indent="1"/>
    </xf>
    <xf numFmtId="0" fontId="24" fillId="0" borderId="0" pivotButton="0" quotePrefix="0" xfId="3"/>
    <xf numFmtId="0" fontId="1" fillId="0" borderId="0" pivotButton="0" quotePrefix="0" xfId="3"/>
    <xf numFmtId="9" fontId="6" fillId="5" borderId="7" applyAlignment="1" pivotButton="0" quotePrefix="0" xfId="3">
      <alignment horizontal="center" vertical="center"/>
    </xf>
    <xf numFmtId="0" fontId="6" fillId="5" borderId="7" applyAlignment="1" pivotButton="0" quotePrefix="0" xfId="3">
      <alignment horizontal="center" vertical="center"/>
    </xf>
    <xf numFmtId="0" fontId="6" fillId="5" borderId="7" applyAlignment="1" pivotButton="0" quotePrefix="0" xfId="3">
      <alignment horizontal="center" vertical="center" wrapText="1"/>
    </xf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2" fillId="0" borderId="7" applyAlignment="1" pivotButton="0" quotePrefix="0" xfId="3">
      <alignment horizontal="center" vertical="center"/>
    </xf>
    <xf numFmtId="9" fontId="22" fillId="0" borderId="7" applyAlignment="1" pivotButton="0" quotePrefix="0" xfId="3">
      <alignment horizontal="center" vertical="center"/>
    </xf>
    <xf numFmtId="0" fontId="22" fillId="0" borderId="7" applyAlignment="1" pivotButton="0" quotePrefix="0" xfId="3">
      <alignment horizontal="left" vertical="center" shrinkToFit="1" indent="1"/>
    </xf>
    <xf numFmtId="0" fontId="0" fillId="0" borderId="18" pivotButton="0" quotePrefix="0" xfId="0"/>
    <xf numFmtId="0" fontId="0" fillId="0" borderId="8" pivotButton="0" quotePrefix="0" xfId="0"/>
    <xf numFmtId="9" fontId="6" fillId="5" borderId="7" applyAlignment="1" pivotButton="0" quotePrefix="0" xfId="3">
      <alignment horizontal="center" vertical="center"/>
    </xf>
    <xf numFmtId="0" fontId="11" fillId="9" borderId="7" applyAlignment="1" pivotButton="0" quotePrefix="0" xfId="3">
      <alignment horizontal="left" vertical="center" wrapText="1"/>
    </xf>
    <xf numFmtId="0" fontId="19" fillId="7" borderId="7" applyAlignment="1" pivotButton="0" quotePrefix="0" xfId="3">
      <alignment horizontal="center" vertical="center" wrapText="1"/>
    </xf>
    <xf numFmtId="0" fontId="5" fillId="5" borderId="3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19" fillId="7" borderId="7" applyAlignment="1" pivotButton="0" quotePrefix="0" xfId="3">
      <alignment horizontal="left" vertical="center" wrapText="1"/>
    </xf>
    <xf numFmtId="0" fontId="10" fillId="4" borderId="20" applyAlignment="1" pivotButton="0" quotePrefix="0" xfId="3">
      <alignment horizontal="center" vertical="center"/>
    </xf>
    <xf numFmtId="0" fontId="0" fillId="0" borderId="6" pivotButton="0" quotePrefix="0" xfId="0"/>
    <xf numFmtId="0" fontId="19" fillId="7" borderId="7" applyAlignment="1" pivotButton="0" quotePrefix="0" xfId="3">
      <alignment horizontal="left" vertical="center" indent="1"/>
    </xf>
    <xf numFmtId="0" fontId="7" fillId="0" borderId="7" applyAlignment="1" pivotButton="0" quotePrefix="0" xfId="3">
      <alignment horizontal="left" vertical="center" wrapText="1"/>
    </xf>
    <xf numFmtId="0" fontId="12" fillId="4" borderId="20" applyAlignment="1" pivotButton="0" quotePrefix="0" xfId="3">
      <alignment horizontal="center" vertical="center"/>
    </xf>
    <xf numFmtId="0" fontId="0" fillId="0" borderId="10" pivotButton="0" quotePrefix="0" xfId="0"/>
    <xf numFmtId="0" fontId="0" fillId="0" borderId="2" pivotButton="0" quotePrefix="0" xfId="0"/>
    <xf numFmtId="0" fontId="0" fillId="0" borderId="17" pivotButton="0" quotePrefix="0" xfId="0"/>
    <xf numFmtId="0" fontId="7" fillId="0" borderId="7" applyAlignment="1" pivotButton="0" quotePrefix="0" xfId="3">
      <alignment horizontal="center" vertical="center" wrapText="1"/>
    </xf>
    <xf numFmtId="0" fontId="7" fillId="0" borderId="7" applyAlignment="1" pivotButton="0" quotePrefix="0" xfId="3">
      <alignment horizontal="center" vertical="center"/>
    </xf>
    <xf numFmtId="0" fontId="18" fillId="2" borderId="7" applyAlignment="1" pivotButton="0" quotePrefix="0" xfId="3">
      <alignment horizontal="center" vertical="center" wrapText="1"/>
    </xf>
    <xf numFmtId="0" fontId="19" fillId="7" borderId="7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9" fillId="6" borderId="7" applyAlignment="1" pivotButton="0" quotePrefix="0" xfId="3">
      <alignment horizontal="center" vertical="center"/>
    </xf>
    <xf numFmtId="0" fontId="4" fillId="6" borderId="15" applyAlignment="1" pivotButton="0" quotePrefix="0" xfId="3">
      <alignment horizontal="left" vertical="center" indent="1"/>
    </xf>
    <xf numFmtId="0" fontId="24" fillId="0" borderId="0" applyAlignment="1" pivotButton="0" quotePrefix="0" xfId="3">
      <alignment horizontal="right"/>
    </xf>
    <xf numFmtId="0" fontId="0" fillId="0" borderId="5" pivotButton="0" quotePrefix="0" xfId="0"/>
    <xf numFmtId="0" fontId="22" fillId="0" borderId="7" applyAlignment="1" pivotButton="0" quotePrefix="0" xfId="3">
      <alignment horizontal="center" vertical="center"/>
    </xf>
    <xf numFmtId="0" fontId="6" fillId="5" borderId="7" applyAlignment="1" pivotButton="0" quotePrefix="0" xfId="3">
      <alignment horizontal="center" vertical="center"/>
    </xf>
    <xf numFmtId="9" fontId="7" fillId="0" borderId="7" applyAlignment="1" pivotButton="0" quotePrefix="0" xfId="3">
      <alignment horizontal="center" vertical="center" wrapText="1"/>
    </xf>
    <xf numFmtId="0" fontId="19" fillId="7" borderId="7" applyAlignment="1" pivotButton="0" quotePrefix="0" xfId="3">
      <alignment horizontal="right" vertical="center" indent="1"/>
    </xf>
    <xf numFmtId="0" fontId="25" fillId="0" borderId="0" pivotButton="0" quotePrefix="0" xfId="3"/>
    <xf numFmtId="0" fontId="26" fillId="0" borderId="0" pivotButton="0" quotePrefix="0" xfId="0"/>
    <xf numFmtId="0" fontId="25" fillId="0" borderId="0" applyAlignment="1" pivotButton="0" quotePrefix="0" xfId="3">
      <alignment horizontal="right"/>
    </xf>
    <xf numFmtId="0" fontId="26" fillId="0" borderId="0" pivotButton="0" quotePrefix="0" xfId="0"/>
    <xf numFmtId="0" fontId="12" fillId="4" borderId="0" applyAlignment="1" pivotButton="0" quotePrefix="0" xfId="3">
      <alignment horizontal="center" vertical="center"/>
    </xf>
    <xf numFmtId="0" fontId="12" fillId="4" borderId="21" applyAlignment="1" pivotButton="0" quotePrefix="0" xfId="3">
      <alignment horizontal="center" vertical="center"/>
    </xf>
    <xf numFmtId="0" fontId="7" fillId="3" borderId="7" applyAlignment="1" pivotButton="0" quotePrefix="0" xfId="3">
      <alignment horizontal="left" vertical="center" wrapText="1"/>
    </xf>
    <xf numFmtId="0" fontId="0" fillId="3" borderId="18" pivotButton="0" quotePrefix="0" xfId="0"/>
    <xf numFmtId="0" fontId="0" fillId="3" borderId="8" pivotButton="0" quotePrefix="0" xfId="0"/>
    <xf numFmtId="0" fontId="0" fillId="0" borderId="0" pivotButton="0" quotePrefix="0" xfId="0"/>
    <xf numFmtId="0" fontId="12" fillId="4" borderId="22" applyAlignment="1" pivotButton="0" quotePrefix="0" xfId="3">
      <alignment horizontal="center" vertical="center"/>
    </xf>
    <xf numFmtId="0" fontId="5" fillId="5" borderId="2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4" applyAlignment="1" pivotButton="0" quotePrefix="0" xfId="3">
      <alignment horizontal="center" vertical="center"/>
    </xf>
    <xf numFmtId="0" fontId="5" fillId="3" borderId="5" applyAlignment="1" pivotButton="0" quotePrefix="0" xfId="3">
      <alignment horizontal="center" vertical="center"/>
    </xf>
    <xf numFmtId="0" fontId="10" fillId="4" borderId="1" applyAlignment="1" pivotButton="0" quotePrefix="0" xfId="3">
      <alignment horizontal="center" vertical="center"/>
    </xf>
    <xf numFmtId="0" fontId="10" fillId="4" borderId="0" applyAlignment="1" pivotButton="0" quotePrefix="0" xfId="3">
      <alignment horizontal="center" vertical="center"/>
    </xf>
    <xf numFmtId="0" fontId="10" fillId="4" borderId="6" applyAlignment="1" pivotButton="0" quotePrefix="0" xfId="3">
      <alignment horizontal="center" vertical="center"/>
    </xf>
    <xf numFmtId="0" fontId="12" fillId="4" borderId="1" applyAlignment="1" pivotButton="0" quotePrefix="0" xfId="3">
      <alignment horizontal="center" vertical="center"/>
    </xf>
    <xf numFmtId="0" fontId="12" fillId="4" borderId="0" applyAlignment="1" pivotButton="0" quotePrefix="0" xfId="3">
      <alignment horizontal="center" vertical="center"/>
    </xf>
    <xf numFmtId="0" fontId="12" fillId="4" borderId="6" applyAlignment="1" pivotButton="0" quotePrefix="0" xfId="3">
      <alignment horizontal="center" vertical="center"/>
    </xf>
    <xf numFmtId="0" fontId="14" fillId="0" borderId="9" applyAlignment="1" pivotButton="0" quotePrefix="0" xfId="3">
      <alignment horizontal="center" vertical="center"/>
    </xf>
    <xf numFmtId="0" fontId="14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4" fillId="6" borderId="7" applyAlignment="1" pivotButton="0" quotePrefix="0" xfId="3">
      <alignment horizontal="left" vertical="center" indent="1"/>
    </xf>
    <xf numFmtId="0" fontId="19" fillId="9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top" wrapText="1"/>
    </xf>
    <xf numFmtId="0" fontId="21" fillId="10" borderId="7" applyAlignment="1" pivotButton="0" quotePrefix="0" xfId="3">
      <alignment horizontal="left" vertical="center" indent="1"/>
    </xf>
    <xf numFmtId="0" fontId="22" fillId="0" borderId="7" applyAlignment="1" pivotButton="0" quotePrefix="0" xfId="3">
      <alignment horizontal="left" vertical="center" wrapText="1" indent="1"/>
    </xf>
    <xf numFmtId="0" fontId="20" fillId="0" borderId="7" applyAlignment="1" pivotButton="0" quotePrefix="0" xfId="3">
      <alignment horizontal="left" vertical="center" wrapText="1"/>
    </xf>
    <xf numFmtId="0" fontId="2" fillId="6" borderId="7" applyAlignment="1" pivotButton="0" quotePrefix="0" xfId="3">
      <alignment horizontal="left" vertical="center" indent="1"/>
    </xf>
    <xf numFmtId="0" fontId="22" fillId="0" borderId="7" applyAlignment="1" pivotButton="0" quotePrefix="0" xfId="3">
      <alignment horizontal="center" vertical="center" wrapText="1"/>
    </xf>
    <xf numFmtId="0" fontId="17" fillId="11" borderId="16" applyAlignment="1" pivotButton="0" quotePrefix="0" xfId="3">
      <alignment horizontal="center" vertical="center"/>
    </xf>
    <xf numFmtId="0" fontId="17" fillId="11" borderId="5" applyAlignment="1" pivotButton="0" quotePrefix="0" xfId="3">
      <alignment horizontal="center" vertical="center"/>
    </xf>
    <xf numFmtId="0" fontId="17" fillId="11" borderId="10" applyAlignment="1" pivotButton="0" quotePrefix="0" xfId="3">
      <alignment horizontal="center" vertical="center"/>
    </xf>
    <xf numFmtId="0" fontId="17" fillId="11" borderId="2" applyAlignment="1" pivotButton="0" quotePrefix="0" xfId="3">
      <alignment horizontal="center" vertical="center"/>
    </xf>
    <xf numFmtId="0" fontId="17" fillId="11" borderId="0" applyAlignment="1" pivotButton="0" quotePrefix="0" xfId="3">
      <alignment horizontal="center" vertical="center"/>
    </xf>
    <xf numFmtId="0" fontId="17" fillId="11" borderId="6" applyAlignment="1" pivotButton="0" quotePrefix="0" xfId="3">
      <alignment horizontal="center" vertical="center"/>
    </xf>
    <xf numFmtId="0" fontId="17" fillId="11" borderId="3" applyAlignment="1" pivotButton="0" quotePrefix="0" xfId="3">
      <alignment horizontal="center" vertical="center"/>
    </xf>
    <xf numFmtId="0" fontId="17" fillId="11" borderId="4" applyAlignment="1" pivotButton="0" quotePrefix="0" xfId="3">
      <alignment horizontal="center" vertical="center"/>
    </xf>
    <xf numFmtId="0" fontId="17" fillId="11" borderId="17" applyAlignment="1" pivotButton="0" quotePrefix="0" xfId="3">
      <alignment horizontal="center" vertical="center"/>
    </xf>
    <xf numFmtId="0" fontId="23" fillId="0" borderId="7" applyAlignment="1" pivotButton="0" quotePrefix="0" xfId="3">
      <alignment horizontal="center" vertical="center" wrapText="1"/>
    </xf>
    <xf numFmtId="0" fontId="16" fillId="12" borderId="19" applyAlignment="1" pivotButton="0" quotePrefix="0" xfId="3">
      <alignment horizontal="center" vertical="center" wrapText="1"/>
    </xf>
    <xf numFmtId="0" fontId="0" fillId="12" borderId="13" pivotButton="0" quotePrefix="0" xfId="0"/>
    <xf numFmtId="0" fontId="0" fillId="12" borderId="14" pivotButton="0" quotePrefix="0" xfId="0"/>
    <xf numFmtId="0" fontId="16" fillId="12" borderId="12" applyAlignment="1" pivotButton="0" quotePrefix="0" xfId="3">
      <alignment horizontal="center" vertical="center" wrapText="1"/>
    </xf>
    <xf numFmtId="0" fontId="16" fillId="12" borderId="13" applyAlignment="1" pivotButton="0" quotePrefix="0" xfId="3">
      <alignment horizontal="center" vertical="center" wrapText="1"/>
    </xf>
    <xf numFmtId="0" fontId="16" fillId="12" borderId="14" applyAlignment="1" pivotButton="0" quotePrefix="0" xfId="3">
      <alignment horizontal="center" vertical="center" wrapText="1"/>
    </xf>
    <xf numFmtId="0" fontId="12" fillId="4" borderId="23" applyAlignment="1" pivotButton="0" quotePrefix="0" xfId="3">
      <alignment horizontal="center" vertical="center"/>
    </xf>
    <xf numFmtId="0" fontId="12" fillId="4" borderId="24" applyAlignment="1" pivotButton="0" quotePrefix="0" xfId="3">
      <alignment horizontal="center" vertical="center"/>
    </xf>
    <xf numFmtId="0" fontId="17" fillId="11" borderId="7" applyAlignment="1" pivotButton="0" quotePrefix="0" xfId="3">
      <alignment horizontal="center" vertical="center"/>
    </xf>
    <xf numFmtId="0" fontId="18" fillId="0" borderId="7" applyAlignment="1" pivotButton="0" quotePrefix="0" xfId="3">
      <alignment horizontal="center" vertical="center" wrapText="1"/>
    </xf>
    <xf numFmtId="0" fontId="8" fillId="0" borderId="18" pivotButton="0" quotePrefix="0" xfId="0"/>
    <xf numFmtId="0" fontId="8" fillId="0" borderId="8" pivotButton="0" quotePrefix="0" xfId="0"/>
    <xf numFmtId="0" fontId="0" fillId="0" borderId="13" pivotButton="0" quotePrefix="0" xfId="0"/>
    <xf numFmtId="0" fontId="0" fillId="0" borderId="14" pivotButton="0" quotePrefix="0" xfId="0"/>
    <xf numFmtId="0" fontId="22" fillId="0" borderId="7" applyAlignment="1" pivotButton="0" quotePrefix="0" xfId="3">
      <alignment horizontal="left" vertical="center" indent="1"/>
    </xf>
    <xf numFmtId="2" fontId="6" fillId="5" borderId="7" applyAlignment="1" pivotButton="0" quotePrefix="0" xfId="3">
      <alignment horizontal="center" vertical="center"/>
    </xf>
    <xf numFmtId="1" fontId="6" fillId="5" borderId="7" applyAlignment="1" pivotButton="0" quotePrefix="0" xfId="3">
      <alignment horizontal="center" vertical="center"/>
    </xf>
    <xf numFmtId="2" fontId="27" fillId="9" borderId="7" applyAlignment="1" pivotButton="0" quotePrefix="0" xfId="3">
      <alignment horizontal="center" vertical="center" wrapText="1"/>
    </xf>
    <xf numFmtId="0" fontId="28" fillId="0" borderId="7" applyAlignment="1" pivotButton="0" quotePrefix="0" xfId="3">
      <alignment horizontal="left" vertical="center" indent="1"/>
    </xf>
    <xf numFmtId="9" fontId="27" fillId="9" borderId="7" applyAlignment="1" pivotButton="0" quotePrefix="0" xfId="3">
      <alignment horizontal="center" vertical="center" wrapText="1"/>
    </xf>
    <xf numFmtId="0" fontId="11" fillId="9" borderId="7" applyAlignment="1" pivotButton="0" quotePrefix="0" xfId="3">
      <alignment horizontal="center" vertical="center" wrapText="1"/>
    </xf>
    <xf numFmtId="0" fontId="0" fillId="0" borderId="27" pivotButton="0" quotePrefix="0" xfId="0"/>
    <xf numFmtId="0" fontId="0" fillId="0" borderId="15" pivotButton="0" quotePrefix="0" xfId="0"/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514350</xdr:colOff>
      <xdr:row>5</xdr:row>
      <xdr:rowOff>131445</xdr:rowOff>
    </xdr:to>
    <xdr:pic>
      <xdr:nvPicPr>
        <xdr:cNvPr id="1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/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35"/>
  <sheetViews>
    <sheetView showGridLines="0" tabSelected="1" zoomScale="79" zoomScaleNormal="79" workbookViewId="0">
      <selection activeCell="A1" sqref="A1"/>
    </sheetView>
  </sheetViews>
  <sheetFormatPr baseColWidth="8" defaultRowHeight="15"/>
  <cols>
    <col width="5" customWidth="1" style="70" min="1" max="1"/>
    <col width="11" customWidth="1" style="70" min="2" max="2"/>
    <col width="15" customWidth="1" style="70" min="3" max="3"/>
    <col width="10" customWidth="1" style="70" min="4" max="4"/>
    <col width="30" customWidth="1" style="70" min="5" max="5"/>
    <col width="12" customWidth="1" style="70" min="6" max="6"/>
    <col width="32" customWidth="1" style="70" min="7" max="7"/>
    <col width="16" customWidth="1" style="70" min="8" max="8"/>
    <col width="11" customWidth="1" style="70" min="9" max="9"/>
    <col width="16" customWidth="1" style="70" min="10" max="10"/>
    <col width="12" customWidth="1" style="70" min="11" max="11"/>
    <col width="13" customWidth="1" style="70" min="12" max="12"/>
  </cols>
  <sheetData>
    <row r="1" ht="40.05" customHeight="1" s="70">
      <c r="D1" s="35" t="inlineStr">
        <is>
          <t>ACCIONES CORRECTIVAS, PREVENTIVAS Y DE MEJORA</t>
        </is>
      </c>
    </row>
    <row r="2" ht="14.4" customHeight="1" s="70">
      <c r="D2" s="37" t="n"/>
      <c r="E2" s="38" t="n"/>
      <c r="F2" s="38" t="n"/>
      <c r="G2" s="38" t="n"/>
      <c r="H2" s="38" t="n"/>
      <c r="I2" s="38" t="n"/>
      <c r="J2" s="38" t="n"/>
      <c r="K2" s="38" t="n"/>
      <c r="L2" s="38" t="n"/>
    </row>
    <row r="3" ht="4.95" customHeight="1" s="70">
      <c r="D3" s="75" t="n"/>
      <c r="E3" s="56" t="n"/>
      <c r="F3" s="56" t="n"/>
      <c r="G3" s="56" t="n"/>
      <c r="H3" s="56" t="n"/>
      <c r="I3" s="56" t="n"/>
      <c r="J3" s="56" t="n"/>
      <c r="K3" s="56" t="n"/>
      <c r="L3" s="56" t="n"/>
    </row>
    <row r="4" ht="15" customHeight="1" s="70">
      <c r="J4" s="53" t="inlineStr">
        <is>
          <t>CONTROL DOCUMENTAL</t>
        </is>
      </c>
      <c r="K4" s="30" t="n"/>
      <c r="L4" s="31" t="n"/>
    </row>
    <row r="5" ht="15" customHeight="1" s="70">
      <c r="D5" s="40" t="inlineStr">
        <is>
          <t>REFORMAS Y REMODELACIONES</t>
        </is>
      </c>
      <c r="I5" s="41" t="n"/>
      <c r="J5" s="5" t="inlineStr">
        <is>
          <t>Código</t>
        </is>
      </c>
      <c r="K5" s="49" t="inlineStr">
        <is>
          <t>RYR-SS-012</t>
        </is>
      </c>
      <c r="L5" s="31" t="n"/>
    </row>
    <row r="6" ht="15" customHeight="1" s="70">
      <c r="D6" s="44" t="inlineStr">
        <is>
          <t>DISEÑAMOS, RENOVAMOS Y CONSTRUIMOS ESPACIOS QUE INSPIRAN.</t>
        </is>
      </c>
      <c r="I6" s="41" t="n"/>
      <c r="J6" s="5" t="inlineStr">
        <is>
          <t>Versión</t>
        </is>
      </c>
      <c r="K6" s="49" t="n">
        <v>1</v>
      </c>
      <c r="L6" s="31" t="n"/>
    </row>
    <row r="7" ht="15" customHeight="1" s="70">
      <c r="D7" s="80" t="n"/>
      <c r="E7" s="80" t="n"/>
      <c r="F7" s="80" t="n"/>
      <c r="G7" s="80" t="n"/>
      <c r="H7" s="80" t="n"/>
      <c r="I7" s="81" t="n"/>
      <c r="J7" s="5" t="inlineStr">
        <is>
          <t>Fecha de Emisión</t>
        </is>
      </c>
      <c r="K7" s="49" t="inlineStr">
        <is>
          <t>04/10/2026</t>
        </is>
      </c>
      <c r="L7" s="31" t="n"/>
    </row>
    <row r="8" ht="15" customHeight="1" s="70">
      <c r="D8" s="66" t="n"/>
      <c r="E8" s="66" t="n"/>
      <c r="F8" s="66" t="n"/>
      <c r="G8" s="66" t="n"/>
      <c r="H8" s="66" t="n"/>
      <c r="I8" s="81" t="n"/>
      <c r="J8" s="5" t="inlineStr">
        <is>
          <t>Página</t>
        </is>
      </c>
      <c r="K8" s="49" t="inlineStr">
        <is>
          <t>1 de 1</t>
        </is>
      </c>
      <c r="L8" s="31" t="n"/>
    </row>
    <row r="9" ht="15" customHeight="1" s="70">
      <c r="A9" s="103" t="inlineStr">
        <is>
          <t>Seguimiento de las acciones que salen de inspecciones, reportes, accidentes y auditorías · Decreto 1072 de 2015 · Resolución 0312 de 2019</t>
        </is>
      </c>
      <c r="B9" s="115" t="n"/>
      <c r="C9" s="115" t="n"/>
      <c r="D9" s="115" t="n"/>
      <c r="E9" s="115" t="n"/>
      <c r="F9" s="115" t="n"/>
      <c r="G9" s="115" t="n"/>
      <c r="H9" s="115" t="n"/>
      <c r="I9" s="115" t="n"/>
      <c r="J9" s="115" t="n"/>
      <c r="K9" s="115" t="n"/>
      <c r="L9" s="116" t="n"/>
    </row>
    <row r="10" ht="16.5" customHeight="1" s="70">
      <c r="A10" s="54" t="inlineStr">
        <is>
          <t>1. DATOS DEL SEGUIMIENTO</t>
        </is>
      </c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47" t="n"/>
    </row>
    <row r="11" ht="19" customHeight="1" s="70">
      <c r="A11" s="33" t="inlineStr">
        <is>
          <t>Proyecto / Obra</t>
        </is>
      </c>
      <c r="B11" s="30" t="n"/>
      <c r="C11" s="31" t="n"/>
      <c r="D11" s="50" t="n"/>
      <c r="E11" s="30" t="n"/>
      <c r="F11" s="30" t="n"/>
      <c r="G11" s="30" t="n"/>
      <c r="H11" s="31" t="n"/>
      <c r="I11" s="33" t="inlineStr">
        <is>
          <t>Fecha de corte</t>
        </is>
      </c>
      <c r="J11" s="31" t="n"/>
      <c r="K11" s="48" t="n"/>
      <c r="L11" s="31" t="n"/>
    </row>
    <row r="12" ht="19" customHeight="1" s="70">
      <c r="A12" s="33" t="inlineStr">
        <is>
          <t>Contratista / Empresa</t>
        </is>
      </c>
      <c r="B12" s="30" t="n"/>
      <c r="C12" s="31" t="n"/>
      <c r="D12" s="43" t="n"/>
      <c r="E12" s="30" t="n"/>
      <c r="F12" s="30" t="n"/>
      <c r="G12" s="30" t="n"/>
      <c r="H12" s="31" t="n"/>
      <c r="I12" s="33" t="inlineStr">
        <is>
          <t>Periodo evaluado</t>
        </is>
      </c>
      <c r="J12" s="31" t="n"/>
      <c r="K12" s="48" t="n"/>
      <c r="L12" s="31" t="n"/>
    </row>
    <row r="13" ht="19" customHeight="1" s="70">
      <c r="A13" s="33" t="inlineStr">
        <is>
          <t>Ubicación</t>
        </is>
      </c>
      <c r="B13" s="30" t="n"/>
      <c r="C13" s="31" t="n"/>
      <c r="D13" s="43" t="n"/>
      <c r="E13" s="30" t="n"/>
      <c r="F13" s="30" t="n"/>
      <c r="G13" s="30" t="n"/>
      <c r="H13" s="31" t="n"/>
      <c r="I13" s="33" t="inlineStr">
        <is>
          <t>Hoja N°</t>
        </is>
      </c>
      <c r="J13" s="31" t="n"/>
      <c r="K13" s="48" t="n"/>
      <c r="L13" s="31" t="n"/>
    </row>
    <row r="14" ht="16.5" customHeight="1" s="70">
      <c r="A14" s="54" t="inlineStr">
        <is>
          <t>2. REGISTRO DE ACCIONES</t>
        </is>
      </c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47" t="n"/>
    </row>
    <row r="15" ht="30" customHeight="1" s="70">
      <c r="A15" s="34" t="inlineStr">
        <is>
          <t>No.</t>
        </is>
      </c>
      <c r="B15" s="34" t="inlineStr">
        <is>
          <t>Fecha de apertura</t>
        </is>
      </c>
      <c r="C15" s="34" t="inlineStr">
        <is>
          <t>Origen</t>
        </is>
      </c>
      <c r="D15" s="34" t="inlineStr">
        <is>
          <t>Referencia (N°)</t>
        </is>
      </c>
      <c r="E15" s="34" t="inlineStr">
        <is>
          <t>Hallazgo o causa</t>
        </is>
      </c>
      <c r="F15" s="34" t="inlineStr">
        <is>
          <t>Tipo de acción</t>
        </is>
      </c>
      <c r="G15" s="34" t="inlineStr">
        <is>
          <t>Acción a ejecutar</t>
        </is>
      </c>
      <c r="H15" s="34" t="inlineStr">
        <is>
          <t>Responsable</t>
        </is>
      </c>
      <c r="I15" s="34" t="inlineStr">
        <is>
          <t>Fecha compromiso</t>
        </is>
      </c>
      <c r="J15" s="34" t="inlineStr">
        <is>
          <t>Estado</t>
        </is>
      </c>
      <c r="K15" s="34" t="inlineStr">
        <is>
          <t>Fecha de cierre</t>
        </is>
      </c>
      <c r="L15" s="34" t="inlineStr">
        <is>
          <t>Eficacia</t>
        </is>
      </c>
    </row>
    <row r="16" ht="25" customHeight="1" s="70">
      <c r="A16" s="57" t="n">
        <v>1</v>
      </c>
      <c r="B16" s="57" t="n"/>
      <c r="C16" s="92" t="n"/>
      <c r="D16" s="57" t="n"/>
      <c r="E16" s="89" t="n"/>
      <c r="F16" s="57" t="n"/>
      <c r="G16" s="89" t="n"/>
      <c r="H16" s="89" t="n"/>
      <c r="I16" s="57" t="n"/>
      <c r="J16" s="57" t="n"/>
      <c r="K16" s="57" t="n"/>
      <c r="L16" s="57" t="n"/>
    </row>
    <row r="17" ht="25" customHeight="1" s="70">
      <c r="A17" s="57" t="n">
        <v>2</v>
      </c>
      <c r="B17" s="57" t="n"/>
      <c r="C17" s="92" t="n"/>
      <c r="D17" s="57" t="n"/>
      <c r="E17" s="89" t="n"/>
      <c r="F17" s="57" t="n"/>
      <c r="G17" s="89" t="n"/>
      <c r="H17" s="89" t="n"/>
      <c r="I17" s="57" t="n"/>
      <c r="J17" s="57" t="n"/>
      <c r="K17" s="57" t="n"/>
      <c r="L17" s="57" t="n"/>
    </row>
    <row r="18" ht="25" customHeight="1" s="70">
      <c r="A18" s="57" t="n">
        <v>3</v>
      </c>
      <c r="B18" s="57" t="n"/>
      <c r="C18" s="92" t="n"/>
      <c r="D18" s="57" t="n"/>
      <c r="E18" s="89" t="n"/>
      <c r="F18" s="57" t="n"/>
      <c r="G18" s="89" t="n"/>
      <c r="H18" s="89" t="n"/>
      <c r="I18" s="57" t="n"/>
      <c r="J18" s="57" t="n"/>
      <c r="K18" s="57" t="n"/>
      <c r="L18" s="57" t="n"/>
    </row>
    <row r="19" ht="25" customHeight="1" s="70">
      <c r="A19" s="57" t="n">
        <v>4</v>
      </c>
      <c r="B19" s="57" t="n"/>
      <c r="C19" s="92" t="n"/>
      <c r="D19" s="57" t="n"/>
      <c r="E19" s="89" t="n"/>
      <c r="F19" s="57" t="n"/>
      <c r="G19" s="89" t="n"/>
      <c r="H19" s="89" t="n"/>
      <c r="I19" s="57" t="n"/>
      <c r="J19" s="57" t="n"/>
      <c r="K19" s="57" t="n"/>
      <c r="L19" s="57" t="n"/>
    </row>
    <row r="20" ht="25" customHeight="1" s="70">
      <c r="A20" s="57" t="n">
        <v>5</v>
      </c>
      <c r="B20" s="57" t="n"/>
      <c r="C20" s="92" t="n"/>
      <c r="D20" s="57" t="n"/>
      <c r="E20" s="89" t="n"/>
      <c r="F20" s="57" t="n"/>
      <c r="G20" s="89" t="n"/>
      <c r="H20" s="89" t="n"/>
      <c r="I20" s="57" t="n"/>
      <c r="J20" s="57" t="n"/>
      <c r="K20" s="57" t="n"/>
      <c r="L20" s="57" t="n"/>
    </row>
    <row r="21" ht="25" customHeight="1" s="70">
      <c r="A21" s="57" t="n">
        <v>6</v>
      </c>
      <c r="B21" s="57" t="n"/>
      <c r="C21" s="92" t="n"/>
      <c r="D21" s="57" t="n"/>
      <c r="E21" s="89" t="n"/>
      <c r="F21" s="57" t="n"/>
      <c r="G21" s="89" t="n"/>
      <c r="H21" s="89" t="n"/>
      <c r="I21" s="57" t="n"/>
      <c r="J21" s="57" t="n"/>
      <c r="K21" s="57" t="n"/>
      <c r="L21" s="57" t="n"/>
    </row>
    <row r="22" ht="25" customHeight="1" s="70">
      <c r="A22" s="57" t="n">
        <v>7</v>
      </c>
      <c r="B22" s="57" t="n"/>
      <c r="C22" s="92" t="n"/>
      <c r="D22" s="57" t="n"/>
      <c r="E22" s="89" t="n"/>
      <c r="F22" s="57" t="n"/>
      <c r="G22" s="89" t="n"/>
      <c r="H22" s="89" t="n"/>
      <c r="I22" s="57" t="n"/>
      <c r="J22" s="57" t="n"/>
      <c r="K22" s="57" t="n"/>
      <c r="L22" s="57" t="n"/>
    </row>
    <row r="23" ht="25" customHeight="1" s="70">
      <c r="A23" s="57" t="n">
        <v>8</v>
      </c>
      <c r="B23" s="57" t="n"/>
      <c r="C23" s="92" t="n"/>
      <c r="D23" s="57" t="n"/>
      <c r="E23" s="89" t="n"/>
      <c r="F23" s="57" t="n"/>
      <c r="G23" s="89" t="n"/>
      <c r="H23" s="89" t="n"/>
      <c r="I23" s="57" t="n"/>
      <c r="J23" s="57" t="n"/>
      <c r="K23" s="57" t="n"/>
      <c r="L23" s="57" t="n"/>
    </row>
    <row r="24" ht="25" customHeight="1" s="70">
      <c r="A24" s="57" t="n">
        <v>9</v>
      </c>
      <c r="B24" s="57" t="n"/>
      <c r="C24" s="92" t="n"/>
      <c r="D24" s="57" t="n"/>
      <c r="E24" s="89" t="n"/>
      <c r="F24" s="57" t="n"/>
      <c r="G24" s="89" t="n"/>
      <c r="H24" s="89" t="n"/>
      <c r="I24" s="57" t="n"/>
      <c r="J24" s="57" t="n"/>
      <c r="K24" s="57" t="n"/>
      <c r="L24" s="57" t="n"/>
    </row>
    <row r="25" ht="25" customHeight="1" s="70">
      <c r="A25" s="57" t="n">
        <v>10</v>
      </c>
      <c r="B25" s="57" t="n"/>
      <c r="C25" s="92" t="n"/>
      <c r="D25" s="57" t="n"/>
      <c r="E25" s="89" t="n"/>
      <c r="F25" s="57" t="n"/>
      <c r="G25" s="89" t="n"/>
      <c r="H25" s="89" t="n"/>
      <c r="I25" s="57" t="n"/>
      <c r="J25" s="57" t="n"/>
      <c r="K25" s="57" t="n"/>
      <c r="L25" s="57" t="n"/>
    </row>
    <row r="26" ht="16.5" customHeight="1" s="70">
      <c r="A26" s="54" t="inlineStr">
        <is>
          <t>3. RESUMEN DE ESTA HOJA</t>
        </is>
      </c>
      <c r="B26" s="38" t="n"/>
      <c r="C26" s="38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47" t="n"/>
    </row>
    <row r="27" ht="19" customHeight="1" s="70">
      <c r="A27" s="34" t="inlineStr">
        <is>
          <t>Total de acciones</t>
        </is>
      </c>
      <c r="B27" s="31" t="n"/>
      <c r="C27" s="34" t="inlineStr">
        <is>
          <t>Abiertas</t>
        </is>
      </c>
      <c r="D27" s="34" t="inlineStr">
        <is>
          <t>En proceso</t>
        </is>
      </c>
      <c r="E27" s="31" t="n"/>
      <c r="F27" s="34" t="inlineStr">
        <is>
          <t>Cerradas</t>
        </is>
      </c>
      <c r="G27" s="34" t="inlineStr">
        <is>
          <t>Vencidas</t>
        </is>
      </c>
      <c r="H27" s="34" t="inlineStr">
        <is>
          <t>% de cierre</t>
        </is>
      </c>
      <c r="I27" s="34" t="inlineStr">
        <is>
          <t>Eficaces</t>
        </is>
      </c>
      <c r="J27" s="31" t="n"/>
      <c r="K27" s="34" t="inlineStr">
        <is>
          <t>% de eficacia</t>
        </is>
      </c>
      <c r="L27" s="31" t="n"/>
    </row>
    <row r="28" ht="21" customHeight="1" s="70">
      <c r="A28" s="58">
        <f>COUNTA(E16:E25)</f>
        <v/>
      </c>
      <c r="B28" s="31" t="n"/>
      <c r="C28" s="58">
        <f>COUNTIF(J16:J25,"Abierta")</f>
        <v/>
      </c>
      <c r="D28" s="58">
        <f>COUNTIF(J16:J25,"En proceso")</f>
        <v/>
      </c>
      <c r="E28" s="31" t="n"/>
      <c r="F28" s="58">
        <f>COUNTIF(J16:J25,"Cerrada")</f>
        <v/>
      </c>
      <c r="G28" s="58">
        <f>COUNTIF(J16:J25,"Vencida")</f>
        <v/>
      </c>
      <c r="H28" s="32">
        <f>IFERROR(F28/A28,"")</f>
        <v/>
      </c>
      <c r="I28" s="58">
        <f>COUNTIF(L16:L25,"Eficaz")</f>
        <v/>
      </c>
      <c r="J28" s="31" t="n"/>
      <c r="K28" s="32">
        <f>IFERROR(I28/F28,"")</f>
        <v/>
      </c>
      <c r="L28" s="31" t="n"/>
    </row>
    <row r="29" ht="16" customHeight="1" s="70">
      <c r="A29" s="103" t="inlineStr">
        <is>
          <t>% de cierre = Cerradas ÷ Total · % de eficacia = Eficaces ÷ Cerradas. Una acción cerrada se verifica: si no resolvió el problema se marca "No eficaz" y se abre una nueva.</t>
        </is>
      </c>
      <c r="B29" s="115" t="n"/>
      <c r="C29" s="115" t="n"/>
      <c r="D29" s="115" t="n"/>
      <c r="E29" s="115" t="n"/>
      <c r="F29" s="115" t="n"/>
      <c r="G29" s="115" t="n"/>
      <c r="H29" s="115" t="n"/>
      <c r="I29" s="115" t="n"/>
      <c r="J29" s="115" t="n"/>
      <c r="K29" s="115" t="n"/>
      <c r="L29" s="116" t="n"/>
    </row>
    <row r="30" ht="16.5" customHeight="1" s="70">
      <c r="A30" s="54" t="inlineStr">
        <is>
          <t>4. FIRMAS</t>
        </is>
      </c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47" t="n"/>
    </row>
    <row r="31" ht="18" customHeight="1" s="70">
      <c r="A31" s="51" t="inlineStr">
        <is>
          <t>ELABORÓ — RESPONSABLE SST</t>
        </is>
      </c>
      <c r="B31" s="30" t="n"/>
      <c r="C31" s="30" t="n"/>
      <c r="D31" s="31" t="n"/>
      <c r="E31" s="51" t="inlineStr">
        <is>
          <t>REVISÓ — RESIDENTE DE OBRA</t>
        </is>
      </c>
      <c r="F31" s="30" t="n"/>
      <c r="G31" s="30" t="n"/>
      <c r="H31" s="31" t="n"/>
      <c r="I31" s="51" t="inlineStr">
        <is>
          <t>Vo.Bo. — GERENCIA / INTERVENTORÍA</t>
        </is>
      </c>
      <c r="J31" s="30" t="n"/>
      <c r="K31" s="30" t="n"/>
      <c r="L31" s="31" t="n"/>
    </row>
    <row r="32" ht="42" customHeight="1" s="70">
      <c r="A32" s="39" t="inlineStr">
        <is>
          <t>Firma:</t>
        </is>
      </c>
      <c r="B32" s="31" t="n"/>
      <c r="C32" s="43" t="n"/>
      <c r="D32" s="31" t="n"/>
      <c r="E32" s="39" t="inlineStr">
        <is>
          <t>Firma:</t>
        </is>
      </c>
      <c r="F32" s="31" t="n"/>
      <c r="G32" s="43" t="n"/>
      <c r="H32" s="31" t="n"/>
      <c r="I32" s="39" t="inlineStr">
        <is>
          <t>Firma:</t>
        </is>
      </c>
      <c r="J32" s="31" t="n"/>
      <c r="K32" s="43" t="n"/>
      <c r="L32" s="31" t="n"/>
    </row>
    <row r="33" ht="21" customHeight="1" s="70">
      <c r="A33" s="39" t="inlineStr">
        <is>
          <t>Nombre:</t>
        </is>
      </c>
      <c r="B33" s="31" t="n"/>
      <c r="C33" s="43" t="n"/>
      <c r="D33" s="31" t="n"/>
      <c r="E33" s="39" t="inlineStr">
        <is>
          <t>Nombre:</t>
        </is>
      </c>
      <c r="F33" s="31" t="n"/>
      <c r="G33" s="43" t="n"/>
      <c r="H33" s="31" t="n"/>
      <c r="I33" s="39" t="inlineStr">
        <is>
          <t>Nombre:</t>
        </is>
      </c>
      <c r="J33" s="31" t="n"/>
      <c r="K33" s="43" t="n"/>
      <c r="L33" s="31" t="n"/>
    </row>
    <row r="34" ht="21" customHeight="1" s="70">
      <c r="A34" s="39" t="inlineStr">
        <is>
          <t>Cargo:</t>
        </is>
      </c>
      <c r="B34" s="31" t="n"/>
      <c r="C34" s="43" t="n"/>
      <c r="D34" s="31" t="n"/>
      <c r="E34" s="39" t="inlineStr">
        <is>
          <t>Cargo:</t>
        </is>
      </c>
      <c r="F34" s="31" t="n"/>
      <c r="G34" s="43" t="n"/>
      <c r="H34" s="31" t="n"/>
      <c r="I34" s="39" t="inlineStr">
        <is>
          <t>Cargo:</t>
        </is>
      </c>
      <c r="J34" s="31" t="n"/>
      <c r="K34" s="43" t="n"/>
      <c r="L34" s="31" t="n"/>
    </row>
    <row r="35">
      <c r="A35" s="61" t="inlineStr">
        <is>
          <t>REV. 04/10/2026</t>
        </is>
      </c>
      <c r="G35" s="63">
        <f>K5</f>
        <v/>
      </c>
    </row>
  </sheetData>
  <mergeCells count="57">
    <mergeCell ref="C34:D34"/>
    <mergeCell ref="I34:J34"/>
    <mergeCell ref="K34:L34"/>
    <mergeCell ref="C33:D33"/>
    <mergeCell ref="E33:F33"/>
    <mergeCell ref="K33:L33"/>
    <mergeCell ref="I11:J11"/>
    <mergeCell ref="K5:L5"/>
    <mergeCell ref="I27:J27"/>
    <mergeCell ref="J4:L4"/>
    <mergeCell ref="A12:C12"/>
    <mergeCell ref="A26:L26"/>
    <mergeCell ref="K11:L11"/>
    <mergeCell ref="A31:D31"/>
    <mergeCell ref="D1:L2"/>
    <mergeCell ref="I31:L31"/>
    <mergeCell ref="I32:J32"/>
    <mergeCell ref="D27:E27"/>
    <mergeCell ref="K32:L32"/>
    <mergeCell ref="D11:H11"/>
    <mergeCell ref="D13:H13"/>
    <mergeCell ref="A14:L14"/>
    <mergeCell ref="D3:L3"/>
    <mergeCell ref="G35:L35"/>
    <mergeCell ref="I28:J28"/>
    <mergeCell ref="A27:B27"/>
    <mergeCell ref="E34:F34"/>
    <mergeCell ref="I12:J12"/>
    <mergeCell ref="A13:C13"/>
    <mergeCell ref="A10:L10"/>
    <mergeCell ref="K12:L12"/>
    <mergeCell ref="A29:L29"/>
    <mergeCell ref="G34:H34"/>
    <mergeCell ref="K8:L8"/>
    <mergeCell ref="D5:I5"/>
    <mergeCell ref="A33:B33"/>
    <mergeCell ref="G33:H33"/>
    <mergeCell ref="I33:J33"/>
    <mergeCell ref="K27:L27"/>
    <mergeCell ref="D28:E28"/>
    <mergeCell ref="A32:B32"/>
    <mergeCell ref="A9:L9"/>
    <mergeCell ref="A30:L30"/>
    <mergeCell ref="D12:H12"/>
    <mergeCell ref="K7:L7"/>
    <mergeCell ref="A11:C11"/>
    <mergeCell ref="C32:D32"/>
    <mergeCell ref="E31:H31"/>
    <mergeCell ref="E32:F32"/>
    <mergeCell ref="G32:H32"/>
    <mergeCell ref="A28:B28"/>
    <mergeCell ref="K28:L28"/>
    <mergeCell ref="I13:J13"/>
    <mergeCell ref="D6:I6"/>
    <mergeCell ref="K6:L6"/>
    <mergeCell ref="K13:L13"/>
    <mergeCell ref="A34:B34"/>
  </mergeCells>
  <pageMargins left="0.4" right="0.4" top="0.4" bottom="0.7" header="0.5" footer="0.5"/>
  <pageSetup orientation="landscape" fitToHeight="0" fitToWidth="1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2026-10-07T15:39:40Z</dcterms:modified>
  <cp:lastModifiedBy>Hugo Fernando Hurtado Ruiz</cp:lastModifiedBy>
</cp:coreProperties>
</file>