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gistro de Cost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5" formatCode="&quot;$&quot;#,##0;[Red]\-&quot;$&quot;#,##0"/>
    <numFmt numFmtId="166" formatCode="0.0%"/>
  </numFmts>
  <fonts count="11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166" fontId="2" fillId="5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5" fontId="2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5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5" fontId="2" fillId="4" borderId="9" applyAlignment="1" pivotButton="0" quotePrefix="0" xfId="0">
      <alignment horizontal="center" vertical="center" wrapText="1"/>
    </xf>
    <xf numFmtId="165" fontId="2" fillId="4" borderId="10" applyAlignment="1" pivotButton="0" quotePrefix="0" xfId="0">
      <alignment horizontal="center" vertical="center" wrapText="1"/>
    </xf>
    <xf numFmtId="165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6" fontId="2" fillId="8" borderId="1" applyAlignment="1" pivotButton="0" quotePrefix="0" xfId="0">
      <alignment horizontal="left" vertical="center" wrapText="1"/>
    </xf>
    <xf numFmtId="165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6" fillId="4" borderId="1" applyAlignment="1" pivotButton="0" quotePrefix="0" xfId="0">
      <alignment vertical="center" wrapText="1"/>
    </xf>
    <xf numFmtId="0" fontId="0" fillId="7" borderId="1" pivotButton="0" quotePrefix="0" xfId="0"/>
    <xf numFmtId="0" fontId="2" fillId="6" borderId="1" applyAlignment="1" pivotButton="0" quotePrefix="0" xfId="0">
      <alignment horizontal="left" vertical="top" wrapText="1"/>
    </xf>
    <xf numFmtId="165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3420000" cy="1620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420000" cy="162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O56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3" min="1" max="1"/>
    <col width="15.77734375" customWidth="1" style="33" min="2" max="2"/>
    <col width="30.77734375" customWidth="1" style="33" min="3" max="3"/>
    <col width="25.77734375" customWidth="1" style="33" min="4" max="4"/>
    <col width="30.77734375" customWidth="1" style="33" min="5" max="5"/>
    <col width="28" customWidth="1" style="33" min="6" max="6"/>
    <col width="15" customWidth="1" style="33" min="7" max="7"/>
    <col width="13" customWidth="1" style="33" min="8" max="8"/>
    <col width="14" customWidth="1" style="33" min="9" max="9"/>
    <col width="15.77734375" customWidth="1" style="33" min="10" max="14"/>
    <col width="25.77734375" customWidth="1" style="33" min="15" max="15"/>
  </cols>
  <sheetData>
    <row r="1" ht="40.05" customHeight="1" s="33">
      <c r="A1" s="75" t="n"/>
      <c r="D1" s="41" t="inlineStr">
        <is>
          <t>REGISTRO DE COSTOS REALES DE OBRA</t>
        </is>
      </c>
    </row>
    <row r="2" ht="4.95" customHeight="1" s="33">
      <c r="D2" s="25" t="n"/>
    </row>
    <row r="3" ht="14.4" customHeight="1" s="33">
      <c r="D3" s="32" t="n"/>
      <c r="M3" s="37" t="inlineStr">
        <is>
          <t>CONTROL DOCUMENTAL</t>
        </is>
      </c>
      <c r="N3" s="76" t="n"/>
      <c r="O3" s="77" t="n"/>
    </row>
    <row r="4" ht="15" customHeight="1" s="33">
      <c r="D4" s="36" t="inlineStr">
        <is>
          <t>REFORMAS Y REMODELACIONES</t>
        </is>
      </c>
      <c r="M4" s="21" t="inlineStr">
        <is>
          <t>Código</t>
        </is>
      </c>
      <c r="N4" s="77" t="n"/>
      <c r="O4" s="2" t="inlineStr">
        <is>
          <t>RYR-CP-001</t>
        </is>
      </c>
    </row>
    <row r="5" ht="14.4" customHeight="1" s="33">
      <c r="D5" s="38" t="inlineStr">
        <is>
          <t>DISEÑAMOS, RENOVAMOS Y CONSTRUIMOS ESPACIOS QUE INSPIRAN.</t>
        </is>
      </c>
      <c r="M5" s="21" t="inlineStr">
        <is>
          <t>Versión</t>
        </is>
      </c>
      <c r="N5" s="77" t="n"/>
      <c r="O5" s="2" t="inlineStr">
        <is>
          <t>1</t>
        </is>
      </c>
    </row>
    <row r="6" ht="20.4" customHeight="1" s="33">
      <c r="D6" s="32" t="n"/>
      <c r="M6" s="21" t="inlineStr">
        <is>
          <t>Fecha de Emisión</t>
        </is>
      </c>
      <c r="N6" s="77" t="n"/>
      <c r="O6" s="2" t="inlineStr">
        <is>
          <t>08/10/2026</t>
        </is>
      </c>
    </row>
    <row r="7" ht="18" customHeight="1" s="33">
      <c r="A7" s="51" t="n"/>
      <c r="B7" s="51" t="n"/>
      <c r="C7" s="51" t="n"/>
      <c r="D7" s="32" t="n"/>
      <c r="M7" s="21" t="inlineStr">
        <is>
          <t>Página</t>
        </is>
      </c>
      <c r="N7" s="77" t="n"/>
      <c r="O7" s="2" t="inlineStr">
        <is>
          <t>1 de 1</t>
        </is>
      </c>
    </row>
    <row r="8">
      <c r="A8" s="27" t="inlineStr">
        <is>
          <t>Facturas, cuentas de cobro y pagos de la obra · Se acumulan por capítulo en el Control Presupuestal</t>
        </is>
      </c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7" t="n"/>
    </row>
    <row r="9" ht="15" customHeight="1" s="33">
      <c r="A9" s="39" t="inlineStr">
        <is>
          <t>1. DATOS GENERALES</t>
        </is>
      </c>
      <c r="B9" s="76" t="n"/>
      <c r="C9" s="76" t="n"/>
      <c r="D9" s="76" t="n"/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7" t="n"/>
    </row>
    <row r="10" ht="18" customHeight="1" s="33">
      <c r="A10" s="21" t="inlineStr">
        <is>
          <t>Proyecto / Obra</t>
        </is>
      </c>
      <c r="B10" s="76" t="n"/>
      <c r="C10" s="77" t="n"/>
      <c r="D10" s="23" t="n"/>
      <c r="E10" s="76" t="n"/>
      <c r="F10" s="76" t="n"/>
      <c r="G10" s="77" t="n"/>
      <c r="H10" s="21" t="inlineStr">
        <is>
          <t>Tipo de proyecto</t>
        </is>
      </c>
      <c r="I10" s="76" t="n"/>
      <c r="J10" s="77" t="n"/>
      <c r="K10" s="23" t="n"/>
      <c r="L10" s="76" t="n"/>
      <c r="M10" s="76" t="n"/>
      <c r="N10" s="76" t="n"/>
      <c r="O10" s="77" t="n"/>
    </row>
    <row r="11" ht="18" customHeight="1" s="33">
      <c r="A11" s="21" t="inlineStr">
        <is>
          <t>Contrato N°</t>
        </is>
      </c>
      <c r="B11" s="76" t="n"/>
      <c r="C11" s="77" t="n"/>
      <c r="D11" s="23" t="n"/>
      <c r="E11" s="76" t="n"/>
      <c r="F11" s="76" t="n"/>
      <c r="G11" s="77" t="n"/>
      <c r="H11" s="21" t="inlineStr">
        <is>
          <t>Contratante</t>
        </is>
      </c>
      <c r="I11" s="76" t="n"/>
      <c r="J11" s="77" t="n"/>
      <c r="K11" s="23" t="n"/>
      <c r="L11" s="76" t="n"/>
      <c r="M11" s="76" t="n"/>
      <c r="N11" s="76" t="n"/>
      <c r="O11" s="77" t="n"/>
    </row>
    <row r="12" ht="18" customHeight="1" s="33">
      <c r="A12" s="21" t="inlineStr">
        <is>
          <t>Mes / periodo de registro</t>
        </is>
      </c>
      <c r="B12" s="76" t="n"/>
      <c r="C12" s="77" t="n"/>
      <c r="D12" s="23" t="n"/>
      <c r="E12" s="76" t="n"/>
      <c r="F12" s="76" t="n"/>
      <c r="G12" s="77" t="n"/>
      <c r="H12" s="21" t="inlineStr">
        <is>
          <t>Responsable del registro</t>
        </is>
      </c>
      <c r="I12" s="76" t="n"/>
      <c r="J12" s="77" t="n"/>
      <c r="K12" s="23" t="n"/>
      <c r="L12" s="76" t="n"/>
      <c r="M12" s="76" t="n"/>
      <c r="N12" s="76" t="n"/>
      <c r="O12" s="77" t="n"/>
    </row>
    <row r="13" ht="15" customHeight="1" s="33">
      <c r="A13" s="39" t="inlineStr">
        <is>
          <t>2. REGISTRO DE FACTURAS Y PAGOS</t>
        </is>
      </c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7" t="n"/>
    </row>
    <row r="14" ht="40.05" customHeight="1" s="33">
      <c r="A14" s="4" t="inlineStr">
        <is>
          <t>No.</t>
        </is>
      </c>
      <c r="B14" s="4" t="inlineStr">
        <is>
          <t>Fecha</t>
        </is>
      </c>
      <c r="C14" s="4" t="inlineStr">
        <is>
          <t>Proveedor o beneficiario</t>
        </is>
      </c>
      <c r="D14" s="4" t="inlineStr">
        <is>
          <t>NIT / C.C.</t>
        </is>
      </c>
      <c r="E14" s="4" t="inlineStr">
        <is>
          <t>Capítulo del presupuesto</t>
        </is>
      </c>
      <c r="F14" s="4" t="inlineStr">
        <is>
          <t>Concepto</t>
        </is>
      </c>
      <c r="G14" s="4" t="inlineStr">
        <is>
          <t>Tipo de costo</t>
        </is>
      </c>
      <c r="H14" s="4" t="inlineStr">
        <is>
          <t>N° factura / cuenta de cobro</t>
        </is>
      </c>
      <c r="I14" s="4" t="inlineStr">
        <is>
          <t>Valor antes de IVA</t>
        </is>
      </c>
      <c r="J14" s="4" t="inlineStr">
        <is>
          <t>IVA</t>
        </is>
      </c>
      <c r="K14" s="4" t="inlineStr">
        <is>
          <t>Retenciones</t>
        </is>
      </c>
      <c r="L14" s="4" t="inlineStr">
        <is>
          <t>Valor total</t>
        </is>
      </c>
      <c r="M14" s="4" t="inlineStr">
        <is>
          <t>Estado</t>
        </is>
      </c>
      <c r="N14" s="4" t="inlineStr">
        <is>
          <t>Fecha de pago</t>
        </is>
      </c>
      <c r="O14" s="4" t="inlineStr">
        <is>
          <t>Soporte (ruta o N°)</t>
        </is>
      </c>
    </row>
    <row r="15" ht="22.05" customHeight="1" s="33">
      <c r="A15" s="5" t="n">
        <v>1</v>
      </c>
      <c r="B15" s="6" t="n"/>
      <c r="C15" s="23" t="n"/>
      <c r="D15" s="23" t="n"/>
      <c r="E15" s="23" t="n"/>
      <c r="F15" s="23" t="n"/>
      <c r="G15" s="23" t="n"/>
      <c r="H15" s="23" t="n"/>
      <c r="I15" s="7" t="n"/>
      <c r="J15" s="7" t="n"/>
      <c r="K15" s="7" t="n"/>
      <c r="L15" s="8">
        <f>IF(I15="","",I15+J15-K15)</f>
        <v/>
      </c>
      <c r="M15" s="23" t="n"/>
      <c r="N15" s="6" t="n"/>
      <c r="O15" s="23" t="n"/>
    </row>
    <row r="16" ht="22.05" customHeight="1" s="33">
      <c r="A16" s="5" t="n">
        <v>2</v>
      </c>
      <c r="B16" s="6" t="n"/>
      <c r="C16" s="23" t="n"/>
      <c r="D16" s="23" t="n"/>
      <c r="E16" s="23" t="n"/>
      <c r="F16" s="23" t="n"/>
      <c r="G16" s="23" t="n"/>
      <c r="H16" s="23" t="n"/>
      <c r="I16" s="7" t="n"/>
      <c r="J16" s="7" t="n"/>
      <c r="K16" s="7" t="n"/>
      <c r="L16" s="8">
        <f>IF(I16="","",I16+J16-K16)</f>
        <v/>
      </c>
      <c r="M16" s="23" t="n"/>
      <c r="N16" s="6" t="n"/>
      <c r="O16" s="23" t="n"/>
    </row>
    <row r="17" ht="22.05" customHeight="1" s="33">
      <c r="A17" s="5" t="n">
        <v>3</v>
      </c>
      <c r="B17" s="6" t="n"/>
      <c r="C17" s="23" t="n"/>
      <c r="D17" s="23" t="n"/>
      <c r="E17" s="23" t="n"/>
      <c r="F17" s="23" t="n"/>
      <c r="G17" s="23" t="n"/>
      <c r="H17" s="23" t="n"/>
      <c r="I17" s="7" t="n"/>
      <c r="J17" s="7" t="n"/>
      <c r="K17" s="7" t="n"/>
      <c r="L17" s="8">
        <f>IF(I17="","",I17+J17-K17)</f>
        <v/>
      </c>
      <c r="M17" s="23" t="n"/>
      <c r="N17" s="6" t="n"/>
      <c r="O17" s="23" t="n"/>
    </row>
    <row r="18" ht="22.05" customHeight="1" s="33">
      <c r="A18" s="5" t="n">
        <v>4</v>
      </c>
      <c r="B18" s="6" t="n"/>
      <c r="C18" s="23" t="n"/>
      <c r="D18" s="23" t="n"/>
      <c r="E18" s="23" t="n"/>
      <c r="F18" s="23" t="n"/>
      <c r="G18" s="23" t="n"/>
      <c r="H18" s="23" t="n"/>
      <c r="I18" s="7" t="n"/>
      <c r="J18" s="7" t="n"/>
      <c r="K18" s="7" t="n"/>
      <c r="L18" s="8">
        <f>IF(I18="","",I18+J18-K18)</f>
        <v/>
      </c>
      <c r="M18" s="23" t="n"/>
      <c r="N18" s="6" t="n"/>
      <c r="O18" s="23" t="n"/>
    </row>
    <row r="19" ht="22.05" customHeight="1" s="33">
      <c r="A19" s="5" t="n">
        <v>5</v>
      </c>
      <c r="B19" s="6" t="n"/>
      <c r="C19" s="23" t="n"/>
      <c r="D19" s="23" t="n"/>
      <c r="E19" s="23" t="n"/>
      <c r="F19" s="23" t="n"/>
      <c r="G19" s="23" t="n"/>
      <c r="H19" s="23" t="n"/>
      <c r="I19" s="7" t="n"/>
      <c r="J19" s="7" t="n"/>
      <c r="K19" s="7" t="n"/>
      <c r="L19" s="8">
        <f>IF(I19="","",I19+J19-K19)</f>
        <v/>
      </c>
      <c r="M19" s="23" t="n"/>
      <c r="N19" s="6" t="n"/>
      <c r="O19" s="23" t="n"/>
    </row>
    <row r="20" ht="22.05" customHeight="1" s="33">
      <c r="A20" s="5" t="n">
        <v>6</v>
      </c>
      <c r="B20" s="6" t="n"/>
      <c r="C20" s="23" t="n"/>
      <c r="D20" s="23" t="n"/>
      <c r="E20" s="23" t="n"/>
      <c r="F20" s="23" t="n"/>
      <c r="G20" s="23" t="n"/>
      <c r="H20" s="23" t="n"/>
      <c r="I20" s="7" t="n"/>
      <c r="J20" s="7" t="n"/>
      <c r="K20" s="7" t="n"/>
      <c r="L20" s="8">
        <f>IF(I20="","",I20+J20-K20)</f>
        <v/>
      </c>
      <c r="M20" s="23" t="n"/>
      <c r="N20" s="6" t="n"/>
      <c r="O20" s="23" t="n"/>
    </row>
    <row r="21" ht="22.05" customHeight="1" s="33">
      <c r="A21" s="5" t="n">
        <v>7</v>
      </c>
      <c r="B21" s="6" t="n"/>
      <c r="C21" s="23" t="n"/>
      <c r="D21" s="23" t="n"/>
      <c r="E21" s="23" t="n"/>
      <c r="F21" s="23" t="n"/>
      <c r="G21" s="23" t="n"/>
      <c r="H21" s="23" t="n"/>
      <c r="I21" s="7" t="n"/>
      <c r="J21" s="7" t="n"/>
      <c r="K21" s="7" t="n"/>
      <c r="L21" s="8">
        <f>IF(I21="","",I21+J21-K21)</f>
        <v/>
      </c>
      <c r="M21" s="23" t="n"/>
      <c r="N21" s="6" t="n"/>
      <c r="O21" s="23" t="n"/>
    </row>
    <row r="22" ht="22.05" customHeight="1" s="33">
      <c r="A22" s="5" t="n">
        <v>8</v>
      </c>
      <c r="B22" s="6" t="n"/>
      <c r="C22" s="23" t="n"/>
      <c r="D22" s="23" t="n"/>
      <c r="E22" s="23" t="n"/>
      <c r="F22" s="23" t="n"/>
      <c r="G22" s="23" t="n"/>
      <c r="H22" s="23" t="n"/>
      <c r="I22" s="7" t="n"/>
      <c r="J22" s="7" t="n"/>
      <c r="K22" s="7" t="n"/>
      <c r="L22" s="8">
        <f>IF(I22="","",I22+J22-K22)</f>
        <v/>
      </c>
      <c r="M22" s="23" t="n"/>
      <c r="N22" s="6" t="n"/>
      <c r="O22" s="23" t="n"/>
    </row>
    <row r="23" ht="22.05" customHeight="1" s="33">
      <c r="A23" s="5" t="n">
        <v>9</v>
      </c>
      <c r="B23" s="6" t="n"/>
      <c r="C23" s="23" t="n"/>
      <c r="D23" s="23" t="n"/>
      <c r="E23" s="23" t="n"/>
      <c r="F23" s="23" t="n"/>
      <c r="G23" s="23" t="n"/>
      <c r="H23" s="23" t="n"/>
      <c r="I23" s="7" t="n"/>
      <c r="J23" s="7" t="n"/>
      <c r="K23" s="7" t="n"/>
      <c r="L23" s="8">
        <f>IF(I23="","",I23+J23-K23)</f>
        <v/>
      </c>
      <c r="M23" s="23" t="n"/>
      <c r="N23" s="6" t="n"/>
      <c r="O23" s="23" t="n"/>
    </row>
    <row r="24" ht="22.05" customHeight="1" s="33">
      <c r="A24" s="5" t="n">
        <v>10</v>
      </c>
      <c r="B24" s="6" t="n"/>
      <c r="C24" s="23" t="n"/>
      <c r="D24" s="23" t="n"/>
      <c r="E24" s="23" t="n"/>
      <c r="F24" s="23" t="n"/>
      <c r="G24" s="23" t="n"/>
      <c r="H24" s="23" t="n"/>
      <c r="I24" s="7" t="n"/>
      <c r="J24" s="7" t="n"/>
      <c r="K24" s="7" t="n"/>
      <c r="L24" s="8">
        <f>IF(I24="","",I24+J24-K24)</f>
        <v/>
      </c>
      <c r="M24" s="23" t="n"/>
      <c r="N24" s="6" t="n"/>
      <c r="O24" s="23" t="n"/>
    </row>
    <row r="25" ht="22.05" customHeight="1" s="33">
      <c r="A25" s="5" t="n">
        <v>11</v>
      </c>
      <c r="B25" s="6" t="n"/>
      <c r="C25" s="23" t="n"/>
      <c r="D25" s="23" t="n"/>
      <c r="E25" s="23" t="n"/>
      <c r="F25" s="23" t="n"/>
      <c r="G25" s="23" t="n"/>
      <c r="H25" s="23" t="n"/>
      <c r="I25" s="7" t="n"/>
      <c r="J25" s="7" t="n"/>
      <c r="K25" s="7" t="n"/>
      <c r="L25" s="8">
        <f>IF(I25="","",I25+J25-K25)</f>
        <v/>
      </c>
      <c r="M25" s="23" t="n"/>
      <c r="N25" s="6" t="n"/>
      <c r="O25" s="23" t="n"/>
    </row>
    <row r="26" ht="22.05" customHeight="1" s="33">
      <c r="A26" s="5" t="n">
        <v>12</v>
      </c>
      <c r="B26" s="6" t="n"/>
      <c r="C26" s="23" t="n"/>
      <c r="D26" s="23" t="n"/>
      <c r="E26" s="23" t="n"/>
      <c r="F26" s="23" t="n"/>
      <c r="G26" s="23" t="n"/>
      <c r="H26" s="23" t="n"/>
      <c r="I26" s="7" t="n"/>
      <c r="J26" s="7" t="n"/>
      <c r="K26" s="7" t="n"/>
      <c r="L26" s="8">
        <f>IF(I26="","",I26+J26-K26)</f>
        <v/>
      </c>
      <c r="M26" s="23" t="n"/>
      <c r="N26" s="6" t="n"/>
      <c r="O26" s="23" t="n"/>
    </row>
    <row r="27" ht="22.05" customHeight="1" s="33">
      <c r="A27" s="5" t="n">
        <v>13</v>
      </c>
      <c r="B27" s="6" t="n"/>
      <c r="C27" s="23" t="n"/>
      <c r="D27" s="23" t="n"/>
      <c r="E27" s="23" t="n"/>
      <c r="F27" s="23" t="n"/>
      <c r="G27" s="23" t="n"/>
      <c r="H27" s="23" t="n"/>
      <c r="I27" s="7" t="n"/>
      <c r="J27" s="7" t="n"/>
      <c r="K27" s="7" t="n"/>
      <c r="L27" s="8">
        <f>IF(I27="","",I27+J27-K27)</f>
        <v/>
      </c>
      <c r="M27" s="23" t="n"/>
      <c r="N27" s="6" t="n"/>
      <c r="O27" s="23" t="n"/>
    </row>
    <row r="28" ht="22.05" customHeight="1" s="33">
      <c r="A28" s="5" t="n">
        <v>14</v>
      </c>
      <c r="B28" s="6" t="n"/>
      <c r="C28" s="23" t="n"/>
      <c r="D28" s="23" t="n"/>
      <c r="E28" s="23" t="n"/>
      <c r="F28" s="23" t="n"/>
      <c r="G28" s="23" t="n"/>
      <c r="H28" s="23" t="n"/>
      <c r="I28" s="7" t="n"/>
      <c r="J28" s="7" t="n"/>
      <c r="K28" s="7" t="n"/>
      <c r="L28" s="8">
        <f>IF(I28="","",I28+J28-K28)</f>
        <v/>
      </c>
      <c r="M28" s="23" t="n"/>
      <c r="N28" s="6" t="n"/>
      <c r="O28" s="23" t="n"/>
    </row>
    <row r="29" ht="22.05" customHeight="1" s="33">
      <c r="A29" s="5" t="n">
        <v>15</v>
      </c>
      <c r="B29" s="6" t="n"/>
      <c r="C29" s="23" t="n"/>
      <c r="D29" s="23" t="n"/>
      <c r="E29" s="23" t="n"/>
      <c r="F29" s="23" t="n"/>
      <c r="G29" s="23" t="n"/>
      <c r="H29" s="23" t="n"/>
      <c r="I29" s="7" t="n"/>
      <c r="J29" s="7" t="n"/>
      <c r="K29" s="7" t="n"/>
      <c r="L29" s="8">
        <f>IF(I29="","",I29+J29-K29)</f>
        <v/>
      </c>
      <c r="M29" s="23" t="n"/>
      <c r="N29" s="6" t="n"/>
      <c r="O29" s="23" t="n"/>
    </row>
    <row r="30" ht="22.05" customHeight="1" s="33">
      <c r="A30" s="5" t="n">
        <v>16</v>
      </c>
      <c r="B30" s="6" t="n"/>
      <c r="C30" s="23" t="n"/>
      <c r="D30" s="23" t="n"/>
      <c r="E30" s="23" t="n"/>
      <c r="F30" s="23" t="n"/>
      <c r="G30" s="23" t="n"/>
      <c r="H30" s="23" t="n"/>
      <c r="I30" s="7" t="n"/>
      <c r="J30" s="7" t="n"/>
      <c r="K30" s="7" t="n"/>
      <c r="L30" s="8">
        <f>IF(I30="","",I30+J30-K30)</f>
        <v/>
      </c>
      <c r="M30" s="23" t="n"/>
      <c r="N30" s="6" t="n"/>
      <c r="O30" s="23" t="n"/>
    </row>
    <row r="31" ht="22.05" customHeight="1" s="33">
      <c r="A31" s="5" t="n">
        <v>17</v>
      </c>
      <c r="B31" s="6" t="n"/>
      <c r="C31" s="23" t="n"/>
      <c r="D31" s="23" t="n"/>
      <c r="E31" s="23" t="n"/>
      <c r="F31" s="23" t="n"/>
      <c r="G31" s="23" t="n"/>
      <c r="H31" s="23" t="n"/>
      <c r="I31" s="7" t="n"/>
      <c r="J31" s="7" t="n"/>
      <c r="K31" s="7" t="n"/>
      <c r="L31" s="8">
        <f>IF(I31="","",I31+J31-K31)</f>
        <v/>
      </c>
      <c r="M31" s="23" t="n"/>
      <c r="N31" s="6" t="n"/>
      <c r="O31" s="23" t="n"/>
    </row>
    <row r="32" ht="22.05" customHeight="1" s="33">
      <c r="A32" s="5" t="n">
        <v>18</v>
      </c>
      <c r="B32" s="6" t="n"/>
      <c r="C32" s="23" t="n"/>
      <c r="D32" s="23" t="n"/>
      <c r="E32" s="23" t="n"/>
      <c r="F32" s="23" t="n"/>
      <c r="G32" s="23" t="n"/>
      <c r="H32" s="23" t="n"/>
      <c r="I32" s="7" t="n"/>
      <c r="J32" s="7" t="n"/>
      <c r="K32" s="7" t="n"/>
      <c r="L32" s="8">
        <f>IF(I32="","",I32+J32-K32)</f>
        <v/>
      </c>
      <c r="M32" s="23" t="n"/>
      <c r="N32" s="6" t="n"/>
      <c r="O32" s="23" t="n"/>
    </row>
    <row r="33" ht="22.05" customHeight="1" s="33">
      <c r="A33" s="5" t="n">
        <v>19</v>
      </c>
      <c r="B33" s="6" t="n"/>
      <c r="C33" s="23" t="n"/>
      <c r="D33" s="23" t="n"/>
      <c r="E33" s="23" t="n"/>
      <c r="F33" s="23" t="n"/>
      <c r="G33" s="23" t="n"/>
      <c r="H33" s="23" t="n"/>
      <c r="I33" s="7" t="n"/>
      <c r="J33" s="7" t="n"/>
      <c r="K33" s="7" t="n"/>
      <c r="L33" s="8">
        <f>IF(I33="","",I33+J33-K33)</f>
        <v/>
      </c>
      <c r="M33" s="23" t="n"/>
      <c r="N33" s="6" t="n"/>
      <c r="O33" s="23" t="n"/>
    </row>
    <row r="34" ht="22.05" customHeight="1" s="33">
      <c r="A34" s="5" t="n">
        <v>20</v>
      </c>
      <c r="B34" s="6" t="n"/>
      <c r="C34" s="23" t="n"/>
      <c r="D34" s="23" t="n"/>
      <c r="E34" s="23" t="n"/>
      <c r="F34" s="23" t="n"/>
      <c r="G34" s="23" t="n"/>
      <c r="H34" s="23" t="n"/>
      <c r="I34" s="7" t="n"/>
      <c r="J34" s="7" t="n"/>
      <c r="K34" s="7" t="n"/>
      <c r="L34" s="8">
        <f>IF(I34="","",I34+J34-K34)</f>
        <v/>
      </c>
      <c r="M34" s="23" t="n"/>
      <c r="N34" s="6" t="n"/>
      <c r="O34" s="23" t="n"/>
    </row>
    <row r="35" ht="22.05" customHeight="1" s="33">
      <c r="A35" s="5" t="n">
        <v>21</v>
      </c>
      <c r="B35" s="6" t="n"/>
      <c r="C35" s="23" t="n"/>
      <c r="D35" s="23" t="n"/>
      <c r="E35" s="23" t="n"/>
      <c r="F35" s="23" t="n"/>
      <c r="G35" s="23" t="n"/>
      <c r="H35" s="23" t="n"/>
      <c r="I35" s="7" t="n"/>
      <c r="J35" s="7" t="n"/>
      <c r="K35" s="7" t="n"/>
      <c r="L35" s="8">
        <f>IF(I35="","",I35+J35-K35)</f>
        <v/>
      </c>
      <c r="M35" s="23" t="n"/>
      <c r="N35" s="6" t="n"/>
      <c r="O35" s="23" t="n"/>
    </row>
    <row r="36" ht="22.05" customHeight="1" s="33">
      <c r="A36" s="5" t="n">
        <v>22</v>
      </c>
      <c r="B36" s="6" t="n"/>
      <c r="C36" s="23" t="n"/>
      <c r="D36" s="23" t="n"/>
      <c r="E36" s="23" t="n"/>
      <c r="F36" s="23" t="n"/>
      <c r="G36" s="23" t="n"/>
      <c r="H36" s="23" t="n"/>
      <c r="I36" s="7" t="n"/>
      <c r="J36" s="7" t="n"/>
      <c r="K36" s="7" t="n"/>
      <c r="L36" s="8">
        <f>IF(I36="","",I36+J36-K36)</f>
        <v/>
      </c>
      <c r="M36" s="23" t="n"/>
      <c r="N36" s="6" t="n"/>
      <c r="O36" s="23" t="n"/>
    </row>
    <row r="37" ht="15" customHeight="1" s="33">
      <c r="A37" s="35" t="inlineStr">
        <is>
          <t>TOTAL DEL PERIODO</t>
        </is>
      </c>
      <c r="B37" s="76" t="n"/>
      <c r="C37" s="76" t="n"/>
      <c r="D37" s="76" t="n"/>
      <c r="E37" s="76" t="n"/>
      <c r="F37" s="76" t="n"/>
      <c r="G37" s="76" t="n"/>
      <c r="H37" s="77" t="n"/>
      <c r="I37" s="9">
        <f>SUM(I15:I36)</f>
        <v/>
      </c>
      <c r="J37" s="9">
        <f>SUM(J15:J36)</f>
        <v/>
      </c>
      <c r="K37" s="9">
        <f>SUM(K15:K36)</f>
        <v/>
      </c>
      <c r="L37" s="9">
        <f>SUM(L15:L36)</f>
        <v/>
      </c>
      <c r="M37" s="34" t="n"/>
      <c r="N37" s="76" t="n"/>
      <c r="O37" s="77" t="n"/>
    </row>
    <row r="38" ht="15" customHeight="1" s="33"/>
    <row r="39" ht="15" customHeight="1" s="33">
      <c r="A39" s="39" t="inlineStr">
        <is>
          <t>3. RESUMEN POR TIPO DE COSTO Y ESTADO</t>
        </is>
      </c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7" t="n"/>
    </row>
    <row r="40" ht="19.95" customHeight="1" s="33">
      <c r="B40" s="30" t="inlineStr">
        <is>
          <t>Tipo de costo</t>
        </is>
      </c>
      <c r="C40" s="76" t="n"/>
      <c r="D40" s="77" t="n"/>
      <c r="E40" s="30" t="inlineStr">
        <is>
          <t>Valor total</t>
        </is>
      </c>
      <c r="F40" s="30" t="inlineStr">
        <is>
          <t>% del total</t>
        </is>
      </c>
      <c r="H40" s="30" t="inlineStr">
        <is>
          <t>Estado</t>
        </is>
      </c>
      <c r="I40" s="77" t="n"/>
      <c r="J40" s="30" t="inlineStr">
        <is>
          <t>Valor total</t>
        </is>
      </c>
      <c r="K40" s="77" t="n"/>
    </row>
    <row r="41" ht="15" customHeight="1" s="33">
      <c r="A41" s="23" t="n"/>
      <c r="B41" s="21" t="inlineStr">
        <is>
          <t>Material</t>
        </is>
      </c>
      <c r="C41" s="76" t="n"/>
      <c r="D41" s="77" t="n"/>
      <c r="E41" s="40">
        <f>SUMIF($G$15:$G$36,B41,$L$15:$L$36)</f>
        <v/>
      </c>
      <c r="F41" s="13">
        <f>IF($L$37=0,"",E41/$L$37)</f>
        <v/>
      </c>
      <c r="H41" s="21" t="inlineStr">
        <is>
          <t>Pagado</t>
        </is>
      </c>
      <c r="I41" s="77" t="n"/>
      <c r="J41" s="40">
        <f>SUMIF($M$15:$M$36,H41,$L$15:$L$36)</f>
        <v/>
      </c>
      <c r="K41" s="77" t="n"/>
    </row>
    <row r="42" ht="15" customHeight="1" s="33">
      <c r="A42" s="23" t="n"/>
      <c r="B42" s="21" t="inlineStr">
        <is>
          <t>Mano de obra</t>
        </is>
      </c>
      <c r="C42" s="76" t="n"/>
      <c r="D42" s="77" t="n"/>
      <c r="E42" s="40">
        <f>SUMIF($G$15:$G$36,B42,$L$15:$L$36)</f>
        <v/>
      </c>
      <c r="F42" s="13">
        <f>IF($L$37=0,"",E42/$L$37)</f>
        <v/>
      </c>
      <c r="H42" s="21" t="inlineStr">
        <is>
          <t>Pendiente</t>
        </is>
      </c>
      <c r="I42" s="77" t="n"/>
      <c r="J42" s="40">
        <f>SUMIF($M$15:$M$36,H42,$L$15:$L$36)</f>
        <v/>
      </c>
      <c r="K42" s="77" t="n"/>
    </row>
    <row r="43" ht="15" customHeight="1" s="33">
      <c r="A43" s="23" t="n"/>
      <c r="B43" s="21" t="inlineStr">
        <is>
          <t>Subcontrato</t>
        </is>
      </c>
      <c r="C43" s="76" t="n"/>
      <c r="D43" s="77" t="n"/>
      <c r="E43" s="40">
        <f>SUMIF($G$15:$G$36,B43,$L$15:$L$36)</f>
        <v/>
      </c>
      <c r="F43" s="13">
        <f>IF($L$37=0,"",E43/$L$37)</f>
        <v/>
      </c>
      <c r="H43" s="21" t="inlineStr">
        <is>
          <t>Parcial</t>
        </is>
      </c>
      <c r="I43" s="77" t="n"/>
      <c r="J43" s="40">
        <f>SUMIF($M$15:$M$36,H43,$L$15:$L$36)</f>
        <v/>
      </c>
      <c r="K43" s="77" t="n"/>
    </row>
    <row r="44" ht="15" customHeight="1" s="33">
      <c r="A44" s="23" t="n"/>
      <c r="B44" s="21" t="inlineStr">
        <is>
          <t>Maquinaria y equipo</t>
        </is>
      </c>
      <c r="C44" s="76" t="n"/>
      <c r="D44" s="77" t="n"/>
      <c r="E44" s="40">
        <f>SUMIF($G$15:$G$36,B44,$L$15:$L$36)</f>
        <v/>
      </c>
      <c r="F44" s="13">
        <f>IF($L$37=0,"",E44/$L$37)</f>
        <v/>
      </c>
    </row>
    <row r="45" ht="15" customHeight="1" s="33">
      <c r="A45" s="23" t="n"/>
      <c r="B45" s="21" t="inlineStr">
        <is>
          <t>Transporte</t>
        </is>
      </c>
      <c r="C45" s="76" t="n"/>
      <c r="D45" s="77" t="n"/>
      <c r="E45" s="40">
        <f>SUMIF($G$15:$G$36,B45,$L$15:$L$36)</f>
        <v/>
      </c>
      <c r="F45" s="13">
        <f>IF($L$37=0,"",E45/$L$37)</f>
        <v/>
      </c>
    </row>
    <row r="46" ht="15" customHeight="1" s="33">
      <c r="A46" s="23" t="n"/>
      <c r="B46" s="21" t="inlineStr">
        <is>
          <t>Administración</t>
        </is>
      </c>
      <c r="C46" s="76" t="n"/>
      <c r="D46" s="77" t="n"/>
      <c r="E46" s="40">
        <f>SUMIF($G$15:$G$36,B46,$L$15:$L$36)</f>
        <v/>
      </c>
      <c r="F46" s="13">
        <f>IF($L$37=0,"",E46/$L$37)</f>
        <v/>
      </c>
    </row>
    <row r="47" ht="15" customHeight="1" s="33">
      <c r="A47" s="23" t="n"/>
      <c r="B47" s="21" t="inlineStr">
        <is>
          <t>Otro</t>
        </is>
      </c>
      <c r="C47" s="76" t="n"/>
      <c r="D47" s="77" t="n"/>
      <c r="E47" s="40">
        <f>SUMIF($G$15:$G$36,B47,$L$15:$L$36)</f>
        <v/>
      </c>
      <c r="F47" s="13">
        <f>IF($L$37=0,"",E47/$L$37)</f>
        <v/>
      </c>
    </row>
    <row r="48" ht="15" customHeight="1" s="33">
      <c r="A48" s="35" t="inlineStr">
        <is>
          <t>TOTAL</t>
        </is>
      </c>
      <c r="B48" s="76" t="n"/>
      <c r="C48" s="76" t="n"/>
      <c r="D48" s="77" t="n"/>
      <c r="E48" s="14">
        <f>SUM(E41:E47)</f>
        <v/>
      </c>
      <c r="F48" s="15">
        <f>IF(E48=0,"",1)</f>
        <v/>
      </c>
    </row>
    <row r="49" ht="15" customHeight="1" s="33"/>
    <row r="50" ht="15" customHeight="1" s="33">
      <c r="A50" s="29" t="inlineStr">
        <is>
          <t>Cada factura o pago se asigna a UN capítulo del presupuesto. El Control Presupuestal suma automáticamente por capítulo. Los valores en rojo entre paréntesis son notas crédito o devoluciones (valores negativos).</t>
        </is>
      </c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7" t="n"/>
    </row>
    <row r="51" ht="15" customHeight="1" s="33"/>
    <row r="52" ht="15" customHeight="1" s="33">
      <c r="A52" s="39" t="inlineStr">
        <is>
          <t>FIRMAS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7" t="n"/>
    </row>
    <row r="53" ht="15" customHeight="1" s="33">
      <c r="A53" s="27" t="inlineStr">
        <is>
          <t>REGISTRÓ — ADMINISTRACIÓN</t>
        </is>
      </c>
      <c r="B53" s="76" t="n"/>
      <c r="C53" s="76" t="n"/>
      <c r="D53" s="76" t="n"/>
      <c r="E53" s="76" t="n"/>
      <c r="F53" s="76" t="n"/>
      <c r="G53" s="77" t="n"/>
      <c r="H53" s="27" t="inlineStr">
        <is>
          <t>REVISÓ — DIRECTOR DE OBRA</t>
        </is>
      </c>
      <c r="I53" s="76" t="n"/>
      <c r="J53" s="76" t="n"/>
      <c r="K53" s="76" t="n"/>
      <c r="L53" s="76" t="n"/>
      <c r="M53" s="76" t="n"/>
      <c r="N53" s="76" t="n"/>
      <c r="O53" s="77" t="n"/>
    </row>
    <row r="54" ht="15" customHeight="1" s="33">
      <c r="A54" s="21" t="inlineStr">
        <is>
          <t>Firma:</t>
        </is>
      </c>
      <c r="B54" s="76" t="n"/>
      <c r="C54" s="77" t="n"/>
      <c r="D54" s="23" t="n"/>
      <c r="E54" s="76" t="n"/>
      <c r="F54" s="76" t="n"/>
      <c r="G54" s="77" t="n"/>
      <c r="H54" s="21" t="inlineStr">
        <is>
          <t>Firma:</t>
        </is>
      </c>
      <c r="I54" s="76" t="n"/>
      <c r="J54" s="77" t="n"/>
      <c r="K54" s="23" t="n"/>
      <c r="L54" s="76" t="n"/>
      <c r="M54" s="76" t="n"/>
      <c r="N54" s="76" t="n"/>
      <c r="O54" s="77" t="n"/>
    </row>
    <row r="55" ht="15" customHeight="1" s="33">
      <c r="A55" s="21" t="inlineStr">
        <is>
          <t>Nombre:</t>
        </is>
      </c>
      <c r="B55" s="76" t="n"/>
      <c r="C55" s="77" t="n"/>
      <c r="D55" s="23" t="n"/>
      <c r="E55" s="76" t="n"/>
      <c r="F55" s="76" t="n"/>
      <c r="G55" s="77" t="n"/>
      <c r="H55" s="21" t="inlineStr">
        <is>
          <t>Nombre:</t>
        </is>
      </c>
      <c r="I55" s="76" t="n"/>
      <c r="J55" s="77" t="n"/>
      <c r="K55" s="23" t="n"/>
      <c r="L55" s="76" t="n"/>
      <c r="M55" s="76" t="n"/>
      <c r="N55" s="76" t="n"/>
      <c r="O55" s="77" t="n"/>
    </row>
    <row r="56" ht="15" customHeight="1" s="33">
      <c r="A56" s="21" t="inlineStr">
        <is>
          <t>Cargo:</t>
        </is>
      </c>
      <c r="B56" s="76" t="n"/>
      <c r="C56" s="77" t="n"/>
      <c r="D56" s="23" t="n"/>
      <c r="E56" s="76" t="n"/>
      <c r="F56" s="76" t="n"/>
      <c r="G56" s="77" t="n"/>
      <c r="H56" s="21" t="inlineStr">
        <is>
          <t>Cargo:</t>
        </is>
      </c>
      <c r="I56" s="76" t="n"/>
      <c r="J56" s="77" t="n"/>
      <c r="K56" s="23" t="n"/>
      <c r="L56" s="76" t="n"/>
      <c r="M56" s="76" t="n"/>
      <c r="N56" s="76" t="n"/>
      <c r="O56" s="77" t="n"/>
    </row>
  </sheetData>
  <mergeCells count="64">
    <mergeCell ref="B42:D42"/>
    <mergeCell ref="D56:G56"/>
    <mergeCell ref="D2:O2"/>
    <mergeCell ref="A1:C7"/>
    <mergeCell ref="D12:G12"/>
    <mergeCell ref="H53:O53"/>
    <mergeCell ref="A53:G53"/>
    <mergeCell ref="H43:I43"/>
    <mergeCell ref="A56:C56"/>
    <mergeCell ref="H41:I41"/>
    <mergeCell ref="M5:N5"/>
    <mergeCell ref="B44:D44"/>
    <mergeCell ref="K54:O54"/>
    <mergeCell ref="D55:G55"/>
    <mergeCell ref="A12:C12"/>
    <mergeCell ref="A55:C55"/>
    <mergeCell ref="H11:J11"/>
    <mergeCell ref="A50:O50"/>
    <mergeCell ref="H40:I40"/>
    <mergeCell ref="J40:K40"/>
    <mergeCell ref="K55:O55"/>
    <mergeCell ref="D7:L7"/>
    <mergeCell ref="D54:G54"/>
    <mergeCell ref="M37:O37"/>
    <mergeCell ref="K11:O11"/>
    <mergeCell ref="A48:D48"/>
    <mergeCell ref="D4:L4"/>
    <mergeCell ref="M3:O3"/>
    <mergeCell ref="B40:D40"/>
    <mergeCell ref="D3:L3"/>
    <mergeCell ref="A8:O8"/>
    <mergeCell ref="H12:J12"/>
    <mergeCell ref="D10:G10"/>
    <mergeCell ref="A37:H37"/>
    <mergeCell ref="A10:C10"/>
    <mergeCell ref="M7:N7"/>
    <mergeCell ref="K56:O56"/>
    <mergeCell ref="K12:O12"/>
    <mergeCell ref="D5:L5"/>
    <mergeCell ref="M6:N6"/>
    <mergeCell ref="B41:D41"/>
    <mergeCell ref="B45:D45"/>
    <mergeCell ref="A52:O52"/>
    <mergeCell ref="A13:O13"/>
    <mergeCell ref="J41:K41"/>
    <mergeCell ref="D11:G11"/>
    <mergeCell ref="A9:O9"/>
    <mergeCell ref="B47:D47"/>
    <mergeCell ref="A39:O39"/>
    <mergeCell ref="H10:J10"/>
    <mergeCell ref="H54:J54"/>
    <mergeCell ref="A11:C11"/>
    <mergeCell ref="D1:O1"/>
    <mergeCell ref="J43:K43"/>
    <mergeCell ref="B46:D46"/>
    <mergeCell ref="M4:N4"/>
    <mergeCell ref="H42:I42"/>
    <mergeCell ref="H55:J55"/>
    <mergeCell ref="J42:K42"/>
    <mergeCell ref="K10:O10"/>
    <mergeCell ref="B43:D43"/>
    <mergeCell ref="H56:J56"/>
    <mergeCell ref="D6:L6"/>
    <mergeCell ref="A54:C54"/>
  </mergeCells>
  <pageMargins left="0.4" right="0.4" top="0.4" bottom="0.6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2026-10-09T05:34:30Z</dcterms:modified>
  <cp:lastModifiedBy>Hugo Fernando Hurtado Ruiz</cp:lastModifiedBy>
</cp:coreProperties>
</file>