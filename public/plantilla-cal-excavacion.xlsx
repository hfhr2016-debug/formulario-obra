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Excavación y Rellen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#,##0.##"/>
    <numFmt numFmtId="166" formatCode="0.0"/>
    <numFmt numFmtId="167" formatCode="0.0%"/>
    <numFmt numFmtId="168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6" fontId="18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8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5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6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6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7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8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166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8" fontId="19" fillId="0" borderId="9" applyAlignment="1" applyProtection="1" pivotButton="0" quotePrefix="0" xfId="3">
      <alignment horizontal="center" vertical="center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0233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2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3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  <col width="8.88671875" customWidth="1" style="67" min="13" max="16384"/>
  </cols>
  <sheetData>
    <row r="1" ht="40.05" customHeight="1" s="67">
      <c r="D1" s="38" t="inlineStr">
        <is>
          <t>INSPECCIÓN DE EXCAVACIÓN, RELLENOS Y COMPACTACIÓN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" t="inlineStr">
        <is>
          <t>Código</t>
        </is>
      </c>
      <c r="K5" s="94" t="inlineStr">
        <is>
          <t>RYR-CA-007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" t="inlineStr">
        <is>
          <t>Versión</t>
        </is>
      </c>
      <c r="K6" s="94" t="n">
        <v>1</v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" t="inlineStr">
        <is>
          <t>Fecha de Emisión</t>
        </is>
      </c>
      <c r="K7" s="94" t="inlineStr">
        <is>
          <t>09/10/2026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" t="inlineStr">
        <is>
          <t>Página</t>
        </is>
      </c>
      <c r="K8" s="94" t="inlineStr">
        <is>
          <t>1 de 1</t>
        </is>
      </c>
      <c r="L8" s="32" t="n"/>
    </row>
    <row r="9" ht="15" customHeight="1" s="67">
      <c r="A9" s="121" t="inlineStr">
        <is>
          <t>Verificación antes de cubrir o continuar con la siguiente capa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22" t="inlineStr">
        <is>
          <t>Proyecto / Obra</t>
        </is>
      </c>
      <c r="B11" s="32" t="n"/>
      <c r="C11" s="161" t="n"/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3" t="n"/>
    </row>
    <row r="12" ht="21" customHeight="1" s="67">
      <c r="A12" s="122" t="inlineStr">
        <is>
          <t>Contratista / Empresa</t>
        </is>
      </c>
      <c r="B12" s="32" t="n"/>
      <c r="C12" s="161" t="n"/>
      <c r="D12" s="162" t="n"/>
      <c r="E12" s="162" t="n"/>
      <c r="F12" s="162" t="n"/>
      <c r="G12" s="163" t="n"/>
      <c r="H12" s="122" t="inlineStr">
        <is>
          <t>Ubicación</t>
        </is>
      </c>
      <c r="I12" s="32" t="n"/>
      <c r="J12" s="161" t="n"/>
      <c r="K12" s="162" t="n"/>
      <c r="L12" s="163" t="n"/>
    </row>
    <row r="13" ht="21" customHeight="1" s="67">
      <c r="A13" s="122" t="inlineStr">
        <is>
          <t>Fecha</t>
        </is>
      </c>
      <c r="B13" s="32" t="n"/>
      <c r="C13" s="165" t="n"/>
      <c r="D13" s="163" t="n"/>
      <c r="E13" s="122" t="inlineStr">
        <is>
          <t>Hora</t>
        </is>
      </c>
      <c r="F13" s="32" t="n"/>
      <c r="G13" s="169" t="n"/>
      <c r="H13" s="122" t="inlineStr">
        <is>
          <t>Hoja N°</t>
        </is>
      </c>
      <c r="I13" s="32" t="n"/>
      <c r="J13" s="164" t="n"/>
      <c r="K13" s="162" t="n"/>
      <c r="L13" s="163" t="n"/>
    </row>
    <row r="14" ht="21" customHeight="1" s="67">
      <c r="A14" s="122" t="inlineStr">
        <is>
          <t>Actividad</t>
        </is>
      </c>
      <c r="B14" s="32" t="n"/>
      <c r="C14" s="164" t="n"/>
      <c r="D14" s="162" t="n"/>
      <c r="E14" s="162" t="n"/>
      <c r="F14" s="162" t="n"/>
      <c r="G14" s="163" t="n"/>
      <c r="H14" s="122" t="inlineStr">
        <is>
          <t>Frente, eje o abscisa</t>
        </is>
      </c>
      <c r="I14" s="32" t="n"/>
      <c r="J14" s="161" t="n"/>
      <c r="K14" s="162" t="n"/>
      <c r="L14" s="163" t="n"/>
    </row>
    <row r="15" ht="21" customHeight="1" s="67">
      <c r="A15" s="122" t="inlineStr">
        <is>
          <t>Material y procedencia</t>
        </is>
      </c>
      <c r="B15" s="32" t="n"/>
      <c r="C15" s="161" t="n"/>
      <c r="D15" s="162" t="n"/>
      <c r="E15" s="162" t="n"/>
      <c r="F15" s="162" t="n"/>
      <c r="G15" s="163" t="n"/>
      <c r="H15" s="122" t="inlineStr">
        <is>
          <t>Equipo de compactación</t>
        </is>
      </c>
      <c r="I15" s="32" t="n"/>
      <c r="J15" s="161" t="n"/>
      <c r="K15" s="162" t="n"/>
      <c r="L15" s="163" t="n"/>
    </row>
    <row r="16" ht="21" customHeight="1" s="67">
      <c r="A16" s="122" t="inlineStr">
        <is>
          <t>Estudio de suelos (referencia)</t>
        </is>
      </c>
      <c r="B16" s="32" t="n"/>
      <c r="C16" s="161" t="n"/>
      <c r="D16" s="162" t="n"/>
      <c r="E16" s="162" t="n"/>
      <c r="F16" s="162" t="n"/>
      <c r="G16" s="163" t="n"/>
      <c r="H16" s="122" t="inlineStr">
        <is>
          <t>Plano de referencia</t>
        </is>
      </c>
      <c r="I16" s="32" t="n"/>
      <c r="J16" s="161" t="n"/>
      <c r="K16" s="162" t="n"/>
      <c r="L16" s="163" t="n"/>
    </row>
    <row r="17" ht="16.5" customHeight="1" s="67">
      <c r="A17" s="15" t="inlineStr">
        <is>
          <t>2. EXCAVACIÓN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7" t="n"/>
    </row>
    <row r="18" ht="19.05" customHeight="1" s="67">
      <c r="A18" s="42" t="inlineStr">
        <is>
          <t>No.</t>
        </is>
      </c>
      <c r="B18" s="124" t="inlineStr">
        <is>
          <t>Aspecto verificado</t>
        </is>
      </c>
      <c r="C18" s="31" t="n"/>
      <c r="D18" s="31" t="n"/>
      <c r="E18" s="31" t="n"/>
      <c r="F18" s="31" t="n"/>
      <c r="G18" s="31" t="n"/>
      <c r="H18" s="32" t="n"/>
      <c r="I18" s="124" t="inlineStr">
        <is>
          <t>¿Cumple?</t>
        </is>
      </c>
      <c r="J18" s="32" t="n"/>
      <c r="K18" s="124" t="inlineStr">
        <is>
          <t>Observación</t>
        </is>
      </c>
      <c r="L18" s="32" t="n"/>
    </row>
    <row r="19" ht="16.95" customHeight="1" s="67">
      <c r="A19" s="125" t="n">
        <v>1</v>
      </c>
      <c r="B19" s="175" t="inlineStr">
        <is>
          <t>Localización, ejes y niveles de excavación verificados con topografía</t>
        </is>
      </c>
      <c r="C19" s="16" t="n"/>
      <c r="D19" s="16" t="n"/>
      <c r="E19" s="16" t="n"/>
      <c r="F19" s="16" t="n"/>
      <c r="G19" s="16" t="n"/>
      <c r="H19" s="17" t="n"/>
      <c r="I19" s="173" t="n"/>
      <c r="J19" s="172" t="n"/>
      <c r="K19" s="170" t="n"/>
      <c r="L19" s="172" t="n"/>
    </row>
    <row r="20" ht="16.95" customHeight="1" s="67">
      <c r="A20" s="125" t="n">
        <v>2</v>
      </c>
      <c r="B20" s="175" t="inlineStr">
        <is>
          <t>Dimensiones (ancho, largo y profundidad) según planos</t>
        </is>
      </c>
      <c r="C20" s="16" t="n"/>
      <c r="D20" s="16" t="n"/>
      <c r="E20" s="16" t="n"/>
      <c r="F20" s="16" t="n"/>
      <c r="G20" s="16" t="n"/>
      <c r="H20" s="17" t="n"/>
      <c r="I20" s="173" t="n"/>
      <c r="J20" s="172" t="n"/>
      <c r="K20" s="170" t="n"/>
      <c r="L20" s="172" t="n"/>
    </row>
    <row r="21" ht="16.95" customHeight="1" s="67">
      <c r="A21" s="125" t="n">
        <v>3</v>
      </c>
      <c r="B21" s="175" t="inlineStr">
        <is>
          <t>Fondo limpio, firme y libre de agua, lodo o material suelto</t>
        </is>
      </c>
      <c r="C21" s="16" t="n"/>
      <c r="D21" s="16" t="n"/>
      <c r="E21" s="16" t="n"/>
      <c r="F21" s="16" t="n"/>
      <c r="G21" s="16" t="n"/>
      <c r="H21" s="17" t="n"/>
      <c r="I21" s="173" t="n"/>
      <c r="J21" s="172" t="n"/>
      <c r="K21" s="170" t="n"/>
      <c r="L21" s="172" t="n"/>
    </row>
    <row r="22" ht="29" customHeight="1" s="67">
      <c r="A22" s="125" t="n">
        <v>4</v>
      </c>
      <c r="B22" s="175" t="inlineStr">
        <is>
          <t>Suelo de fondo corresponde al del estudio de suelos (verificado por el geotecnista cuando se exige)</t>
        </is>
      </c>
      <c r="C22" s="16" t="n"/>
      <c r="D22" s="16" t="n"/>
      <c r="E22" s="16" t="n"/>
      <c r="F22" s="16" t="n"/>
      <c r="G22" s="16" t="n"/>
      <c r="H22" s="17" t="n"/>
      <c r="I22" s="173" t="n"/>
      <c r="J22" s="172" t="n"/>
      <c r="K22" s="170" t="n"/>
      <c r="L22" s="172" t="n"/>
    </row>
    <row r="23" ht="16.95" customHeight="1" s="67">
      <c r="A23" s="125" t="n">
        <v>5</v>
      </c>
      <c r="B23" s="175" t="inlineStr">
        <is>
          <t>Taludes o entibado estables; protección del borde de la excavación</t>
        </is>
      </c>
      <c r="C23" s="16" t="n"/>
      <c r="D23" s="16" t="n"/>
      <c r="E23" s="16" t="n"/>
      <c r="F23" s="16" t="n"/>
      <c r="G23" s="16" t="n"/>
      <c r="H23" s="17" t="n"/>
      <c r="I23" s="173" t="n"/>
      <c r="J23" s="172" t="n"/>
      <c r="K23" s="170" t="n"/>
      <c r="L23" s="172" t="n"/>
    </row>
    <row r="24" ht="16.95" customHeight="1" s="67">
      <c r="A24" s="125" t="n">
        <v>6</v>
      </c>
      <c r="B24" s="175" t="inlineStr">
        <is>
          <t>Redes y servicios existentes identificados y protegidos</t>
        </is>
      </c>
      <c r="C24" s="16" t="n"/>
      <c r="D24" s="16" t="n"/>
      <c r="E24" s="16" t="n"/>
      <c r="F24" s="16" t="n"/>
      <c r="G24" s="16" t="n"/>
      <c r="H24" s="17" t="n"/>
      <c r="I24" s="173" t="n"/>
      <c r="J24" s="172" t="n"/>
      <c r="K24" s="170" t="n"/>
      <c r="L24" s="172" t="n"/>
    </row>
    <row r="25" ht="16.5" customHeight="1" s="67">
      <c r="A25" s="15" t="inlineStr">
        <is>
          <t>3. RELLENO Y COMPACTACIÓN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7" t="n"/>
    </row>
    <row r="26" ht="19.05" customHeight="1" s="67">
      <c r="A26" s="42" t="inlineStr">
        <is>
          <t>No.</t>
        </is>
      </c>
      <c r="B26" s="124" t="inlineStr">
        <is>
          <t>Aspecto verificado</t>
        </is>
      </c>
      <c r="C26" s="31" t="n"/>
      <c r="D26" s="31" t="n"/>
      <c r="E26" s="31" t="n"/>
      <c r="F26" s="31" t="n"/>
      <c r="G26" s="31" t="n"/>
      <c r="H26" s="32" t="n"/>
      <c r="I26" s="124" t="inlineStr">
        <is>
          <t>¿Cumple?</t>
        </is>
      </c>
      <c r="J26" s="32" t="n"/>
      <c r="K26" s="124" t="inlineStr">
        <is>
          <t>Observación</t>
        </is>
      </c>
      <c r="L26" s="32" t="n"/>
    </row>
    <row r="27" ht="16.95" customHeight="1" s="67">
      <c r="A27" s="125" t="n">
        <v>1</v>
      </c>
      <c r="B27" s="175" t="inlineStr">
        <is>
          <t>Material de relleno aprobado (clase, procedencia y granulometría)</t>
        </is>
      </c>
      <c r="C27" s="16" t="n"/>
      <c r="D27" s="16" t="n"/>
      <c r="E27" s="16" t="n"/>
      <c r="F27" s="16" t="n"/>
      <c r="G27" s="16" t="n"/>
      <c r="H27" s="17" t="n"/>
      <c r="I27" s="173" t="n"/>
      <c r="J27" s="172" t="n"/>
      <c r="K27" s="170" t="n"/>
      <c r="L27" s="172" t="n"/>
    </row>
    <row r="28" ht="16.95" customHeight="1" s="67">
      <c r="A28" s="125" t="n">
        <v>2</v>
      </c>
      <c r="B28" s="175" t="inlineStr">
        <is>
          <t>Material libre de materia orgánica, escombros y basura</t>
        </is>
      </c>
      <c r="C28" s="16" t="n"/>
      <c r="D28" s="16" t="n"/>
      <c r="E28" s="16" t="n"/>
      <c r="F28" s="16" t="n"/>
      <c r="G28" s="16" t="n"/>
      <c r="H28" s="17" t="n"/>
      <c r="I28" s="173" t="n"/>
      <c r="J28" s="172" t="n"/>
      <c r="K28" s="170" t="n"/>
      <c r="L28" s="172" t="n"/>
    </row>
    <row r="29" ht="16.95" customHeight="1" s="67">
      <c r="A29" s="125" t="n">
        <v>3</v>
      </c>
      <c r="B29" s="175" t="inlineStr">
        <is>
          <t>Humedad cercana a la óptima del Proctor</t>
        </is>
      </c>
      <c r="C29" s="16" t="n"/>
      <c r="D29" s="16" t="n"/>
      <c r="E29" s="16" t="n"/>
      <c r="F29" s="16" t="n"/>
      <c r="G29" s="16" t="n"/>
      <c r="H29" s="17" t="n"/>
      <c r="I29" s="173" t="n"/>
      <c r="J29" s="172" t="n"/>
      <c r="K29" s="170" t="n"/>
      <c r="L29" s="172" t="n"/>
    </row>
    <row r="30" ht="16.95" customHeight="1" s="67">
      <c r="A30" s="125" t="n">
        <v>4</v>
      </c>
      <c r="B30" s="175" t="inlineStr">
        <is>
          <t>Espesor de capa suelta dentro de lo especificado</t>
        </is>
      </c>
      <c r="C30" s="16" t="n"/>
      <c r="D30" s="16" t="n"/>
      <c r="E30" s="16" t="n"/>
      <c r="F30" s="16" t="n"/>
      <c r="G30" s="16" t="n"/>
      <c r="H30" s="17" t="n"/>
      <c r="I30" s="173" t="n"/>
      <c r="J30" s="172" t="n"/>
      <c r="K30" s="170" t="n"/>
      <c r="L30" s="172" t="n"/>
    </row>
    <row r="31" ht="16.95" customHeight="1" s="67">
      <c r="A31" s="125" t="n">
        <v>5</v>
      </c>
      <c r="B31" s="175" t="inlineStr">
        <is>
          <t>Equipo de compactación adecuado y número de pasadas suficiente</t>
        </is>
      </c>
      <c r="C31" s="16" t="n"/>
      <c r="D31" s="16" t="n"/>
      <c r="E31" s="16" t="n"/>
      <c r="F31" s="16" t="n"/>
      <c r="G31" s="16" t="n"/>
      <c r="H31" s="17" t="n"/>
      <c r="I31" s="173" t="n"/>
      <c r="J31" s="172" t="n"/>
      <c r="K31" s="170" t="n"/>
      <c r="L31" s="172" t="n"/>
    </row>
    <row r="32" ht="16.95" customHeight="1" s="67">
      <c r="A32" s="125" t="n">
        <v>6</v>
      </c>
      <c r="B32" s="175" t="inlineStr">
        <is>
          <t>Superficie de cada capa nivelada y con la pendiente de diseño</t>
        </is>
      </c>
      <c r="C32" s="16" t="n"/>
      <c r="D32" s="16" t="n"/>
      <c r="E32" s="16" t="n"/>
      <c r="F32" s="16" t="n"/>
      <c r="G32" s="16" t="n"/>
      <c r="H32" s="17" t="n"/>
      <c r="I32" s="173" t="n"/>
      <c r="J32" s="172" t="n"/>
      <c r="K32" s="170" t="n"/>
      <c r="L32" s="172" t="n"/>
    </row>
    <row r="33" ht="16.5" customHeight="1" s="67">
      <c r="A33" s="15" t="inlineStr">
        <is>
          <t>4. CONTROL DE DENSIDAD (ensayos de compactación)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7" t="n"/>
    </row>
    <row r="34" ht="43.95" customHeight="1" s="67">
      <c r="A34" s="42" t="inlineStr">
        <is>
          <t>No.</t>
        </is>
      </c>
      <c r="B34" s="42" t="inlineStr">
        <is>
          <t>Capa N°</t>
        </is>
      </c>
      <c r="C34" s="124" t="inlineStr">
        <is>
          <t>Localización (eje o abscisa)</t>
        </is>
      </c>
      <c r="D34" s="32" t="n"/>
      <c r="E34" s="42" t="inlineStr">
        <is>
          <t>Cota</t>
        </is>
      </c>
      <c r="F34" s="42" t="inlineStr">
        <is>
          <t>Densidad seca máxima (kg/m³)</t>
        </is>
      </c>
      <c r="G34" s="42" t="inlineStr">
        <is>
          <t>Densidad seca en sitio (kg/m³)</t>
        </is>
      </c>
      <c r="H34" s="42" t="inlineStr">
        <is>
          <t>% de compactación</t>
        </is>
      </c>
      <c r="I34" s="42" t="inlineStr">
        <is>
          <t>% exigido</t>
        </is>
      </c>
      <c r="J34" s="42" t="inlineStr">
        <is>
          <t>Resultado</t>
        </is>
      </c>
      <c r="K34" s="124" t="inlineStr">
        <is>
          <t>Observación</t>
        </is>
      </c>
      <c r="L34" s="32" t="n"/>
    </row>
    <row r="35" ht="22.05" customHeight="1" s="67">
      <c r="A35" s="125" t="n">
        <v>1</v>
      </c>
      <c r="B35" s="173" t="n"/>
      <c r="C35" s="170" t="n"/>
      <c r="D35" s="172" t="n"/>
      <c r="E35" s="173" t="n"/>
      <c r="F35" s="173" t="n"/>
      <c r="G35" s="173" t="n"/>
      <c r="H35" s="141">
        <f>IF(OR(F35="",G35="",F35=0),"",G35/F35)</f>
        <v/>
      </c>
      <c r="I35" s="181" t="n"/>
      <c r="J35" s="138">
        <f>IF(OR(H35="",I35=""),"",IF(H35&gt;=I35,"Cumple","No cumple"))</f>
        <v/>
      </c>
      <c r="K35" s="170" t="n"/>
      <c r="L35" s="172" t="n"/>
    </row>
    <row r="36" ht="22.05" customHeight="1" s="67">
      <c r="A36" s="125" t="n">
        <v>2</v>
      </c>
      <c r="B36" s="173" t="n"/>
      <c r="C36" s="170" t="n"/>
      <c r="D36" s="172" t="n"/>
      <c r="E36" s="173" t="n"/>
      <c r="F36" s="173" t="n"/>
      <c r="G36" s="173" t="n"/>
      <c r="H36" s="141">
        <f>IF(OR(F36="",G36="",F36=0),"",G36/F36)</f>
        <v/>
      </c>
      <c r="I36" s="181" t="n"/>
      <c r="J36" s="138">
        <f>IF(OR(H36="",I36=""),"",IF(H36&gt;=I36,"Cumple","No cumple"))</f>
        <v/>
      </c>
      <c r="K36" s="170" t="n"/>
      <c r="L36" s="172" t="n"/>
    </row>
    <row r="37" ht="22.05" customHeight="1" s="67">
      <c r="A37" s="125" t="n">
        <v>3</v>
      </c>
      <c r="B37" s="173" t="n"/>
      <c r="C37" s="170" t="n"/>
      <c r="D37" s="172" t="n"/>
      <c r="E37" s="173" t="n"/>
      <c r="F37" s="173" t="n"/>
      <c r="G37" s="173" t="n"/>
      <c r="H37" s="141">
        <f>IF(OR(F37="",G37="",F37=0),"",G37/F37)</f>
        <v/>
      </c>
      <c r="I37" s="181" t="n"/>
      <c r="J37" s="138">
        <f>IF(OR(H37="",I37=""),"",IF(H37&gt;=I37,"Cumple","No cumple"))</f>
        <v/>
      </c>
      <c r="K37" s="170" t="n"/>
      <c r="L37" s="172" t="n"/>
    </row>
    <row r="38" ht="22.05" customHeight="1" s="67">
      <c r="A38" s="125" t="n">
        <v>4</v>
      </c>
      <c r="B38" s="173" t="n"/>
      <c r="C38" s="170" t="n"/>
      <c r="D38" s="172" t="n"/>
      <c r="E38" s="173" t="n"/>
      <c r="F38" s="173" t="n"/>
      <c r="G38" s="173" t="n"/>
      <c r="H38" s="141">
        <f>IF(OR(F38="",G38="",F38=0),"",G38/F38)</f>
        <v/>
      </c>
      <c r="I38" s="181" t="n"/>
      <c r="J38" s="138">
        <f>IF(OR(H38="",I38=""),"",IF(H38&gt;=I38,"Cumple","No cumple"))</f>
        <v/>
      </c>
      <c r="K38" s="170" t="n"/>
      <c r="L38" s="172" t="n"/>
    </row>
    <row r="39" ht="22.05" customHeight="1" s="67">
      <c r="A39" s="125" t="n">
        <v>5</v>
      </c>
      <c r="B39" s="173" t="n"/>
      <c r="C39" s="170" t="n"/>
      <c r="D39" s="172" t="n"/>
      <c r="E39" s="173" t="n"/>
      <c r="F39" s="173" t="n"/>
      <c r="G39" s="173" t="n"/>
      <c r="H39" s="141">
        <f>IF(OR(F39="",G39="",F39=0),"",G39/F39)</f>
        <v/>
      </c>
      <c r="I39" s="181" t="n"/>
      <c r="J39" s="138">
        <f>IF(OR(H39="",I39=""),"",IF(H39&gt;=I39,"Cumple","No cumple"))</f>
        <v/>
      </c>
      <c r="K39" s="170" t="n"/>
      <c r="L39" s="172" t="n"/>
    </row>
    <row r="40" ht="22.05" customHeight="1" s="67">
      <c r="A40" s="125" t="n">
        <v>6</v>
      </c>
      <c r="B40" s="173" t="n"/>
      <c r="C40" s="170" t="n"/>
      <c r="D40" s="172" t="n"/>
      <c r="E40" s="173" t="n"/>
      <c r="F40" s="173" t="n"/>
      <c r="G40" s="173" t="n"/>
      <c r="H40" s="141">
        <f>IF(OR(F40="",G40="",F40=0),"",G40/F40)</f>
        <v/>
      </c>
      <c r="I40" s="181" t="n"/>
      <c r="J40" s="138">
        <f>IF(OR(H40="",I40=""),"",IF(H40&gt;=I40,"Cumple","No cumple"))</f>
        <v/>
      </c>
      <c r="K40" s="170" t="n"/>
      <c r="L40" s="172" t="n"/>
    </row>
    <row r="41" ht="22.05" customHeight="1" s="67">
      <c r="A41" s="125" t="n">
        <v>7</v>
      </c>
      <c r="B41" s="173" t="n"/>
      <c r="C41" s="170" t="n"/>
      <c r="D41" s="172" t="n"/>
      <c r="E41" s="173" t="n"/>
      <c r="F41" s="173" t="n"/>
      <c r="G41" s="173" t="n"/>
      <c r="H41" s="141">
        <f>IF(OR(F41="",G41="",F41=0),"",G41/F41)</f>
        <v/>
      </c>
      <c r="I41" s="181" t="n"/>
      <c r="J41" s="138">
        <f>IF(OR(H41="",I41=""),"",IF(H41&gt;=I41,"Cumple","No cumple"))</f>
        <v/>
      </c>
      <c r="K41" s="170" t="n"/>
      <c r="L41" s="172" t="n"/>
    </row>
    <row r="42" ht="22.05" customHeight="1" s="67">
      <c r="A42" s="125" t="n">
        <v>8</v>
      </c>
      <c r="B42" s="173" t="n"/>
      <c r="C42" s="170" t="n"/>
      <c r="D42" s="172" t="n"/>
      <c r="E42" s="173" t="n"/>
      <c r="F42" s="173" t="n"/>
      <c r="G42" s="173" t="n"/>
      <c r="H42" s="141">
        <f>IF(OR(F42="",G42="",F42=0),"",G42/F42)</f>
        <v/>
      </c>
      <c r="I42" s="181" t="n"/>
      <c r="J42" s="138">
        <f>IF(OR(H42="",I42=""),"",IF(H42&gt;=I42,"Cumple","No cumple"))</f>
        <v/>
      </c>
      <c r="K42" s="170" t="n"/>
      <c r="L42" s="172" t="n"/>
    </row>
    <row r="43" ht="28.05" customHeight="1" s="67">
      <c r="A43" s="87" t="inlineStr">
        <is>
          <t>El porcentaje exigido (por ejemplo 90 % o 95 % del Proctor) sale de las especificaciones y del estudio de suelos. Si un punto no cumple, se recompacta la capa y se repite el ensayo antes de continuar.</t>
        </is>
      </c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2" t="n"/>
    </row>
    <row r="44" ht="16.5" customHeight="1" s="67">
      <c r="A44" s="15" t="inlineStr">
        <is>
          <t>5. RESULTADO DE LA INSPECCIÓN</t>
        </is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7" t="n"/>
    </row>
    <row r="45" ht="22.05" customHeight="1" s="67">
      <c r="A45" s="122" t="inlineStr">
        <is>
          <t>¿Se autoriza continuar?</t>
        </is>
      </c>
      <c r="B45" s="31" t="n"/>
      <c r="C45" s="32" t="n"/>
      <c r="D45" s="164" t="n"/>
      <c r="E45" s="162" t="n"/>
      <c r="F45" s="162" t="n"/>
      <c r="G45" s="163" t="n"/>
      <c r="H45" s="122" t="inlineStr">
        <is>
          <t>Fecha de autorización</t>
        </is>
      </c>
      <c r="I45" s="32" t="n"/>
      <c r="J45" s="182" t="n"/>
      <c r="K45" s="162" t="n"/>
      <c r="L45" s="163" t="n"/>
    </row>
    <row r="46" ht="55.95" customHeight="1" s="67">
      <c r="A46" s="122" t="inlineStr">
        <is>
          <t>Observaciones y correcciones pedidas</t>
        </is>
      </c>
      <c r="B46" s="32" t="n"/>
      <c r="C46" s="177" t="n"/>
      <c r="D46" s="162" t="n"/>
      <c r="E46" s="162" t="n"/>
      <c r="F46" s="162" t="n"/>
      <c r="G46" s="162" t="n"/>
      <c r="H46" s="162" t="n"/>
      <c r="I46" s="162" t="n"/>
      <c r="J46" s="162" t="n"/>
      <c r="K46" s="162" t="n"/>
      <c r="L46" s="163" t="n"/>
    </row>
    <row r="47" ht="16.5" customHeight="1" s="67">
      <c r="A47" s="15" t="inlineStr">
        <is>
          <t>6. FIRMAS</t>
        </is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7" t="n"/>
    </row>
    <row r="48" ht="18" customHeight="1" s="67">
      <c r="A48" s="130" t="inlineStr">
        <is>
          <t>INSPECCIONA — CALIDAD</t>
        </is>
      </c>
      <c r="B48" s="31" t="n"/>
      <c r="C48" s="31" t="n"/>
      <c r="D48" s="32" t="n"/>
      <c r="E48" s="130" t="inlineStr">
        <is>
          <t>EJECUTA — RESIDENTE / MAESTRO</t>
        </is>
      </c>
      <c r="F48" s="31" t="n"/>
      <c r="G48" s="31" t="n"/>
      <c r="H48" s="32" t="n"/>
      <c r="I48" s="130" t="inlineStr">
        <is>
          <t>Vo.Bo. — INTERVENTORÍA / GEOTECNISTA</t>
        </is>
      </c>
      <c r="J48" s="31" t="n"/>
      <c r="K48" s="31" t="n"/>
      <c r="L48" s="32" t="n"/>
    </row>
    <row r="49" ht="42" customHeight="1" s="67">
      <c r="A49" s="18" t="inlineStr">
        <is>
          <t>Firma:</t>
        </is>
      </c>
      <c r="B49" s="17" t="n"/>
      <c r="C49" s="170" t="n"/>
      <c r="D49" s="172" t="n"/>
      <c r="E49" s="18" t="inlineStr">
        <is>
          <t>Firma:</t>
        </is>
      </c>
      <c r="F49" s="17" t="n"/>
      <c r="G49" s="170" t="n"/>
      <c r="H49" s="172" t="n"/>
      <c r="I49" s="18" t="inlineStr">
        <is>
          <t>Firma:</t>
        </is>
      </c>
      <c r="J49" s="17" t="n"/>
      <c r="K49" s="170" t="n"/>
      <c r="L49" s="172" t="n"/>
    </row>
    <row r="50" ht="21" customHeight="1" s="67">
      <c r="A50" s="18" t="inlineStr">
        <is>
          <t>Nombre:</t>
        </is>
      </c>
      <c r="B50" s="17" t="n"/>
      <c r="C50" s="170" t="n"/>
      <c r="D50" s="172" t="n"/>
      <c r="E50" s="18" t="inlineStr">
        <is>
          <t>Nombre:</t>
        </is>
      </c>
      <c r="F50" s="17" t="n"/>
      <c r="G50" s="170" t="n"/>
      <c r="H50" s="172" t="n"/>
      <c r="I50" s="18" t="inlineStr">
        <is>
          <t>Nombre:</t>
        </is>
      </c>
      <c r="J50" s="17" t="n"/>
      <c r="K50" s="170" t="n"/>
      <c r="L50" s="172" t="n"/>
    </row>
    <row r="51" ht="21" customHeight="1" s="67">
      <c r="A51" s="18" t="inlineStr">
        <is>
          <t>Cargo:</t>
        </is>
      </c>
      <c r="B51" s="17" t="n"/>
      <c r="C51" s="170" t="n"/>
      <c r="D51" s="172" t="n"/>
      <c r="E51" s="18" t="inlineStr">
        <is>
          <t>Cargo:</t>
        </is>
      </c>
      <c r="F51" s="17" t="n"/>
      <c r="G51" s="170" t="n"/>
      <c r="H51" s="172" t="n"/>
      <c r="I51" s="18" t="inlineStr">
        <is>
          <t>Cargo:</t>
        </is>
      </c>
      <c r="J51" s="17" t="n"/>
      <c r="K51" s="170" t="n"/>
      <c r="L51" s="172" t="n"/>
    </row>
    <row r="52">
      <c r="A52" s="2" t="inlineStr">
        <is>
          <t>REV. 09/10/2026</t>
        </is>
      </c>
      <c r="G52" s="33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28">
    <mergeCell ref="K49:L49"/>
    <mergeCell ref="I48:L48"/>
    <mergeCell ref="A15:B15"/>
    <mergeCell ref="K24:L24"/>
    <mergeCell ref="A51:B51"/>
    <mergeCell ref="B24:H24"/>
    <mergeCell ref="C14:G14"/>
    <mergeCell ref="I26:J26"/>
    <mergeCell ref="K26:L26"/>
    <mergeCell ref="K35:L35"/>
    <mergeCell ref="E51:F51"/>
    <mergeCell ref="B32:H32"/>
    <mergeCell ref="B26:H26"/>
    <mergeCell ref="D1:L2"/>
    <mergeCell ref="C41:D41"/>
    <mergeCell ref="K50:L50"/>
    <mergeCell ref="C50:D50"/>
    <mergeCell ref="I18:J18"/>
    <mergeCell ref="D45:G45"/>
    <mergeCell ref="B27:H27"/>
    <mergeCell ref="B18:H18"/>
    <mergeCell ref="H45:I45"/>
    <mergeCell ref="D5:I5"/>
    <mergeCell ref="E49:F49"/>
    <mergeCell ref="K42:L42"/>
    <mergeCell ref="C36:D36"/>
    <mergeCell ref="H13:I13"/>
    <mergeCell ref="I20:J20"/>
    <mergeCell ref="J13:L13"/>
    <mergeCell ref="H15:I15"/>
    <mergeCell ref="K28:L28"/>
    <mergeCell ref="K37:L37"/>
    <mergeCell ref="B29:H29"/>
    <mergeCell ref="D6:I6"/>
    <mergeCell ref="C46:L46"/>
    <mergeCell ref="J15:L15"/>
    <mergeCell ref="I30:J30"/>
    <mergeCell ref="K30:L30"/>
    <mergeCell ref="A11:B11"/>
    <mergeCell ref="K21:L21"/>
    <mergeCell ref="K51:L51"/>
    <mergeCell ref="J16:L16"/>
    <mergeCell ref="I32:J32"/>
    <mergeCell ref="A48:D48"/>
    <mergeCell ref="K32:L32"/>
    <mergeCell ref="A46:B46"/>
    <mergeCell ref="K41:L41"/>
    <mergeCell ref="C40:D40"/>
    <mergeCell ref="G49:H49"/>
    <mergeCell ref="E48:H48"/>
    <mergeCell ref="C12:G12"/>
    <mergeCell ref="A43:L43"/>
    <mergeCell ref="I24:J24"/>
    <mergeCell ref="K27:L27"/>
    <mergeCell ref="H12:I12"/>
    <mergeCell ref="J14:L14"/>
    <mergeCell ref="I19:J19"/>
    <mergeCell ref="K19:L19"/>
    <mergeCell ref="H14:I14"/>
    <mergeCell ref="K6:L6"/>
    <mergeCell ref="B19:H19"/>
    <mergeCell ref="C11:L11"/>
    <mergeCell ref="B28:H28"/>
    <mergeCell ref="E50:F50"/>
    <mergeCell ref="C34:D34"/>
    <mergeCell ref="A25:L25"/>
    <mergeCell ref="A49:B49"/>
    <mergeCell ref="B30:H30"/>
    <mergeCell ref="K5:L5"/>
    <mergeCell ref="J4:L4"/>
    <mergeCell ref="B20:H20"/>
    <mergeCell ref="K29:L29"/>
    <mergeCell ref="C16:G16"/>
    <mergeCell ref="A47:L47"/>
    <mergeCell ref="E13:F13"/>
    <mergeCell ref="D3:L3"/>
    <mergeCell ref="K31:L31"/>
    <mergeCell ref="K40:L40"/>
    <mergeCell ref="B31:H31"/>
    <mergeCell ref="A12:B12"/>
    <mergeCell ref="I21:J21"/>
    <mergeCell ref="H16:I16"/>
    <mergeCell ref="K8:L8"/>
    <mergeCell ref="C51:D51"/>
    <mergeCell ref="B21:H21"/>
    <mergeCell ref="A44:L44"/>
    <mergeCell ref="A14:B14"/>
    <mergeCell ref="I23:J23"/>
    <mergeCell ref="K23:L23"/>
    <mergeCell ref="B23:H23"/>
    <mergeCell ref="G51:H51"/>
    <mergeCell ref="K7:L7"/>
    <mergeCell ref="I51:J51"/>
    <mergeCell ref="C38:D38"/>
    <mergeCell ref="G50:H50"/>
    <mergeCell ref="I50:J50"/>
    <mergeCell ref="K18:L18"/>
    <mergeCell ref="C49:D49"/>
    <mergeCell ref="K34:L34"/>
    <mergeCell ref="C15:G15"/>
    <mergeCell ref="C42:D42"/>
    <mergeCell ref="J45:L45"/>
    <mergeCell ref="I49:J49"/>
    <mergeCell ref="I27:J27"/>
    <mergeCell ref="K36:L36"/>
    <mergeCell ref="C35:D35"/>
    <mergeCell ref="A16:B16"/>
    <mergeCell ref="K20:L20"/>
    <mergeCell ref="A33:L33"/>
    <mergeCell ref="A17:L17"/>
    <mergeCell ref="I22:J22"/>
    <mergeCell ref="I28:J28"/>
    <mergeCell ref="J12:L12"/>
    <mergeCell ref="K22:L22"/>
    <mergeCell ref="A50:B50"/>
    <mergeCell ref="B22:H22"/>
    <mergeCell ref="A10:L10"/>
    <mergeCell ref="A9:L9"/>
    <mergeCell ref="K39:L39"/>
    <mergeCell ref="C39:D39"/>
    <mergeCell ref="G52:L52"/>
    <mergeCell ref="I29:J29"/>
    <mergeCell ref="A45:C45"/>
    <mergeCell ref="K38:L38"/>
    <mergeCell ref="C37:D37"/>
    <mergeCell ref="A13:B13"/>
    <mergeCell ref="C13:D13"/>
    <mergeCell ref="I31:J31"/>
  </mergeCells>
  <pageMargins left="0.4" right="0.4" top="0.4" bottom="0.7" header="0.5" footer="0.5"/>
  <pageSetup orientation="portrait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2026-10-10T14:16:22Z</dcterms:modified>
  <cp:lastModifiedBy>Hugo Fernando Hurtado Ruiz</cp:lastModifiedBy>
</cp:coreProperties>
</file>