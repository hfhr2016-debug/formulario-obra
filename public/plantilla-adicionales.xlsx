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dicionales y Obra no Prevista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5" formatCode="&quot;$&quot;#,##0;[Red]\-&quot;$&quot;#,##0"/>
    <numFmt numFmtId="166" formatCode="0.0%"/>
  </numFmts>
  <fonts count="11">
    <font>
      <name val="Calibri"/>
      <family val="2"/>
      <color theme="1"/>
      <sz val="11"/>
      <scheme val="minor"/>
    </font>
    <font>
      <name val="Arial"/>
      <family val="2"/>
      <b val="1"/>
      <color rgb="FFFFFFFF"/>
      <sz val="16"/>
    </font>
    <font>
      <name val="Calibri"/>
      <family val="2"/>
      <color rgb="FF000000"/>
      <sz val="10"/>
    </font>
    <font>
      <name val="Arial"/>
      <family val="2"/>
      <b val="1"/>
      <color rgb="FF000000"/>
      <sz val="14"/>
    </font>
    <font>
      <name val="Calibri"/>
      <family val="2"/>
      <i val="1"/>
      <color rgb="FF000000"/>
      <sz val="14"/>
    </font>
    <font>
      <name val="Arial"/>
      <family val="2"/>
      <b val="1"/>
      <color rgb="FFFFFFFF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0F243E"/>
      <sz val="10"/>
    </font>
    <font>
      <name val="Calibri"/>
      <family val="2"/>
      <b val="1"/>
      <color rgb="FFFFFFFF"/>
      <sz val="10"/>
    </font>
    <font>
      <name val="Calibri"/>
      <family val="2"/>
      <b val="1"/>
      <i val="1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A233"/>
      </patternFill>
    </fill>
    <fill>
      <patternFill patternType="solid">
        <fgColor rgb="FFDCE6F1"/>
      </patternFill>
    </fill>
    <fill>
      <patternFill patternType="solid">
        <fgColor rgb="FF92D050"/>
      </patternFill>
    </fill>
    <fill>
      <patternFill patternType="solid">
        <fgColor rgb="FFFAFAFA"/>
      </patternFill>
    </fill>
    <fill>
      <patternFill patternType="solid">
        <fgColor theme="0"/>
        <bgColor indexed="64"/>
      </patternFill>
    </fill>
    <fill>
      <patternFill patternType="solid">
        <fgColor rgb="FFDCE6F1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right" vertical="center" wrapText="1"/>
    </xf>
    <xf numFmtId="166" fontId="2" fillId="0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right" vertical="center" wrapText="1"/>
    </xf>
    <xf numFmtId="166" fontId="2" fillId="5" borderId="1" applyAlignment="1" pivotButton="0" quotePrefix="0" xfId="0">
      <alignment horizontal="center" vertical="center" wrapText="1"/>
    </xf>
    <xf numFmtId="166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165" fontId="2" fillId="0" borderId="1" applyAlignment="1" pivotButton="0" quotePrefix="0" xfId="0">
      <alignment horizontal="right" vertical="center" wrapText="1"/>
    </xf>
    <xf numFmtId="166" fontId="2" fillId="0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5" fontId="2" fillId="7" borderId="1" applyAlignment="1" pivotButton="0" quotePrefix="0" xfId="0">
      <alignment horizontal="left" vertical="center" wrapText="1"/>
    </xf>
    <xf numFmtId="0" fontId="6" fillId="4" borderId="9" applyAlignment="1" pivotButton="0" quotePrefix="0" xfId="0">
      <alignment vertical="center" wrapText="1"/>
    </xf>
    <xf numFmtId="0" fontId="6" fillId="4" borderId="10" applyAlignment="1" pivotButton="0" quotePrefix="0" xfId="0">
      <alignment vertical="center" wrapText="1"/>
    </xf>
    <xf numFmtId="0" fontId="6" fillId="4" borderId="11" applyAlignment="1" pivotButton="0" quotePrefix="0" xfId="0">
      <alignment vertical="center" wrapText="1"/>
    </xf>
    <xf numFmtId="0" fontId="0" fillId="7" borderId="9" pivotButton="0" quotePrefix="0" xfId="0"/>
    <xf numFmtId="0" fontId="0" fillId="7" borderId="10" pivotButton="0" quotePrefix="0" xfId="0"/>
    <xf numFmtId="0" fontId="0" fillId="7" borderId="11" pivotButton="0" quotePrefix="0" xfId="0"/>
    <xf numFmtId="165" fontId="2" fillId="4" borderId="9" applyAlignment="1" pivotButton="0" quotePrefix="0" xfId="0">
      <alignment horizontal="center" vertical="center" wrapText="1"/>
    </xf>
    <xf numFmtId="165" fontId="2" fillId="4" borderId="10" applyAlignment="1" pivotButton="0" quotePrefix="0" xfId="0">
      <alignment horizontal="center" vertical="center" wrapText="1"/>
    </xf>
    <xf numFmtId="165" fontId="2" fillId="4" borderId="11" applyAlignment="1" pivotButton="0" quotePrefix="0" xfId="0">
      <alignment horizontal="center" vertical="center" wrapText="1"/>
    </xf>
    <xf numFmtId="0" fontId="2" fillId="6" borderId="1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left" vertical="top" wrapText="1"/>
    </xf>
    <xf numFmtId="0" fontId="2" fillId="6" borderId="4" applyAlignment="1" pivotButton="0" quotePrefix="0" xfId="0">
      <alignment horizontal="left" vertical="top" wrapText="1"/>
    </xf>
    <xf numFmtId="0" fontId="2" fillId="6" borderId="3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  <xf numFmtId="0" fontId="2" fillId="6" borderId="5" applyAlignment="1" pivotButton="0" quotePrefix="0" xfId="0">
      <alignment horizontal="left" vertical="top" wrapText="1"/>
    </xf>
    <xf numFmtId="0" fontId="2" fillId="6" borderId="6" applyAlignment="1" pivotButton="0" quotePrefix="0" xfId="0">
      <alignment horizontal="left" vertical="top" wrapText="1"/>
    </xf>
    <xf numFmtId="0" fontId="2" fillId="6" borderId="7" applyAlignment="1" pivotButton="0" quotePrefix="0" xfId="0">
      <alignment horizontal="left" vertical="top" wrapText="1"/>
    </xf>
    <xf numFmtId="0" fontId="2" fillId="6" borderId="8" applyAlignment="1" pivotButton="0" quotePrefix="0" xfId="0">
      <alignment horizontal="left" vertical="top" wrapText="1"/>
    </xf>
    <xf numFmtId="166" fontId="2" fillId="8" borderId="1" applyAlignment="1" pivotButton="0" quotePrefix="0" xfId="0">
      <alignment horizontal="left" vertical="center" wrapText="1"/>
    </xf>
    <xf numFmtId="165" fontId="2" fillId="8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6" fillId="4" borderId="1" applyAlignment="1" pivotButton="0" quotePrefix="0" xfId="0">
      <alignment vertical="center" wrapText="1"/>
    </xf>
    <xf numFmtId="0" fontId="0" fillId="7" borderId="1" pivotButton="0" quotePrefix="0" xfId="0"/>
    <xf numFmtId="0" fontId="2" fillId="6" borderId="1" applyAlignment="1" pivotButton="0" quotePrefix="0" xfId="0">
      <alignment horizontal="left" vertical="top" wrapText="1"/>
    </xf>
    <xf numFmtId="165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3420000" cy="1620000"/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420000" cy="162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1"/>
  </sheetPr>
  <dimension ref="A1:P45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7.77734375" customWidth="1" style="33" min="1" max="1"/>
    <col width="15.77734375" customWidth="1" style="33" min="2" max="2"/>
    <col width="40.77734375" customWidth="1" style="33" min="3" max="3"/>
    <col width="16" customWidth="1" style="33" min="4" max="4"/>
    <col width="30.77734375" customWidth="1" style="33" min="5" max="5"/>
    <col width="10" customWidth="1" style="33" min="6" max="6"/>
    <col width="12.77734375" customWidth="1" style="33" min="7" max="7"/>
    <col width="14" customWidth="1" style="33" min="8" max="8"/>
    <col width="20.77734375" customWidth="1" style="33" min="9" max="9"/>
    <col width="12.77734375" customWidth="1" style="33" min="10" max="10"/>
    <col width="20.77734375" customWidth="1" style="33" min="11" max="11"/>
    <col width="30.77734375" customWidth="1" style="33" min="12" max="12"/>
    <col width="20.77734375" customWidth="1" style="33" min="13" max="14"/>
    <col width="13" customWidth="1" style="33" min="15" max="15"/>
    <col width="20.77734375" customWidth="1" style="33" min="16" max="16"/>
  </cols>
  <sheetData>
    <row r="1" ht="40.05" customHeight="1" s="33">
      <c r="A1" s="75" t="n"/>
      <c r="D1" s="41" t="inlineStr">
        <is>
          <t>ADICIONALES, OBRA NO PREVISTA Y MAYORES CANTIDADES</t>
        </is>
      </c>
    </row>
    <row r="2" ht="4.95" customHeight="1" s="33">
      <c r="D2" s="25" t="n"/>
    </row>
    <row r="3" ht="14.4" customHeight="1" s="33">
      <c r="D3" s="32" t="n"/>
      <c r="N3" s="37" t="inlineStr">
        <is>
          <t>CONTROL DOCUMENTAL</t>
        </is>
      </c>
      <c r="O3" s="76" t="n"/>
      <c r="P3" s="77" t="n"/>
    </row>
    <row r="4" ht="15" customHeight="1" s="33">
      <c r="D4" s="36" t="inlineStr">
        <is>
          <t>REFORMAS Y REMODELACIONES</t>
        </is>
      </c>
      <c r="N4" s="21" t="inlineStr">
        <is>
          <t>Código</t>
        </is>
      </c>
      <c r="O4" s="77" t="n"/>
      <c r="P4" s="2" t="inlineStr">
        <is>
          <t>RYR-CP-003</t>
        </is>
      </c>
    </row>
    <row r="5" ht="14.4" customHeight="1" s="33">
      <c r="D5" s="38" t="inlineStr">
        <is>
          <t>DISEÑAMOS, RENOVAMOS Y CONSTRUIMOS ESPACIOS QUE INSPIRAN.</t>
        </is>
      </c>
      <c r="N5" s="21" t="inlineStr">
        <is>
          <t>Versión</t>
        </is>
      </c>
      <c r="O5" s="77" t="n"/>
      <c r="P5" s="2" t="inlineStr">
        <is>
          <t>1</t>
        </is>
      </c>
    </row>
    <row r="6" ht="20.4" customHeight="1" s="33">
      <c r="D6" s="32" t="n"/>
      <c r="N6" s="21" t="inlineStr">
        <is>
          <t>Fecha de Emisión</t>
        </is>
      </c>
      <c r="O6" s="77" t="n"/>
      <c r="P6" s="2" t="inlineStr">
        <is>
          <t>08/10/2026</t>
        </is>
      </c>
    </row>
    <row r="7" ht="18" customHeight="1" s="33">
      <c r="A7" s="51" t="n"/>
      <c r="B7" s="51" t="n"/>
      <c r="C7" s="51" t="n"/>
      <c r="D7" s="32" t="n"/>
      <c r="N7" s="21" t="inlineStr">
        <is>
          <t>Página</t>
        </is>
      </c>
      <c r="O7" s="77" t="n"/>
      <c r="P7" s="2" t="inlineStr">
        <is>
          <t>1 de 1</t>
        </is>
      </c>
    </row>
    <row r="8">
      <c r="A8" s="27" t="inlineStr">
        <is>
          <t>Control de ítems fuera del contrato original · Todo adicional debe tener aprobación escrita antes de ejecutarse</t>
        </is>
      </c>
      <c r="B8" s="76" t="n"/>
      <c r="C8" s="76" t="n"/>
      <c r="D8" s="76" t="n"/>
      <c r="E8" s="76" t="n"/>
      <c r="F8" s="76" t="n"/>
      <c r="G8" s="76" t="n"/>
      <c r="H8" s="76" t="n"/>
      <c r="I8" s="76" t="n"/>
      <c r="J8" s="76" t="n"/>
      <c r="K8" s="76" t="n"/>
      <c r="L8" s="76" t="n"/>
      <c r="M8" s="76" t="n"/>
      <c r="N8" s="76" t="n"/>
      <c r="O8" s="76" t="n"/>
      <c r="P8" s="77" t="n"/>
    </row>
    <row r="9" ht="15" customHeight="1" s="33">
      <c r="A9" s="39" t="inlineStr">
        <is>
          <t>1. DATOS GENERALES</t>
        </is>
      </c>
      <c r="B9" s="76" t="n"/>
      <c r="C9" s="76" t="n"/>
      <c r="D9" s="76" t="n"/>
      <c r="E9" s="76" t="n"/>
      <c r="F9" s="76" t="n"/>
      <c r="G9" s="76" t="n"/>
      <c r="H9" s="76" t="n"/>
      <c r="I9" s="76" t="n"/>
      <c r="J9" s="76" t="n"/>
      <c r="K9" s="76" t="n"/>
      <c r="L9" s="76" t="n"/>
      <c r="M9" s="76" t="n"/>
      <c r="N9" s="76" t="n"/>
      <c r="O9" s="76" t="n"/>
      <c r="P9" s="77" t="n"/>
    </row>
    <row r="10" ht="18" customHeight="1" s="33">
      <c r="A10" s="21" t="inlineStr">
        <is>
          <t>Proyecto / Obra</t>
        </is>
      </c>
      <c r="B10" s="76" t="n"/>
      <c r="C10" s="77" t="n"/>
      <c r="D10" s="23" t="n"/>
      <c r="E10" s="76" t="n"/>
      <c r="F10" s="76" t="n"/>
      <c r="G10" s="76" t="n"/>
      <c r="H10" s="77" t="n"/>
      <c r="I10" s="21" t="inlineStr">
        <is>
          <t>Tipo de proyecto</t>
        </is>
      </c>
      <c r="J10" s="76" t="n"/>
      <c r="K10" s="77" t="n"/>
      <c r="L10" s="23" t="n"/>
      <c r="M10" s="76" t="n"/>
      <c r="N10" s="76" t="n"/>
      <c r="O10" s="76" t="n"/>
      <c r="P10" s="77" t="n"/>
    </row>
    <row r="11" ht="18" customHeight="1" s="33">
      <c r="A11" s="21" t="inlineStr">
        <is>
          <t>Contrato N°</t>
        </is>
      </c>
      <c r="B11" s="76" t="n"/>
      <c r="C11" s="77" t="n"/>
      <c r="D11" s="23" t="n"/>
      <c r="E11" s="76" t="n"/>
      <c r="F11" s="76" t="n"/>
      <c r="G11" s="76" t="n"/>
      <c r="H11" s="77" t="n"/>
      <c r="I11" s="21" t="inlineStr">
        <is>
          <t>Contratante</t>
        </is>
      </c>
      <c r="J11" s="76" t="n"/>
      <c r="K11" s="77" t="n"/>
      <c r="L11" s="23" t="n"/>
      <c r="M11" s="76" t="n"/>
      <c r="N11" s="76" t="n"/>
      <c r="O11" s="76" t="n"/>
      <c r="P11" s="77" t="n"/>
    </row>
    <row r="12" ht="18" customHeight="1" s="33">
      <c r="A12" s="21" t="inlineStr">
        <is>
          <t>Fecha del contrato</t>
        </is>
      </c>
      <c r="B12" s="76" t="n"/>
      <c r="C12" s="77" t="n"/>
      <c r="D12" s="23" t="n"/>
      <c r="E12" s="76" t="n"/>
      <c r="F12" s="76" t="n"/>
      <c r="G12" s="76" t="n"/>
      <c r="H12" s="77" t="n"/>
      <c r="I12" s="21" t="inlineStr">
        <is>
          <t>Plazo del contrato (días)</t>
        </is>
      </c>
      <c r="J12" s="76" t="n"/>
      <c r="K12" s="77" t="n"/>
      <c r="L12" s="23" t="n"/>
      <c r="M12" s="76" t="n"/>
      <c r="N12" s="76" t="n"/>
      <c r="O12" s="76" t="n"/>
      <c r="P12" s="77" t="n"/>
    </row>
    <row r="13" ht="15" customHeight="1" s="33">
      <c r="A13" s="39" t="inlineStr">
        <is>
          <t>2. REGISTRO DE ADICIONALES</t>
        </is>
      </c>
      <c r="B13" s="76" t="n"/>
      <c r="C13" s="76" t="n"/>
      <c r="D13" s="76" t="n"/>
      <c r="E13" s="76" t="n"/>
      <c r="F13" s="76" t="n"/>
      <c r="G13" s="76" t="n"/>
      <c r="H13" s="76" t="n"/>
      <c r="I13" s="76" t="n"/>
      <c r="J13" s="76" t="n"/>
      <c r="K13" s="76" t="n"/>
      <c r="L13" s="76" t="n"/>
      <c r="M13" s="76" t="n"/>
      <c r="N13" s="76" t="n"/>
      <c r="O13" s="76" t="n"/>
      <c r="P13" s="77" t="n"/>
    </row>
    <row r="14" ht="40.05" customHeight="1" s="33">
      <c r="A14" s="4" t="inlineStr">
        <is>
          <t>No.</t>
        </is>
      </c>
      <c r="B14" s="4" t="inlineStr">
        <is>
          <t>Fecha</t>
        </is>
      </c>
      <c r="C14" s="4" t="inlineStr">
        <is>
          <t>Descripción del ítem</t>
        </is>
      </c>
      <c r="D14" s="4" t="inlineStr">
        <is>
          <t>Tipo</t>
        </is>
      </c>
      <c r="E14" s="4" t="inlineStr">
        <is>
          <t>Capítulo afectado</t>
        </is>
      </c>
      <c r="F14" s="4" t="inlineStr">
        <is>
          <t>Unidad</t>
        </is>
      </c>
      <c r="G14" s="4" t="inlineStr">
        <is>
          <t>Cantidad</t>
        </is>
      </c>
      <c r="H14" s="4" t="inlineStr">
        <is>
          <t>Valor unitario</t>
        </is>
      </c>
      <c r="I14" s="4" t="inlineStr">
        <is>
          <t>Valor directo</t>
        </is>
      </c>
      <c r="J14" s="4" t="inlineStr">
        <is>
          <t>AIU %</t>
        </is>
      </c>
      <c r="K14" s="4" t="inlineStr">
        <is>
          <t>Valor total con AIU</t>
        </is>
      </c>
      <c r="L14" s="4" t="inlineStr">
        <is>
          <t>Justificación</t>
        </is>
      </c>
      <c r="M14" s="4" t="inlineStr">
        <is>
          <t>Solicitado por</t>
        </is>
      </c>
      <c r="N14" s="4" t="inlineStr">
        <is>
          <t>Aprobado por</t>
        </is>
      </c>
      <c r="O14" s="4" t="inlineStr">
        <is>
          <t>Fecha de aprobación</t>
        </is>
      </c>
      <c r="P14" s="4" t="inlineStr">
        <is>
          <t>Estado</t>
        </is>
      </c>
    </row>
    <row r="15" ht="22.05" customHeight="1" s="33">
      <c r="A15" s="5" t="n">
        <v>1</v>
      </c>
      <c r="B15" s="6" t="n"/>
      <c r="C15" s="23" t="n"/>
      <c r="D15" s="23" t="n"/>
      <c r="E15" s="23" t="n"/>
      <c r="F15" s="23" t="n"/>
      <c r="G15" s="19" t="n"/>
      <c r="H15" s="7" t="n"/>
      <c r="I15" s="8">
        <f>IF(OR(G15="",H15=""),"",G15*H15)</f>
        <v/>
      </c>
      <c r="J15" s="20" t="n"/>
      <c r="K15" s="8">
        <f>IF(I15="","",I15*(1+N(J15)))</f>
        <v/>
      </c>
      <c r="L15" s="23" t="n"/>
      <c r="M15" s="23" t="n"/>
      <c r="N15" s="23" t="n"/>
      <c r="O15" s="6" t="n"/>
      <c r="P15" s="23" t="n"/>
    </row>
    <row r="16" ht="22.05" customHeight="1" s="33">
      <c r="A16" s="5" t="n">
        <v>2</v>
      </c>
      <c r="B16" s="6" t="n"/>
      <c r="C16" s="23" t="n"/>
      <c r="D16" s="23" t="n"/>
      <c r="E16" s="23" t="n"/>
      <c r="F16" s="23" t="n"/>
      <c r="G16" s="19" t="n"/>
      <c r="H16" s="7" t="n"/>
      <c r="I16" s="8">
        <f>IF(OR(G16="",H16=""),"",G16*H16)</f>
        <v/>
      </c>
      <c r="J16" s="20" t="n"/>
      <c r="K16" s="8">
        <f>IF(I16="","",I16*(1+N(J16)))</f>
        <v/>
      </c>
      <c r="L16" s="23" t="n"/>
      <c r="M16" s="23" t="n"/>
      <c r="N16" s="23" t="n"/>
      <c r="O16" s="6" t="n"/>
      <c r="P16" s="23" t="n"/>
    </row>
    <row r="17" ht="22.05" customHeight="1" s="33">
      <c r="A17" s="5" t="n">
        <v>3</v>
      </c>
      <c r="B17" s="6" t="n"/>
      <c r="C17" s="23" t="n"/>
      <c r="D17" s="23" t="n"/>
      <c r="E17" s="23" t="n"/>
      <c r="F17" s="23" t="n"/>
      <c r="G17" s="19" t="n"/>
      <c r="H17" s="7" t="n"/>
      <c r="I17" s="8">
        <f>IF(OR(G17="",H17=""),"",G17*H17)</f>
        <v/>
      </c>
      <c r="J17" s="20" t="n"/>
      <c r="K17" s="8">
        <f>IF(I17="","",I17*(1+N(J17)))</f>
        <v/>
      </c>
      <c r="L17" s="23" t="n"/>
      <c r="M17" s="23" t="n"/>
      <c r="N17" s="23" t="n"/>
      <c r="O17" s="6" t="n"/>
      <c r="P17" s="23" t="n"/>
    </row>
    <row r="18" ht="22.05" customHeight="1" s="33">
      <c r="A18" s="5" t="n">
        <v>4</v>
      </c>
      <c r="B18" s="6" t="n"/>
      <c r="C18" s="23" t="n"/>
      <c r="D18" s="23" t="n"/>
      <c r="E18" s="23" t="n"/>
      <c r="F18" s="23" t="n"/>
      <c r="G18" s="19" t="n"/>
      <c r="H18" s="7" t="n"/>
      <c r="I18" s="8">
        <f>IF(OR(G18="",H18=""),"",G18*H18)</f>
        <v/>
      </c>
      <c r="J18" s="20" t="n"/>
      <c r="K18" s="8">
        <f>IF(I18="","",I18*(1+N(J18)))</f>
        <v/>
      </c>
      <c r="L18" s="23" t="n"/>
      <c r="M18" s="23" t="n"/>
      <c r="N18" s="23" t="n"/>
      <c r="O18" s="6" t="n"/>
      <c r="P18" s="23" t="n"/>
    </row>
    <row r="19" ht="22.05" customHeight="1" s="33">
      <c r="A19" s="5" t="n">
        <v>5</v>
      </c>
      <c r="B19" s="6" t="n"/>
      <c r="C19" s="23" t="n"/>
      <c r="D19" s="23" t="n"/>
      <c r="E19" s="23" t="n"/>
      <c r="F19" s="23" t="n"/>
      <c r="G19" s="19" t="n"/>
      <c r="H19" s="7" t="n"/>
      <c r="I19" s="8">
        <f>IF(OR(G19="",H19=""),"",G19*H19)</f>
        <v/>
      </c>
      <c r="J19" s="20" t="n"/>
      <c r="K19" s="8">
        <f>IF(I19="","",I19*(1+N(J19)))</f>
        <v/>
      </c>
      <c r="L19" s="23" t="n"/>
      <c r="M19" s="23" t="n"/>
      <c r="N19" s="23" t="n"/>
      <c r="O19" s="6" t="n"/>
      <c r="P19" s="23" t="n"/>
    </row>
    <row r="20" ht="22.05" customHeight="1" s="33">
      <c r="A20" s="5" t="n">
        <v>6</v>
      </c>
      <c r="B20" s="6" t="n"/>
      <c r="C20" s="23" t="n"/>
      <c r="D20" s="23" t="n"/>
      <c r="E20" s="23" t="n"/>
      <c r="F20" s="23" t="n"/>
      <c r="G20" s="19" t="n"/>
      <c r="H20" s="7" t="n"/>
      <c r="I20" s="8">
        <f>IF(OR(G20="",H20=""),"",G20*H20)</f>
        <v/>
      </c>
      <c r="J20" s="20" t="n"/>
      <c r="K20" s="8">
        <f>IF(I20="","",I20*(1+N(J20)))</f>
        <v/>
      </c>
      <c r="L20" s="23" t="n"/>
      <c r="M20" s="23" t="n"/>
      <c r="N20" s="23" t="n"/>
      <c r="O20" s="6" t="n"/>
      <c r="P20" s="23" t="n"/>
    </row>
    <row r="21" ht="22.05" customHeight="1" s="33">
      <c r="A21" s="5" t="n">
        <v>7</v>
      </c>
      <c r="B21" s="6" t="n"/>
      <c r="C21" s="23" t="n"/>
      <c r="D21" s="23" t="n"/>
      <c r="E21" s="23" t="n"/>
      <c r="F21" s="23" t="n"/>
      <c r="G21" s="19" t="n"/>
      <c r="H21" s="7" t="n"/>
      <c r="I21" s="8">
        <f>IF(OR(G21="",H21=""),"",G21*H21)</f>
        <v/>
      </c>
      <c r="J21" s="20" t="n"/>
      <c r="K21" s="8">
        <f>IF(I21="","",I21*(1+N(J21)))</f>
        <v/>
      </c>
      <c r="L21" s="23" t="n"/>
      <c r="M21" s="23" t="n"/>
      <c r="N21" s="23" t="n"/>
      <c r="O21" s="6" t="n"/>
      <c r="P21" s="23" t="n"/>
    </row>
    <row r="22" ht="22.05" customHeight="1" s="33">
      <c r="A22" s="5" t="n">
        <v>8</v>
      </c>
      <c r="B22" s="6" t="n"/>
      <c r="C22" s="23" t="n"/>
      <c r="D22" s="23" t="n"/>
      <c r="E22" s="23" t="n"/>
      <c r="F22" s="23" t="n"/>
      <c r="G22" s="19" t="n"/>
      <c r="H22" s="7" t="n"/>
      <c r="I22" s="8">
        <f>IF(OR(G22="",H22=""),"",G22*H22)</f>
        <v/>
      </c>
      <c r="J22" s="20" t="n"/>
      <c r="K22" s="8">
        <f>IF(I22="","",I22*(1+N(J22)))</f>
        <v/>
      </c>
      <c r="L22" s="23" t="n"/>
      <c r="M22" s="23" t="n"/>
      <c r="N22" s="23" t="n"/>
      <c r="O22" s="6" t="n"/>
      <c r="P22" s="23" t="n"/>
    </row>
    <row r="23" ht="22.05" customHeight="1" s="33">
      <c r="A23" s="5" t="n">
        <v>9</v>
      </c>
      <c r="B23" s="6" t="n"/>
      <c r="C23" s="23" t="n"/>
      <c r="D23" s="23" t="n"/>
      <c r="E23" s="23" t="n"/>
      <c r="F23" s="23" t="n"/>
      <c r="G23" s="19" t="n"/>
      <c r="H23" s="7" t="n"/>
      <c r="I23" s="8">
        <f>IF(OR(G23="",H23=""),"",G23*H23)</f>
        <v/>
      </c>
      <c r="J23" s="20" t="n"/>
      <c r="K23" s="8">
        <f>IF(I23="","",I23*(1+N(J23)))</f>
        <v/>
      </c>
      <c r="L23" s="23" t="n"/>
      <c r="M23" s="23" t="n"/>
      <c r="N23" s="23" t="n"/>
      <c r="O23" s="6" t="n"/>
      <c r="P23" s="23" t="n"/>
    </row>
    <row r="24" ht="22.05" customHeight="1" s="33">
      <c r="A24" s="5" t="n">
        <v>10</v>
      </c>
      <c r="B24" s="6" t="n"/>
      <c r="C24" s="23" t="n"/>
      <c r="D24" s="23" t="n"/>
      <c r="E24" s="23" t="n"/>
      <c r="F24" s="23" t="n"/>
      <c r="G24" s="19" t="n"/>
      <c r="H24" s="7" t="n"/>
      <c r="I24" s="8">
        <f>IF(OR(G24="",H24=""),"",G24*H24)</f>
        <v/>
      </c>
      <c r="J24" s="20" t="n"/>
      <c r="K24" s="8">
        <f>IF(I24="","",I24*(1+N(J24)))</f>
        <v/>
      </c>
      <c r="L24" s="23" t="n"/>
      <c r="M24" s="23" t="n"/>
      <c r="N24" s="23" t="n"/>
      <c r="O24" s="6" t="n"/>
      <c r="P24" s="23" t="n"/>
    </row>
    <row r="25" ht="22.05" customHeight="1" s="33">
      <c r="A25" s="5" t="n">
        <v>11</v>
      </c>
      <c r="B25" s="6" t="n"/>
      <c r="C25" s="23" t="n"/>
      <c r="D25" s="23" t="n"/>
      <c r="E25" s="23" t="n"/>
      <c r="F25" s="23" t="n"/>
      <c r="G25" s="19" t="n"/>
      <c r="H25" s="7" t="n"/>
      <c r="I25" s="8">
        <f>IF(OR(G25="",H25=""),"",G25*H25)</f>
        <v/>
      </c>
      <c r="J25" s="20" t="n"/>
      <c r="K25" s="8">
        <f>IF(I25="","",I25*(1+N(J25)))</f>
        <v/>
      </c>
      <c r="L25" s="23" t="n"/>
      <c r="M25" s="23" t="n"/>
      <c r="N25" s="23" t="n"/>
      <c r="O25" s="6" t="n"/>
      <c r="P25" s="23" t="n"/>
    </row>
    <row r="26" ht="22.05" customHeight="1" s="33">
      <c r="A26" s="5" t="n">
        <v>12</v>
      </c>
      <c r="B26" s="6" t="n"/>
      <c r="C26" s="23" t="n"/>
      <c r="D26" s="23" t="n"/>
      <c r="E26" s="23" t="n"/>
      <c r="F26" s="23" t="n"/>
      <c r="G26" s="19" t="n"/>
      <c r="H26" s="7" t="n"/>
      <c r="I26" s="8">
        <f>IF(OR(G26="",H26=""),"",G26*H26)</f>
        <v/>
      </c>
      <c r="J26" s="20" t="n"/>
      <c r="K26" s="8">
        <f>IF(I26="","",I26*(1+N(J26)))</f>
        <v/>
      </c>
      <c r="L26" s="23" t="n"/>
      <c r="M26" s="23" t="n"/>
      <c r="N26" s="23" t="n"/>
      <c r="O26" s="6" t="n"/>
      <c r="P26" s="23" t="n"/>
    </row>
    <row r="27" ht="22.05" customHeight="1" s="33">
      <c r="A27" s="5" t="n">
        <v>13</v>
      </c>
      <c r="B27" s="6" t="n"/>
      <c r="C27" s="23" t="n"/>
      <c r="D27" s="23" t="n"/>
      <c r="E27" s="23" t="n"/>
      <c r="F27" s="23" t="n"/>
      <c r="G27" s="19" t="n"/>
      <c r="H27" s="7" t="n"/>
      <c r="I27" s="8">
        <f>IF(OR(G27="",H27=""),"",G27*H27)</f>
        <v/>
      </c>
      <c r="J27" s="20" t="n"/>
      <c r="K27" s="8">
        <f>IF(I27="","",I27*(1+N(J27)))</f>
        <v/>
      </c>
      <c r="L27" s="23" t="n"/>
      <c r="M27" s="23" t="n"/>
      <c r="N27" s="23" t="n"/>
      <c r="O27" s="6" t="n"/>
      <c r="P27" s="23" t="n"/>
    </row>
    <row r="28" ht="22.05" customHeight="1" s="33">
      <c r="A28" s="5" t="n">
        <v>14</v>
      </c>
      <c r="B28" s="6" t="n"/>
      <c r="C28" s="23" t="n"/>
      <c r="D28" s="23" t="n"/>
      <c r="E28" s="23" t="n"/>
      <c r="F28" s="23" t="n"/>
      <c r="G28" s="19" t="n"/>
      <c r="H28" s="7" t="n"/>
      <c r="I28" s="8">
        <f>IF(OR(G28="",H28=""),"",G28*H28)</f>
        <v/>
      </c>
      <c r="J28" s="20" t="n"/>
      <c r="K28" s="8">
        <f>IF(I28="","",I28*(1+N(J28)))</f>
        <v/>
      </c>
      <c r="L28" s="23" t="n"/>
      <c r="M28" s="23" t="n"/>
      <c r="N28" s="23" t="n"/>
      <c r="O28" s="6" t="n"/>
      <c r="P28" s="23" t="n"/>
    </row>
    <row r="29" ht="22.05" customHeight="1" s="33">
      <c r="A29" s="5" t="n">
        <v>15</v>
      </c>
      <c r="B29" s="6" t="n"/>
      <c r="C29" s="23" t="n"/>
      <c r="D29" s="23" t="n"/>
      <c r="E29" s="23" t="n"/>
      <c r="F29" s="23" t="n"/>
      <c r="G29" s="19" t="n"/>
      <c r="H29" s="7" t="n"/>
      <c r="I29" s="8">
        <f>IF(OR(G29="",H29=""),"",G29*H29)</f>
        <v/>
      </c>
      <c r="J29" s="20" t="n"/>
      <c r="K29" s="8">
        <f>IF(I29="","",I29*(1+N(J29)))</f>
        <v/>
      </c>
      <c r="L29" s="23" t="n"/>
      <c r="M29" s="23" t="n"/>
      <c r="N29" s="23" t="n"/>
      <c r="O29" s="6" t="n"/>
      <c r="P29" s="23" t="n"/>
    </row>
    <row r="30" ht="22.05" customHeight="1" s="33">
      <c r="A30" s="5" t="n">
        <v>16</v>
      </c>
      <c r="B30" s="6" t="n"/>
      <c r="C30" s="23" t="n"/>
      <c r="D30" s="23" t="n"/>
      <c r="E30" s="23" t="n"/>
      <c r="F30" s="23" t="n"/>
      <c r="G30" s="19" t="n"/>
      <c r="H30" s="7" t="n"/>
      <c r="I30" s="8">
        <f>IF(OR(G30="",H30=""),"",G30*H30)</f>
        <v/>
      </c>
      <c r="J30" s="20" t="n"/>
      <c r="K30" s="8">
        <f>IF(I30="","",I30*(1+N(J30)))</f>
        <v/>
      </c>
      <c r="L30" s="23" t="n"/>
      <c r="M30" s="23" t="n"/>
      <c r="N30" s="23" t="n"/>
      <c r="O30" s="6" t="n"/>
      <c r="P30" s="23" t="n"/>
    </row>
    <row r="31" ht="15" customHeight="1" s="33">
      <c r="A31" s="35" t="inlineStr">
        <is>
          <t>TOTAL DE ÍTEMS REGISTRADOS</t>
        </is>
      </c>
      <c r="B31" s="76" t="n"/>
      <c r="C31" s="76" t="n"/>
      <c r="D31" s="76" t="n"/>
      <c r="E31" s="76" t="n"/>
      <c r="F31" s="76" t="n"/>
      <c r="G31" s="76" t="n"/>
      <c r="H31" s="77" t="n"/>
      <c r="I31" s="14">
        <f>SUM(I15:I30)</f>
        <v/>
      </c>
      <c r="J31" s="34" t="n"/>
      <c r="K31" s="14">
        <f>SUM(K15:K30)</f>
        <v/>
      </c>
      <c r="L31" s="34" t="n"/>
      <c r="M31" s="76" t="n"/>
      <c r="N31" s="76" t="n"/>
      <c r="O31" s="76" t="n"/>
      <c r="P31" s="77" t="n"/>
    </row>
    <row r="32" ht="15" customHeight="1" s="33"/>
    <row r="33" ht="15" customHeight="1" s="33">
      <c r="A33" s="39" t="inlineStr">
        <is>
          <t>3. EFECTO EN EL CONTRATO</t>
        </is>
      </c>
      <c r="B33" s="76" t="n"/>
      <c r="C33" s="76" t="n"/>
      <c r="D33" s="76" t="n"/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6" t="n"/>
      <c r="O33" s="76" t="n"/>
      <c r="P33" s="77" t="n"/>
    </row>
    <row r="34" ht="15" customHeight="1" s="33">
      <c r="A34" s="21" t="inlineStr">
        <is>
          <t>Total aprobado (con AIU)</t>
        </is>
      </c>
      <c r="B34" s="76" t="n"/>
      <c r="C34" s="76" t="n"/>
      <c r="D34" s="76" t="n"/>
      <c r="E34" s="77" t="n"/>
      <c r="F34" s="43">
        <f>SUMIF(P15:P30,"Aprobado",K15:K30)</f>
        <v/>
      </c>
      <c r="G34" s="76" t="n"/>
      <c r="H34" s="77" t="n"/>
    </row>
    <row r="35" ht="15" customHeight="1" s="33">
      <c r="A35" s="21" t="inlineStr">
        <is>
          <t>Total pendiente de aprobación (con AIU)</t>
        </is>
      </c>
      <c r="B35" s="76" t="n"/>
      <c r="C35" s="76" t="n"/>
      <c r="D35" s="76" t="n"/>
      <c r="E35" s="77" t="n"/>
      <c r="F35" s="43">
        <f>SUMIF(P15:P30,"Pendiente",K15:K30)</f>
        <v/>
      </c>
      <c r="G35" s="76" t="n"/>
      <c r="H35" s="77" t="n"/>
    </row>
    <row r="36" ht="15" customHeight="1" s="33">
      <c r="A36" s="21" t="inlineStr">
        <is>
          <t>Total rechazado (con AIU)</t>
        </is>
      </c>
      <c r="B36" s="76" t="n"/>
      <c r="C36" s="76" t="n"/>
      <c r="D36" s="76" t="n"/>
      <c r="E36" s="77" t="n"/>
      <c r="F36" s="43">
        <f>SUMIF(P15:P30,"Rechazado",K15:K30)</f>
        <v/>
      </c>
      <c r="G36" s="76" t="n"/>
      <c r="H36" s="77" t="n"/>
    </row>
    <row r="37" ht="15" customHeight="1" s="33">
      <c r="A37" s="21" t="inlineStr">
        <is>
          <t>Valor del contrato original</t>
        </is>
      </c>
      <c r="B37" s="76" t="n"/>
      <c r="C37" s="76" t="n"/>
      <c r="D37" s="76" t="n"/>
      <c r="E37" s="77" t="n"/>
      <c r="F37" s="43" t="n"/>
      <c r="G37" s="76" t="n"/>
      <c r="H37" s="77" t="n"/>
    </row>
    <row r="38" ht="15" customHeight="1" s="33">
      <c r="A38" s="21" t="inlineStr">
        <is>
          <t>Valor del contrato con adicionales aprobados</t>
        </is>
      </c>
      <c r="B38" s="76" t="n"/>
      <c r="C38" s="76" t="n"/>
      <c r="D38" s="76" t="n"/>
      <c r="E38" s="77" t="n"/>
      <c r="F38" s="43">
        <f>IF(F37="","",F37+F34)</f>
        <v/>
      </c>
      <c r="G38" s="76" t="n"/>
      <c r="H38" s="77" t="n"/>
    </row>
    <row r="39" ht="15" customHeight="1" s="33">
      <c r="A39" s="21" t="inlineStr">
        <is>
          <t>Adicionales aprobados como % del contrato</t>
        </is>
      </c>
      <c r="B39" s="76" t="n"/>
      <c r="C39" s="76" t="n"/>
      <c r="D39" s="76" t="n"/>
      <c r="E39" s="77" t="n"/>
      <c r="F39" s="44">
        <f>IF(OR(F37="",F37=0),"",F34/F37)</f>
        <v/>
      </c>
      <c r="G39" s="76" t="n"/>
      <c r="H39" s="77" t="n"/>
    </row>
    <row r="40" ht="15" customHeight="1" s="33"/>
    <row r="41" ht="15" customHeight="1" s="33">
      <c r="A41" s="39" t="inlineStr">
        <is>
          <t>FIRMAS</t>
        </is>
      </c>
      <c r="B41" s="76" t="n"/>
      <c r="C41" s="76" t="n"/>
      <c r="D41" s="76" t="n"/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6" t="n"/>
      <c r="O41" s="76" t="n"/>
      <c r="P41" s="77" t="n"/>
    </row>
    <row r="42" ht="15" customHeight="1" s="33">
      <c r="A42" s="27" t="inlineStr">
        <is>
          <t>REGISTRÓ — DIRECTOR DE OBRA</t>
        </is>
      </c>
      <c r="B42" s="76" t="n"/>
      <c r="C42" s="76" t="n"/>
      <c r="D42" s="76" t="n"/>
      <c r="E42" s="76" t="n"/>
      <c r="F42" s="76" t="n"/>
      <c r="G42" s="76" t="n"/>
      <c r="H42" s="77" t="n"/>
      <c r="I42" s="27" t="inlineStr">
        <is>
          <t>APROBÓ — GERENCIA / CONTRATANTE</t>
        </is>
      </c>
      <c r="J42" s="76" t="n"/>
      <c r="K42" s="76" t="n"/>
      <c r="L42" s="76" t="n"/>
      <c r="M42" s="76" t="n"/>
      <c r="N42" s="76" t="n"/>
      <c r="O42" s="76" t="n"/>
      <c r="P42" s="77" t="n"/>
    </row>
    <row r="43" ht="15" customHeight="1" s="33">
      <c r="A43" s="21" t="inlineStr">
        <is>
          <t>Firma:</t>
        </is>
      </c>
      <c r="B43" s="76" t="n"/>
      <c r="C43" s="77" t="n"/>
      <c r="D43" s="23" t="n"/>
      <c r="E43" s="76" t="n"/>
      <c r="F43" s="76" t="n"/>
      <c r="G43" s="76" t="n"/>
      <c r="H43" s="77" t="n"/>
      <c r="I43" s="21" t="inlineStr">
        <is>
          <t>Firma:</t>
        </is>
      </c>
      <c r="J43" s="76" t="n"/>
      <c r="K43" s="77" t="n"/>
      <c r="L43" s="23" t="n"/>
      <c r="M43" s="76" t="n"/>
      <c r="N43" s="76" t="n"/>
      <c r="O43" s="76" t="n"/>
      <c r="P43" s="77" t="n"/>
    </row>
    <row r="44" ht="15" customHeight="1" s="33">
      <c r="A44" s="21" t="inlineStr">
        <is>
          <t>Nombre:</t>
        </is>
      </c>
      <c r="B44" s="76" t="n"/>
      <c r="C44" s="77" t="n"/>
      <c r="D44" s="23" t="n"/>
      <c r="E44" s="76" t="n"/>
      <c r="F44" s="76" t="n"/>
      <c r="G44" s="76" t="n"/>
      <c r="H44" s="77" t="n"/>
      <c r="I44" s="21" t="inlineStr">
        <is>
          <t>Nombre:</t>
        </is>
      </c>
      <c r="J44" s="76" t="n"/>
      <c r="K44" s="77" t="n"/>
      <c r="L44" s="23" t="n"/>
      <c r="M44" s="76" t="n"/>
      <c r="N44" s="76" t="n"/>
      <c r="O44" s="76" t="n"/>
      <c r="P44" s="77" t="n"/>
    </row>
    <row r="45" ht="15" customHeight="1" s="33">
      <c r="A45" s="21" t="inlineStr">
        <is>
          <t>Cargo:</t>
        </is>
      </c>
      <c r="B45" s="76" t="n"/>
      <c r="C45" s="77" t="n"/>
      <c r="D45" s="23" t="n"/>
      <c r="E45" s="76" t="n"/>
      <c r="F45" s="76" t="n"/>
      <c r="G45" s="76" t="n"/>
      <c r="H45" s="77" t="n"/>
      <c r="I45" s="21" t="inlineStr">
        <is>
          <t>Cargo:</t>
        </is>
      </c>
      <c r="J45" s="76" t="n"/>
      <c r="K45" s="77" t="n"/>
      <c r="L45" s="23" t="n"/>
      <c r="M45" s="76" t="n"/>
      <c r="N45" s="76" t="n"/>
      <c r="O45" s="76" t="n"/>
      <c r="P45" s="77" t="n"/>
    </row>
  </sheetData>
  <mergeCells count="58">
    <mergeCell ref="A39:E39"/>
    <mergeCell ref="A34:E34"/>
    <mergeCell ref="F36:H36"/>
    <mergeCell ref="D4:M4"/>
    <mergeCell ref="A1:C7"/>
    <mergeCell ref="N7:O7"/>
    <mergeCell ref="D10:H10"/>
    <mergeCell ref="D3:M3"/>
    <mergeCell ref="A8:P8"/>
    <mergeCell ref="F35:H35"/>
    <mergeCell ref="I43:K43"/>
    <mergeCell ref="I12:K12"/>
    <mergeCell ref="A36:E36"/>
    <mergeCell ref="A12:C12"/>
    <mergeCell ref="D45:H45"/>
    <mergeCell ref="D5:M5"/>
    <mergeCell ref="L12:P12"/>
    <mergeCell ref="F38:H38"/>
    <mergeCell ref="L43:P43"/>
    <mergeCell ref="A13:P13"/>
    <mergeCell ref="A9:P9"/>
    <mergeCell ref="D11:H11"/>
    <mergeCell ref="A37:E37"/>
    <mergeCell ref="N5:O5"/>
    <mergeCell ref="I44:K44"/>
    <mergeCell ref="D1:P1"/>
    <mergeCell ref="F37:H37"/>
    <mergeCell ref="F39:H39"/>
    <mergeCell ref="A43:C43"/>
    <mergeCell ref="L45:P45"/>
    <mergeCell ref="A10:C10"/>
    <mergeCell ref="I10:K10"/>
    <mergeCell ref="A44:C44"/>
    <mergeCell ref="D43:H43"/>
    <mergeCell ref="A42:H42"/>
    <mergeCell ref="L10:P10"/>
    <mergeCell ref="D6:M6"/>
    <mergeCell ref="I42:P42"/>
    <mergeCell ref="L44:P44"/>
    <mergeCell ref="A33:P33"/>
    <mergeCell ref="L31:P31"/>
    <mergeCell ref="D2:P2"/>
    <mergeCell ref="A41:P41"/>
    <mergeCell ref="F34:H34"/>
    <mergeCell ref="D12:H12"/>
    <mergeCell ref="I11:K11"/>
    <mergeCell ref="A35:E35"/>
    <mergeCell ref="A11:C11"/>
    <mergeCell ref="A38:E38"/>
    <mergeCell ref="A45:C45"/>
    <mergeCell ref="N6:O6"/>
    <mergeCell ref="I45:K45"/>
    <mergeCell ref="D7:M7"/>
    <mergeCell ref="L11:P11"/>
    <mergeCell ref="A31:H31"/>
    <mergeCell ref="N3:P3"/>
    <mergeCell ref="N4:O4"/>
    <mergeCell ref="D44:H44"/>
  </mergeCells>
  <pageMargins left="0.4" right="0.4" top="0.4" bottom="0.6" header="0.5" footer="0.5"/>
  <pageSetup orientation="landscape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2026-10-09T05:18:12Z</dcterms:created>
  <dcterms:modified xmlns:dcterms="http://purl.org/dc/terms/" xmlns:xsi="http://www.w3.org/2001/XMLSchema-instance" xsi:type="dcterms:W3CDTF">2026-10-09T05:34:31Z</dcterms:modified>
  <cp:lastModifiedBy>Hugo Fernando Hurtado Ruiz</cp:lastModifiedBy>
</cp:coreProperties>
</file>