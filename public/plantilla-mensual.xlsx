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Mensual"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twoCellAnchor editAs="oneCell">
    <from>
      <col>0</col>
      <colOff>0</colOff>
      <row>0</row>
      <rowOff>0</rowOff>
    </from>
    <to>
      <col>1</col>
      <colOff>69253</colOff>
      <row>6</row>
      <rowOff>174506</rowOff>
    </to>
    <pic>
      <nvPicPr>
        <cNvPr id="14"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0</colOff>
      <row>0</row>
      <rowOff>0</rowOff>
    </from>
    <to>
      <col>1</col>
      <colOff>2766370</colOff>
      <row>8</row>
      <rowOff>172889</rowOff>
    </to>
    <pic>
      <nvPicPr>
        <cNvPr id="3"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0</col>
      <colOff>0</colOff>
      <row>130</row>
      <rowOff>66959</rowOff>
    </from>
    <to>
      <col>6</col>
      <colOff>725921</colOff>
      <row>135</row>
      <rowOff>28591</rowOff>
    </to>
    <pic>
      <nvPicPr>
        <cNvPr id="23" name="Image 2"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spPr>
    </pic>
    <clientData/>
  </twoCellAnchor>
  <twoCellAnchor editAs="oneCell">
    <from>
      <col>0</col>
      <colOff>0</colOff>
      <row>0</row>
      <rowOff>0</rowOff>
    </from>
    <to>
      <col>3</col>
      <colOff>749842</colOff>
      <row>8</row>
      <rowOff>148421</rowOff>
    </to>
    <pic>
      <nvPicPr>
        <cNvPr id="4" name="Imagen 2"/>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7030A0"/>
    <outlinePr summaryBelow="1" summaryRight="1"/>
    <pageSetUpPr fitToPage="1"/>
  </sheetPr>
  <dimension ref="A1:S131"/>
  <sheetViews>
    <sheetView zoomScale="76" zoomScaleNormal="76" workbookViewId="0">
      <selection activeCell="T15" sqref="T15"/>
    </sheetView>
  </sheetViews>
  <sheetFormatPr baseColWidth="10" defaultColWidth="8.88671875" defaultRowHeight="14.4"/>
  <cols>
    <col width="11.33203125" customWidth="1" style="1182" min="1" max="3"/>
    <col width="11" customWidth="1" style="1182" min="4" max="14"/>
    <col width="8.88671875" customWidth="1" style="1182" min="15" max="19"/>
    <col width="8.88671875" customWidth="1" style="1182" min="20" max="16384"/>
  </cols>
  <sheetData>
    <row r="1" ht="15" customHeight="1" s="550">
      <c r="A1" s="493" t="n"/>
      <c r="B1" s="494" t="n"/>
      <c r="C1" s="494" t="n"/>
      <c r="D1" s="494" t="n"/>
      <c r="E1" s="1232" t="inlineStr">
        <is>
          <t>INFORME MENSUAL DE AVANCE DE OBRA</t>
        </is>
      </c>
    </row>
    <row r="2" ht="14.4" customHeight="1" s="550">
      <c r="A2" s="494" t="n"/>
      <c r="B2" s="494" t="n"/>
      <c r="C2" s="494" t="n"/>
      <c r="D2" s="494" t="n"/>
    </row>
    <row r="3" ht="14.4" customHeight="1" s="550">
      <c r="A3" s="494" t="n"/>
      <c r="B3" s="494" t="n"/>
      <c r="C3" s="494" t="n"/>
      <c r="D3" s="494" t="n"/>
    </row>
    <row r="4" ht="14.4" customHeight="1" s="550">
      <c r="A4" s="494" t="n"/>
      <c r="B4" s="494" t="n"/>
      <c r="C4" s="494" t="n"/>
      <c r="D4" s="494" t="n"/>
    </row>
    <row r="5" ht="15" customHeight="1" s="550">
      <c r="A5" s="494" t="n"/>
      <c r="B5" s="494" t="n"/>
      <c r="C5" s="494" t="n"/>
      <c r="D5" s="494" t="n"/>
    </row>
    <row r="6" ht="4.95" customHeight="1" s="550">
      <c r="A6" s="494" t="n"/>
      <c r="B6" s="494" t="n"/>
      <c r="C6" s="494" t="n"/>
      <c r="D6" s="494" t="n"/>
      <c r="E6" s="135" t="n"/>
      <c r="F6" s="135" t="n"/>
      <c r="G6" s="135" t="n"/>
      <c r="H6" s="135" t="n"/>
      <c r="I6" s="135" t="n"/>
      <c r="J6" s="135" t="n"/>
      <c r="K6" s="135" t="n"/>
      <c r="L6" s="135" t="n"/>
      <c r="M6" s="135" t="n"/>
      <c r="N6" s="135" t="n"/>
    </row>
    <row r="7" ht="15" customHeight="1" s="550">
      <c r="A7" s="494" t="n"/>
      <c r="B7" s="494" t="n"/>
      <c r="C7" s="494" t="n"/>
      <c r="D7" s="494" t="n"/>
      <c r="E7" s="133" t="n"/>
      <c r="F7" s="133" t="n"/>
      <c r="G7" s="133" t="n"/>
      <c r="H7" s="133" t="n"/>
      <c r="I7" s="133" t="n"/>
      <c r="J7" s="133" t="n"/>
      <c r="K7" s="133" t="n"/>
      <c r="L7" s="1001" t="inlineStr">
        <is>
          <t>CONTROL DOCUMENTAL</t>
        </is>
      </c>
      <c r="M7" s="583" t="n"/>
      <c r="N7" s="559" t="n"/>
    </row>
    <row r="8" ht="15" customHeight="1" s="550">
      <c r="A8" s="494" t="n"/>
      <c r="B8" s="494" t="n"/>
      <c r="C8" s="494" t="n"/>
      <c r="D8" s="494" t="n"/>
      <c r="E8" s="1042" t="inlineStr">
        <is>
          <t>REFORMAS Y REMODELACIONES</t>
        </is>
      </c>
      <c r="L8" s="784" t="inlineStr">
        <is>
          <t>Código</t>
        </is>
      </c>
      <c r="M8" s="1209" t="inlineStr">
        <is>
          <t>RYR-IM-001</t>
        </is>
      </c>
      <c r="N8" s="810" t="n"/>
    </row>
    <row r="9" ht="15" customHeight="1" s="550">
      <c r="A9" s="494" t="n"/>
      <c r="B9" s="494" t="n"/>
      <c r="C9" s="494" t="n"/>
      <c r="D9" s="494" t="n"/>
      <c r="L9" s="784" t="inlineStr">
        <is>
          <t>Versión</t>
        </is>
      </c>
      <c r="M9" s="1195" t="n">
        <v>1</v>
      </c>
      <c r="N9" s="1196" t="n"/>
    </row>
    <row r="10" ht="15" customHeight="1" s="550">
      <c r="A10" s="494" t="n"/>
      <c r="B10" s="494" t="n"/>
      <c r="C10" s="494" t="n"/>
      <c r="D10" s="494" t="n"/>
      <c r="E10" s="991" t="inlineStr">
        <is>
          <t>DISEÑAMOS, RENOVAMOS Y CONSTRUIMOS ESPACIOS QUE INSPIRAN.</t>
        </is>
      </c>
      <c r="L10" s="784" t="inlineStr">
        <is>
          <t>Fecha de Emisión</t>
        </is>
      </c>
      <c r="M10" s="1195" t="inlineStr">
        <is>
          <t>10/09/2026</t>
        </is>
      </c>
      <c r="N10" s="1196" t="n"/>
    </row>
    <row r="11" ht="15" customHeight="1" s="550">
      <c r="A11" s="618" t="n"/>
      <c r="B11" s="618" t="n"/>
      <c r="C11" s="618" t="n"/>
      <c r="D11" s="618" t="n"/>
      <c r="E11" s="134" t="n"/>
      <c r="F11" s="134" t="n"/>
      <c r="G11" s="134" t="n"/>
      <c r="H11" s="134" t="n"/>
      <c r="I11" s="134" t="n"/>
      <c r="J11" s="134" t="n"/>
      <c r="K11" s="134" t="n"/>
      <c r="L11" s="501" t="inlineStr">
        <is>
          <t>Página</t>
        </is>
      </c>
      <c r="M11" s="1240" t="inlineStr">
        <is>
          <t>1 de 1</t>
        </is>
      </c>
      <c r="N11" s="849" t="n"/>
    </row>
    <row r="12" ht="15" customHeight="1" s="550">
      <c r="A12" s="1223" t="inlineStr">
        <is>
          <t>IDENTIFICACIÓN DEL INFORME Y DEL PROYECTO</t>
        </is>
      </c>
      <c r="N12" s="562" t="n"/>
    </row>
    <row r="13" ht="15" customHeight="1" s="550">
      <c r="A13" s="1190" t="inlineStr">
        <is>
          <t>Proyecto</t>
        </is>
      </c>
      <c r="B13" s="567" t="n"/>
      <c r="C13" s="567" t="n"/>
      <c r="D13" s="567" t="n"/>
      <c r="E13" s="1215" t="n"/>
      <c r="F13" s="567" t="n"/>
      <c r="G13" s="567" t="n"/>
      <c r="H13" s="567" t="n"/>
      <c r="I13" s="567" t="n"/>
      <c r="J13" s="567" t="n"/>
      <c r="K13" s="567" t="n"/>
      <c r="L13" s="567" t="n"/>
      <c r="M13" s="567" t="n"/>
      <c r="N13" s="682" t="n"/>
    </row>
    <row r="14" ht="15" customHeight="1" s="550">
      <c r="A14" s="1190" t="inlineStr">
        <is>
          <t>No de Contrato</t>
        </is>
      </c>
      <c r="B14" s="567" t="n"/>
      <c r="C14" s="567" t="n"/>
      <c r="D14" s="567" t="n"/>
      <c r="E14" s="1114" t="n"/>
      <c r="F14" s="567" t="n"/>
      <c r="G14" s="567" t="n"/>
      <c r="H14" s="682" t="n"/>
      <c r="I14" s="1112" t="inlineStr">
        <is>
          <t>Presupuesto Total del Contrato</t>
        </is>
      </c>
      <c r="J14" s="567" t="n"/>
      <c r="K14" s="567" t="n"/>
      <c r="L14" s="1405">
        <f>'Presupuesto '!F249</f>
        <v/>
      </c>
      <c r="M14" s="567" t="n"/>
      <c r="N14" s="682" t="n"/>
    </row>
    <row r="15" ht="15" customHeight="1" s="550">
      <c r="A15" s="1190" t="inlineStr">
        <is>
          <t>Contratista</t>
        </is>
      </c>
      <c r="B15" s="567" t="n"/>
      <c r="C15" s="567" t="n"/>
      <c r="D15" s="567" t="n"/>
      <c r="E15" s="1114" t="inlineStr">
        <is>
          <t>REFORMAS Y REMODELACIONES</t>
        </is>
      </c>
      <c r="F15" s="567" t="n"/>
      <c r="G15" s="567" t="n"/>
      <c r="H15" s="682" t="n"/>
      <c r="I15" s="1112" t="inlineStr">
        <is>
          <t>Mes</t>
        </is>
      </c>
      <c r="J15" s="567" t="n"/>
      <c r="K15" s="567" t="n"/>
      <c r="L15" s="1215" t="n"/>
      <c r="M15" s="567" t="n"/>
      <c r="N15" s="682" t="n"/>
    </row>
    <row r="16" ht="15" customHeight="1" s="550">
      <c r="A16" s="1190" t="inlineStr">
        <is>
          <t>Elaborado por</t>
        </is>
      </c>
      <c r="B16" s="567" t="n"/>
      <c r="C16" s="567" t="n"/>
      <c r="D16" s="567" t="n"/>
      <c r="E16" s="1114" t="n"/>
      <c r="F16" s="567" t="n"/>
      <c r="G16" s="567" t="n"/>
      <c r="H16" s="682" t="n"/>
      <c r="I16" s="1112" t="inlineStr">
        <is>
          <t>Fecha de Emisión</t>
        </is>
      </c>
      <c r="J16" s="567" t="n"/>
      <c r="K16" s="567" t="n"/>
      <c r="L16" s="1215" t="n"/>
      <c r="M16" s="567" t="n"/>
      <c r="N16" s="682" t="n"/>
    </row>
    <row r="17" ht="15.75" customHeight="1" s="550">
      <c r="A17" s="1262" t="inlineStr">
        <is>
          <t>RESUMEN EJECUTIVO</t>
        </is>
      </c>
      <c r="N17" s="562" t="n"/>
    </row>
    <row r="18" ht="15" customHeight="1" s="550">
      <c r="A18" s="1244" t="n"/>
      <c r="N18" s="562" t="n"/>
    </row>
    <row r="19" ht="15.75" customHeight="1" s="550">
      <c r="A19" s="1266" t="inlineStr">
        <is>
          <t>AVANCE TÉCNICO Y ECONÓMICO DEL PROYECTO (POR CAPÍTULO)</t>
        </is>
      </c>
      <c r="B19" s="1064" t="n"/>
      <c r="C19" s="1064" t="n"/>
      <c r="D19" s="1064" t="n"/>
      <c r="E19" s="1064" t="n"/>
      <c r="F19" s="1064" t="n"/>
      <c r="G19" s="1064" t="n"/>
      <c r="H19" s="1064" t="n"/>
      <c r="I19" s="1064" t="n"/>
      <c r="J19" s="1064" t="n"/>
      <c r="K19" s="1064" t="n"/>
      <c r="L19" s="1064" t="n"/>
      <c r="M19" s="1064" t="n"/>
      <c r="N19" s="1065" t="n"/>
    </row>
    <row r="20" ht="14.25" customHeight="1" s="550">
      <c r="A20" s="1243" t="inlineStr">
        <is>
          <t>AVANCE PROGRAMADO GLOBAL</t>
        </is>
      </c>
      <c r="B20" s="585" t="n"/>
      <c r="C20" s="585" t="n"/>
      <c r="D20" s="1242" t="inlineStr">
        <is>
          <t>AVANCE REAL GLOBAL</t>
        </is>
      </c>
      <c r="E20" s="585" t="n"/>
      <c r="F20" s="585" t="n"/>
      <c r="G20" s="1242" t="inlineStr">
        <is>
          <t>DIFERENCIA</t>
        </is>
      </c>
      <c r="H20" s="585" t="n"/>
      <c r="I20" s="585" t="n"/>
      <c r="J20" s="1203" t="inlineStr">
        <is>
          <t>% EJECUTADO FINANCIERO</t>
        </is>
      </c>
      <c r="N20" s="562" t="n"/>
    </row>
    <row r="21">
      <c r="A21" s="1406">
        <f>H47</f>
        <v/>
      </c>
      <c r="D21" s="1407">
        <f>I47</f>
        <v/>
      </c>
      <c r="G21" s="1407">
        <f>D21-A21</f>
        <v/>
      </c>
      <c r="J21" s="1408">
        <f>IFERROR(J47/$L$14,0)</f>
        <v/>
      </c>
      <c r="N21" s="562" t="n"/>
    </row>
    <row r="22" ht="14.25" customHeight="1" s="550">
      <c r="A22" s="1246" t="inlineStr">
        <is>
          <t>AVANCE REAL ACUMULADO AL INICIO DEL PERÍODO (%)</t>
        </is>
      </c>
      <c r="B22" s="1194" t="n"/>
      <c r="C22" s="1194" t="n"/>
      <c r="D22" s="1194" t="n"/>
      <c r="E22" s="1194" t="n"/>
      <c r="F22" s="1409" t="n">
        <v>0</v>
      </c>
      <c r="G22" s="1194" t="n"/>
      <c r="H22" s="1193" t="inlineStr">
        <is>
          <t>AVANCE DE ESTE PERÍODO (%)</t>
        </is>
      </c>
      <c r="I22" s="1194" t="n"/>
      <c r="J22" s="1194" t="n"/>
      <c r="K22" s="1410">
        <f>D21-F22</f>
        <v/>
      </c>
      <c r="L22" s="1194" t="n"/>
      <c r="M22" s="1194" t="n"/>
      <c r="N22" s="1264" t="n"/>
    </row>
    <row r="23" ht="14.25" customHeight="1" s="550">
      <c r="A23" s="1234" t="inlineStr">
        <is>
          <t>CAPÍTULO</t>
        </is>
      </c>
      <c r="D23" s="1187" t="inlineStr">
        <is>
          <t>PESO %</t>
        </is>
      </c>
      <c r="E23" s="1187" t="inlineStr">
        <is>
          <t>PROG. %</t>
        </is>
      </c>
      <c r="F23" s="1187" t="inlineStr">
        <is>
          <t>REAL %</t>
        </is>
      </c>
      <c r="G23" s="1187" t="inlineStr">
        <is>
          <t>DIF. %</t>
        </is>
      </c>
      <c r="H23" s="1187" t="inlineStr">
        <is>
          <t>PROG. POND. %</t>
        </is>
      </c>
      <c r="I23" s="1187" t="inlineStr">
        <is>
          <t>REAL POND. %</t>
        </is>
      </c>
      <c r="J23" s="1227" t="inlineStr">
        <is>
          <t>VALOR EJECUTADO ($)</t>
        </is>
      </c>
      <c r="N23" s="562" t="n"/>
    </row>
    <row r="24">
      <c r="A24" s="1098" t="n"/>
      <c r="B24" s="635" t="n"/>
      <c r="C24" s="635" t="n"/>
      <c r="D24" s="635" t="n"/>
      <c r="E24" s="635" t="n"/>
      <c r="F24" s="635" t="n"/>
      <c r="G24" s="635" t="n"/>
      <c r="H24" s="635" t="n"/>
      <c r="I24" s="635" t="n"/>
      <c r="J24" s="652" t="n"/>
      <c r="K24" s="652" t="n"/>
      <c r="L24" s="652" t="n"/>
      <c r="M24" s="652" t="n"/>
      <c r="N24" s="1074" t="n"/>
    </row>
    <row r="25">
      <c r="A25" s="1180">
        <f>'Presupuesto '!B14</f>
        <v/>
      </c>
      <c r="B25" s="609" t="n"/>
      <c r="C25" s="609" t="n"/>
      <c r="D25" s="1411">
        <f>'Presupuesto '!F25/'Presupuesto '!$F$240</f>
        <v/>
      </c>
      <c r="E25" s="1412" t="n"/>
      <c r="F25" s="1412" t="n"/>
      <c r="G25" s="1413">
        <f>F25-E25</f>
        <v/>
      </c>
      <c r="H25" s="1414">
        <f>D25*E25</f>
        <v/>
      </c>
      <c r="I25" s="1414">
        <f>D25*F25</f>
        <v/>
      </c>
      <c r="J25" s="1415">
        <f>D25*$L$14*G25</f>
        <v/>
      </c>
      <c r="K25" s="592" t="n"/>
      <c r="L25" s="592" t="n"/>
      <c r="M25" s="592" t="n"/>
      <c r="N25" s="1205" t="n"/>
    </row>
    <row r="26">
      <c r="A26" s="1180">
        <f>'Presupuesto '!B27</f>
        <v/>
      </c>
      <c r="B26" s="609" t="n"/>
      <c r="C26" s="609" t="n"/>
      <c r="D26" s="1411">
        <f>'Presupuesto '!F39/'Presupuesto '!$F$240</f>
        <v/>
      </c>
      <c r="E26" s="1412" t="n"/>
      <c r="F26" s="1412" t="n"/>
      <c r="G26" s="1413">
        <f>F26-E26</f>
        <v/>
      </c>
      <c r="H26" s="1414">
        <f>D26*E26</f>
        <v/>
      </c>
      <c r="I26" s="1414">
        <f>D26*F26</f>
        <v/>
      </c>
      <c r="J26" s="1416">
        <f>D26*$L$14*G26</f>
        <v/>
      </c>
      <c r="N26" s="562" t="n"/>
    </row>
    <row r="27">
      <c r="A27" s="1180">
        <f>'Presupuesto '!B41</f>
        <v/>
      </c>
      <c r="B27" s="609" t="n"/>
      <c r="C27" s="609" t="n"/>
      <c r="D27" s="1411">
        <f>'Presupuesto '!F49/'Presupuesto '!$F$240</f>
        <v/>
      </c>
      <c r="E27" s="1412" t="n"/>
      <c r="F27" s="1412" t="n"/>
      <c r="G27" s="1413">
        <f>F27-E27</f>
        <v/>
      </c>
      <c r="H27" s="1414">
        <f>D27*E27</f>
        <v/>
      </c>
      <c r="I27" s="1414">
        <f>D27*F27</f>
        <v/>
      </c>
      <c r="J27" s="1416">
        <f>D27*$L$14*G27</f>
        <v/>
      </c>
      <c r="N27" s="562" t="n"/>
    </row>
    <row r="28">
      <c r="A28" s="1180">
        <f>'Presupuesto '!B51</f>
        <v/>
      </c>
      <c r="B28" s="609" t="n"/>
      <c r="C28" s="609" t="n"/>
      <c r="D28" s="1411">
        <f>'Presupuesto '!F69/'Presupuesto '!$F$240</f>
        <v/>
      </c>
      <c r="E28" s="1412" t="n"/>
      <c r="F28" s="1412" t="n"/>
      <c r="G28" s="1413">
        <f>F28-E28</f>
        <v/>
      </c>
      <c r="H28" s="1414">
        <f>D28*E28</f>
        <v/>
      </c>
      <c r="I28" s="1414">
        <f>D28*F28</f>
        <v/>
      </c>
      <c r="J28" s="1416">
        <f>D28*$L$14*G28</f>
        <v/>
      </c>
      <c r="N28" s="562" t="n"/>
    </row>
    <row r="29">
      <c r="A29" s="1180">
        <f>'Presupuesto '!B64</f>
        <v/>
      </c>
      <c r="B29" s="609" t="n"/>
      <c r="C29" s="609" t="n"/>
      <c r="D29" s="1411">
        <f>'Presupuesto '!F81/'Presupuesto '!$F$240</f>
        <v/>
      </c>
      <c r="E29" s="1412" t="n"/>
      <c r="F29" s="1412" t="n"/>
      <c r="G29" s="1413">
        <f>F29-E29</f>
        <v/>
      </c>
      <c r="H29" s="1414">
        <f>D29*E29</f>
        <v/>
      </c>
      <c r="I29" s="1414">
        <f>D29*F29</f>
        <v/>
      </c>
      <c r="J29" s="1416">
        <f>D29*$L$14*G29</f>
        <v/>
      </c>
      <c r="N29" s="562" t="n"/>
    </row>
    <row r="30">
      <c r="A30" s="1180">
        <f>'Presupuesto '!B76</f>
        <v/>
      </c>
      <c r="B30" s="609" t="n"/>
      <c r="C30" s="609" t="n"/>
      <c r="D30" s="1411">
        <f>'Presupuesto '!F93/'Presupuesto '!$F$240</f>
        <v/>
      </c>
      <c r="E30" s="1412" t="n"/>
      <c r="F30" s="1412" t="n"/>
      <c r="G30" s="1413">
        <f>F30-E30</f>
        <v/>
      </c>
      <c r="H30" s="1414">
        <f>D30*E30</f>
        <v/>
      </c>
      <c r="I30" s="1414">
        <f>D30*F30</f>
        <v/>
      </c>
      <c r="J30" s="1416">
        <f>D30*$L$14*G30</f>
        <v/>
      </c>
      <c r="N30" s="562" t="n"/>
    </row>
    <row r="31">
      <c r="A31" s="1180">
        <f>'Presupuesto '!B88</f>
        <v/>
      </c>
      <c r="B31" s="609" t="n"/>
      <c r="C31" s="609" t="n"/>
      <c r="D31" s="1411">
        <f>'Presupuesto '!F100/'Presupuesto '!$F$240</f>
        <v/>
      </c>
      <c r="E31" s="1412" t="n"/>
      <c r="F31" s="1412" t="n"/>
      <c r="G31" s="1413">
        <f>F31-E31</f>
        <v/>
      </c>
      <c r="H31" s="1414">
        <f>D31*E31</f>
        <v/>
      </c>
      <c r="I31" s="1414">
        <f>D31*F31</f>
        <v/>
      </c>
      <c r="J31" s="1416">
        <f>D31*$L$14*G31</f>
        <v/>
      </c>
      <c r="N31" s="562" t="n"/>
    </row>
    <row r="32">
      <c r="A32" s="1180">
        <f>'Presupuesto '!B95</f>
        <v/>
      </c>
      <c r="B32" s="609" t="n"/>
      <c r="C32" s="609" t="n"/>
      <c r="D32" s="1411">
        <f>'Presupuesto '!F107/'Presupuesto '!$F$240</f>
        <v/>
      </c>
      <c r="E32" s="1412" t="n"/>
      <c r="F32" s="1412" t="n"/>
      <c r="G32" s="1413">
        <f>F32-E32</f>
        <v/>
      </c>
      <c r="H32" s="1414">
        <f>D32*E32</f>
        <v/>
      </c>
      <c r="I32" s="1414">
        <f>D32*F32</f>
        <v/>
      </c>
      <c r="J32" s="1416">
        <f>D32*$L$14*G32</f>
        <v/>
      </c>
      <c r="N32" s="562" t="n"/>
    </row>
    <row r="33">
      <c r="A33" s="1180">
        <f>'Presupuesto '!B101</f>
        <v/>
      </c>
      <c r="B33" s="609" t="n"/>
      <c r="C33" s="609" t="n"/>
      <c r="D33" s="1411">
        <f>'Presupuesto '!F121/'Presupuesto '!$F$240</f>
        <v/>
      </c>
      <c r="E33" s="1412" t="n"/>
      <c r="F33" s="1412" t="n"/>
      <c r="G33" s="1413">
        <f>F33-E33</f>
        <v/>
      </c>
      <c r="H33" s="1414">
        <f>D33*E33</f>
        <v/>
      </c>
      <c r="I33" s="1414">
        <f>D33*F33</f>
        <v/>
      </c>
      <c r="J33" s="1416">
        <f>D33*$L$14*G33</f>
        <v/>
      </c>
      <c r="N33" s="562" t="n"/>
    </row>
    <row r="34">
      <c r="A34" s="1180">
        <f>'Presupuesto '!B115</f>
        <v/>
      </c>
      <c r="B34" s="609" t="n"/>
      <c r="C34" s="609" t="n"/>
      <c r="D34" s="1411">
        <f>'Presupuesto '!F129/'Presupuesto '!$F$240</f>
        <v/>
      </c>
      <c r="E34" s="1412" t="n"/>
      <c r="F34" s="1412" t="n"/>
      <c r="G34" s="1413">
        <f>F34-E34</f>
        <v/>
      </c>
      <c r="H34" s="1414">
        <f>D34*E34</f>
        <v/>
      </c>
      <c r="I34" s="1414">
        <f>D34*F34</f>
        <v/>
      </c>
      <c r="J34" s="1416">
        <f>D34*$L$14*G34</f>
        <v/>
      </c>
      <c r="N34" s="562" t="n"/>
    </row>
    <row r="35">
      <c r="A35" s="1180">
        <f>'Presupuesto '!B125</f>
        <v/>
      </c>
      <c r="B35" s="609" t="n"/>
      <c r="C35" s="609" t="n"/>
      <c r="D35" s="1411">
        <f>'Presupuesto '!F140/'Presupuesto '!$F$240</f>
        <v/>
      </c>
      <c r="E35" s="1412" t="n"/>
      <c r="F35" s="1412" t="n"/>
      <c r="G35" s="1413">
        <f>F35-E35</f>
        <v/>
      </c>
      <c r="H35" s="1414">
        <f>D35*E35</f>
        <v/>
      </c>
      <c r="I35" s="1414">
        <f>D35*F35</f>
        <v/>
      </c>
      <c r="J35" s="1416">
        <f>D35*$L$14*G35</f>
        <v/>
      </c>
      <c r="N35" s="562" t="n"/>
    </row>
    <row r="36">
      <c r="A36" s="1180">
        <f>'Presupuesto '!B136</f>
        <v/>
      </c>
      <c r="B36" s="609" t="n"/>
      <c r="C36" s="609" t="n"/>
      <c r="D36" s="1411">
        <f>'Presupuesto '!F147/'Presupuesto '!$F$240</f>
        <v/>
      </c>
      <c r="E36" s="1412" t="n"/>
      <c r="F36" s="1412" t="n"/>
      <c r="G36" s="1413">
        <f>F36-E36</f>
        <v/>
      </c>
      <c r="H36" s="1414">
        <f>D36*E36</f>
        <v/>
      </c>
      <c r="I36" s="1414">
        <f>D36*F36</f>
        <v/>
      </c>
      <c r="J36" s="1416">
        <f>D36*$L$14*G36</f>
        <v/>
      </c>
      <c r="N36" s="562" t="n"/>
    </row>
    <row r="37">
      <c r="A37" s="1180">
        <f>'Presupuesto '!B143</f>
        <v/>
      </c>
      <c r="B37" s="609" t="n"/>
      <c r="C37" s="609" t="n"/>
      <c r="D37" s="1411">
        <f>'Presupuesto '!F162/'Presupuesto '!$F$240</f>
        <v/>
      </c>
      <c r="E37" s="1412" t="n"/>
      <c r="F37" s="1412" t="n"/>
      <c r="G37" s="1413">
        <f>F37-E37</f>
        <v/>
      </c>
      <c r="H37" s="1414">
        <f>D37*E37</f>
        <v/>
      </c>
      <c r="I37" s="1414">
        <f>D37*F37</f>
        <v/>
      </c>
      <c r="J37" s="1416">
        <f>D37*$L$14*G37</f>
        <v/>
      </c>
      <c r="N37" s="562" t="n"/>
    </row>
    <row r="38">
      <c r="A38" s="1180">
        <f>'Presupuesto '!B158</f>
        <v/>
      </c>
      <c r="B38" s="609" t="n"/>
      <c r="C38" s="609" t="n"/>
      <c r="D38" s="1411">
        <f>'Presupuesto '!F176/'Presupuesto '!$F$240</f>
        <v/>
      </c>
      <c r="E38" s="1412" t="n"/>
      <c r="F38" s="1412" t="n"/>
      <c r="G38" s="1413">
        <f>F38-E38</f>
        <v/>
      </c>
      <c r="H38" s="1414">
        <f>D38*E38</f>
        <v/>
      </c>
      <c r="I38" s="1414">
        <f>D38*F38</f>
        <v/>
      </c>
      <c r="J38" s="1416">
        <f>D38*$L$14*G38</f>
        <v/>
      </c>
      <c r="N38" s="562" t="n"/>
    </row>
    <row r="39">
      <c r="A39" s="1180">
        <f>'Presupuesto '!B172</f>
        <v/>
      </c>
      <c r="B39" s="609" t="n"/>
      <c r="C39" s="609" t="n"/>
      <c r="D39" s="1411">
        <f>'Presupuesto '!F185/'Presupuesto '!$F$240</f>
        <v/>
      </c>
      <c r="E39" s="1412" t="n"/>
      <c r="F39" s="1412" t="n"/>
      <c r="G39" s="1413">
        <f>F39-E39</f>
        <v/>
      </c>
      <c r="H39" s="1414">
        <f>D39*E39</f>
        <v/>
      </c>
      <c r="I39" s="1414">
        <f>D39*F39</f>
        <v/>
      </c>
      <c r="J39" s="1416">
        <f>D39*$L$14*G39</f>
        <v/>
      </c>
      <c r="N39" s="562" t="n"/>
    </row>
    <row r="40" ht="14.4" customHeight="1" s="550">
      <c r="A40" s="1183">
        <f>'Presupuesto '!B181</f>
        <v/>
      </c>
      <c r="B40" s="567" t="n"/>
      <c r="C40" s="567" t="n"/>
      <c r="D40" s="1411">
        <f>'Presupuesto '!F192/'Presupuesto '!$F$240</f>
        <v/>
      </c>
      <c r="E40" s="1412" t="n"/>
      <c r="F40" s="1412" t="n"/>
      <c r="G40" s="1413">
        <f>F40-E40</f>
        <v/>
      </c>
      <c r="H40" s="1414">
        <f>D40*E40</f>
        <v/>
      </c>
      <c r="I40" s="1414">
        <f>D40*F40</f>
        <v/>
      </c>
      <c r="J40" s="1416">
        <f>D40*$L$14*G40</f>
        <v/>
      </c>
      <c r="N40" s="562" t="n"/>
    </row>
    <row r="41">
      <c r="A41" s="1253">
        <f>'Presupuesto '!B188</f>
        <v/>
      </c>
      <c r="B41" s="1064" t="n"/>
      <c r="C41" s="1064" t="n"/>
      <c r="D41" s="1411">
        <f>'Presupuesto '!F198/'Presupuesto '!$F$240</f>
        <v/>
      </c>
      <c r="E41" s="1417" t="n"/>
      <c r="F41" s="1417" t="n"/>
      <c r="G41" s="1418">
        <f>F41-E41</f>
        <v/>
      </c>
      <c r="H41" s="1414">
        <f>D41*E41</f>
        <v/>
      </c>
      <c r="I41" s="1414">
        <f>D41*F41</f>
        <v/>
      </c>
      <c r="J41" s="1416">
        <f>D41*$L$14*G41</f>
        <v/>
      </c>
      <c r="N41" s="562" t="n"/>
    </row>
    <row r="42" ht="14.4" customHeight="1" s="550">
      <c r="A42" s="1180">
        <f>'Presupuesto '!B194</f>
        <v/>
      </c>
      <c r="B42" s="609" t="n"/>
      <c r="C42" s="609" t="n"/>
      <c r="D42" s="1411">
        <f>'Presupuesto '!F212/'Presupuesto '!$F$240</f>
        <v/>
      </c>
      <c r="E42" s="1419" t="n"/>
      <c r="F42" s="1419" t="n"/>
      <c r="G42" s="1418">
        <f>F42-E42</f>
        <v/>
      </c>
      <c r="H42" s="1414">
        <f>D42*E42</f>
        <v/>
      </c>
      <c r="I42" s="1414">
        <f>D42*F42</f>
        <v/>
      </c>
      <c r="J42" s="1416">
        <f>D42*$L$14*G42</f>
        <v/>
      </c>
      <c r="N42" s="562" t="n"/>
    </row>
    <row r="43" ht="14.4" customHeight="1" s="550">
      <c r="A43" s="1183">
        <f>'Presupuesto '!B208</f>
        <v/>
      </c>
      <c r="B43" s="567" t="n"/>
      <c r="C43" s="567" t="n"/>
      <c r="D43" s="1411">
        <f>'Presupuesto '!F219/'Presupuesto '!$F$240</f>
        <v/>
      </c>
      <c r="E43" s="1412" t="n"/>
      <c r="F43" s="1412" t="n"/>
      <c r="G43" s="1418">
        <f>F43-E43</f>
        <v/>
      </c>
      <c r="H43" s="1414">
        <f>D43*E43</f>
        <v/>
      </c>
      <c r="I43" s="1414">
        <f>D43*F43</f>
        <v/>
      </c>
      <c r="J43" s="1416">
        <f>D43*$L$14*G43</f>
        <v/>
      </c>
      <c r="N43" s="562" t="n"/>
    </row>
    <row r="44" ht="14.4" customHeight="1" s="550">
      <c r="A44" s="1183">
        <f>'Presupuesto '!B215</f>
        <v/>
      </c>
      <c r="B44" s="567" t="n"/>
      <c r="C44" s="567" t="n"/>
      <c r="D44" s="1411">
        <f>'Presupuesto '!F227/'Presupuesto '!$F$240</f>
        <v/>
      </c>
      <c r="E44" s="1412" t="n"/>
      <c r="F44" s="1412" t="n"/>
      <c r="G44" s="1413">
        <f>F44-E44</f>
        <v/>
      </c>
      <c r="H44" s="1414">
        <f>D44*E44</f>
        <v/>
      </c>
      <c r="I44" s="1414">
        <f>D44*F44</f>
        <v/>
      </c>
      <c r="J44" s="1416">
        <f>D44*$L$14*G44</f>
        <v/>
      </c>
      <c r="N44" s="562" t="n"/>
    </row>
    <row r="45">
      <c r="A45" s="1183">
        <f>'Presupuesto '!B223</f>
        <v/>
      </c>
      <c r="B45" s="567" t="n"/>
      <c r="C45" s="567" t="n"/>
      <c r="D45" s="1411">
        <f>'Presupuesto '!F231/'Presupuesto '!$F$240</f>
        <v/>
      </c>
      <c r="E45" s="1420" t="n"/>
      <c r="F45" s="1420" t="n"/>
      <c r="G45" s="1413">
        <f>F45-E45</f>
        <v/>
      </c>
      <c r="H45" s="1414">
        <f>D45*E45</f>
        <v/>
      </c>
      <c r="I45" s="1414">
        <f>D45*F45</f>
        <v/>
      </c>
      <c r="J45" s="1416">
        <f>D45*$L$14*G45</f>
        <v/>
      </c>
      <c r="N45" s="562" t="n"/>
    </row>
    <row r="46" ht="14.4" customHeight="1" s="550">
      <c r="A46" s="1183">
        <f>'Presupuesto '!B227</f>
        <v/>
      </c>
      <c r="B46" s="567" t="n"/>
      <c r="C46" s="567" t="n"/>
      <c r="D46" s="1411">
        <f>'Presupuesto '!F238/'Presupuesto '!$F$240</f>
        <v/>
      </c>
      <c r="E46" s="1412" t="n"/>
      <c r="F46" s="1412" t="n"/>
      <c r="G46" s="1413">
        <f>F46-E46</f>
        <v/>
      </c>
      <c r="H46" s="1414">
        <f>D46*E46</f>
        <v/>
      </c>
      <c r="I46" s="1414">
        <f>D46*F46</f>
        <v/>
      </c>
      <c r="J46" s="1416">
        <f>D46*$L$14*G46</f>
        <v/>
      </c>
      <c r="N46" s="562" t="n"/>
    </row>
    <row r="47">
      <c r="A47" s="1241" t="inlineStr">
        <is>
          <t>TOTAL</t>
        </is>
      </c>
      <c r="B47" s="1217" t="n"/>
      <c r="C47" s="1217" t="n"/>
      <c r="D47" s="269">
        <f>SUM(D25:D46)</f>
        <v/>
      </c>
      <c r="E47" s="1217" t="n"/>
      <c r="F47" s="1217" t="n"/>
      <c r="G47" s="15" t="n"/>
      <c r="H47" s="1421">
        <f>SUM(H25:H46)</f>
        <v/>
      </c>
      <c r="I47" s="1421">
        <f>SUM(I25:I46)</f>
        <v/>
      </c>
      <c r="J47" s="1422">
        <f>SUM(J25:J46)</f>
        <v/>
      </c>
      <c r="N47" s="562" t="n"/>
    </row>
    <row r="48" ht="15.75" customHeight="1" s="550">
      <c r="A48" s="1181" t="inlineStr">
        <is>
          <t>ACTIVIDADES MÁS RELEVANTES DEL PERÍODO</t>
        </is>
      </c>
      <c r="N48" s="562" t="n"/>
    </row>
    <row r="49" ht="14.25" customHeight="1" s="550">
      <c r="A49" s="1237" t="inlineStr">
        <is>
          <t>UBICACIÓN</t>
        </is>
      </c>
      <c r="B49" s="609" t="n"/>
      <c r="C49" s="1222" t="inlineStr">
        <is>
          <t>DESCRIPCIÓN DE LA ACTIVIDAD</t>
        </is>
      </c>
      <c r="D49" s="609" t="n"/>
      <c r="E49" s="609" t="n"/>
      <c r="F49" s="609" t="n"/>
      <c r="G49" s="1222" t="inlineStr">
        <is>
          <t>AVANCE DEL PERÍODO</t>
        </is>
      </c>
      <c r="H49" s="609" t="n"/>
      <c r="I49" s="1222" t="inlineStr">
        <is>
          <t>RESPONSABLE</t>
        </is>
      </c>
      <c r="J49" s="609" t="n"/>
      <c r="K49" s="1423" t="inlineStr">
        <is>
          <t>OBSERVACIONES</t>
        </is>
      </c>
      <c r="L49" s="609" t="n"/>
      <c r="M49" s="609" t="n"/>
      <c r="N49" s="610" t="n"/>
    </row>
    <row r="50">
      <c r="A50" s="1259" t="n"/>
      <c r="B50" s="1126" t="n"/>
      <c r="C50" s="1177" t="n"/>
      <c r="D50" s="567" t="n"/>
      <c r="E50" s="567" t="n"/>
      <c r="F50" s="567" t="n"/>
      <c r="G50" s="1198" t="n"/>
      <c r="H50" s="567" t="n"/>
      <c r="I50" s="1126" t="n"/>
      <c r="J50" s="1126" t="n"/>
      <c r="K50" s="1424" t="n"/>
      <c r="L50" s="567" t="n"/>
      <c r="M50" s="567" t="n"/>
      <c r="N50" s="607" t="n"/>
    </row>
    <row r="51">
      <c r="A51" s="1184" t="n"/>
      <c r="B51" s="1136" t="n"/>
      <c r="C51" s="1177" t="n"/>
      <c r="D51" s="567" t="n"/>
      <c r="E51" s="567" t="n"/>
      <c r="F51" s="567" t="n"/>
      <c r="G51" s="1198" t="n"/>
      <c r="H51" s="567" t="n"/>
      <c r="I51" s="1249" t="n"/>
      <c r="J51" s="1136" t="n"/>
      <c r="K51" s="1425" t="n"/>
      <c r="L51" s="567" t="n"/>
      <c r="M51" s="567" t="n"/>
      <c r="N51" s="607" t="n"/>
    </row>
    <row r="52">
      <c r="A52" s="1191" t="n"/>
      <c r="B52" s="567" t="n"/>
      <c r="C52" s="1177" t="n"/>
      <c r="D52" s="567" t="n"/>
      <c r="E52" s="567" t="n"/>
      <c r="F52" s="567" t="n"/>
      <c r="G52" s="1198" t="n"/>
      <c r="H52" s="567" t="n"/>
      <c r="I52" s="1201" t="n"/>
      <c r="J52" s="567" t="n"/>
      <c r="K52" s="1425" t="n"/>
      <c r="L52" s="567" t="n"/>
      <c r="M52" s="567" t="n"/>
      <c r="N52" s="607" t="n"/>
    </row>
    <row r="53">
      <c r="A53" s="1191" t="n"/>
      <c r="B53" s="567" t="n"/>
      <c r="C53" s="1177" t="n"/>
      <c r="D53" s="567" t="n"/>
      <c r="E53" s="567" t="n"/>
      <c r="F53" s="567" t="n"/>
      <c r="G53" s="1198" t="n"/>
      <c r="H53" s="567" t="n"/>
      <c r="I53" s="1201" t="n"/>
      <c r="J53" s="567" t="n"/>
      <c r="K53" s="1425" t="n"/>
      <c r="L53" s="567" t="n"/>
      <c r="M53" s="567" t="n"/>
      <c r="N53" s="607" t="n"/>
      <c r="S53" s="13" t="n"/>
    </row>
    <row r="54">
      <c r="A54" s="1191" t="n"/>
      <c r="B54" s="567" t="n"/>
      <c r="C54" s="1177" t="n"/>
      <c r="D54" s="567" t="n"/>
      <c r="E54" s="567" t="n"/>
      <c r="F54" s="567" t="n"/>
      <c r="G54" s="1198" t="n"/>
      <c r="H54" s="567" t="n"/>
      <c r="I54" s="1201" t="n"/>
      <c r="J54" s="567" t="n"/>
      <c r="K54" s="1425" t="n"/>
      <c r="L54" s="567" t="n"/>
      <c r="M54" s="567" t="n"/>
      <c r="N54" s="607" t="n"/>
    </row>
    <row r="55">
      <c r="A55" s="1191" t="n"/>
      <c r="B55" s="567" t="n"/>
      <c r="C55" s="1177" t="n"/>
      <c r="D55" s="567" t="n"/>
      <c r="E55" s="567" t="n"/>
      <c r="F55" s="567" t="n"/>
      <c r="G55" s="1198" t="n"/>
      <c r="H55" s="567" t="n"/>
      <c r="I55" s="1201" t="n"/>
      <c r="J55" s="567" t="n"/>
      <c r="K55" s="1425" t="n"/>
      <c r="L55" s="567" t="n"/>
      <c r="M55" s="567" t="n"/>
      <c r="N55" s="607" t="n"/>
    </row>
    <row r="56">
      <c r="A56" s="1191" t="n"/>
      <c r="B56" s="567" t="n"/>
      <c r="C56" s="1177" t="n"/>
      <c r="D56" s="567" t="n"/>
      <c r="E56" s="567" t="n"/>
      <c r="F56" s="567" t="n"/>
      <c r="G56" s="1198" t="n"/>
      <c r="H56" s="567" t="n"/>
      <c r="I56" s="1201" t="n"/>
      <c r="J56" s="567" t="n"/>
      <c r="K56" s="1425" t="n"/>
      <c r="L56" s="567" t="n"/>
      <c r="M56" s="567" t="n"/>
      <c r="N56" s="607" t="n"/>
    </row>
    <row r="57">
      <c r="A57" s="1191" t="n"/>
      <c r="B57" s="567" t="n"/>
      <c r="C57" s="1177" t="n"/>
      <c r="D57" s="567" t="n"/>
      <c r="E57" s="567" t="n"/>
      <c r="F57" s="567" t="n"/>
      <c r="G57" s="1198" t="n"/>
      <c r="H57" s="567" t="n"/>
      <c r="I57" s="1201" t="n"/>
      <c r="J57" s="567" t="n"/>
      <c r="K57" s="1425" t="n"/>
      <c r="L57" s="567" t="n"/>
      <c r="M57" s="567" t="n"/>
      <c r="N57" s="607" t="n"/>
    </row>
    <row r="58">
      <c r="A58" s="1191" t="n"/>
      <c r="B58" s="567" t="n"/>
      <c r="C58" s="1177" t="n"/>
      <c r="D58" s="567" t="n"/>
      <c r="E58" s="567" t="n"/>
      <c r="F58" s="567" t="n"/>
      <c r="G58" s="1198" t="n"/>
      <c r="H58" s="567" t="n"/>
      <c r="I58" s="1201" t="n"/>
      <c r="J58" s="567" t="n"/>
      <c r="K58" s="1425" t="n"/>
      <c r="L58" s="567" t="n"/>
      <c r="M58" s="567" t="n"/>
      <c r="N58" s="607" t="n"/>
    </row>
    <row r="59" ht="14.4" customHeight="1" s="550">
      <c r="A59" s="1186" t="inlineStr">
        <is>
          <t>AVANCE FINANCIERO Y ADMINISTRATIVO</t>
        </is>
      </c>
      <c r="B59" s="1064" t="n"/>
      <c r="C59" s="1064" t="n"/>
      <c r="D59" s="1064" t="n"/>
      <c r="E59" s="1064" t="n"/>
      <c r="F59" s="1064" t="n"/>
      <c r="G59" s="1064" t="n"/>
      <c r="H59" s="1064" t="n"/>
      <c r="I59" s="1064" t="n"/>
      <c r="J59" s="1064" t="n"/>
      <c r="K59" s="1064" t="n"/>
      <c r="L59" s="1064" t="n"/>
      <c r="M59" s="1064" t="n"/>
      <c r="N59" s="1065" t="n"/>
    </row>
    <row r="60" ht="14.4" customHeight="1" s="550">
      <c r="A60" s="1210" t="inlineStr">
        <is>
          <t>INGRESOS DEL PERÍODO</t>
        </is>
      </c>
      <c r="B60" s="567" t="n"/>
      <c r="C60" s="567" t="n"/>
      <c r="D60" s="567" t="n"/>
      <c r="E60" s="567" t="n"/>
      <c r="F60" s="567" t="n"/>
      <c r="G60" s="383" t="n"/>
      <c r="H60" s="1228" t="inlineStr">
        <is>
          <t>EGRESOS / GASTOS DEL PERÍODO</t>
        </is>
      </c>
      <c r="N60" s="562" t="n"/>
    </row>
    <row r="61">
      <c r="A61" s="1251" t="inlineStr">
        <is>
          <t>CONCEPTO</t>
        </is>
      </c>
      <c r="B61" s="567" t="n"/>
      <c r="C61" s="567" t="n"/>
      <c r="D61" s="1426" t="inlineStr">
        <is>
          <t>FECHA</t>
        </is>
      </c>
      <c r="E61" s="1427" t="inlineStr">
        <is>
          <t>VALOR ($)</t>
        </is>
      </c>
      <c r="F61" s="567" t="n"/>
      <c r="G61" s="385" t="n"/>
      <c r="H61" s="1238" t="inlineStr">
        <is>
          <t>CONCEPTO</t>
        </is>
      </c>
      <c r="I61" s="567" t="n"/>
      <c r="J61" s="567" t="n"/>
      <c r="K61" s="1260" t="inlineStr">
        <is>
          <t>FECHA</t>
        </is>
      </c>
      <c r="L61" s="609" t="n"/>
      <c r="M61" s="1428" t="inlineStr">
        <is>
          <t>VALOR ($)</t>
        </is>
      </c>
      <c r="N61" s="610" t="n"/>
    </row>
    <row r="62">
      <c r="A62" s="1202" t="n"/>
      <c r="B62" s="567" t="n"/>
      <c r="C62" s="567" t="n"/>
      <c r="D62" s="1429" t="n"/>
      <c r="E62" s="1430" t="n"/>
      <c r="F62" s="567" t="n"/>
      <c r="G62" s="383" t="n"/>
      <c r="H62" s="1192" t="n"/>
      <c r="I62" s="567" t="n"/>
      <c r="J62" s="567" t="n"/>
      <c r="K62" s="1219" t="n"/>
      <c r="L62" s="567" t="n"/>
      <c r="M62" s="1431" t="n"/>
      <c r="N62" s="607" t="n"/>
    </row>
    <row r="63">
      <c r="A63" s="1202" t="n"/>
      <c r="B63" s="567" t="n"/>
      <c r="C63" s="567" t="n"/>
      <c r="D63" s="1429" t="n"/>
      <c r="E63" s="1430" t="n"/>
      <c r="F63" s="567" t="n"/>
      <c r="G63" s="383" t="n"/>
      <c r="H63" s="1192" t="n"/>
      <c r="I63" s="567" t="n"/>
      <c r="J63" s="567" t="n"/>
      <c r="K63" s="1219" t="n"/>
      <c r="L63" s="567" t="n"/>
      <c r="M63" s="1431" t="n"/>
      <c r="N63" s="607" t="n"/>
    </row>
    <row r="64">
      <c r="A64" s="1202" t="n"/>
      <c r="B64" s="567" t="n"/>
      <c r="C64" s="567" t="n"/>
      <c r="D64" s="1429" t="n"/>
      <c r="E64" s="1430" t="n"/>
      <c r="F64" s="567" t="n"/>
      <c r="G64" s="383" t="n"/>
      <c r="H64" s="1192" t="n"/>
      <c r="I64" s="567" t="n"/>
      <c r="J64" s="567" t="n"/>
      <c r="K64" s="1219" t="n"/>
      <c r="L64" s="567" t="n"/>
      <c r="M64" s="1431" t="n"/>
      <c r="N64" s="607" t="n"/>
    </row>
    <row r="65">
      <c r="A65" s="1202" t="n"/>
      <c r="B65" s="567" t="n"/>
      <c r="C65" s="567" t="n"/>
      <c r="D65" s="1429" t="n"/>
      <c r="E65" s="1430" t="n"/>
      <c r="F65" s="567" t="n"/>
      <c r="G65" s="383" t="n"/>
      <c r="H65" s="1192" t="n"/>
      <c r="I65" s="567" t="n"/>
      <c r="J65" s="567" t="n"/>
      <c r="K65" s="1219" t="n"/>
      <c r="L65" s="567" t="n"/>
      <c r="M65" s="1431" t="n"/>
      <c r="N65" s="607" t="n"/>
    </row>
    <row r="66">
      <c r="A66" s="1202" t="n"/>
      <c r="B66" s="567" t="n"/>
      <c r="C66" s="567" t="n"/>
      <c r="D66" s="1429" t="n"/>
      <c r="E66" s="1430" t="n"/>
      <c r="F66" s="567" t="n"/>
      <c r="G66" s="383" t="n"/>
      <c r="H66" s="1192" t="n"/>
      <c r="I66" s="567" t="n"/>
      <c r="J66" s="567" t="n"/>
      <c r="K66" s="1219" t="n"/>
      <c r="L66" s="567" t="n"/>
      <c r="M66" s="1431" t="n"/>
      <c r="N66" s="607" t="n"/>
    </row>
    <row r="67" ht="14.4" customHeight="1" s="550">
      <c r="A67" s="1257" t="inlineStr">
        <is>
          <t>TOTAL INGRESOS</t>
        </is>
      </c>
      <c r="B67" s="1217" t="n"/>
      <c r="C67" s="1217" t="n"/>
      <c r="D67" s="1217" t="n"/>
      <c r="E67" s="1433">
        <f>SUM(E62:F66)</f>
        <v/>
      </c>
      <c r="F67" s="1217" t="n"/>
      <c r="G67" s="386" t="n"/>
      <c r="H67" s="1235" t="inlineStr">
        <is>
          <t>TOTAL EGRESOS</t>
        </is>
      </c>
      <c r="I67" s="1064" t="n"/>
      <c r="J67" s="1064" t="n"/>
      <c r="K67" s="1064" t="n"/>
      <c r="L67" s="1064" t="n"/>
      <c r="M67" s="1434">
        <f>SUM(M62:N66)</f>
        <v/>
      </c>
      <c r="N67" s="1065" t="n"/>
    </row>
    <row r="68" ht="15.75" customHeight="1" s="550">
      <c r="A68" s="1181" t="inlineStr">
        <is>
          <t>ASPECTOS HSE Y AMBIENTALES</t>
        </is>
      </c>
      <c r="N68" s="562" t="n"/>
    </row>
    <row r="69" ht="14.25" customHeight="1" s="550">
      <c r="A69" s="1221" t="inlineStr">
        <is>
          <t>HORAS HOMBRE TRABAJADAS</t>
        </is>
      </c>
      <c r="B69" s="567" t="n"/>
      <c r="C69" s="567" t="n"/>
      <c r="D69" s="567" t="n"/>
      <c r="E69" s="567" t="n"/>
      <c r="F69" s="567" t="n"/>
      <c r="G69" s="567" t="n"/>
      <c r="H69" s="567" t="n"/>
      <c r="I69" s="567" t="n"/>
      <c r="J69" s="567" t="n"/>
      <c r="K69" s="567" t="n"/>
      <c r="L69" s="567" t="n"/>
      <c r="M69" s="567" t="n"/>
      <c r="N69" s="607" t="n"/>
    </row>
    <row r="70">
      <c r="A70" s="1256" t="n"/>
      <c r="B70" s="567" t="n"/>
      <c r="C70" s="567" t="n"/>
      <c r="D70" s="567" t="n"/>
      <c r="E70" s="567" t="n"/>
      <c r="F70" s="567" t="n"/>
      <c r="G70" s="567" t="n"/>
      <c r="H70" s="567" t="n"/>
      <c r="I70" s="567" t="n"/>
      <c r="J70" s="567" t="n"/>
      <c r="K70" s="567" t="n"/>
      <c r="L70" s="567" t="n"/>
      <c r="M70" s="567" t="n"/>
      <c r="N70" s="607" t="n"/>
    </row>
    <row r="71" ht="14.25" customHeight="1" s="550">
      <c r="A71" s="1435" t="inlineStr">
        <is>
          <t>OBSERVACIONES HSE</t>
        </is>
      </c>
      <c r="N71" s="562" t="n"/>
    </row>
    <row r="72">
      <c r="A72" s="1436" t="n"/>
      <c r="N72" s="562" t="n"/>
    </row>
    <row r="73">
      <c r="A73" s="1207" t="inlineStr">
        <is>
          <t>INSERTAR FOTOGRAFÍA</t>
        </is>
      </c>
      <c r="B73" s="776" t="n"/>
      <c r="C73" s="776" t="n"/>
      <c r="D73" s="776" t="n"/>
      <c r="E73" s="776" t="n"/>
      <c r="F73" s="776" t="n"/>
      <c r="G73" s="777" t="n"/>
      <c r="H73" s="1189" t="inlineStr">
        <is>
          <t>INSERTAR FOTOGRAFÍA</t>
        </is>
      </c>
      <c r="I73" s="776" t="n"/>
      <c r="J73" s="776" t="n"/>
      <c r="K73" s="776" t="n"/>
      <c r="L73" s="776" t="n"/>
      <c r="M73" s="776" t="n"/>
      <c r="N73" s="777" t="n"/>
    </row>
    <row r="74" ht="14.25" customHeight="1" s="550">
      <c r="A74" s="1066" t="n"/>
      <c r="G74" s="780" t="n"/>
      <c r="H74" s="778" t="n"/>
      <c r="N74" s="780" t="n"/>
    </row>
    <row r="75">
      <c r="A75" s="1066" t="n"/>
      <c r="G75" s="780" t="n"/>
      <c r="H75" s="778" t="n"/>
      <c r="N75" s="780" t="n"/>
    </row>
    <row r="76">
      <c r="A76" s="1066" t="n"/>
      <c r="G76" s="780" t="n"/>
      <c r="H76" s="778" t="n"/>
      <c r="N76" s="780" t="n"/>
    </row>
    <row r="77" ht="14.25" customHeight="1" s="550">
      <c r="A77" s="1066" t="n"/>
      <c r="G77" s="780" t="n"/>
      <c r="H77" s="778" t="n"/>
      <c r="N77" s="780" t="n"/>
    </row>
    <row r="78">
      <c r="A78" s="1066" t="n"/>
      <c r="G78" s="780" t="n"/>
      <c r="H78" s="778" t="n"/>
      <c r="N78" s="780" t="n"/>
    </row>
    <row r="79">
      <c r="A79" s="1066" t="n"/>
      <c r="G79" s="780" t="n"/>
      <c r="H79" s="778" t="n"/>
      <c r="N79" s="780" t="n"/>
    </row>
    <row r="80" ht="15.75" customHeight="1" s="550">
      <c r="A80" s="1066" t="n"/>
      <c r="G80" s="780" t="n"/>
      <c r="H80" s="778" t="n"/>
      <c r="N80" s="780" t="n"/>
    </row>
    <row r="81" ht="14.4" customHeight="1" s="550">
      <c r="A81" s="1066" t="n"/>
      <c r="G81" s="780" t="n"/>
      <c r="H81" s="778" t="n"/>
      <c r="N81" s="780" t="n"/>
    </row>
    <row r="82">
      <c r="A82" s="1066" t="n"/>
      <c r="G82" s="780" t="n"/>
      <c r="H82" s="778" t="n"/>
      <c r="N82" s="780" t="n"/>
    </row>
    <row r="83">
      <c r="A83" s="1066" t="n"/>
      <c r="G83" s="780" t="n"/>
      <c r="H83" s="778" t="n"/>
      <c r="N83" s="780" t="n"/>
    </row>
    <row r="84">
      <c r="A84" s="1066" t="n"/>
      <c r="G84" s="780" t="n"/>
      <c r="H84" s="778" t="n"/>
      <c r="N84" s="780" t="n"/>
    </row>
    <row r="85">
      <c r="A85" s="1066" t="n"/>
      <c r="G85" s="780" t="n"/>
      <c r="H85" s="778" t="n"/>
      <c r="N85" s="780" t="n"/>
    </row>
    <row r="86">
      <c r="A86" s="1208" t="n"/>
      <c r="B86" s="782" t="n"/>
      <c r="C86" s="782" t="n"/>
      <c r="D86" s="782" t="n"/>
      <c r="E86" s="782" t="n"/>
      <c r="F86" s="782" t="n"/>
      <c r="G86" s="783" t="n"/>
      <c r="H86" s="781" t="n"/>
      <c r="I86" s="782" t="n"/>
      <c r="J86" s="782" t="n"/>
      <c r="K86" s="782" t="n"/>
      <c r="L86" s="782" t="n"/>
      <c r="M86" s="782" t="n"/>
      <c r="N86" s="783" t="n"/>
    </row>
    <row r="87">
      <c r="A87" s="1404" t="n"/>
      <c r="H87" s="1404" t="n"/>
    </row>
    <row r="88"/>
    <row r="89">
      <c r="A89" s="1207" t="inlineStr">
        <is>
          <t>INSERTAR FOTOGRAFÍA</t>
        </is>
      </c>
      <c r="B89" s="776" t="n"/>
      <c r="C89" s="776" t="n"/>
      <c r="D89" s="776" t="n"/>
      <c r="E89" s="776" t="n"/>
      <c r="F89" s="776" t="n"/>
      <c r="G89" s="777" t="n"/>
      <c r="H89" s="1189" t="inlineStr">
        <is>
          <t>INSERTAR FOTOGRAFÍA</t>
        </is>
      </c>
      <c r="I89" s="776" t="n"/>
      <c r="J89" s="776" t="n"/>
      <c r="K89" s="776" t="n"/>
      <c r="L89" s="776" t="n"/>
      <c r="M89" s="776" t="n"/>
      <c r="N89" s="777" t="n"/>
    </row>
    <row r="90">
      <c r="A90" s="1066" t="n"/>
      <c r="G90" s="780" t="n"/>
      <c r="H90" s="778" t="n"/>
      <c r="N90" s="780" t="n"/>
    </row>
    <row r="91">
      <c r="A91" s="1066" t="n"/>
      <c r="G91" s="780" t="n"/>
      <c r="H91" s="778" t="n"/>
      <c r="N91" s="780" t="n"/>
    </row>
    <row r="92">
      <c r="A92" s="1066" t="n"/>
      <c r="G92" s="780" t="n"/>
      <c r="H92" s="778" t="n"/>
      <c r="N92" s="780" t="n"/>
    </row>
    <row r="93">
      <c r="A93" s="1066" t="n"/>
      <c r="G93" s="780" t="n"/>
      <c r="H93" s="778" t="n"/>
      <c r="N93" s="780" t="n"/>
    </row>
    <row r="94">
      <c r="A94" s="1066" t="n"/>
      <c r="G94" s="780" t="n"/>
      <c r="H94" s="778" t="n"/>
      <c r="N94" s="780" t="n"/>
    </row>
    <row r="95">
      <c r="A95" s="1066" t="n"/>
      <c r="G95" s="780" t="n"/>
      <c r="H95" s="778" t="n"/>
      <c r="N95" s="780" t="n"/>
    </row>
    <row r="96">
      <c r="A96" s="1066" t="n"/>
      <c r="G96" s="780" t="n"/>
      <c r="H96" s="778" t="n"/>
      <c r="N96" s="780" t="n"/>
    </row>
    <row r="97">
      <c r="A97" s="1066" t="n"/>
      <c r="G97" s="780" t="n"/>
      <c r="H97" s="778" t="n"/>
      <c r="N97" s="780" t="n"/>
    </row>
    <row r="98">
      <c r="A98" s="1066" t="n"/>
      <c r="G98" s="780" t="n"/>
      <c r="H98" s="778" t="n"/>
      <c r="N98" s="780" t="n"/>
    </row>
    <row r="99">
      <c r="A99" s="1066" t="n"/>
      <c r="G99" s="780" t="n"/>
      <c r="H99" s="778" t="n"/>
      <c r="N99" s="780" t="n"/>
    </row>
    <row r="100">
      <c r="A100" s="1066" t="n"/>
      <c r="G100" s="780" t="n"/>
      <c r="H100" s="778" t="n"/>
      <c r="N100" s="780" t="n"/>
    </row>
    <row r="101">
      <c r="A101" s="1066" t="n"/>
      <c r="G101" s="780" t="n"/>
      <c r="H101" s="778" t="n"/>
      <c r="N101" s="780" t="n"/>
    </row>
    <row r="102">
      <c r="A102" s="1208" t="n"/>
      <c r="B102" s="782" t="n"/>
      <c r="C102" s="782" t="n"/>
      <c r="D102" s="782" t="n"/>
      <c r="E102" s="782" t="n"/>
      <c r="F102" s="782" t="n"/>
      <c r="G102" s="783" t="n"/>
      <c r="H102" s="781" t="n"/>
      <c r="I102" s="782" t="n"/>
      <c r="J102" s="782" t="n"/>
      <c r="K102" s="782" t="n"/>
      <c r="L102" s="782" t="n"/>
      <c r="M102" s="782" t="n"/>
      <c r="N102" s="783" t="n"/>
    </row>
    <row r="103">
      <c r="A103" s="1404" t="n"/>
      <c r="H103" s="1404" t="n"/>
    </row>
    <row r="104"/>
    <row r="105">
      <c r="A105" s="1207" t="inlineStr">
        <is>
          <t>INSERTAR FOTOGRAFÍA</t>
        </is>
      </c>
      <c r="B105" s="776" t="n"/>
      <c r="C105" s="776" t="n"/>
      <c r="D105" s="776" t="n"/>
      <c r="E105" s="776" t="n"/>
      <c r="F105" s="776" t="n"/>
      <c r="G105" s="777" t="n"/>
      <c r="H105" s="1189" t="inlineStr">
        <is>
          <t>INSERTAR FOTOGRAFÍA</t>
        </is>
      </c>
      <c r="I105" s="776" t="n"/>
      <c r="J105" s="776" t="n"/>
      <c r="K105" s="776" t="n"/>
      <c r="L105" s="776" t="n"/>
      <c r="M105" s="776" t="n"/>
      <c r="N105" s="777" t="n"/>
    </row>
    <row r="106">
      <c r="A106" s="1066" t="n"/>
      <c r="G106" s="780" t="n"/>
      <c r="H106" s="778" t="n"/>
      <c r="N106" s="780" t="n"/>
    </row>
    <row r="107">
      <c r="A107" s="1066" t="n"/>
      <c r="G107" s="780" t="n"/>
      <c r="H107" s="778" t="n"/>
      <c r="N107" s="780" t="n"/>
    </row>
    <row r="108">
      <c r="A108" s="1066" t="n"/>
      <c r="G108" s="780" t="n"/>
      <c r="H108" s="778" t="n"/>
      <c r="N108" s="780" t="n"/>
    </row>
    <row r="109">
      <c r="A109" s="1066" t="n"/>
      <c r="G109" s="780" t="n"/>
      <c r="H109" s="778" t="n"/>
      <c r="N109" s="780" t="n"/>
    </row>
    <row r="110">
      <c r="A110" s="1066" t="n"/>
      <c r="G110" s="780" t="n"/>
      <c r="H110" s="778" t="n"/>
      <c r="N110" s="780" t="n"/>
    </row>
    <row r="111">
      <c r="A111" s="1066" t="n"/>
      <c r="G111" s="780" t="n"/>
      <c r="H111" s="778" t="n"/>
      <c r="N111" s="780" t="n"/>
    </row>
    <row r="112">
      <c r="A112" s="1066" t="n"/>
      <c r="G112" s="780" t="n"/>
      <c r="H112" s="778" t="n"/>
      <c r="N112" s="780" t="n"/>
    </row>
    <row r="113">
      <c r="A113" s="1066" t="n"/>
      <c r="G113" s="780" t="n"/>
      <c r="H113" s="778" t="n"/>
      <c r="N113" s="780" t="n"/>
    </row>
    <row r="114">
      <c r="A114" s="1066" t="n"/>
      <c r="G114" s="780" t="n"/>
      <c r="H114" s="778" t="n"/>
      <c r="N114" s="780" t="n"/>
    </row>
    <row r="115">
      <c r="A115" s="1066" t="n"/>
      <c r="G115" s="780" t="n"/>
      <c r="H115" s="778" t="n"/>
      <c r="N115" s="780" t="n"/>
    </row>
    <row r="116">
      <c r="A116" s="1066" t="n"/>
      <c r="G116" s="780" t="n"/>
      <c r="H116" s="778" t="n"/>
      <c r="N116" s="780" t="n"/>
    </row>
    <row r="117">
      <c r="A117" s="1066" t="n"/>
      <c r="G117" s="780" t="n"/>
      <c r="H117" s="778" t="n"/>
      <c r="N117" s="780" t="n"/>
    </row>
    <row r="118">
      <c r="A118" s="1208" t="n"/>
      <c r="B118" s="782" t="n"/>
      <c r="C118" s="782" t="n"/>
      <c r="D118" s="782" t="n"/>
      <c r="E118" s="782" t="n"/>
      <c r="F118" s="782" t="n"/>
      <c r="G118" s="783" t="n"/>
      <c r="H118" s="781" t="n"/>
      <c r="I118" s="782" t="n"/>
      <c r="J118" s="782" t="n"/>
      <c r="K118" s="782" t="n"/>
      <c r="L118" s="782" t="n"/>
      <c r="M118" s="782" t="n"/>
      <c r="N118" s="783" t="n"/>
    </row>
    <row r="119">
      <c r="A119" s="1404" t="n"/>
      <c r="H119" s="1404" t="n"/>
    </row>
    <row r="120"/>
    <row r="121">
      <c r="A121" s="1254" t="n"/>
      <c r="G121" s="780" t="n"/>
      <c r="H121" s="1226" t="n"/>
      <c r="N121" s="780" t="n"/>
    </row>
    <row r="122">
      <c r="A122" s="1250" t="inlineStr">
        <is>
          <t>FIRMAS</t>
        </is>
      </c>
      <c r="N122" s="1100" t="n"/>
    </row>
    <row r="123" ht="14.4" customHeight="1" s="550">
      <c r="A123" s="1258" t="inlineStr">
        <is>
          <t>ELABORADO POR</t>
        </is>
      </c>
      <c r="E123" s="1218" t="inlineStr">
        <is>
          <t>REVISADO POR</t>
        </is>
      </c>
      <c r="J123" s="1220" t="inlineStr">
        <is>
          <t>APROBADO POR</t>
        </is>
      </c>
      <c r="N123" s="562" t="n"/>
    </row>
    <row r="124">
      <c r="A124" s="1255" t="inlineStr">
        <is>
          <t>FIRMA:</t>
        </is>
      </c>
      <c r="B124" s="1179" t="n"/>
      <c r="C124" s="1064" t="n"/>
      <c r="D124" s="1064" t="n"/>
      <c r="E124" s="1229" t="inlineStr">
        <is>
          <t>FIRMA:</t>
        </is>
      </c>
      <c r="F124" s="1179" t="n"/>
      <c r="G124" s="1064" t="n"/>
      <c r="H124" s="1064" t="n"/>
      <c r="I124" s="1064" t="n"/>
      <c r="J124" s="1229" t="inlineStr">
        <is>
          <t>FIRMA:</t>
        </is>
      </c>
      <c r="K124" s="1214" t="n"/>
      <c r="N124" s="562" t="n"/>
    </row>
    <row r="125">
      <c r="A125" s="1077" t="n"/>
      <c r="B125" s="609" t="n"/>
      <c r="C125" s="609" t="n"/>
      <c r="D125" s="609" t="n"/>
      <c r="E125" s="609" t="n"/>
      <c r="F125" s="609" t="n"/>
      <c r="G125" s="609" t="n"/>
      <c r="H125" s="609" t="n"/>
      <c r="I125" s="609" t="n"/>
      <c r="J125" s="609" t="n"/>
      <c r="N125" s="562" t="n"/>
    </row>
    <row r="126">
      <c r="A126" s="1255" t="inlineStr">
        <is>
          <t>NOMBRE:</t>
        </is>
      </c>
      <c r="B126" s="1179" t="n"/>
      <c r="C126" s="1064" t="n"/>
      <c r="D126" s="1064" t="n"/>
      <c r="E126" s="1229" t="inlineStr">
        <is>
          <t>NOMBRE:</t>
        </is>
      </c>
      <c r="F126" s="1179" t="n"/>
      <c r="G126" s="1064" t="n"/>
      <c r="H126" s="1064" t="n"/>
      <c r="I126" s="1064" t="n"/>
      <c r="J126" s="1229" t="inlineStr">
        <is>
          <t>NOMBRE:</t>
        </is>
      </c>
      <c r="K126" s="1214" t="n"/>
      <c r="N126" s="562" t="n"/>
    </row>
    <row r="127">
      <c r="A127" s="1077" t="n"/>
      <c r="B127" s="609" t="n"/>
      <c r="C127" s="609" t="n"/>
      <c r="D127" s="609" t="n"/>
      <c r="E127" s="609" t="n"/>
      <c r="F127" s="609" t="n"/>
      <c r="G127" s="609" t="n"/>
      <c r="H127" s="609" t="n"/>
      <c r="I127" s="609" t="n"/>
      <c r="J127" s="609" t="n"/>
      <c r="N127" s="562" t="n"/>
    </row>
    <row r="128">
      <c r="A128" s="1178" t="inlineStr">
        <is>
          <t>CARGO:</t>
        </is>
      </c>
      <c r="B128" s="1211" t="n"/>
      <c r="C128" s="1064" t="n"/>
      <c r="D128" s="1064" t="n"/>
      <c r="E128" s="1200" t="inlineStr">
        <is>
          <t>CARGO:</t>
        </is>
      </c>
      <c r="F128" s="1211" t="n"/>
      <c r="G128" s="1064" t="n"/>
      <c r="H128" s="1064" t="n"/>
      <c r="I128" s="1064" t="n"/>
      <c r="J128" s="1200" t="inlineStr">
        <is>
          <t>CARGO:</t>
        </is>
      </c>
      <c r="K128" s="1231" t="n"/>
      <c r="N128" s="562" t="n"/>
    </row>
    <row r="129">
      <c r="A129" s="1067" t="n"/>
      <c r="B129" s="557" t="n"/>
      <c r="C129" s="557" t="n"/>
      <c r="D129" s="557" t="n"/>
      <c r="E129" s="557" t="n"/>
      <c r="F129" s="557" t="n"/>
      <c r="G129" s="557" t="n"/>
      <c r="H129" s="557" t="n"/>
      <c r="I129" s="557" t="n"/>
      <c r="J129" s="557" t="n"/>
      <c r="K129" s="557" t="n"/>
      <c r="L129" s="557" t="n"/>
      <c r="M129" s="557" t="n"/>
      <c r="N129" s="763" t="n"/>
    </row>
    <row r="130">
      <c r="A130" s="205" t="inlineStr">
        <is>
          <t>REV. 10/09/2026</t>
        </is>
      </c>
      <c r="N130" s="215">
        <f>M8</f>
        <v/>
      </c>
      <c r="O130" s="24" t="n"/>
    </row>
    <row r="131">
      <c r="N131" s="216" t="n"/>
      <c r="O131" s="25" t="n"/>
    </row>
  </sheetData>
  <mergeCells count="221">
    <mergeCell ref="C52:F52"/>
    <mergeCell ref="A128:A129"/>
    <mergeCell ref="B124:D125"/>
    <mergeCell ref="A37:C37"/>
    <mergeCell ref="A48:N48"/>
    <mergeCell ref="A46:C46"/>
    <mergeCell ref="A51:B51"/>
    <mergeCell ref="E62:F62"/>
    <mergeCell ref="A59:N59"/>
    <mergeCell ref="E23:E24"/>
    <mergeCell ref="A21:C21"/>
    <mergeCell ref="F124:I125"/>
    <mergeCell ref="A26:C26"/>
    <mergeCell ref="A13:D13"/>
    <mergeCell ref="E64:F64"/>
    <mergeCell ref="A54:B54"/>
    <mergeCell ref="H105:N118"/>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16:D16"/>
    <mergeCell ref="I52:J52"/>
    <mergeCell ref="A34:C34"/>
    <mergeCell ref="M8:N8"/>
    <mergeCell ref="A53:B53"/>
    <mergeCell ref="C50:F50"/>
    <mergeCell ref="A60:F60"/>
    <mergeCell ref="C56:F56"/>
    <mergeCell ref="B128:D129"/>
    <mergeCell ref="K58:N58"/>
    <mergeCell ref="M62:N62"/>
    <mergeCell ref="J46:N46"/>
    <mergeCell ref="H23:H24"/>
    <mergeCell ref="A89:G102"/>
    <mergeCell ref="H103:N104"/>
    <mergeCell ref="H64:J64"/>
    <mergeCell ref="K124:N125"/>
    <mergeCell ref="F128:I129"/>
    <mergeCell ref="J39:N3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H89:N102"/>
    <mergeCell ref="K128:N129"/>
    <mergeCell ref="E1:N5"/>
    <mergeCell ref="A52:B52"/>
    <mergeCell ref="H87:N88"/>
    <mergeCell ref="K56:N56"/>
    <mergeCell ref="K66:L66"/>
    <mergeCell ref="D23:D24"/>
    <mergeCell ref="M66:N66"/>
    <mergeCell ref="E126:E127"/>
    <mergeCell ref="J42:N42"/>
    <mergeCell ref="E66:F66"/>
    <mergeCell ref="M63:N63"/>
    <mergeCell ref="K52:N52"/>
    <mergeCell ref="D21:F21"/>
    <mergeCell ref="A105:G118"/>
    <mergeCell ref="A23:C24"/>
    <mergeCell ref="A25:C25"/>
    <mergeCell ref="A119:G120"/>
    <mergeCell ref="H67:L67"/>
    <mergeCell ref="J44:N44"/>
    <mergeCell ref="L14:N14"/>
    <mergeCell ref="A49:B49"/>
    <mergeCell ref="E16:H16"/>
    <mergeCell ref="H61:J61"/>
    <mergeCell ref="M67:N67"/>
    <mergeCell ref="M9:N9"/>
    <mergeCell ref="J28:N28"/>
    <mergeCell ref="A103:G104"/>
    <mergeCell ref="J37:N37"/>
    <mergeCell ref="C57:F57"/>
    <mergeCell ref="A42:C42"/>
    <mergeCell ref="C53:F53"/>
    <mergeCell ref="M11:N11"/>
    <mergeCell ref="J30:N30"/>
    <mergeCell ref="A47:C47"/>
    <mergeCell ref="H65:J65"/>
    <mergeCell ref="A62:C62"/>
    <mergeCell ref="G20:I20"/>
    <mergeCell ref="F23:F24"/>
    <mergeCell ref="C58:F58"/>
    <mergeCell ref="A20:C20"/>
    <mergeCell ref="H119:N1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G21:I21"/>
    <mergeCell ref="D20:F20"/>
    <mergeCell ref="I15:K15"/>
    <mergeCell ref="A22:E22"/>
    <mergeCell ref="H73:N86"/>
    <mergeCell ref="J47:N47"/>
    <mergeCell ref="A64:C64"/>
    <mergeCell ref="G51:H51"/>
    <mergeCell ref="H63:J63"/>
    <mergeCell ref="I51:J51"/>
    <mergeCell ref="A122:N122"/>
    <mergeCell ref="G54:H54"/>
    <mergeCell ref="J43:N43"/>
    <mergeCell ref="K65:L65"/>
    <mergeCell ref="A61:C61"/>
    <mergeCell ref="A72:N72"/>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87:G88"/>
    <mergeCell ref="A126:A127"/>
    <mergeCell ref="G53:H53"/>
    <mergeCell ref="J36:N36"/>
    <mergeCell ref="I53:J53"/>
    <mergeCell ref="A35:C35"/>
    <mergeCell ref="A73:G86"/>
    <mergeCell ref="J45:N45"/>
    <mergeCell ref="A123:D123"/>
    <mergeCell ref="A50:B50"/>
    <mergeCell ref="H62:J62"/>
    <mergeCell ref="I55:J55"/>
    <mergeCell ref="A39:C39"/>
    <mergeCell ref="K61:L61"/>
    <mergeCell ref="J31:N31"/>
    <mergeCell ref="M61:N61"/>
    <mergeCell ref="C55:F55"/>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2026-09-21T20:57:22Z</dcterms:modified>
  <cp:lastModifiedBy>Hugo Fernando Hurtado Ruiz</cp:lastModifiedBy>
  <cp:revision>1</cp:revision>
  <cp:lastPrinted>2026-09-14T01:27:33Z</cp:lastPrinted>
</cp:coreProperties>
</file>