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cha Técnica del Proyecto" sheetId="1" state="visible" r:id="rId3"/>
    <sheet name="Presupuesto " sheetId="2" state="visible" r:id="rId4"/>
    <sheet name="Informe Mensual"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<sst xmlns="http://schemas.openxmlformats.org/spreadsheetml/2006/main" count="722" uniqueCount="512">
  <si>
    <t xml:space="preserve">FICHA TÉCNICA DEL PROYECTO</t>
  </si>
  <si>
    <t xml:space="preserve">CONTROL DOCUMENTAL</t>
  </si>
  <si>
    <t xml:space="preserve">REFORMAS Y REMODELACIONES</t>
  </si>
  <si>
    <t xml:space="preserve">Código</t>
  </si>
  <si>
    <t xml:space="preserve">RYR-FT-001</t>
  </si>
  <si>
    <t xml:space="preserve">DISEÑAMOS, RENOVAMOS Y CONSTRUIMOS ESPACIOS QUE INSPIRAN</t>
  </si>
  <si>
    <t xml:space="preserve">Versión</t>
  </si>
  <si>
    <t xml:space="preserve">Fecha de Emisión</t>
  </si>
  <si>
    <t xml:space="preserve">10/09/2026</t>
  </si>
  <si>
    <t xml:space="preserve">Página</t>
  </si>
  <si>
    <t xml:space="preserve">1 de 1</t>
  </si>
  <si>
    <t xml:space="preserve">IDENTIFICACIÓN DEL PROYECTO</t>
  </si>
  <si>
    <t xml:space="preserve">Proyecto</t>
  </si>
  <si>
    <t xml:space="preserve">No de Contrato</t>
  </si>
  <si>
    <t xml:space="preserve">Contratista</t>
  </si>
  <si>
    <t xml:space="preserve">Ubicación</t>
  </si>
  <si>
    <t xml:space="preserve">DATOS GENERALES DEL PROYECTO</t>
  </si>
  <si>
    <t xml:space="preserve">Número de pisos (torre)</t>
  </si>
  <si>
    <t xml:space="preserve">pisos</t>
  </si>
  <si>
    <t xml:space="preserve">Número de sótanos (parqueaderos)</t>
  </si>
  <si>
    <t xml:space="preserve">niveles</t>
  </si>
  <si>
    <t xml:space="preserve">Área del lote</t>
  </si>
  <si>
    <t xml:space="preserve">m²</t>
  </si>
  <si>
    <t xml:space="preserve">Área construida típica por piso</t>
  </si>
  <si>
    <t xml:space="preserve">Área construida - torre (12 pisos)</t>
  </si>
  <si>
    <t xml:space="preserve">Área construida - sótanos (2 niveles)</t>
  </si>
  <si>
    <t xml:space="preserve">Área cubierta / cuarto de máquinas / tanques</t>
  </si>
  <si>
    <t xml:space="preserve">ÁREA TOTAL CONSTRUIDA</t>
  </si>
  <si>
    <t xml:space="preserve">Número de apartamentos</t>
  </si>
  <si>
    <t xml:space="preserve">und</t>
  </si>
  <si>
    <t xml:space="preserve">Área promedio por apartamento (vendible)</t>
  </si>
  <si>
    <t xml:space="preserve">Número de parqueaderos</t>
  </si>
  <si>
    <t xml:space="preserve">Número de ascensores</t>
  </si>
  <si>
    <t xml:space="preserve">Altura total aproximada (sótano a cubierta)</t>
  </si>
  <si>
    <t xml:space="preserve">m</t>
  </si>
  <si>
    <t xml:space="preserve">PARÁMETROS ECONÓMICOS DEL PRESUPUESTO</t>
  </si>
  <si>
    <t xml:space="preserve">Administración (A)</t>
  </si>
  <si>
    <t xml:space="preserve">% s/costo directo</t>
  </si>
  <si>
    <t xml:space="preserve">Imprevistos (I)</t>
  </si>
  <si>
    <t xml:space="preserve">Utilidad (U)</t>
  </si>
  <si>
    <t xml:space="preserve">IVA sobre Utilidad</t>
  </si>
  <si>
    <t xml:space="preserve">% s/utilidad (Ley 1943 / práctica AIU en Colombia)</t>
  </si>
  <si>
    <t xml:space="preserve">AIU TOTAL (A+I+U)</t>
  </si>
  <si>
    <t xml:space="preserve">FUENTES Y NOTAS METODOLÓGICAS</t>
  </si>
  <si>
    <t xml:space="preserve">REV. 10/09/2026</t>
  </si>
  <si>
    <t xml:space="preserve">1. Precios de referencia investigados para Bogotá D.C., 2026 (2° semestre). Son precios promedio de mercado; cada obra requiere cotización formal con proveedores.</t>
  </si>
  <si>
    <t xml:space="preserve">2. Rango de costo directo de construcción en Bogotá 2026 según fuentes de mercado: $2.200.000 - $3.800.000 COP/m² (Aliados de Obras, 2026); promedio de estabilización Ene-Abr 2026: ~$3.050.000 COP/m².</t>
  </si>
  <si>
    <t xml:space="preserve">3. Concreto 3000 PSI para estructura con formaletería: referencia ~$868.306 COP/m³ (Listado de Precios Unitarios, Secretaría de Infraestructura / Fidubogotá, ajustado a 2026).</t>
  </si>
  <si>
    <t xml:space="preserve">4. Acero de refuerzo figurado e instalado: referencia ~$6.500-7.000 COP/kg (Comando Construcciones, 2026; incremento por alza del 23,7% en el SMMLV 2026 según DANE-ICOCED).</t>
  </si>
  <si>
    <t xml:space="preserve">5. Ascensor eléctrico para edificio de 10+ pisos, alta velocidad, instalado: $450M-$750M COP por unidad (OTA Vertical, 2026). Se tomó valor medio.</t>
  </si>
  <si>
    <t xml:space="preserve">6. Índice de Costos de la Construcción de Edificaciones (ICOCED-DANE): variación interanual ene.2025-ene.2026 de +8,7% en Bogotá, impulsada por incremento salarial.</t>
  </si>
  <si>
    <t xml:space="preserve">7. AIU recomendado para edificaciones en Colombia: 25%-30% sobre costos directos (Administración 10-12%, Imprevistos 3-5%, Utilidad 10-15%). Se usó 26% (10%+4%+12%).</t>
  </si>
  <si>
    <t xml:space="preserve">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</si>
  <si>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 xml:space="preserve">9. Este documento es una ESTIMACIÓN DE PRESUPUESTO (clase de precisión ±15-20%), útil para prefactibilidad y anteproyecto. No reemplaza un presupuesto detallado con cubicación (cantidades de obra) tomada de planos definitivos y cotizaciones de proveedores.</t>
  </si>
  <si>
    <t xml:space="preserve">10. Celdas en color AZUL = dato de entrada editable. Celdas en NEGRO = fórmula (se recalculan automáticamente). Cambie cantidades y precios unitarios en la hoja 'Presupuesto' según su proyecto real.</t>
  </si>
  <si>
    <t xml:space="preserve">PRESUPUESTO DE OBRA</t>
  </si>
  <si>
    <t xml:space="preserve">RYR-PP-001</t>
  </si>
  <si>
    <t xml:space="preserve">IDENTIFICACIÓN DE PROYECTO</t>
  </si>
  <si>
    <t xml:space="preserve">Bogotá D.C. - Precios de referencia de mercado 2026 - Valores en pesos colombianos (COP), sin decimales</t>
  </si>
  <si>
    <t xml:space="preserve">Ítem</t>
  </si>
  <si>
    <t xml:space="preserve">Descripción</t>
  </si>
  <si>
    <t xml:space="preserve">Unidad</t>
  </si>
  <si>
    <t xml:space="preserve">Cantidad</t>
  </si>
  <si>
    <t xml:space="preserve">Precio Unitario</t>
  </si>
  <si>
    <t xml:space="preserve">Valor Total</t>
  </si>
  <si>
    <t xml:space="preserve">1</t>
  </si>
  <si>
    <t xml:space="preserve">PRELIMINARES</t>
  </si>
  <si>
    <t xml:space="preserve">1.1</t>
  </si>
  <si>
    <t xml:space="preserve">Localización y Replanteo</t>
  </si>
  <si>
    <t xml:space="preserve">M²</t>
  </si>
  <si>
    <t xml:space="preserve">1.2</t>
  </si>
  <si>
    <t xml:space="preserve">Cerramiento provisional de obra</t>
  </si>
  <si>
    <t xml:space="preserve">ML</t>
  </si>
  <si>
    <t xml:space="preserve">1.3</t>
  </si>
  <si>
    <t xml:space="preserve">Instalación de campamento y oficinas provisionales</t>
  </si>
  <si>
    <t xml:space="preserve">1.4</t>
  </si>
  <si>
    <t xml:space="preserve">Adecuación de área de almacenamiento</t>
  </si>
  <si>
    <t xml:space="preserve">1.5</t>
  </si>
  <si>
    <t xml:space="preserve">Señalización preventiva e informativa de obra</t>
  </si>
  <si>
    <t xml:space="preserve">UND</t>
  </si>
  <si>
    <t xml:space="preserve">1.6</t>
  </si>
  <si>
    <t xml:space="preserve">Instalaciones provisionales de agua y energía</t>
  </si>
  <si>
    <t xml:space="preserve">GL</t>
  </si>
  <si>
    <t xml:space="preserve">1.7</t>
  </si>
  <si>
    <t xml:space="preserve">Protección de elementos existentes</t>
  </si>
  <si>
    <t xml:space="preserve">1.8</t>
  </si>
  <si>
    <t xml:space="preserve">Desmonte y limpieza inicial</t>
  </si>
  <si>
    <t xml:space="preserve">1.9</t>
  </si>
  <si>
    <t xml:space="preserve">Demoliciones preliminares</t>
  </si>
  <si>
    <t xml:space="preserve">M³</t>
  </si>
  <si>
    <t xml:space="preserve">1.10</t>
  </si>
  <si>
    <t xml:space="preserve">Desmantelamiento de estructuras metálicas existentes</t>
  </si>
  <si>
    <t xml:space="preserve">KG</t>
  </si>
  <si>
    <t xml:space="preserve">SUBTOTAL CAPÍTULO 1 - PRELIMINARES</t>
  </si>
  <si>
    <t xml:space="preserve">2</t>
  </si>
  <si>
    <t xml:space="preserve">MOVIMIENTO DE TIERRAS</t>
  </si>
  <si>
    <t xml:space="preserve">2.1</t>
  </si>
  <si>
    <t xml:space="preserve">Excavación manual en material común</t>
  </si>
  <si>
    <t xml:space="preserve">2.2</t>
  </si>
  <si>
    <t xml:space="preserve">Excavación mecánica</t>
  </si>
  <si>
    <t xml:space="preserve">2.3</t>
  </si>
  <si>
    <t xml:space="preserve">Excavación en roca</t>
  </si>
  <si>
    <t xml:space="preserve">2.4</t>
  </si>
  <si>
    <t xml:space="preserve">Perfilado y conformación de excavaciones</t>
  </si>
  <si>
    <t xml:space="preserve">2.5</t>
  </si>
  <si>
    <t xml:space="preserve">Relleno con material seleccionado compactado</t>
  </si>
  <si>
    <t xml:space="preserve">2.6</t>
  </si>
  <si>
    <t xml:space="preserve">Relleno con material proveniente de excavación</t>
  </si>
  <si>
    <t xml:space="preserve">2.7</t>
  </si>
  <si>
    <t xml:space="preserve">Suministro, extendido y compactación de subbase</t>
  </si>
  <si>
    <t xml:space="preserve">2.8</t>
  </si>
  <si>
    <t xml:space="preserve">Suministro, extendido y compactación de base granular</t>
  </si>
  <si>
    <t xml:space="preserve">2.9</t>
  </si>
  <si>
    <t xml:space="preserve">Cargue de material sobrante</t>
  </si>
  <si>
    <t xml:space="preserve">2.10</t>
  </si>
  <si>
    <t xml:space="preserve">Transporte de material sobrante</t>
  </si>
  <si>
    <t xml:space="preserve">2.11</t>
  </si>
  <si>
    <t xml:space="preserve">Disposición final de sobrantes</t>
  </si>
  <si>
    <t xml:space="preserve">SUBTOTAL CAPÍTULO 2 - MOVIMIENTO DE TIERRAS</t>
  </si>
  <si>
    <t xml:space="preserve">3</t>
  </si>
  <si>
    <t xml:space="preserve">CIMENTACIONES</t>
  </si>
  <si>
    <t xml:space="preserve">3.1</t>
  </si>
  <si>
    <t xml:space="preserve">Concreto de limpieza / solado</t>
  </si>
  <si>
    <t xml:space="preserve">3.2</t>
  </si>
  <si>
    <t xml:space="preserve">Concreto para zapatas</t>
  </si>
  <si>
    <t xml:space="preserve">3.3</t>
  </si>
  <si>
    <t xml:space="preserve">Concreto para vigas de cimentación</t>
  </si>
  <si>
    <t xml:space="preserve">3.4</t>
  </si>
  <si>
    <t xml:space="preserve">Concreto para losas de cimentación</t>
  </si>
  <si>
    <t xml:space="preserve">3.5</t>
  </si>
  <si>
    <t xml:space="preserve">Concreto para pedestales</t>
  </si>
  <si>
    <t xml:space="preserve">3.6</t>
  </si>
  <si>
    <t xml:space="preserve">Acero de refuerzo en cimentación</t>
  </si>
  <si>
    <t xml:space="preserve">3.7</t>
  </si>
  <si>
    <t xml:space="preserve">Formaleta para elementos de cimentación</t>
  </si>
  <si>
    <t xml:space="preserve">SUBTOTAL CAPÍTULO 3 - CIMENTACIONES</t>
  </si>
  <si>
    <t xml:space="preserve">4</t>
  </si>
  <si>
    <t xml:space="preserve">ESTRUCTURA</t>
  </si>
  <si>
    <t xml:space="preserve">4.1</t>
  </si>
  <si>
    <t xml:space="preserve">Concreto para columnas</t>
  </si>
  <si>
    <t xml:space="preserve">4.2</t>
  </si>
  <si>
    <t xml:space="preserve">Concreto para vigas</t>
  </si>
  <si>
    <t xml:space="preserve">4.3</t>
  </si>
  <si>
    <t xml:space="preserve">Concreto para losas</t>
  </si>
  <si>
    <t xml:space="preserve">4.4</t>
  </si>
  <si>
    <t xml:space="preserve">Concreto para escaleras</t>
  </si>
  <si>
    <t xml:space="preserve">4.5</t>
  </si>
  <si>
    <t xml:space="preserve">Concreto para muros estructurales</t>
  </si>
  <si>
    <t xml:space="preserve">4.6</t>
  </si>
  <si>
    <t xml:space="preserve">Acero de refuerzo de columnas</t>
  </si>
  <si>
    <t xml:space="preserve">4.7</t>
  </si>
  <si>
    <t xml:space="preserve">Acero de refuerzo de vigas</t>
  </si>
  <si>
    <t xml:space="preserve">4.8</t>
  </si>
  <si>
    <t xml:space="preserve">Acero de refuerzo de losas</t>
  </si>
  <si>
    <t xml:space="preserve">4.9</t>
  </si>
  <si>
    <t xml:space="preserve">Formaleta de columnas</t>
  </si>
  <si>
    <t xml:space="preserve">4.10</t>
  </si>
  <si>
    <t xml:space="preserve">Formaleta de vigas</t>
  </si>
  <si>
    <t xml:space="preserve">4.11</t>
  </si>
  <si>
    <t xml:space="preserve">Formaleta de losas</t>
  </si>
  <si>
    <t xml:space="preserve">4.12</t>
  </si>
  <si>
    <t xml:space="preserve">Formaleta de escaleras</t>
  </si>
  <si>
    <t xml:space="preserve">4.13</t>
  </si>
  <si>
    <t xml:space="preserve">Suministro y montaje de perfiles metálicos</t>
  </si>
  <si>
    <t xml:space="preserve">4.14</t>
  </si>
  <si>
    <t xml:space="preserve">Placas, pernos y conexiones metálicas</t>
  </si>
  <si>
    <t xml:space="preserve">4.15</t>
  </si>
  <si>
    <t xml:space="preserve">Grouting cementoso para reparación estructural</t>
  </si>
  <si>
    <t xml:space="preserve">4.16</t>
  </si>
  <si>
    <t xml:space="preserve">Grouting epóxico para reparación estructural</t>
  </si>
  <si>
    <t xml:space="preserve">4.17</t>
  </si>
  <si>
    <t xml:space="preserve">Concreto premezclado o de planta (suministro)</t>
  </si>
  <si>
    <t xml:space="preserve">SUBTOTAL CAPÍTULO 4 - ESTRUCTURA</t>
  </si>
  <si>
    <t xml:space="preserve">5</t>
  </si>
  <si>
    <t xml:space="preserve">MAMPOSTERÍA</t>
  </si>
  <si>
    <t xml:space="preserve">5.1</t>
  </si>
  <si>
    <t xml:space="preserve">Mampostería en bloque de concreto</t>
  </si>
  <si>
    <t xml:space="preserve">5.2</t>
  </si>
  <si>
    <t xml:space="preserve">Mampostería en ladrillo</t>
  </si>
  <si>
    <t xml:space="preserve">5.3</t>
  </si>
  <si>
    <t xml:space="preserve">Mampostería estructural</t>
  </si>
  <si>
    <t xml:space="preserve">5.4</t>
  </si>
  <si>
    <t xml:space="preserve">Muros en sistema liviano / drywall</t>
  </si>
  <si>
    <t xml:space="preserve">5.5</t>
  </si>
  <si>
    <t xml:space="preserve">Dinteles sobre vanos</t>
  </si>
  <si>
    <t xml:space="preserve">5.6</t>
  </si>
  <si>
    <t xml:space="preserve">Alfajías y remates</t>
  </si>
  <si>
    <t xml:space="preserve">5.7</t>
  </si>
  <si>
    <t xml:space="preserve">Anclajes y refuerzos de mampostería</t>
  </si>
  <si>
    <t xml:space="preserve">5.8</t>
  </si>
  <si>
    <t xml:space="preserve">Mampostería en ladrillo tolete a la vista (reforzada)</t>
  </si>
  <si>
    <t xml:space="preserve">5.9</t>
  </si>
  <si>
    <t xml:space="preserve">Mampostería en ladrillo a la vista (no reforzada)</t>
  </si>
  <si>
    <t xml:space="preserve">SUBTOTAL CAPÍTULO 5 - MAMPOSTERÍA</t>
  </si>
  <si>
    <t xml:space="preserve">6</t>
  </si>
  <si>
    <t xml:space="preserve">CUBIERTAS</t>
  </si>
  <si>
    <t xml:space="preserve">6.1</t>
  </si>
  <si>
    <t xml:space="preserve">Estructura metálica o de madera para cubierta</t>
  </si>
  <si>
    <t xml:space="preserve">6.2</t>
  </si>
  <si>
    <t xml:space="preserve">Cerchas y elementos estructurales</t>
  </si>
  <si>
    <t xml:space="preserve">6.3</t>
  </si>
  <si>
    <t xml:space="preserve">Suministro e instalación de teja</t>
  </si>
  <si>
    <t xml:space="preserve">6.4</t>
  </si>
  <si>
    <t xml:space="preserve">Impermeabilización de cubierta</t>
  </si>
  <si>
    <t xml:space="preserve">6.5</t>
  </si>
  <si>
    <t xml:space="preserve">Aislamiento térmico/acústico</t>
  </si>
  <si>
    <t xml:space="preserve">6.6</t>
  </si>
  <si>
    <t xml:space="preserve">Canales de aguas lluvias</t>
  </si>
  <si>
    <t xml:space="preserve">6.7</t>
  </si>
  <si>
    <t xml:space="preserve">Bajantes de aguas lluvias</t>
  </si>
  <si>
    <t xml:space="preserve">6.8</t>
  </si>
  <si>
    <t xml:space="preserve">Cielo raso Dry Wall</t>
  </si>
  <si>
    <t xml:space="preserve">6.9</t>
  </si>
  <si>
    <t xml:space="preserve">Cielo raso en lámina acústica de fibra mineral</t>
  </si>
  <si>
    <t xml:space="preserve">SUBTOTAL CAPÍTULO 6 - CUBIERTAS</t>
  </si>
  <si>
    <t xml:space="preserve">7</t>
  </si>
  <si>
    <t xml:space="preserve">IMPERMEABILIZACIONES</t>
  </si>
  <si>
    <t xml:space="preserve">7.1</t>
  </si>
  <si>
    <t xml:space="preserve">Impermeabilización de losas y terrazas</t>
  </si>
  <si>
    <t xml:space="preserve">7.2</t>
  </si>
  <si>
    <t xml:space="preserve">Impermeabilización de muros</t>
  </si>
  <si>
    <t xml:space="preserve">7.3</t>
  </si>
  <si>
    <t xml:space="preserve">Impermeabilización de zonas húmedas</t>
  </si>
  <si>
    <t xml:space="preserve">7.4</t>
  </si>
  <si>
    <t xml:space="preserve">Geomembrana HDPE para impermeabilización de terrenos</t>
  </si>
  <si>
    <t xml:space="preserve">SUBTOTAL CAPÍTULO 7 - IMPERMEABILIZACIONES</t>
  </si>
  <si>
    <t xml:space="preserve">8</t>
  </si>
  <si>
    <t xml:space="preserve">PAÑETES Y REVOQUES</t>
  </si>
  <si>
    <t xml:space="preserve">8.1</t>
  </si>
  <si>
    <t xml:space="preserve">Pañete / revoque interior</t>
  </si>
  <si>
    <t xml:space="preserve">8.2</t>
  </si>
  <si>
    <t xml:space="preserve">Pañete / revoque exterior</t>
  </si>
  <si>
    <t xml:space="preserve">8.3</t>
  </si>
  <si>
    <t xml:space="preserve">Pañete impermeabilizado</t>
  </si>
  <si>
    <t xml:space="preserve">8.4</t>
  </si>
  <si>
    <t xml:space="preserve">Estuco plástico o tradicional</t>
  </si>
  <si>
    <t xml:space="preserve">SUBTOTAL CAPÍTULO 8 - PAÑETES Y REVOQUES</t>
  </si>
  <si>
    <t xml:space="preserve">9</t>
  </si>
  <si>
    <t xml:space="preserve">PISOS Y ENCHAPES</t>
  </si>
  <si>
    <t xml:space="preserve">9.1</t>
  </si>
  <si>
    <t xml:space="preserve">Mortero de nivelación</t>
  </si>
  <si>
    <t xml:space="preserve">9.2</t>
  </si>
  <si>
    <t xml:space="preserve">Piso cerámico</t>
  </si>
  <si>
    <t xml:space="preserve">9.3</t>
  </si>
  <si>
    <t xml:space="preserve">Piso en porcelanato</t>
  </si>
  <si>
    <t xml:space="preserve">9.4</t>
  </si>
  <si>
    <t xml:space="preserve">Piso vinílico</t>
  </si>
  <si>
    <t xml:space="preserve">9.5</t>
  </si>
  <si>
    <t xml:space="preserve">Piso laminado</t>
  </si>
  <si>
    <t xml:space="preserve">9.6</t>
  </si>
  <si>
    <t xml:space="preserve">Enchape cerámico en muros</t>
  </si>
  <si>
    <t xml:space="preserve">9.7</t>
  </si>
  <si>
    <t xml:space="preserve">Guardaescoba</t>
  </si>
  <si>
    <t xml:space="preserve">9.8</t>
  </si>
  <si>
    <t xml:space="preserve">Juntas de dilatación / construcción</t>
  </si>
  <si>
    <t xml:space="preserve">9.9</t>
  </si>
  <si>
    <t xml:space="preserve">Piso en concreto afinado con endurecedor de cuarzo</t>
  </si>
  <si>
    <t xml:space="preserve">9.10</t>
  </si>
  <si>
    <t xml:space="preserve">Baldosa de granito</t>
  </si>
  <si>
    <t xml:space="preserve">9.11</t>
  </si>
  <si>
    <t xml:space="preserve">Enchape en granito pulido</t>
  </si>
  <si>
    <t xml:space="preserve">SUBTOTAL CAPÍTULO 9 - PISOS Y ENCHAPES</t>
  </si>
  <si>
    <t xml:space="preserve">10</t>
  </si>
  <si>
    <t xml:space="preserve">PINTURA</t>
  </si>
  <si>
    <t xml:space="preserve">10.1</t>
  </si>
  <si>
    <t xml:space="preserve">Pintura vinílica interior</t>
  </si>
  <si>
    <t xml:space="preserve">10.2</t>
  </si>
  <si>
    <t xml:space="preserve">Pintura exterior</t>
  </si>
  <si>
    <t xml:space="preserve">10.3</t>
  </si>
  <si>
    <t xml:space="preserve">Pintura esmalte en superficies metálicas/madera</t>
  </si>
  <si>
    <t xml:space="preserve">10.4</t>
  </si>
  <si>
    <t xml:space="preserve">Pintura anticorrosiva</t>
  </si>
  <si>
    <t xml:space="preserve">10.5</t>
  </si>
  <si>
    <t xml:space="preserve">Sellador / imprimante</t>
  </si>
  <si>
    <t xml:space="preserve">SUBTOTAL CAPÍTULO 10 - PINTURA</t>
  </si>
  <si>
    <t xml:space="preserve">11</t>
  </si>
  <si>
    <t xml:space="preserve">CARPINTERÍA</t>
  </si>
  <si>
    <t xml:space="preserve">11.1</t>
  </si>
  <si>
    <t xml:space="preserve">Puertas de madera</t>
  </si>
  <si>
    <t xml:space="preserve">11.2</t>
  </si>
  <si>
    <t xml:space="preserve">Muebles fijos de madera</t>
  </si>
  <si>
    <t xml:space="preserve">11.3</t>
  </si>
  <si>
    <t xml:space="preserve">Puertas metálicas</t>
  </si>
  <si>
    <t xml:space="preserve">11.4</t>
  </si>
  <si>
    <t xml:space="preserve">Barandas metálicas</t>
  </si>
  <si>
    <t xml:space="preserve">11.5</t>
  </si>
  <si>
    <t xml:space="preserve">Pasamanos</t>
  </si>
  <si>
    <t xml:space="preserve">11.6</t>
  </si>
  <si>
    <t xml:space="preserve">Ventanas de aluminio</t>
  </si>
  <si>
    <t xml:space="preserve">11.7</t>
  </si>
  <si>
    <t xml:space="preserve">Divisiones de aluminio</t>
  </si>
  <si>
    <t xml:space="preserve">11.8</t>
  </si>
  <si>
    <t xml:space="preserve">Puerta antipánico</t>
  </si>
  <si>
    <t xml:space="preserve">SUBTOTAL CAPÍTULO 11 - CARPINTERÍA</t>
  </si>
  <si>
    <t xml:space="preserve">12</t>
  </si>
  <si>
    <t xml:space="preserve">VIDRIOS</t>
  </si>
  <si>
    <t xml:space="preserve">12.1</t>
  </si>
  <si>
    <t xml:space="preserve">Vidrio templado</t>
  </si>
  <si>
    <t xml:space="preserve">12.2</t>
  </si>
  <si>
    <t xml:space="preserve">Vidrio laminado</t>
  </si>
  <si>
    <t xml:space="preserve">12.3</t>
  </si>
  <si>
    <t xml:space="preserve">Espejos</t>
  </si>
  <si>
    <t xml:space="preserve">12.4</t>
  </si>
  <si>
    <t xml:space="preserve">Sellos y silicona</t>
  </si>
  <si>
    <t xml:space="preserve">SUBTOTAL CAPÍTULO 12 - VIDRIOS</t>
  </si>
  <si>
    <t xml:space="preserve">13</t>
  </si>
  <si>
    <t xml:space="preserve">INSTALACIONES HIDROSANITARIAS</t>
  </si>
  <si>
    <t xml:space="preserve">13.1</t>
  </si>
  <si>
    <t xml:space="preserve">Tubería de agua fría</t>
  </si>
  <si>
    <t xml:space="preserve">13.2</t>
  </si>
  <si>
    <t xml:space="preserve">Tubería de agua caliente</t>
  </si>
  <si>
    <t xml:space="preserve">13.3</t>
  </si>
  <si>
    <t xml:space="preserve">Válvulas y accesorios</t>
  </si>
  <si>
    <t xml:space="preserve">13.4</t>
  </si>
  <si>
    <t xml:space="preserve">Tubería sanitaria</t>
  </si>
  <si>
    <t xml:space="preserve">13.5</t>
  </si>
  <si>
    <t xml:space="preserve">Tubería de aguas lluvias</t>
  </si>
  <si>
    <t xml:space="preserve">13.6</t>
  </si>
  <si>
    <t xml:space="preserve">Cajas de inspección</t>
  </si>
  <si>
    <t xml:space="preserve">13.7</t>
  </si>
  <si>
    <t xml:space="preserve">Aparatos sanitarios</t>
  </si>
  <si>
    <t xml:space="preserve">13.8</t>
  </si>
  <si>
    <t xml:space="preserve">Lavamanos</t>
  </si>
  <si>
    <t xml:space="preserve">13.9</t>
  </si>
  <si>
    <t xml:space="preserve">Griferías</t>
  </si>
  <si>
    <t xml:space="preserve">13.10</t>
  </si>
  <si>
    <t xml:space="preserve">Duchas</t>
  </si>
  <si>
    <t xml:space="preserve">13.11</t>
  </si>
  <si>
    <t xml:space="preserve">Pruebas hidráulicas y de estanqueidad</t>
  </si>
  <si>
    <t xml:space="preserve">13.12</t>
  </si>
  <si>
    <t xml:space="preserve">Orinal institucional</t>
  </si>
  <si>
    <t xml:space="preserve">SUBTOTAL CAPÍTULO 13 - INSTALACIONES HIDROSANITARIAS</t>
  </si>
  <si>
    <t xml:space="preserve">14</t>
  </si>
  <si>
    <t xml:space="preserve">INSTALACIONES ELÉCTRICAS</t>
  </si>
  <si>
    <t xml:space="preserve">14.1</t>
  </si>
  <si>
    <t xml:space="preserve">Tubería/conduit eléctrica</t>
  </si>
  <si>
    <t xml:space="preserve">14.2</t>
  </si>
  <si>
    <t xml:space="preserve">Bandejas portacables</t>
  </si>
  <si>
    <t xml:space="preserve">14.3</t>
  </si>
  <si>
    <t xml:space="preserve">Cajas eléctricas</t>
  </si>
  <si>
    <t xml:space="preserve">14.4</t>
  </si>
  <si>
    <t xml:space="preserve">Cableado de fuerza</t>
  </si>
  <si>
    <t xml:space="preserve">14.5</t>
  </si>
  <si>
    <t xml:space="preserve">Cableado de iluminación</t>
  </si>
  <si>
    <t xml:space="preserve">14.6</t>
  </si>
  <si>
    <t xml:space="preserve">Tableros eléctricos</t>
  </si>
  <si>
    <t xml:space="preserve">14.7</t>
  </si>
  <si>
    <t xml:space="preserve">Tomacorrientes</t>
  </si>
  <si>
    <t xml:space="preserve">14.8</t>
  </si>
  <si>
    <t xml:space="preserve">Interruptores</t>
  </si>
  <si>
    <t xml:space="preserve">14.9</t>
  </si>
  <si>
    <t xml:space="preserve">Luminarias</t>
  </si>
  <si>
    <t xml:space="preserve">14.10</t>
  </si>
  <si>
    <t xml:space="preserve">Sistema de puesta a tierra</t>
  </si>
  <si>
    <t xml:space="preserve">14.11</t>
  </si>
  <si>
    <t xml:space="preserve">Pruebas y certificaciones</t>
  </si>
  <si>
    <t xml:space="preserve">SUBTOTAL CAPÍTULO 14 - INSTALACIONES ELÉCTRICAS</t>
  </si>
  <si>
    <t xml:space="preserve">15</t>
  </si>
  <si>
    <t xml:space="preserve">COMUNICACIONES Y SEGURIDAD</t>
  </si>
  <si>
    <t xml:space="preserve">15.1</t>
  </si>
  <si>
    <t xml:space="preserve">Cableado estructurado de datos</t>
  </si>
  <si>
    <t xml:space="preserve">15.2</t>
  </si>
  <si>
    <t xml:space="preserve">Rack de comunicaciones</t>
  </si>
  <si>
    <t xml:space="preserve">15.3</t>
  </si>
  <si>
    <t xml:space="preserve">Cámaras y sistema CCTV</t>
  </si>
  <si>
    <t xml:space="preserve">15.4</t>
  </si>
  <si>
    <t xml:space="preserve">Control de acceso</t>
  </si>
  <si>
    <t xml:space="preserve">15.5</t>
  </si>
  <si>
    <t xml:space="preserve">Sistema de citofonía</t>
  </si>
  <si>
    <t xml:space="preserve">15.6</t>
  </si>
  <si>
    <t xml:space="preserve">Sistema de detección de incendios</t>
  </si>
  <si>
    <t xml:space="preserve">SUBTOTAL CAPÍTULO 15 - COMUNICACIONES Y SEGURIDAD</t>
  </si>
  <si>
    <t xml:space="preserve">16</t>
  </si>
  <si>
    <t xml:space="preserve">CLIMATIZACIÓN Y VENTILACIÓN</t>
  </si>
  <si>
    <t xml:space="preserve">16.1</t>
  </si>
  <si>
    <t xml:space="preserve">Equipos de aire acondicionado</t>
  </si>
  <si>
    <t xml:space="preserve">16.2</t>
  </si>
  <si>
    <t xml:space="preserve">Ductos de ventilación</t>
  </si>
  <si>
    <t xml:space="preserve">16.3</t>
  </si>
  <si>
    <t xml:space="preserve">Tubería de refrigerante</t>
  </si>
  <si>
    <t xml:space="preserve">16.4</t>
  </si>
  <si>
    <t xml:space="preserve">Rejillas y difusores</t>
  </si>
  <si>
    <t xml:space="preserve">SUBTOTAL CAPÍTULO 16 - CLIMATIZACIÓN Y VENTILACIÓN</t>
  </si>
  <si>
    <t xml:space="preserve">17</t>
  </si>
  <si>
    <t xml:space="preserve">GAS</t>
  </si>
  <si>
    <t xml:space="preserve">17.1</t>
  </si>
  <si>
    <t xml:space="preserve">Red interna de gas</t>
  </si>
  <si>
    <t xml:space="preserve">17.2</t>
  </si>
  <si>
    <t xml:space="preserve">17.3</t>
  </si>
  <si>
    <t xml:space="preserve">Pruebas y certificación</t>
  </si>
  <si>
    <t xml:space="preserve">SUBTOTAL CAPÍTULO 17 - GAS</t>
  </si>
  <si>
    <t xml:space="preserve">18</t>
  </si>
  <si>
    <t xml:space="preserve">URBANISMO Y EXTERIORES</t>
  </si>
  <si>
    <t xml:space="preserve">18.1</t>
  </si>
  <si>
    <t xml:space="preserve">Construcción de andenes</t>
  </si>
  <si>
    <t xml:space="preserve">18.2</t>
  </si>
  <si>
    <t xml:space="preserve">Placas de concreto exteriores</t>
  </si>
  <si>
    <t xml:space="preserve">18.3</t>
  </si>
  <si>
    <t xml:space="preserve">Pavimento en adoquín</t>
  </si>
  <si>
    <t xml:space="preserve">18.4</t>
  </si>
  <si>
    <t xml:space="preserve">Sardineles y bordillos</t>
  </si>
  <si>
    <t xml:space="preserve">18.5</t>
  </si>
  <si>
    <t xml:space="preserve">Sumideros exteriores</t>
  </si>
  <si>
    <t xml:space="preserve">18.6</t>
  </si>
  <si>
    <t xml:space="preserve">Suministro y extendido de tierra vegetal</t>
  </si>
  <si>
    <t xml:space="preserve">18.7</t>
  </si>
  <si>
    <t xml:space="preserve">Siembra y jardinería</t>
  </si>
  <si>
    <t xml:space="preserve">18.8</t>
  </si>
  <si>
    <t xml:space="preserve">Geotextil para drenaje y filtración</t>
  </si>
  <si>
    <t xml:space="preserve">18.9</t>
  </si>
  <si>
    <t xml:space="preserve">Gaviones para obras de contención</t>
  </si>
  <si>
    <t xml:space="preserve">18.10</t>
  </si>
  <si>
    <t xml:space="preserve">Filtro francés (drenaje de terrenos)</t>
  </si>
  <si>
    <t xml:space="preserve">18.11</t>
  </si>
  <si>
    <t xml:space="preserve">Revegetalización / empradización</t>
  </si>
  <si>
    <t xml:space="preserve">SUBTOTAL CAPÍTULO 18 - URBANISMO Y EXTERIORES</t>
  </si>
  <si>
    <t xml:space="preserve">19</t>
  </si>
  <si>
    <t xml:space="preserve">OBRAS COMPLEMENTARIAS</t>
  </si>
  <si>
    <t xml:space="preserve">19.1</t>
  </si>
  <si>
    <t xml:space="preserve">Rejas metálicas</t>
  </si>
  <si>
    <t xml:space="preserve">19.2</t>
  </si>
  <si>
    <t xml:space="preserve">Escaleras metálicas</t>
  </si>
  <si>
    <t xml:space="preserve">19.3</t>
  </si>
  <si>
    <t xml:space="preserve">Elementos metálicos especiales</t>
  </si>
  <si>
    <t xml:space="preserve">19.4</t>
  </si>
  <si>
    <t xml:space="preserve">Mobiliario fijo de obra</t>
  </si>
  <si>
    <t xml:space="preserve">SUBTOTAL CAPÍTULO 19 - OBRAS COMPLEMENTARIAS</t>
  </si>
  <si>
    <t xml:space="preserve">20</t>
  </si>
  <si>
    <t xml:space="preserve">ASEO, ENTREGA Y CIERRE</t>
  </si>
  <si>
    <t xml:space="preserve">20.1</t>
  </si>
  <si>
    <t xml:space="preserve">Limpieza gruesa y fina de obra</t>
  </si>
  <si>
    <t xml:space="preserve">20.2</t>
  </si>
  <si>
    <t xml:space="preserve">Limpieza final para entrega</t>
  </si>
  <si>
    <t xml:space="preserve">20.3</t>
  </si>
  <si>
    <t xml:space="preserve">Pruebas, puesta en marcha y ajustes</t>
  </si>
  <si>
    <t xml:space="preserve">20.4</t>
  </si>
  <si>
    <t xml:space="preserve">Actualización de planos récord / as-built</t>
  </si>
  <si>
    <t xml:space="preserve">20.5</t>
  </si>
  <si>
    <t xml:space="preserve">Entrega, manuales y acta de recibo</t>
  </si>
  <si>
    <t xml:space="preserve">SUBTOTAL CAPÍTULO 20 - ASEO, ENTREGA Y CIERRE</t>
  </si>
  <si>
    <t xml:space="preserve">21</t>
  </si>
  <si>
    <t xml:space="preserve">ASCENSORES</t>
  </si>
  <si>
    <t xml:space="preserve">21.1</t>
  </si>
  <si>
    <t xml:space="preserve">Suministro e instalación de ascensor eléctrico</t>
  </si>
  <si>
    <t xml:space="preserve">SUBTOTAL CAPÍTULO 21 - ASCENSORES</t>
  </si>
  <si>
    <t xml:space="preserve">22</t>
  </si>
  <si>
    <t xml:space="preserve">GESTIÓN, DISEÑO Y ADMINISTRACIÓN</t>
  </si>
  <si>
    <t xml:space="preserve">22.1</t>
  </si>
  <si>
    <t xml:space="preserve">Estudio de suelos y geotecnia</t>
  </si>
  <si>
    <t xml:space="preserve">22.2</t>
  </si>
  <si>
    <t xml:space="preserve">Diseños arquitectónicos, estructurales, hidrosanitarios y eléctricos</t>
  </si>
  <si>
    <t xml:space="preserve">22.3</t>
  </si>
  <si>
    <t xml:space="preserve">Licencia de construcción y trámites de curaduría urbana</t>
  </si>
  <si>
    <t xml:space="preserve">22.4</t>
  </si>
  <si>
    <t xml:space="preserve">Póliza de estabilidad de obra y seguros de construcción (todo riesgo)</t>
  </si>
  <si>
    <t xml:space="preserve">SUBTOTAL CAPÍTULO 22 - GESTIÓN, DISEÑO Y ADMINISTRACIÓN</t>
  </si>
  <si>
    <t xml:space="preserve">COSTO DIRECTO TOTAL (suma de capítulos 1 a 22)</t>
  </si>
  <si>
    <t xml:space="preserve">SUBTOTAL AIU (A+I+U)</t>
  </si>
  <si>
    <t xml:space="preserve">COSTO DIRECTO + AIU</t>
  </si>
  <si>
    <t xml:space="preserve">IVA sobre Utilidad (19%)</t>
  </si>
  <si>
    <t xml:space="preserve">PRESUPUESTO TOTAL DE OBRA</t>
  </si>
  <si>
    <t xml:space="preserve">Costo por m² construido (sobre Costo Directo Total)</t>
  </si>
  <si>
    <t xml:space="preserve">Costo por m² construido (sobre Presupuesto Total)</t>
  </si>
  <si>
    <t xml:space="preserve">INFORME MENSUAL DE AVANCE DE OBRA</t>
  </si>
  <si>
    <t xml:space="preserve">RYR-IM-001</t>
  </si>
  <si>
    <t xml:space="preserve">DISEÑAMOS, RENOVAMOS Y CONSTRUIMOS ESPACIOS QUE INSPIRAN.</t>
  </si>
  <si>
    <t xml:space="preserve">IDENTIFICACIÓN DEL INFORME Y DEL PROYECTO</t>
  </si>
  <si>
    <t xml:space="preserve">Presupuesto Total del Contrato</t>
  </si>
  <si>
    <t xml:space="preserve">Mes</t>
  </si>
  <si>
    <t xml:space="preserve">Elaborado por</t>
  </si>
  <si>
    <t xml:space="preserve">RESUMEN EJECUTIVO</t>
  </si>
  <si>
    <t xml:space="preserve">AVANCE TÉCNICO Y ECONÓMICO DEL PROYECTO (POR CAPÍTULO)</t>
  </si>
  <si>
    <t xml:space="preserve">AVANCE PROGRAMADO GLOBAL</t>
  </si>
  <si>
    <t xml:space="preserve">AVANCE REAL GLOBAL</t>
  </si>
  <si>
    <t xml:space="preserve">DIFERENCIA</t>
  </si>
  <si>
    <t xml:space="preserve">% EJECUTADO FINANCIERO</t>
  </si>
  <si>
    <t xml:space="preserve">AVANCE REAL ACUMULADO AL INICIO DEL PERÍODO (%)</t>
  </si>
  <si>
    <t xml:space="preserve">AVANCE DE ESTE PERÍODO (%)</t>
  </si>
  <si>
    <t xml:space="preserve">CAPÍTULO</t>
  </si>
  <si>
    <t xml:space="preserve">PESO %</t>
  </si>
  <si>
    <t xml:space="preserve">PROG. %</t>
  </si>
  <si>
    <t xml:space="preserve">REAL %</t>
  </si>
  <si>
    <t xml:space="preserve">DIF. %</t>
  </si>
  <si>
    <t xml:space="preserve">PROG. POND. %</t>
  </si>
  <si>
    <t xml:space="preserve">REAL POND. %</t>
  </si>
  <si>
    <t xml:space="preserve">VALOR EJECUTADO ($)</t>
  </si>
  <si>
    <t xml:space="preserve">TOTAL</t>
  </si>
  <si>
    <t xml:space="preserve">ACTIVIDADES MÁS RELEVANTES DEL PERÍODO</t>
  </si>
  <si>
    <t xml:space="preserve">UBICACIÓN</t>
  </si>
  <si>
    <t xml:space="preserve">DESCRIPCIÓN DE LA ACTIVIDAD</t>
  </si>
  <si>
    <t xml:space="preserve">AVANCE DEL PERÍODO</t>
  </si>
  <si>
    <t xml:space="preserve">RESPONSABLE</t>
  </si>
  <si>
    <t xml:space="preserve">OBSERVACIONES</t>
  </si>
  <si>
    <t xml:space="preserve">AVANCE FINANCIERO Y ADMINISTRATIVO</t>
  </si>
  <si>
    <t xml:space="preserve">INGRESOS DEL PERÍODO</t>
  </si>
  <si>
    <t xml:space="preserve">EGRESOS / GASTOS DEL PERÍODO</t>
  </si>
  <si>
    <t xml:space="preserve">CONCEPTO</t>
  </si>
  <si>
    <t xml:space="preserve">FECHA</t>
  </si>
  <si>
    <t xml:space="preserve">VALOR ($)</t>
  </si>
  <si>
    <t xml:space="preserve">TOTAL INGRESOS</t>
  </si>
  <si>
    <t xml:space="preserve">TOTAL EGRESOS</t>
  </si>
  <si>
    <t xml:space="preserve">ASPECTOS HSE Y AMBIENTALES</t>
  </si>
  <si>
    <t xml:space="preserve">HORAS HOMBRE TRABAJADAS</t>
  </si>
  <si>
    <t xml:space="preserve">OBSERVACIONES HSE</t>
  </si>
  <si>
    <t xml:space="preserve">INSERTAR FOTOGRAFÍA</t>
  </si>
  <si>
    <t xml:space="preserve">FIRMAS</t>
  </si>
  <si>
    <t xml:space="preserve">ELABORADO POR</t>
  </si>
  <si>
    <t xml:space="preserve">REVISADO POR</t>
  </si>
  <si>
    <t xml:space="preserve">APROBADO POR</t>
  </si>
  <si>
    <t xml:space="preserve">FIRMA:</t>
  </si>
  <si>
    <t xml:space="preserve">NOMBRE:</t>
  </si>
  <si>
    <t xml:space="preserve">CARGO:</t>
  </si>
</sst>
</file>

<file path=xl/styles.xml><?xml version="1.0" encoding="utf-8"?>
<styleSheet xmlns="http://schemas.openxmlformats.org/spreadsheetml/2006/main">
  <numFmts count="5">
    <numFmt numFmtId="164" formatCode="General"/>
    <numFmt numFmtId="165" formatCode="#,##0.00"/>
    <numFmt numFmtId="166" formatCode="General"/>
    <numFmt numFmtId="167" formatCode="0.0%"/>
    <numFmt numFmtId="168" formatCode="&quot;$ &quot;#,##0"/>
  </numFmts>
  <fonts count="41">
    <font>
      <sz val="11"/>
      <color theme="1"/>
      <name val="Calibri"/>
      <family val="2"/>
      <charset val="1"/>
    </font>
    <font>
      <sz val="10"/>
      <name val="Arial"/>
      <family val="0"/>
    </font>
    <font>
      <sz val="10"/>
      <name val="Arial"/>
      <family val="0"/>
    </font>
    <font>
      <sz val="10"/>
      <name val="Arial"/>
      <family val="0"/>
    </font>
    <font>
      <sz val="16"/>
      <color rgb="FFFFFFFF"/>
      <name val="Franklin Gothic Demi Cond"/>
      <family val="2"/>
      <charset val="1"/>
    </font>
    <font>
      <b val="true"/>
      <sz val="12"/>
      <color rgb="FFFFFFFF"/>
      <name val="Arial"/>
      <family val="2"/>
      <charset val="1"/>
    </font>
    <font>
      <i val="true"/>
      <sz val="9"/>
      <color theme="3" tint="-0.5"/>
      <name val="Arial"/>
      <family val="2"/>
      <charset val="1"/>
    </font>
    <font>
      <b val="true"/>
      <i val="true"/>
      <sz val="8"/>
      <color theme="3" tint="-0.5"/>
      <name val="Calibri"/>
      <family val="2"/>
      <charset val="1"/>
    </font>
    <font>
      <b val="true"/>
      <sz val="11"/>
      <color theme="0"/>
      <name val="Calibri"/>
      <family val="2"/>
      <charset val="1"/>
    </font>
    <font>
      <b val="true"/>
      <sz val="16"/>
      <name val="Calibri"/>
      <family val="2"/>
      <charset val="1"/>
    </font>
    <font>
      <b val="true"/>
      <sz val="10"/>
      <color rgb="FF17365D"/>
      <name val="Calibri"/>
      <family val="2"/>
      <charset val="1"/>
    </font>
    <font>
      <i val="true"/>
      <sz val="11"/>
      <name val="Calibri"/>
      <family val="2"/>
      <charset val="1"/>
    </font>
    <font>
      <sz val="8"/>
      <color rgb="FF17365D"/>
      <name val="Calibri"/>
      <family val="2"/>
      <charset val="1"/>
    </font>
    <font>
      <b val="true"/>
      <sz val="11"/>
      <color theme="0"/>
      <name val="Arial"/>
      <family val="2"/>
      <charset val="1"/>
    </font>
    <font>
      <sz val="10"/>
      <name val="Calibri"/>
      <family val="2"/>
      <charset val="1"/>
    </font>
    <font>
      <sz val="10"/>
      <color rgb="FF000000"/>
      <name val="Calibri"/>
      <family val="0"/>
      <charset val="1"/>
    </font>
    <font>
      <sz val="10"/>
      <color rgb="FF0000FF"/>
      <name val="Calibri"/>
      <family val="2"/>
      <charset val="1"/>
    </font>
    <font>
      <i val="true"/>
      <sz val="8"/>
      <color rgb="FF7F7F7F"/>
      <name val="Calibri"/>
      <family val="2"/>
      <charset val="1"/>
    </font>
    <font>
      <b val="true"/>
      <sz val="10"/>
      <name val="Calibri"/>
      <family val="2"/>
      <charset val="1"/>
    </font>
    <font>
      <b val="true"/>
      <sz val="10"/>
      <color theme="3" tint="-0.5"/>
      <name val="Calibri"/>
      <family val="2"/>
      <charset val="1"/>
    </font>
    <font>
      <b val="true"/>
      <sz val="11"/>
      <color rgb="FFFFFFFF"/>
      <name val="Calibri"/>
      <family val="2"/>
      <charset val="1"/>
    </font>
    <font>
      <b val="true"/>
      <i val="true"/>
      <sz val="11"/>
      <color theme="0" tint="-0.25"/>
      <name val="Calibri"/>
      <family val="2"/>
      <charset val="1"/>
    </font>
    <font>
      <b val="true"/>
      <sz val="16"/>
      <color theme="0"/>
      <name val="Arial"/>
      <family val="2"/>
      <charset val="1"/>
    </font>
    <font>
      <b val="true"/>
      <sz val="11"/>
      <name val="Calibri"/>
      <family val="2"/>
      <charset val="1"/>
    </font>
    <font>
      <b val="true"/>
      <sz val="10"/>
      <color theme="0"/>
      <name val="Calibri"/>
      <family val="2"/>
      <charset val="1"/>
    </font>
    <font>
      <i val="true"/>
      <sz val="9"/>
      <color theme="1"/>
      <name val="Calibri"/>
      <family val="2"/>
      <charset val="1"/>
    </font>
    <font>
      <b val="true"/>
      <sz val="11"/>
      <color rgb="FF17365D"/>
      <name val="Calibri"/>
      <family val="2"/>
      <charset val="1"/>
    </font>
    <font>
      <sz val="11"/>
      <color rgb="FF17365D"/>
      <name val="Calibri"/>
      <family val="2"/>
      <charset val="1"/>
    </font>
    <font>
      <sz val="11"/>
      <color theme="3" tint="-0.5"/>
      <name val="Calibri"/>
      <family val="2"/>
      <charset val="1"/>
    </font>
    <font>
      <b val="true"/>
      <sz val="11"/>
      <color theme="3" tint="-0.5"/>
      <name val="Calibri"/>
      <family val="2"/>
      <charset val="1"/>
    </font>
    <font>
      <b val="true"/>
      <sz val="11"/>
      <color theme="1"/>
      <name val="Calibri"/>
      <family val="2"/>
      <charset val="1"/>
    </font>
    <font>
      <sz val="11"/>
      <color theme="0"/>
      <name val="Calibri"/>
      <family val="2"/>
      <charset val="1"/>
    </font>
    <font>
      <b val="true"/>
      <i val="true"/>
      <sz val="10"/>
      <color theme="0" tint="-0.35"/>
      <name val="Calibri"/>
      <family val="2"/>
      <charset val="1"/>
    </font>
    <font>
      <b val="true"/>
      <sz val="10"/>
      <color theme="0" tint="-0.35"/>
      <name val="Calibri"/>
      <family val="2"/>
      <charset val="1"/>
    </font>
    <font>
      <b val="true"/>
      <sz val="16"/>
      <name val="Arial"/>
      <family val="2"/>
      <charset val="1"/>
    </font>
    <font>
      <i val="true"/>
      <sz val="10"/>
      <name val="Arial"/>
      <family val="2"/>
      <charset val="1"/>
    </font>
    <font>
      <sz val="10"/>
      <color theme="3" tint="-0.5"/>
      <name val="Calibri"/>
      <family val="2"/>
      <charset val="1"/>
    </font>
    <font>
      <sz val="10"/>
      <color theme="1"/>
      <name val="Calibri"/>
      <family val="2"/>
      <charset val="1"/>
    </font>
    <font>
      <sz val="10"/>
      <color theme="0"/>
      <name val="Calibri"/>
      <family val="2"/>
      <charset val="1"/>
    </font>
    <font>
      <b val="true"/>
      <sz val="8"/>
      <color theme="1"/>
      <name val="Calibri"/>
      <family val="2"/>
      <charset val="1"/>
    </font>
    <font>
      <b val="true"/>
      <sz val="9"/>
      <color rgb="FF17365D"/>
      <name val="Calibri"/>
      <family val="2"/>
      <charset val="1"/>
    </font>
  </fonts>
  <fills count="14">
    <fill>
      <patternFill patternType="none"/>
    </fill>
    <fill>
      <patternFill patternType="gray125"/>
    </fill>
    <fill>
      <patternFill patternType="solid">
        <fgColor theme="0"/>
        <bgColor rgb="FFF5F7FA"/>
      </patternFill>
    </fill>
    <fill>
      <patternFill patternType="solid">
        <fgColor rgb="FF17365D"/>
        <bgColor rgb="FF10243E"/>
      </patternFill>
    </fill>
    <fill>
      <patternFill patternType="solid">
        <fgColor rgb="FFD39A12"/>
        <bgColor rgb="FFC9A227"/>
      </patternFill>
    </fill>
    <fill>
      <patternFill patternType="solid">
        <fgColor rgb="FFEAF0F6"/>
        <bgColor rgb="FFF2F2F2"/>
      </patternFill>
    </fill>
    <fill>
      <patternFill patternType="solid">
        <fgColor rgb="FFF2F2F2"/>
        <bgColor rgb="FFEAF0F6"/>
      </patternFill>
    </fill>
    <fill>
      <patternFill patternType="solid">
        <fgColor rgb="FFFCCF6A"/>
        <bgColor rgb="FFFFCC00"/>
      </patternFill>
    </fill>
    <fill>
      <patternFill patternType="solid">
        <fgColor rgb="FFFFF2CC"/>
        <bgColor rgb="FFF2F2F2"/>
      </patternFill>
    </fill>
    <fill>
      <patternFill patternType="solid">
        <fgColor rgb="FFB8CCE4"/>
        <bgColor rgb="FFB9CDE5"/>
      </patternFill>
    </fill>
    <fill>
      <patternFill patternType="solid">
        <fgColor rgb="FFE2F0D9"/>
        <bgColor rgb="FFEAF0F6"/>
      </patternFill>
    </fill>
    <fill>
      <patternFill patternType="solid">
        <fgColor rgb="FFC9A227"/>
        <bgColor rgb="FFD39A12"/>
      </patternFill>
    </fill>
    <fill>
      <patternFill patternType="solid">
        <fgColor theme="4" tint="0.5999"/>
        <bgColor rgb="FFB8CCE4"/>
      </patternFill>
    </fill>
    <fill>
      <patternFill patternType="solid">
        <fgColor rgb="FFF5F7FA"/>
        <bgColor rgb="FFF2F2F2"/>
      </patternFill>
    </fill>
  </fills>
  <borders count="68">
    <border diagonalUp="false" diagonalDown="false">
      <left/>
      <right/>
      <top/>
      <bottom/>
      <diagonal/>
    </border>
    <border diagonalUp="false" diagonalDown="false">
      <left/>
      <right/>
      <top/>
      <bottom style="thin">
        <color theme="0" tint="-0.35"/>
      </bottom>
      <diagonal/>
    </border>
    <border diagonalUp="false" diagonalDown="false">
      <left/>
      <right/>
      <top style="thin">
        <color theme="0" tint="-0.35"/>
      </top>
      <bottom/>
      <diagonal/>
    </border>
    <border diagonalUp="false" diagonalDown="false">
      <left/>
      <right style="thin">
        <color theme="0" tint="-0.35"/>
      </right>
      <top style="thin">
        <color theme="0" tint="-0.35"/>
      </top>
      <bottom/>
      <diagonal/>
    </border>
    <border diagonalUp="false" diagonalDown="false">
      <left/>
      <right style="thin">
        <color theme="0" tint="-0.35"/>
      </right>
      <top/>
      <bottom/>
      <diagonal/>
    </border>
    <border diagonalUp="false" diagonalDown="false">
      <left/>
      <right/>
      <top/>
      <bottom style="thin">
        <color rgb="FFB7C3D0"/>
      </bottom>
      <diagonal/>
    </border>
    <border diagonalUp="false" diagonalDown="false">
      <left/>
      <right style="thin">
        <color theme="0" tint="-0.35"/>
      </right>
      <top/>
      <bottom style="thin">
        <color rgb="FFB7C3D0"/>
      </bottom>
      <diagonal/>
    </border>
    <border diagonalUp="false" diagonalDown="false">
      <left/>
      <right style="thin">
        <color theme="0" tint="-0.35"/>
      </right>
      <top style="thin">
        <color rgb="FFB7C3D0"/>
      </top>
      <bottom style="thin">
        <color rgb="FFB7C3D0"/>
      </bottom>
      <diagonal/>
    </border>
    <border diagonalUp="false" diagonalDown="false">
      <left/>
      <right style="thin">
        <color theme="0" tint="-0.35"/>
      </right>
      <top style="thin">
        <color rgb="FFB7C3D0"/>
      </top>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bottom style="thin">
        <color rgb="FFB7C3D0"/>
      </bottom>
      <diagonal/>
    </border>
    <border diagonalUp="false" diagonalDown="false">
      <left style="thin">
        <color theme="0"/>
      </left>
      <right style="thin">
        <color theme="0"/>
      </right>
      <top style="thin">
        <color theme="0"/>
      </top>
      <bottom/>
      <diagonal/>
    </border>
    <border diagonalUp="false" diagonalDown="false">
      <left style="thin">
        <color theme="0" tint="-0.35"/>
      </left>
      <right/>
      <top/>
      <bottom/>
      <diagonal/>
    </border>
    <border diagonalUp="false" diagonalDown="false">
      <left style="thin">
        <color rgb="FF002060"/>
      </left>
      <right style="thin">
        <color rgb="FF002060"/>
      </right>
      <top style="thin">
        <color rgb="FF002060"/>
      </top>
      <bottom style="thin">
        <color rgb="FF002060"/>
      </bottom>
      <diagonal/>
    </border>
    <border diagonalUp="false" diagonalDown="false">
      <left style="thin">
        <color theme="0" tint="-0.35"/>
      </left>
      <right style="thin">
        <color theme="0" tint="-0.35"/>
      </right>
      <top/>
      <bottom/>
      <diagonal/>
    </border>
    <border diagonalUp="false" diagonalDown="false">
      <left style="thin">
        <color theme="0" tint="-0.35"/>
      </left>
      <right/>
      <top style="thin">
        <color theme="0" tint="-0.35"/>
      </top>
      <bottom style="thin">
        <color theme="4" tint="0.5999"/>
      </bottom>
      <diagonal/>
    </border>
    <border diagonalUp="false" diagonalDown="false">
      <left/>
      <right/>
      <top style="thin">
        <color theme="0" tint="-0.35"/>
      </top>
      <bottom style="thin">
        <color theme="4" tint="0.5999"/>
      </bottom>
      <diagonal/>
    </border>
    <border diagonalUp="false" diagonalDown="false">
      <left/>
      <right style="thin">
        <color theme="0" tint="-0.35"/>
      </right>
      <top style="thin">
        <color theme="0" tint="-0.35"/>
      </top>
      <bottom style="thin">
        <color theme="4" tint="0.5999"/>
      </bottom>
      <diagonal/>
    </border>
    <border diagonalUp="false" diagonalDown="false">
      <left style="thin">
        <color theme="0" tint="-0.35"/>
      </left>
      <right/>
      <top style="thin">
        <color theme="4" tint="0.5999"/>
      </top>
      <bottom style="thin">
        <color theme="0" tint="-0.35"/>
      </bottom>
      <diagonal/>
    </border>
    <border diagonalUp="false" diagonalDown="false">
      <left/>
      <right/>
      <top style="thin">
        <color theme="4" tint="0.5999"/>
      </top>
      <bottom style="thin">
        <color theme="0" tint="-0.35"/>
      </bottom>
      <diagonal/>
    </border>
    <border diagonalUp="false" diagonalDown="false">
      <left/>
      <right style="thin">
        <color theme="0" tint="-0.35"/>
      </right>
      <top style="thin">
        <color theme="4" tint="0.5999"/>
      </top>
      <bottom style="thin">
        <color theme="0" tint="-0.35"/>
      </bottom>
      <diagonal/>
    </border>
    <border diagonalUp="false" diagonalDown="false">
      <left style="thin">
        <color theme="0" tint="-0.35"/>
      </left>
      <right/>
      <top/>
      <bottom style="thin">
        <color theme="4" tint="0.5999"/>
      </bottom>
      <diagonal/>
    </border>
    <border diagonalUp="false" diagonalDown="false">
      <left/>
      <right style="thin">
        <color theme="0" tint="-0.35"/>
      </right>
      <top/>
      <bottom style="thin">
        <color theme="4" tint="0.5999"/>
      </bottom>
      <diagonal/>
    </border>
    <border diagonalUp="false" diagonalDown="false">
      <left style="thin">
        <color theme="0" tint="-0.35"/>
      </left>
      <right/>
      <top style="thin">
        <color theme="4" tint="0.5999"/>
      </top>
      <bottom style="thin">
        <color theme="4" tint="0.5999"/>
      </bottom>
      <diagonal/>
    </border>
    <border diagonalUp="false" diagonalDown="false">
      <left/>
      <right/>
      <top style="thin">
        <color theme="4" tint="0.5999"/>
      </top>
      <bottom style="thin">
        <color theme="4" tint="0.5999"/>
      </bottom>
      <diagonal/>
    </border>
    <border diagonalUp="false" diagonalDown="false">
      <left/>
      <right style="thin">
        <color theme="0" tint="-0.35"/>
      </right>
      <top style="thin">
        <color theme="4" tint="0.5999"/>
      </top>
      <bottom style="thin">
        <color theme="4" tint="0.5999"/>
      </bottom>
      <diagonal/>
    </border>
    <border diagonalUp="false" diagonalDown="false">
      <left style="thin">
        <color theme="0" tint="-0.35"/>
      </left>
      <right/>
      <top/>
      <bottom style="thin">
        <color theme="0" tint="-0.35"/>
      </bottom>
      <diagonal/>
    </border>
    <border diagonalUp="false" diagonalDown="false">
      <left/>
      <right style="thin">
        <color theme="0" tint="-0.35"/>
      </right>
      <top/>
      <bottom style="thin">
        <color theme="0" tint="-0.35"/>
      </bottom>
      <diagonal/>
    </border>
    <border diagonalUp="false" diagonalDown="false">
      <left/>
      <right/>
      <top style="thin">
        <color theme="4" tint="0.5999"/>
      </top>
      <bottom/>
      <diagonal/>
    </border>
    <border diagonalUp="false" diagonalDown="false">
      <left/>
      <right/>
      <top/>
      <bottom style="thin">
        <color theme="4" tint="0.5999"/>
      </bottom>
      <diagonal/>
    </border>
    <border diagonalUp="false" diagonalDown="false">
      <left style="thin">
        <color theme="4" tint="0.5999"/>
      </left>
      <right/>
      <top style="thin">
        <color theme="4" tint="0.5999"/>
      </top>
      <bottom style="thin">
        <color theme="4" tint="0.5999"/>
      </bottom>
      <diagonal/>
    </border>
    <border diagonalUp="false" diagonalDown="false">
      <left/>
      <right style="thin">
        <color theme="4" tint="0.5999"/>
      </right>
      <top style="thin">
        <color theme="4" tint="0.5999"/>
      </top>
      <bottom style="thin">
        <color theme="4" tint="0.5999"/>
      </bottom>
      <diagonal/>
    </border>
    <border diagonalUp="false" diagonalDown="false">
      <left style="thin">
        <color theme="4" tint="0.5999"/>
      </left>
      <right style="thin">
        <color theme="0" tint="-0.35"/>
      </right>
      <top style="thin">
        <color theme="4" tint="0.5999"/>
      </top>
      <bottom/>
      <diagonal/>
    </border>
    <border diagonalUp="false" diagonalDown="false">
      <left style="thin">
        <color theme="4" tint="0.5999"/>
      </left>
      <right/>
      <top style="thin"/>
      <bottom/>
      <diagonal/>
    </border>
    <border diagonalUp="false" diagonalDown="false">
      <left/>
      <right/>
      <top style="thin"/>
      <bottom/>
      <diagonal/>
    </border>
    <border diagonalUp="false" diagonalDown="false">
      <left style="thin">
        <color theme="4" tint="0.5999"/>
      </left>
      <right/>
      <top/>
      <bottom/>
      <diagonal/>
    </border>
    <border diagonalUp="false" diagonalDown="false">
      <left style="thin">
        <color theme="4" tint="0.5999"/>
      </left>
      <right/>
      <top style="thin">
        <color rgb="FFEAF0F6"/>
      </top>
      <bottom/>
      <diagonal/>
    </border>
    <border diagonalUp="false" diagonalDown="false">
      <left/>
      <right/>
      <top style="thin">
        <color rgb="FFEAF0F6"/>
      </top>
      <bottom/>
      <diagonal/>
    </border>
    <border diagonalUp="false" diagonalDown="false">
      <left/>
      <right style="thin">
        <color theme="0" tint="-0.35"/>
      </right>
      <top style="thin">
        <color rgb="FFEAF0F6"/>
      </top>
      <bottom/>
      <diagonal/>
    </border>
    <border diagonalUp="false" diagonalDown="false">
      <left style="thin">
        <color theme="4" tint="0.5999"/>
      </left>
      <right/>
      <top/>
      <bottom style="thin">
        <color theme="0"/>
      </bottom>
      <diagonal/>
    </border>
    <border diagonalUp="false" diagonalDown="false">
      <left/>
      <right/>
      <top/>
      <bottom style="thin">
        <color theme="0"/>
      </bottom>
      <diagonal/>
    </border>
    <border diagonalUp="false" diagonalDown="false">
      <left/>
      <right style="thin">
        <color theme="0" tint="-0.35"/>
      </right>
      <top/>
      <bottom style="thin">
        <color theme="3" tint="0.5999"/>
      </bottom>
      <diagonal/>
    </border>
    <border diagonalUp="false" diagonalDown="false">
      <left style="thin">
        <color theme="4" tint="0.5999"/>
      </left>
      <right/>
      <top/>
      <bottom style="thin">
        <color theme="4" tint="0.5999"/>
      </bottom>
      <diagonal/>
    </border>
    <border diagonalUp="false" diagonalDown="false">
      <left/>
      <right/>
      <top/>
      <bottom style="thin">
        <color rgb="FF17365D"/>
      </bottom>
      <diagonal/>
    </border>
    <border diagonalUp="false" diagonalDown="false">
      <left/>
      <right style="thin">
        <color theme="4" tint="0.5999"/>
      </right>
      <top style="thin">
        <color theme="3" tint="0.5999"/>
      </top>
      <bottom/>
      <diagonal/>
    </border>
    <border diagonalUp="false" diagonalDown="false">
      <left style="thin">
        <color theme="4" tint="0.5999"/>
      </left>
      <right/>
      <top style="thin">
        <color theme="4" tint="0.5999"/>
      </top>
      <bottom/>
      <diagonal/>
    </border>
    <border diagonalUp="false" diagonalDown="false">
      <left style="thin">
        <color theme="4" tint="0.5999"/>
      </left>
      <right/>
      <top style="thin">
        <color theme="4" tint="0.5999"/>
      </top>
      <bottom style="thin">
        <color theme="3" tint="-0.5"/>
      </bottom>
      <diagonal/>
    </border>
    <border diagonalUp="false" diagonalDown="false">
      <left/>
      <right/>
      <top style="thin">
        <color theme="4" tint="0.5999"/>
      </top>
      <bottom style="thin">
        <color theme="3" tint="-0.5"/>
      </bottom>
      <diagonal/>
    </border>
    <border diagonalUp="false" diagonalDown="false">
      <left/>
      <right/>
      <top/>
      <bottom style="thin">
        <color theme="3" tint="-0.5"/>
      </bottom>
      <diagonal/>
    </border>
    <border diagonalUp="false" diagonalDown="false">
      <left style="thin">
        <color theme="4" tint="0.5999"/>
      </left>
      <right style="thin">
        <color theme="0" tint="-0.35"/>
      </right>
      <top/>
      <bottom/>
      <diagonal/>
    </border>
    <border diagonalUp="false" diagonalDown="false">
      <left style="thin">
        <color theme="4" tint="0.5999"/>
      </left>
      <right/>
      <top style="thin">
        <color theme="4" tint="0.5999"/>
      </top>
      <bottom style="thin">
        <color theme="3" tint="0.5999"/>
      </bottom>
      <diagonal/>
    </border>
    <border diagonalUp="false" diagonalDown="false">
      <left/>
      <right/>
      <top style="thin">
        <color theme="4" tint="0.5999"/>
      </top>
      <bottom style="thin">
        <color theme="3" tint="0.5999"/>
      </bottom>
      <diagonal/>
    </border>
    <border diagonalUp="false" diagonalDown="false">
      <left/>
      <right style="thin">
        <color theme="0" tint="-0.35"/>
      </right>
      <top style="thin">
        <color theme="4" tint="0.5999"/>
      </top>
      <bottom style="thin">
        <color theme="3" tint="0.5999"/>
      </bottom>
      <diagonal/>
    </border>
    <border diagonalUp="false" diagonalDown="false">
      <left style="thin">
        <color theme="4" tint="0.5999"/>
      </left>
      <right/>
      <top style="thin">
        <color theme="3" tint="0.5999"/>
      </top>
      <bottom style="thin">
        <color theme="4" tint="0.5999"/>
      </bottom>
      <diagonal/>
    </border>
    <border diagonalUp="false" diagonalDown="false">
      <left/>
      <right/>
      <top style="thin">
        <color theme="3" tint="0.5999"/>
      </top>
      <bottom style="thin">
        <color theme="4" tint="0.5999"/>
      </bottom>
      <diagonal/>
    </border>
    <border diagonalUp="false" diagonalDown="false">
      <left/>
      <right style="thin">
        <color theme="0" tint="-0.35"/>
      </right>
      <top style="thin">
        <color theme="3" tint="0.5999"/>
      </top>
      <bottom style="thin">
        <color theme="4" tint="0.5999"/>
      </bottom>
      <diagonal/>
    </border>
    <border diagonalUp="false" diagonalDown="false">
      <left style="thin">
        <color theme="0" tint="-0.35"/>
      </left>
      <right style="thin">
        <color theme="0" tint="-0.35"/>
      </right>
      <top style="thin">
        <color theme="4" tint="0.5999"/>
      </top>
      <bottom/>
      <diagonal/>
    </border>
    <border diagonalUp="false" diagonalDown="false">
      <left style="thin">
        <color theme="0" tint="-0.35"/>
      </left>
      <right/>
      <top style="thin">
        <color theme="4" tint="0.5999"/>
      </top>
      <bottom style="thin">
        <color theme="3" tint="-0.5"/>
      </bottom>
      <diagonal/>
    </border>
    <border diagonalUp="false" diagonalDown="false">
      <left/>
      <right style="thin">
        <color theme="0" tint="-0.35"/>
      </right>
      <top style="thin">
        <color theme="4" tint="0.5999"/>
      </top>
      <bottom/>
      <diagonal/>
    </border>
    <border diagonalUp="false" diagonalDown="false">
      <left style="thin">
        <color theme="4" tint="0.5999"/>
      </left>
      <right style="thin">
        <color theme="0" tint="-0.35"/>
      </right>
      <top style="thin">
        <color theme="4" tint="0.5999"/>
      </top>
      <bottom style="thin">
        <color theme="4" tint="0.5999"/>
      </bottom>
      <diagonal/>
    </border>
    <border diagonalUp="false" diagonalDown="false">
      <left style="thin">
        <color theme="4" tint="0.5999"/>
      </left>
      <right style="thin">
        <color rgb="FFB7C3D0"/>
      </right>
      <top style="thin">
        <color rgb="FFB7C3D0"/>
      </top>
      <bottom style="thin">
        <color rgb="FFB7C3D0"/>
      </bottom>
      <diagonal/>
    </border>
    <border diagonalUp="false" diagonalDown="false">
      <left style="thin">
        <color rgb="FFB7C3D0"/>
      </left>
      <right style="thin">
        <color rgb="FFB7C3D0"/>
      </right>
      <top style="thin">
        <color rgb="FFB7C3D0"/>
      </top>
      <bottom style="thin">
        <color rgb="FFB7C3D0"/>
      </bottom>
      <diagonal/>
    </border>
    <border diagonalUp="false" diagonalDown="false">
      <left style="thin">
        <color theme="4" tint="0.5999"/>
      </left>
      <right style="thin">
        <color rgb="FFB7C3D0"/>
      </right>
      <top/>
      <bottom/>
      <diagonal/>
    </border>
    <border diagonalUp="false" diagonalDown="false">
      <left style="thin">
        <color rgb="FFB7C3D0"/>
      </left>
      <right style="thin">
        <color rgb="FFB7C3D0"/>
      </right>
      <top/>
      <bottom/>
      <diagonal/>
    </border>
    <border diagonalUp="false" diagonalDown="false">
      <left style="thin">
        <color theme="4" tint="0.5999"/>
      </left>
      <right style="thin">
        <color theme="4" tint="0.5999"/>
      </right>
      <top/>
      <bottom/>
      <diagonal/>
    </border>
    <border diagonalUp="false" diagonalDown="false">
      <left style="thin">
        <color theme="4" tint="0.5999"/>
      </left>
      <right/>
      <top style="thin">
        <color theme="4" tint="0.5999"/>
      </top>
      <bottom style="thin">
        <color theme="0" tint="-0.35"/>
      </bottom>
      <diagonal/>
    </border>
    <border diagonalUp="false" diagonalDown="false">
      <left/>
      <right style="thin">
        <color rgb="FFEAF0F6"/>
      </right>
      <top/>
      <bottom style="thin">
        <color rgb="FFB7C3D0"/>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2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8" fillId="2" borderId="2" xfId="21" applyFont="true" applyBorder="true" applyAlignment="true" applyProtection="false">
      <alignment horizontal="general" vertical="center" textRotation="0" wrapText="false" indent="0" shrinkToFit="false"/>
      <protection locked="true" hidden="false"/>
    </xf>
    <xf numFmtId="164" fontId="8" fillId="2" borderId="3" xfId="21" applyFont="true" applyBorder="true" applyAlignment="true" applyProtection="false">
      <alignment horizontal="general" vertical="center" textRotation="0" wrapText="false" indent="0" shrinkToFit="false"/>
      <protection locked="true" hidden="false"/>
    </xf>
    <xf numFmtId="164" fontId="8" fillId="3" borderId="3" xfId="21" applyFont="true" applyBorder="true" applyAlignment="true" applyProtection="false">
      <alignment horizontal="center" vertical="center" textRotation="0" wrapText="false" indent="0" shrinkToFit="false"/>
      <protection locked="true" hidden="false"/>
    </xf>
    <xf numFmtId="164" fontId="9" fillId="2" borderId="4" xfId="21" applyFont="true" applyBorder="true" applyAlignment="true" applyProtection="false">
      <alignment horizontal="center" vertical="center" textRotation="0" wrapText="false" indent="0" shrinkToFit="false"/>
      <protection locked="true" hidden="false"/>
    </xf>
    <xf numFmtId="164" fontId="10" fillId="5" borderId="5" xfId="22" applyFont="true" applyBorder="true" applyAlignment="true" applyProtection="false">
      <alignment horizontal="left" vertical="center" textRotation="0" wrapText="false" indent="0" shrinkToFit="false"/>
      <protection locked="true" hidden="false"/>
    </xf>
    <xf numFmtId="164" fontId="0" fillId="2" borderId="6" xfId="22" applyFont="true" applyBorder="true" applyAlignment="true" applyProtection="false">
      <alignment horizontal="center" vertical="center" textRotation="0" wrapText="false" indent="0" shrinkToFit="false"/>
      <protection locked="true" hidden="false"/>
    </xf>
    <xf numFmtId="164" fontId="11" fillId="2" borderId="4" xfId="21" applyFont="true" applyBorder="true" applyAlignment="true" applyProtection="false">
      <alignment horizontal="center" vertical="center" textRotation="0" wrapText="false" indent="0" shrinkToFit="false"/>
      <protection locked="true" hidden="false"/>
    </xf>
    <xf numFmtId="164" fontId="0" fillId="2" borderId="7" xfId="22" applyFont="true" applyBorder="true" applyAlignment="true" applyProtection="false">
      <alignment horizontal="center" vertical="center" textRotation="0" wrapText="false" indent="0" shrinkToFit="false"/>
      <protection locked="true" hidden="false"/>
    </xf>
    <xf numFmtId="164" fontId="8" fillId="2" borderId="0" xfId="21" applyFont="true" applyBorder="false" applyAlignment="true" applyProtection="false">
      <alignment horizontal="general" vertical="center" textRotation="0" wrapText="false" indent="0" shrinkToFit="false"/>
      <protection locked="true" hidden="false"/>
    </xf>
    <xf numFmtId="164" fontId="8" fillId="2" borderId="4" xfId="21" applyFont="true" applyBorder="true" applyAlignment="true" applyProtection="false">
      <alignment horizontal="general" vertical="center" textRotation="0" wrapText="false" indent="0" shrinkToFit="false"/>
      <protection locked="true" hidden="false"/>
    </xf>
    <xf numFmtId="164" fontId="12" fillId="2" borderId="6" xfId="22" applyFont="true" applyBorder="true" applyAlignment="true" applyProtection="false">
      <alignment horizontal="center" vertical="center" textRotation="0" wrapText="false" indent="0" shrinkToFit="false"/>
      <protection locked="true" hidden="false"/>
    </xf>
    <xf numFmtId="164" fontId="10" fillId="5" borderId="0" xfId="22" applyFont="true" applyBorder="false" applyAlignment="true" applyProtection="false">
      <alignment horizontal="left" vertical="center" textRotation="0" wrapText="false" indent="0" shrinkToFit="false"/>
      <protection locked="true" hidden="false"/>
    </xf>
    <xf numFmtId="164" fontId="0" fillId="2" borderId="8" xfId="22" applyFont="true" applyBorder="true" applyAlignment="true" applyProtection="false">
      <alignment horizontal="center" vertical="center" textRotation="0" wrapText="false" indent="0" shrinkToFit="false"/>
      <protection locked="true" hidden="false"/>
    </xf>
    <xf numFmtId="164" fontId="13" fillId="3" borderId="0" xfId="0" applyFont="true" applyBorder="false" applyAlignment="true" applyProtection="false">
      <alignment horizontal="center" vertical="center"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5" fontId="15" fillId="6" borderId="0" xfId="0" applyFont="true" applyBorder="true" applyAlignment="true" applyProtection="false">
      <alignment horizontal="general" vertical="center" textRotation="0" wrapText="false" indent="0" shrinkToFit="false"/>
      <protection locked="true" hidden="false"/>
    </xf>
    <xf numFmtId="165" fontId="15" fillId="6" borderId="0" xfId="0" applyFont="true" applyBorder="false" applyAlignment="true" applyProtection="false">
      <alignment horizontal="general" vertical="center"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5" fontId="16" fillId="6" borderId="0" xfId="0" applyFont="true" applyBorder="false" applyAlignment="true" applyProtection="false">
      <alignment horizontal="general" vertical="center" textRotation="0" wrapText="false" indent="0" shrinkToFit="false"/>
      <protection locked="true" hidden="false"/>
    </xf>
    <xf numFmtId="164" fontId="17" fillId="6" borderId="0"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5" fontId="1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general" vertical="center" textRotation="0" wrapText="false" indent="0" shrinkToFit="false"/>
      <protection locked="true" hidden="false"/>
    </xf>
    <xf numFmtId="166" fontId="18" fillId="6" borderId="0" xfId="0" applyFont="true" applyBorder="false" applyAlignment="true" applyProtection="false">
      <alignment horizontal="general" vertical="center" textRotation="0" wrapText="false" indent="0" shrinkToFit="false"/>
      <protection locked="true" hidden="false"/>
    </xf>
    <xf numFmtId="165" fontId="19" fillId="7"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true" applyAlignment="true" applyProtection="false">
      <alignment horizontal="general" vertical="center" textRotation="0" wrapText="false" indent="0" shrinkToFit="false"/>
      <protection locked="true" hidden="false"/>
    </xf>
    <xf numFmtId="164" fontId="20" fillId="3" borderId="0" xfId="0" applyFont="true" applyBorder="true" applyAlignment="true" applyProtection="false">
      <alignment horizontal="center" vertical="center" textRotation="0" wrapText="false" indent="0" shrinkToFit="false"/>
      <protection locked="true" hidden="false"/>
    </xf>
    <xf numFmtId="167" fontId="16" fillId="6" borderId="0" xfId="0" applyFont="true" applyBorder="false" applyAlignment="true" applyProtection="false">
      <alignment horizontal="general" vertical="center" textRotation="0" wrapText="false" indent="0" shrinkToFit="false"/>
      <protection locked="true" hidden="false"/>
    </xf>
    <xf numFmtId="167" fontId="16"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7" fontId="19" fillId="7" borderId="0" xfId="0" applyFont="true" applyBorder="false" applyAlignment="true" applyProtection="false">
      <alignment horizontal="general" vertical="center" textRotation="0" wrapText="false" indent="0" shrinkToFit="false"/>
      <protection locked="true" hidden="false"/>
    </xf>
    <xf numFmtId="164" fontId="21" fillId="2" borderId="0" xfId="0" applyFont="true" applyBorder="false" applyAlignment="true" applyProtection="false">
      <alignment horizontal="left" vertical="center" textRotation="0" wrapText="false" indent="0" shrinkToFit="false"/>
      <protection locked="true" hidden="false"/>
    </xf>
    <xf numFmtId="164" fontId="20" fillId="2" borderId="0" xfId="0" applyFont="true" applyBorder="false" applyAlignment="true" applyProtection="false">
      <alignment horizontal="center" vertical="center" textRotation="0" wrapText="false" indent="0" shrinkToFit="false"/>
      <protection locked="true" hidden="false"/>
    </xf>
    <xf numFmtId="164" fontId="21" fillId="2" borderId="0" xfId="0" applyFont="true" applyBorder="false" applyAlignment="true" applyProtection="false">
      <alignment horizontal="right" vertical="center"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9" xfId="0" applyFont="true" applyBorder="true" applyAlignment="true" applyProtection="false">
      <alignment horizontal="general" vertical="center" textRotation="0" wrapText="false" indent="0" shrinkToFit="false"/>
      <protection locked="true" hidden="false"/>
    </xf>
    <xf numFmtId="164" fontId="22" fillId="3" borderId="0" xfId="0" applyFont="true" applyBorder="true" applyAlignment="true" applyProtection="false">
      <alignment horizontal="center" vertical="center"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23" fillId="2" borderId="4" xfId="21" applyFont="true" applyBorder="true" applyAlignment="true" applyProtection="false">
      <alignment horizontal="general" vertical="center" textRotation="0" wrapText="false" indent="0" shrinkToFit="false"/>
      <protection locked="true" hidden="false"/>
    </xf>
    <xf numFmtId="164" fontId="8" fillId="3" borderId="10" xfId="21" applyFont="true" applyBorder="true" applyAlignment="true" applyProtection="false">
      <alignment horizontal="center" vertical="bottom" textRotation="0" wrapText="false" indent="0" shrinkToFit="false"/>
      <protection locked="true" hidden="false"/>
    </xf>
    <xf numFmtId="164" fontId="10" fillId="5" borderId="11" xfId="22" applyFont="true" applyBorder="true" applyAlignment="true" applyProtection="false">
      <alignment horizontal="left" vertical="center" textRotation="0" wrapText="false" indent="0" shrinkToFit="false"/>
      <protection locked="true" hidden="false"/>
    </xf>
    <xf numFmtId="164" fontId="0" fillId="0" borderId="12" xfId="0" applyFont="true" applyBorder="true" applyAlignment="true" applyProtection="false">
      <alignment horizontal="general" vertical="center"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64" fontId="10" fillId="5" borderId="13" xfId="22" applyFont="true" applyBorder="true" applyAlignment="true" applyProtection="false">
      <alignment horizontal="left" vertical="center" textRotation="0" wrapText="false" indent="0" shrinkToFit="false"/>
      <protection locked="true" hidden="false"/>
    </xf>
    <xf numFmtId="164" fontId="24" fillId="3" borderId="14" xfId="0" applyFont="true" applyBorder="true" applyAlignment="true" applyProtection="false">
      <alignment horizontal="center" vertical="center" textRotation="0" wrapText="true" indent="0" shrinkToFit="false"/>
      <protection locked="true" hidden="false"/>
    </xf>
    <xf numFmtId="164" fontId="25" fillId="7" borderId="15" xfId="0" applyFont="true" applyBorder="true" applyAlignment="true" applyProtection="false">
      <alignment horizontal="center" vertical="center" textRotation="0" wrapText="true" indent="0" shrinkToFit="false"/>
      <protection locked="true" hidden="false"/>
    </xf>
    <xf numFmtId="164" fontId="26" fillId="5" borderId="16" xfId="0" applyFont="true" applyBorder="true" applyAlignment="true" applyProtection="false">
      <alignment horizontal="left" vertical="center" textRotation="0" wrapText="false" indent="0" shrinkToFit="false"/>
      <protection locked="true" hidden="false"/>
    </xf>
    <xf numFmtId="164" fontId="27" fillId="8" borderId="17" xfId="0" applyFont="true" applyBorder="true" applyAlignment="true" applyProtection="false">
      <alignment horizontal="center" vertical="center" textRotation="0" wrapText="false" indent="0" shrinkToFit="false"/>
      <protection locked="true" hidden="false"/>
    </xf>
    <xf numFmtId="164" fontId="26" fillId="5" borderId="17" xfId="0" applyFont="true" applyBorder="true" applyAlignment="true" applyProtection="false">
      <alignment horizontal="general" vertical="center" textRotation="0" wrapText="false" indent="0" shrinkToFit="false"/>
      <protection locked="true" hidden="false"/>
    </xf>
    <xf numFmtId="164" fontId="27" fillId="8" borderId="18" xfId="0" applyFont="true" applyBorder="true" applyAlignment="true" applyProtection="false">
      <alignment horizontal="center" vertical="center" textRotation="0" wrapText="false" indent="0" shrinkToFit="false"/>
      <protection locked="true" hidden="false"/>
    </xf>
    <xf numFmtId="164" fontId="10" fillId="9" borderId="19" xfId="0" applyFont="true" applyBorder="true" applyAlignment="true" applyProtection="false">
      <alignment horizontal="center" vertical="center" textRotation="0" wrapText="true" indent="0" shrinkToFit="false"/>
      <protection locked="true" hidden="false"/>
    </xf>
    <xf numFmtId="164" fontId="10" fillId="9" borderId="20" xfId="0" applyFont="true" applyBorder="true" applyAlignment="true" applyProtection="false">
      <alignment horizontal="center" vertical="center" textRotation="0" wrapText="true" indent="0" shrinkToFit="false"/>
      <protection locked="true" hidden="false"/>
    </xf>
    <xf numFmtId="164" fontId="10" fillId="9" borderId="21" xfId="0" applyFont="true" applyBorder="true" applyAlignment="true" applyProtection="false">
      <alignment horizontal="center" vertical="center" textRotation="0" wrapText="true" indent="0" shrinkToFit="false"/>
      <protection locked="true" hidden="false"/>
    </xf>
    <xf numFmtId="164" fontId="8" fillId="3" borderId="22" xfId="0" applyFont="true" applyBorder="true" applyAlignment="true" applyProtection="false">
      <alignment horizontal="center" vertical="center" textRotation="0" wrapText="false" indent="0" shrinkToFit="false"/>
      <protection locked="true" hidden="false"/>
    </xf>
    <xf numFmtId="164" fontId="8" fillId="3" borderId="23" xfId="0" applyFont="true" applyBorder="true" applyAlignment="true" applyProtection="false">
      <alignment horizontal="general" vertical="center" textRotation="0" wrapText="false" indent="0" shrinkToFit="false"/>
      <protection locked="true" hidden="false"/>
    </xf>
    <xf numFmtId="164" fontId="14" fillId="0" borderId="24" xfId="0" applyFont="true" applyBorder="true" applyAlignment="true" applyProtection="false">
      <alignment horizontal="center" vertical="center" textRotation="0" wrapText="false" indent="0" shrinkToFit="false"/>
      <protection locked="true" hidden="false"/>
    </xf>
    <xf numFmtId="164" fontId="14" fillId="0" borderId="25" xfId="0" applyFont="true" applyBorder="true" applyAlignment="true" applyProtection="false">
      <alignment horizontal="general" vertical="center" textRotation="0" wrapText="false" indent="0" shrinkToFit="false"/>
      <protection locked="true" hidden="false"/>
    </xf>
    <xf numFmtId="164" fontId="14" fillId="0" borderId="25" xfId="0" applyFont="true" applyBorder="true" applyAlignment="true" applyProtection="false">
      <alignment horizontal="center" vertical="center" textRotation="0" wrapText="false" indent="0" shrinkToFit="false"/>
      <protection locked="true" hidden="false"/>
    </xf>
    <xf numFmtId="165" fontId="16" fillId="0" borderId="25" xfId="0" applyFont="true" applyBorder="true" applyAlignment="true" applyProtection="false">
      <alignment horizontal="general" vertical="center" textRotation="0" wrapText="false" indent="0" shrinkToFit="false"/>
      <protection locked="true" hidden="false"/>
    </xf>
    <xf numFmtId="168" fontId="16" fillId="0" borderId="25" xfId="0" applyFont="true" applyBorder="true" applyAlignment="true" applyProtection="false">
      <alignment horizontal="general" vertical="center" textRotation="0" wrapText="false" indent="0" shrinkToFit="false"/>
      <protection locked="true" hidden="false"/>
    </xf>
    <xf numFmtId="168" fontId="14" fillId="0" borderId="26" xfId="0" applyFont="true" applyBorder="true" applyAlignment="true" applyProtection="false">
      <alignment horizontal="general" vertical="center" textRotation="0" wrapText="false" indent="0" shrinkToFit="false"/>
      <protection locked="true" hidden="false"/>
    </xf>
    <xf numFmtId="164" fontId="28" fillId="7" borderId="24" xfId="0" applyFont="true" applyBorder="true" applyAlignment="true" applyProtection="false">
      <alignment horizontal="center" vertical="center" textRotation="0" wrapText="false" indent="0" shrinkToFit="false"/>
      <protection locked="true" hidden="false"/>
    </xf>
    <xf numFmtId="164" fontId="19" fillId="7" borderId="25" xfId="0" applyFont="true" applyBorder="true" applyAlignment="true" applyProtection="false">
      <alignment horizontal="general" vertical="center" textRotation="0" wrapText="false" indent="0" shrinkToFit="false"/>
      <protection locked="true" hidden="false"/>
    </xf>
    <xf numFmtId="168" fontId="19" fillId="7" borderId="26" xfId="0" applyFont="true" applyBorder="true" applyAlignment="true" applyProtection="false">
      <alignment horizontal="general" vertical="center" textRotation="0" wrapText="false" indent="0" shrinkToFit="false"/>
      <protection locked="true" hidden="false"/>
    </xf>
    <xf numFmtId="164" fontId="0" fillId="5" borderId="24" xfId="0" applyFont="true" applyBorder="true" applyAlignment="true" applyProtection="false">
      <alignment horizontal="center" vertical="center" textRotation="0" wrapText="false" indent="0" shrinkToFit="false"/>
      <protection locked="true" hidden="false"/>
    </xf>
    <xf numFmtId="164" fontId="0" fillId="5" borderId="25" xfId="0" applyFont="true" applyBorder="true" applyAlignment="true" applyProtection="false">
      <alignment horizontal="general" vertical="center" textRotation="0" wrapText="false" indent="0" shrinkToFit="false"/>
      <protection locked="true" hidden="false"/>
    </xf>
    <xf numFmtId="164" fontId="0" fillId="5" borderId="26" xfId="0" applyFont="true" applyBorder="true" applyAlignment="true" applyProtection="false">
      <alignment horizontal="general" vertical="center" textRotation="0" wrapText="false" indent="0" shrinkToFit="false"/>
      <protection locked="true" hidden="false"/>
    </xf>
    <xf numFmtId="164" fontId="8" fillId="3" borderId="25" xfId="0" applyFont="true" applyBorder="true" applyAlignment="true" applyProtection="false">
      <alignment horizontal="general" vertical="center" textRotation="0" wrapText="false" indent="0" shrinkToFit="false"/>
      <protection locked="true" hidden="false"/>
    </xf>
    <xf numFmtId="164" fontId="14" fillId="0" borderId="26" xfId="0" applyFont="true" applyBorder="true" applyAlignment="true" applyProtection="false">
      <alignment horizontal="general" vertical="center" textRotation="0" wrapText="false" indent="0" shrinkToFit="false"/>
      <protection locked="true" hidden="false"/>
    </xf>
    <xf numFmtId="164" fontId="8" fillId="3" borderId="25" xfId="0" applyFont="true" applyBorder="true" applyAlignment="true" applyProtection="false">
      <alignment horizontal="left" vertical="center" textRotation="0" wrapText="false" indent="0" shrinkToFit="false"/>
      <protection locked="true" hidden="false"/>
    </xf>
    <xf numFmtId="164" fontId="20" fillId="3" borderId="24" xfId="0" applyFont="true" applyBorder="true" applyAlignment="true" applyProtection="false">
      <alignment horizontal="center" vertical="center" textRotation="0" wrapText="false" indent="0" shrinkToFit="false"/>
      <protection locked="true" hidden="false"/>
    </xf>
    <xf numFmtId="164" fontId="20" fillId="3" borderId="25" xfId="0" applyFont="true" applyBorder="true" applyAlignment="true" applyProtection="false">
      <alignment horizontal="general" vertical="center" textRotation="0" wrapText="false" indent="0" shrinkToFit="false"/>
      <protection locked="true" hidden="false"/>
    </xf>
    <xf numFmtId="168" fontId="20" fillId="3" borderId="26" xfId="0" applyFont="true" applyBorder="true" applyAlignment="true" applyProtection="false">
      <alignment horizontal="general" vertical="center" textRotation="0" wrapText="false" indent="0" shrinkToFit="false"/>
      <protection locked="true" hidden="false"/>
    </xf>
    <xf numFmtId="164" fontId="0" fillId="0" borderId="24" xfId="0" applyFont="true" applyBorder="true" applyAlignment="true" applyProtection="false">
      <alignment horizontal="center" vertical="center" textRotation="0" wrapText="false" indent="0" shrinkToFit="false"/>
      <protection locked="true" hidden="false"/>
    </xf>
    <xf numFmtId="164" fontId="0" fillId="0" borderId="25" xfId="0" applyFont="true" applyBorder="true" applyAlignment="true" applyProtection="false">
      <alignment horizontal="general" vertical="center" textRotation="0" wrapText="false" indent="0" shrinkToFit="false"/>
      <protection locked="true" hidden="false"/>
    </xf>
    <xf numFmtId="164" fontId="0" fillId="0" borderId="26" xfId="0" applyFont="true" applyBorder="true" applyAlignment="true" applyProtection="false">
      <alignment horizontal="general" vertical="center" textRotation="0" wrapText="false" indent="0" shrinkToFit="false"/>
      <protection locked="true" hidden="false"/>
    </xf>
    <xf numFmtId="164" fontId="14" fillId="5" borderId="25" xfId="0" applyFont="true" applyBorder="true" applyAlignment="true" applyProtection="false">
      <alignment horizontal="general" vertical="center" textRotation="0" wrapText="false" indent="0" shrinkToFit="false"/>
      <protection locked="true" hidden="false"/>
    </xf>
    <xf numFmtId="167" fontId="18" fillId="5" borderId="25" xfId="0" applyFont="true" applyBorder="true" applyAlignment="true" applyProtection="false">
      <alignment horizontal="general" vertical="center" textRotation="0" wrapText="false" indent="0" shrinkToFit="false"/>
      <protection locked="true" hidden="false"/>
    </xf>
    <xf numFmtId="168" fontId="18" fillId="5" borderId="26" xfId="0" applyFont="true" applyBorder="true" applyAlignment="true" applyProtection="false">
      <alignment horizontal="general" vertical="center" textRotation="0" wrapText="false" indent="0" shrinkToFit="false"/>
      <protection locked="true" hidden="false"/>
    </xf>
    <xf numFmtId="164" fontId="28" fillId="7" borderId="25" xfId="0" applyFont="true" applyBorder="true" applyAlignment="true" applyProtection="false">
      <alignment horizontal="general" vertical="center" textRotation="0" wrapText="false" indent="0" shrinkToFit="false"/>
      <protection locked="true" hidden="false"/>
    </xf>
    <xf numFmtId="164" fontId="29" fillId="7" borderId="25" xfId="0" applyFont="true" applyBorder="true" applyAlignment="true" applyProtection="false">
      <alignment horizontal="general" vertical="center" textRotation="0" wrapText="false" indent="0" shrinkToFit="false"/>
      <protection locked="true" hidden="false"/>
    </xf>
    <xf numFmtId="164" fontId="30" fillId="5" borderId="25" xfId="0" applyFont="true" applyBorder="true" applyAlignment="true" applyProtection="false">
      <alignment horizontal="general" vertical="center" textRotation="0" wrapText="false" indent="0" shrinkToFit="false"/>
      <protection locked="true" hidden="false"/>
    </xf>
    <xf numFmtId="164" fontId="31" fillId="3" borderId="24" xfId="0" applyFont="true" applyBorder="true" applyAlignment="true" applyProtection="false">
      <alignment horizontal="center" vertical="center" textRotation="0" wrapText="false" indent="0" shrinkToFit="false"/>
      <protection locked="true" hidden="false"/>
    </xf>
    <xf numFmtId="168" fontId="8" fillId="3" borderId="26" xfId="0" applyFont="true" applyBorder="true" applyAlignment="true" applyProtection="false">
      <alignment horizontal="general" vertical="center" textRotation="0" wrapText="false" indent="0" shrinkToFit="false"/>
      <protection locked="true" hidden="false"/>
    </xf>
    <xf numFmtId="164" fontId="0" fillId="0" borderId="13"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1" fillId="0" borderId="4" xfId="0" applyFont="true" applyBorder="true" applyAlignment="true" applyProtection="false">
      <alignment horizontal="right" vertical="bottom" textRotation="0" wrapText="false" indent="0" shrinkToFit="false"/>
      <protection locked="true" hidden="false"/>
    </xf>
    <xf numFmtId="164" fontId="21" fillId="0" borderId="4" xfId="0" applyFont="true" applyBorder="true" applyAlignment="true" applyProtection="false">
      <alignment horizontal="center"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8" fontId="32" fillId="0" borderId="4" xfId="0" applyFont="true" applyBorder="true" applyAlignment="false" applyProtection="false">
      <alignment horizontal="general" vertical="bottom" textRotation="0" wrapText="false" indent="0" shrinkToFit="false"/>
      <protection locked="true" hidden="false"/>
    </xf>
    <xf numFmtId="164" fontId="0" fillId="0" borderId="27"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64" fontId="33" fillId="0" borderId="1" xfId="0" applyFont="true" applyBorder="true" applyAlignment="false" applyProtection="false">
      <alignment horizontal="general" vertical="bottom" textRotation="0" wrapText="false" indent="0" shrinkToFit="false"/>
      <protection locked="true" hidden="false"/>
    </xf>
    <xf numFmtId="168" fontId="32" fillId="0" borderId="28" xfId="0" applyFont="true" applyBorder="true" applyAlignment="false" applyProtection="false">
      <alignment horizontal="general" vertical="bottom" textRotation="0" wrapText="false" indent="0" shrinkToFit="false"/>
      <protection locked="true" hidden="false"/>
    </xf>
    <xf numFmtId="164" fontId="0" fillId="0" borderId="0" xfId="21" applyFont="true" applyBorder="false" applyAlignment="false" applyProtection="false">
      <alignment horizontal="general" vertical="bottom" textRotation="0" wrapText="false" indent="0" shrinkToFit="false"/>
      <protection locked="true" hidden="false"/>
    </xf>
    <xf numFmtId="164" fontId="22" fillId="6" borderId="9" xfId="21" applyFont="true" applyBorder="true" applyAlignment="true" applyProtection="false">
      <alignment horizontal="general" vertical="center" textRotation="0" wrapText="true" indent="0" shrinkToFit="false"/>
      <protection locked="true" hidden="false"/>
    </xf>
    <xf numFmtId="164" fontId="0" fillId="0" borderId="9" xfId="21" applyFont="true" applyBorder="true" applyAlignment="false" applyProtection="false">
      <alignment horizontal="general" vertical="bottom" textRotation="0" wrapText="false" indent="0" shrinkToFit="false"/>
      <protection locked="true" hidden="false"/>
    </xf>
    <xf numFmtId="164" fontId="22" fillId="3" borderId="0" xfId="21" applyFont="true" applyBorder="true" applyAlignment="true" applyProtection="false">
      <alignment horizontal="center" vertical="center" textRotation="0" wrapText="true" indent="0" shrinkToFit="false"/>
      <protection locked="true" hidden="false"/>
    </xf>
    <xf numFmtId="164" fontId="0" fillId="4" borderId="0" xfId="21" applyFont="true" applyBorder="false" applyAlignment="false" applyProtection="false">
      <alignment horizontal="general" vertical="bottom" textRotation="0" wrapText="false" indent="0" shrinkToFit="false"/>
      <protection locked="true" hidden="false"/>
    </xf>
    <xf numFmtId="164" fontId="34" fillId="2" borderId="29" xfId="20" applyFont="true" applyBorder="true" applyAlignment="true" applyProtection="false">
      <alignment horizontal="general" vertical="top" textRotation="0" wrapText="false" indent="0" shrinkToFit="false"/>
      <protection locked="true" hidden="false"/>
    </xf>
    <xf numFmtId="164" fontId="8" fillId="3" borderId="3" xfId="21" applyFont="true" applyBorder="true" applyAlignment="true" applyProtection="false">
      <alignment horizontal="center" vertical="bottom" textRotation="0" wrapText="false" indent="0" shrinkToFit="false"/>
      <protection locked="true" hidden="false"/>
    </xf>
    <xf numFmtId="164" fontId="34" fillId="2" borderId="0" xfId="20" applyFont="true" applyBorder="true" applyAlignment="true" applyProtection="false">
      <alignment horizontal="center" vertical="top" textRotation="0" wrapText="false" indent="0" shrinkToFit="false"/>
      <protection locked="true" hidden="false"/>
    </xf>
    <xf numFmtId="164" fontId="10" fillId="5" borderId="5" xfId="22" applyFont="true" applyBorder="true" applyAlignment="true" applyProtection="false">
      <alignment horizontal="general" vertical="center" textRotation="0" wrapText="false" indent="0" shrinkToFit="false"/>
      <protection locked="true" hidden="false"/>
    </xf>
    <xf numFmtId="164" fontId="35" fillId="2" borderId="0" xfId="20" applyFont="true" applyBorder="true" applyAlignment="true" applyProtection="false">
      <alignment horizontal="center" vertical="center" textRotation="0" wrapText="false" indent="0" shrinkToFit="false"/>
      <protection locked="true" hidden="false"/>
    </xf>
    <xf numFmtId="164" fontId="34" fillId="2" borderId="30" xfId="20" applyFont="true" applyBorder="true" applyAlignment="true" applyProtection="false">
      <alignment horizontal="general" vertical="top" textRotation="0" wrapText="false" indent="0" shrinkToFit="false"/>
      <protection locked="true" hidden="false"/>
    </xf>
    <xf numFmtId="164" fontId="10" fillId="5" borderId="0" xfId="22" applyFont="true" applyBorder="false" applyAlignment="true" applyProtection="false">
      <alignment horizontal="general" vertical="center" textRotation="0" wrapText="false" indent="0" shrinkToFit="false"/>
      <protection locked="true" hidden="false"/>
    </xf>
    <xf numFmtId="164" fontId="24" fillId="3" borderId="15" xfId="20" applyFont="true" applyBorder="true" applyAlignment="true" applyProtection="false">
      <alignment horizontal="center" vertical="center" textRotation="0" wrapText="false" indent="0" shrinkToFit="false"/>
      <protection locked="true" hidden="false"/>
    </xf>
    <xf numFmtId="164" fontId="10" fillId="5" borderId="31" xfId="21" applyFont="true" applyBorder="true" applyAlignment="true" applyProtection="false">
      <alignment horizontal="left" vertical="center" textRotation="0" wrapText="true" indent="0" shrinkToFit="false"/>
      <protection locked="true" hidden="false"/>
    </xf>
    <xf numFmtId="164" fontId="10" fillId="8" borderId="32" xfId="21" applyFont="true" applyBorder="true" applyAlignment="true" applyProtection="false">
      <alignment horizontal="center" vertical="center" textRotation="0" wrapText="true" indent="0" shrinkToFit="false"/>
      <protection locked="true" hidden="false"/>
    </xf>
    <xf numFmtId="164" fontId="10" fillId="7" borderId="32" xfId="21" applyFont="true" applyBorder="true" applyAlignment="true" applyProtection="false">
      <alignment horizontal="center" vertical="center" textRotation="0" wrapText="true" indent="0" shrinkToFit="false"/>
      <protection locked="true" hidden="false"/>
    </xf>
    <xf numFmtId="164" fontId="10" fillId="5" borderId="25" xfId="21" applyFont="true" applyBorder="true" applyAlignment="true" applyProtection="false">
      <alignment horizontal="general" vertical="center" textRotation="0" wrapText="true" indent="0" shrinkToFit="false"/>
      <protection locked="true" hidden="false"/>
    </xf>
    <xf numFmtId="168" fontId="10" fillId="8" borderId="32" xfId="21" applyFont="true" applyBorder="true" applyAlignment="true" applyProtection="false">
      <alignment horizontal="center" vertical="center" textRotation="0" wrapText="true" indent="0" shrinkToFit="false"/>
      <protection locked="true" hidden="false"/>
    </xf>
    <xf numFmtId="164" fontId="8" fillId="3" borderId="15" xfId="21" applyFont="true" applyBorder="true" applyAlignment="true" applyProtection="false">
      <alignment horizontal="center" vertical="center" textRotation="0" wrapText="true" indent="0" shrinkToFit="false"/>
      <protection locked="true" hidden="false"/>
    </xf>
    <xf numFmtId="164" fontId="0" fillId="0" borderId="15" xfId="21" applyFont="true" applyBorder="true" applyAlignment="true" applyProtection="false">
      <alignment horizontal="center" vertical="center" textRotation="0" wrapText="true" indent="0" shrinkToFit="false"/>
      <protection locked="true" hidden="false"/>
    </xf>
    <xf numFmtId="164" fontId="20" fillId="3" borderId="33" xfId="21" applyFont="true" applyBorder="true" applyAlignment="true" applyProtection="false">
      <alignment horizontal="center" vertical="center" textRotation="0" wrapText="true" indent="0" shrinkToFit="false"/>
      <protection locked="true" hidden="false"/>
    </xf>
    <xf numFmtId="164" fontId="19" fillId="7" borderId="34" xfId="21" applyFont="true" applyBorder="true" applyAlignment="true" applyProtection="false">
      <alignment horizontal="center" vertical="center" textRotation="0" wrapText="true" indent="0" shrinkToFit="false"/>
      <protection locked="true" hidden="false"/>
    </xf>
    <xf numFmtId="164" fontId="19" fillId="7" borderId="35" xfId="21" applyFont="true" applyBorder="true" applyAlignment="true" applyProtection="false">
      <alignment horizontal="center" vertical="center" textRotation="0" wrapText="true" indent="0" shrinkToFit="false"/>
      <protection locked="true" hidden="false"/>
    </xf>
    <xf numFmtId="164" fontId="19" fillId="7" borderId="4" xfId="21" applyFont="true" applyBorder="true" applyAlignment="true" applyProtection="false">
      <alignment horizontal="center" vertical="center" textRotation="0" wrapText="true" indent="0" shrinkToFit="false"/>
      <protection locked="true" hidden="false"/>
    </xf>
    <xf numFmtId="167" fontId="23" fillId="8" borderId="36" xfId="21" applyFont="true" applyBorder="true" applyAlignment="true" applyProtection="false">
      <alignment horizontal="center" vertical="center" textRotation="0" wrapText="true" indent="0" shrinkToFit="false"/>
      <protection locked="true" hidden="false"/>
    </xf>
    <xf numFmtId="167" fontId="23" fillId="8" borderId="0" xfId="21" applyFont="true" applyBorder="true" applyAlignment="true" applyProtection="false">
      <alignment horizontal="center" vertical="center" textRotation="0" wrapText="true" indent="0" shrinkToFit="false"/>
      <protection locked="true" hidden="false"/>
    </xf>
    <xf numFmtId="167" fontId="23" fillId="8" borderId="4" xfId="21" applyFont="true" applyBorder="true" applyAlignment="true" applyProtection="false">
      <alignment horizontal="center" vertical="center" textRotation="0" wrapText="true" indent="0" shrinkToFit="false"/>
      <protection locked="true" hidden="false"/>
    </xf>
    <xf numFmtId="164" fontId="8" fillId="3" borderId="37" xfId="21" applyFont="true" applyBorder="true" applyAlignment="true" applyProtection="false">
      <alignment horizontal="left" vertical="center" textRotation="0" wrapText="true" indent="0" shrinkToFit="false"/>
      <protection locked="true" hidden="false"/>
    </xf>
    <xf numFmtId="167" fontId="36" fillId="7" borderId="38" xfId="21" applyFont="true" applyBorder="true" applyAlignment="true" applyProtection="false">
      <alignment horizontal="center" vertical="center" textRotation="0" wrapText="true" indent="0" shrinkToFit="false"/>
      <protection locked="true" hidden="false"/>
    </xf>
    <xf numFmtId="164" fontId="8" fillId="3" borderId="38" xfId="21" applyFont="true" applyBorder="true" applyAlignment="true" applyProtection="false">
      <alignment horizontal="left" vertical="center" textRotation="0" wrapText="true" indent="0" shrinkToFit="false"/>
      <protection locked="true" hidden="false"/>
    </xf>
    <xf numFmtId="167" fontId="36" fillId="7" borderId="39" xfId="21" applyFont="true" applyBorder="true" applyAlignment="true" applyProtection="false">
      <alignment horizontal="center" vertical="center" textRotation="0" wrapText="true" indent="0" shrinkToFit="false"/>
      <protection locked="true" hidden="false"/>
    </xf>
    <xf numFmtId="164" fontId="10" fillId="5" borderId="40" xfId="21" applyFont="true" applyBorder="true" applyAlignment="true" applyProtection="false">
      <alignment horizontal="center" vertical="center" textRotation="0" wrapText="true" indent="0" shrinkToFit="false"/>
      <protection locked="true" hidden="false"/>
    </xf>
    <xf numFmtId="164" fontId="10" fillId="5" borderId="41" xfId="21" applyFont="true" applyBorder="true" applyAlignment="true" applyProtection="false">
      <alignment horizontal="center" vertical="center" textRotation="0" wrapText="true" indent="0" shrinkToFit="false"/>
      <protection locked="true" hidden="false"/>
    </xf>
    <xf numFmtId="164" fontId="10" fillId="5" borderId="42" xfId="21" applyFont="true" applyBorder="true" applyAlignment="true" applyProtection="false">
      <alignment horizontal="center" vertical="center" textRotation="0" wrapText="true" indent="0" shrinkToFit="false"/>
      <protection locked="true" hidden="false"/>
    </xf>
    <xf numFmtId="164" fontId="37" fillId="0" borderId="43" xfId="21" applyFont="true" applyBorder="true" applyAlignment="true" applyProtection="false">
      <alignment horizontal="left" vertical="center" textRotation="0" wrapText="true" indent="0" shrinkToFit="false"/>
      <protection locked="true" hidden="false"/>
    </xf>
    <xf numFmtId="167" fontId="37" fillId="8" borderId="30" xfId="21" applyFont="true" applyBorder="true" applyAlignment="true" applyProtection="false">
      <alignment horizontal="center" vertical="center" textRotation="0" wrapText="false" indent="0" shrinkToFit="false"/>
      <protection locked="true" hidden="false"/>
    </xf>
    <xf numFmtId="164" fontId="37" fillId="0" borderId="30" xfId="21" applyFont="true" applyBorder="true" applyAlignment="true" applyProtection="false">
      <alignment horizontal="center" vertical="center" textRotation="0" wrapText="false" indent="0" shrinkToFit="false"/>
      <protection locked="true" hidden="false"/>
    </xf>
    <xf numFmtId="167" fontId="37" fillId="10" borderId="30" xfId="21" applyFont="true" applyBorder="true" applyAlignment="true" applyProtection="false">
      <alignment horizontal="center" vertical="center" textRotation="0" wrapText="false" indent="0" shrinkToFit="false"/>
      <protection locked="true" hidden="false"/>
    </xf>
    <xf numFmtId="167" fontId="38" fillId="11" borderId="44" xfId="21" applyFont="true" applyBorder="true" applyAlignment="true" applyProtection="false">
      <alignment horizontal="center" vertical="center" textRotation="0" wrapText="false" indent="0" shrinkToFit="false"/>
      <protection locked="true" hidden="false"/>
    </xf>
    <xf numFmtId="168" fontId="37" fillId="0" borderId="45" xfId="21" applyFont="true" applyBorder="true" applyAlignment="true" applyProtection="false">
      <alignment horizontal="center" vertical="center" textRotation="0" wrapText="true" indent="0" shrinkToFit="false"/>
      <protection locked="true" hidden="false"/>
    </xf>
    <xf numFmtId="168" fontId="37" fillId="0" borderId="4" xfId="21" applyFont="true" applyBorder="true" applyAlignment="true" applyProtection="false">
      <alignment horizontal="center" vertical="center" textRotation="0" wrapText="true" indent="0" shrinkToFit="false"/>
      <protection locked="true" hidden="false"/>
    </xf>
    <xf numFmtId="164" fontId="37" fillId="0" borderId="31" xfId="21" applyFont="true" applyBorder="true" applyAlignment="true" applyProtection="false">
      <alignment horizontal="left" vertical="center" textRotation="0" wrapText="true" indent="0" shrinkToFit="false"/>
      <protection locked="true" hidden="false"/>
    </xf>
    <xf numFmtId="164" fontId="37" fillId="0" borderId="46" xfId="21" applyFont="true" applyBorder="true" applyAlignment="true" applyProtection="false">
      <alignment horizontal="left" vertical="center" textRotation="0" wrapText="true" indent="0" shrinkToFit="false"/>
      <protection locked="true" hidden="false"/>
    </xf>
    <xf numFmtId="164" fontId="0" fillId="0" borderId="29" xfId="0" applyFont="true" applyBorder="true" applyAlignment="false" applyProtection="false">
      <alignment horizontal="general" vertical="bottom" textRotation="0" wrapText="false" indent="0" shrinkToFit="false"/>
      <protection locked="true" hidden="false"/>
    </xf>
    <xf numFmtId="167" fontId="37" fillId="10" borderId="0" xfId="21" applyFont="true" applyBorder="false" applyAlignment="true" applyProtection="false">
      <alignment horizontal="center" vertical="center" textRotation="0" wrapText="false" indent="0" shrinkToFit="false"/>
      <protection locked="true" hidden="false"/>
    </xf>
    <xf numFmtId="164" fontId="0" fillId="0" borderId="30" xfId="0" applyFont="true" applyBorder="true" applyAlignment="false" applyProtection="false">
      <alignment horizontal="general" vertical="bottom" textRotation="0" wrapText="false" indent="0" shrinkToFit="false"/>
      <protection locked="true" hidden="false"/>
    </xf>
    <xf numFmtId="164" fontId="0" fillId="0" borderId="25" xfId="0" applyFont="true" applyBorder="true" applyAlignment="false" applyProtection="false">
      <alignment horizontal="general" vertical="bottom" textRotation="0" wrapText="false" indent="0" shrinkToFit="false"/>
      <protection locked="true" hidden="false"/>
    </xf>
    <xf numFmtId="164" fontId="29" fillId="7" borderId="47" xfId="21" applyFont="true" applyBorder="true" applyAlignment="true" applyProtection="false">
      <alignment horizontal="center" vertical="center" textRotation="0" wrapText="true" indent="0" shrinkToFit="false"/>
      <protection locked="true" hidden="false"/>
    </xf>
    <xf numFmtId="166" fontId="0" fillId="7" borderId="48" xfId="0" applyFont="true" applyBorder="true" applyAlignment="false" applyProtection="false">
      <alignment horizontal="general" vertical="bottom" textRotation="0" wrapText="false" indent="0" shrinkToFit="false"/>
      <protection locked="true" hidden="false"/>
    </xf>
    <xf numFmtId="164" fontId="0" fillId="0" borderId="48" xfId="0" applyFont="true" applyBorder="true" applyAlignment="false" applyProtection="false">
      <alignment horizontal="general" vertical="bottom" textRotation="0" wrapText="false" indent="0" shrinkToFit="false"/>
      <protection locked="true" hidden="false"/>
    </xf>
    <xf numFmtId="164" fontId="37" fillId="10" borderId="49" xfId="21" applyFont="true" applyBorder="true" applyAlignment="false" applyProtection="false">
      <alignment horizontal="general" vertical="bottom" textRotation="0" wrapText="false" indent="0" shrinkToFit="false"/>
      <protection locked="true" hidden="false"/>
    </xf>
    <xf numFmtId="167" fontId="24" fillId="11" borderId="49" xfId="21" applyFont="true" applyBorder="true" applyAlignment="true" applyProtection="false">
      <alignment horizontal="center" vertical="bottom" textRotation="0" wrapText="false" indent="0" shrinkToFit="false"/>
      <protection locked="true" hidden="false"/>
    </xf>
    <xf numFmtId="168" fontId="19" fillId="7" borderId="4" xfId="21" applyFont="true" applyBorder="true" applyAlignment="true" applyProtection="false">
      <alignment horizontal="center" vertical="center" textRotation="0" wrapText="true" indent="0" shrinkToFit="false"/>
      <protection locked="true" hidden="false"/>
    </xf>
    <xf numFmtId="164" fontId="20" fillId="3" borderId="50" xfId="21" applyFont="true" applyBorder="true" applyAlignment="true" applyProtection="false">
      <alignment horizontal="center" vertical="center" textRotation="0" wrapText="true" indent="0" shrinkToFit="false"/>
      <protection locked="true" hidden="false"/>
    </xf>
    <xf numFmtId="164" fontId="10" fillId="5" borderId="43" xfId="21" applyFont="true" applyBorder="true" applyAlignment="true" applyProtection="false">
      <alignment horizontal="center" vertical="center" textRotation="0" wrapText="true" indent="0" shrinkToFit="false"/>
      <protection locked="true" hidden="false"/>
    </xf>
    <xf numFmtId="164" fontId="10" fillId="5" borderId="30" xfId="21" applyFont="true" applyBorder="true" applyAlignment="true" applyProtection="false">
      <alignment horizontal="center" vertical="center" textRotation="0" wrapText="true" indent="0" shrinkToFit="false"/>
      <protection locked="true" hidden="false"/>
    </xf>
    <xf numFmtId="164" fontId="10" fillId="5" borderId="23" xfId="21" applyFont="true" applyBorder="true" applyAlignment="true" applyProtection="false">
      <alignment horizontal="center" vertical="center" textRotation="0" wrapText="true" indent="0" shrinkToFit="false"/>
      <protection locked="true" hidden="false"/>
    </xf>
    <xf numFmtId="164" fontId="0" fillId="0" borderId="51" xfId="0" applyFont="true" applyBorder="true" applyAlignment="false" applyProtection="false">
      <alignment horizontal="general" vertical="bottom" textRotation="0" wrapText="false" indent="0" shrinkToFit="false"/>
      <protection locked="true" hidden="false"/>
    </xf>
    <xf numFmtId="164" fontId="0" fillId="8" borderId="25" xfId="21" applyFont="true" applyBorder="true" applyAlignment="true" applyProtection="false">
      <alignment horizontal="general" vertical="center" textRotation="0" wrapText="true" indent="0" shrinkToFit="false"/>
      <protection locked="true" hidden="false"/>
    </xf>
    <xf numFmtId="164" fontId="0" fillId="10" borderId="25" xfId="21" applyFont="true" applyBorder="true" applyAlignment="true" applyProtection="false">
      <alignment horizontal="general" vertical="center" textRotation="0" wrapText="true" indent="0" shrinkToFit="false"/>
      <protection locked="true" hidden="false"/>
    </xf>
    <xf numFmtId="164" fontId="0" fillId="0" borderId="52" xfId="0" applyFont="true" applyBorder="true" applyAlignment="false" applyProtection="false">
      <alignment horizontal="general" vertical="bottom" textRotation="0" wrapText="false" indent="0" shrinkToFit="false"/>
      <protection locked="true" hidden="false"/>
    </xf>
    <xf numFmtId="164" fontId="0" fillId="0" borderId="53" xfId="21" applyFont="true" applyBorder="true" applyAlignment="false" applyProtection="false">
      <alignment horizontal="general" vertical="bottom" textRotation="0" wrapText="false" indent="0" shrinkToFit="false"/>
      <protection locked="true" hidden="false"/>
    </xf>
    <xf numFmtId="164" fontId="0" fillId="0" borderId="54" xfId="21" applyFont="true" applyBorder="true" applyAlignment="true" applyProtection="false">
      <alignment horizontal="general" vertical="center" textRotation="0" wrapText="true" indent="0" shrinkToFit="false"/>
      <protection locked="true" hidden="false"/>
    </xf>
    <xf numFmtId="164" fontId="0" fillId="0" borderId="55" xfId="21" applyFont="true" applyBorder="true" applyAlignment="true" applyProtection="false">
      <alignment horizontal="general" vertical="center" textRotation="0" wrapText="true" indent="0" shrinkToFit="false"/>
      <protection locked="true" hidden="false"/>
    </xf>
    <xf numFmtId="164" fontId="0" fillId="0" borderId="56" xfId="21" applyFont="true" applyBorder="true" applyAlignment="true" applyProtection="false">
      <alignment horizontal="general" vertical="center" textRotation="0" wrapText="true" indent="0" shrinkToFit="false"/>
      <protection locked="true" hidden="false"/>
    </xf>
    <xf numFmtId="164" fontId="0" fillId="0" borderId="31" xfId="21" applyFont="true" applyBorder="true" applyAlignment="true" applyProtection="false">
      <alignment horizontal="general" vertical="center" textRotation="0" wrapText="true" indent="0" shrinkToFit="false"/>
      <protection locked="true" hidden="false"/>
    </xf>
    <xf numFmtId="164" fontId="0" fillId="0" borderId="25" xfId="21" applyFont="true" applyBorder="true" applyAlignment="true" applyProtection="false">
      <alignment horizontal="general" vertical="center" textRotation="0" wrapText="true" indent="0" shrinkToFit="false"/>
      <protection locked="true" hidden="false"/>
    </xf>
    <xf numFmtId="164" fontId="0" fillId="0" borderId="26" xfId="21" applyFont="true" applyBorder="true" applyAlignment="true" applyProtection="false">
      <alignment horizontal="general" vertical="center" textRotation="0" wrapText="true" indent="0" shrinkToFit="false"/>
      <protection locked="true" hidden="false"/>
    </xf>
    <xf numFmtId="164" fontId="0" fillId="10" borderId="25" xfId="21" applyFont="true" applyBorder="true" applyAlignment="true" applyProtection="false">
      <alignment horizontal="center" vertical="center" textRotation="0" wrapText="true" indent="0" shrinkToFit="false"/>
      <protection locked="true" hidden="false"/>
    </xf>
    <xf numFmtId="164" fontId="37" fillId="0" borderId="0" xfId="21" applyFont="true" applyBorder="false" applyAlignment="false" applyProtection="false">
      <alignment horizontal="general" vertical="bottom" textRotation="0" wrapText="false" indent="0" shrinkToFit="false"/>
      <protection locked="true" hidden="false"/>
    </xf>
    <xf numFmtId="164" fontId="20" fillId="3" borderId="57" xfId="21" applyFont="true" applyBorder="true" applyAlignment="true" applyProtection="false">
      <alignment horizontal="center" vertical="center" textRotation="0" wrapText="true" indent="0" shrinkToFit="false"/>
      <protection locked="true" hidden="false"/>
    </xf>
    <xf numFmtId="164" fontId="10" fillId="12" borderId="24" xfId="21" applyFont="true" applyBorder="true" applyAlignment="true" applyProtection="false">
      <alignment horizontal="center" vertical="center" textRotation="0" wrapText="true" indent="0" shrinkToFit="false"/>
      <protection locked="true" hidden="false"/>
    </xf>
    <xf numFmtId="164" fontId="0" fillId="0" borderId="25" xfId="21" applyFont="true" applyBorder="true" applyAlignment="false" applyProtection="false">
      <alignment horizontal="general" vertical="bottom" textRotation="0" wrapText="false" indent="0" shrinkToFit="false"/>
      <protection locked="true" hidden="false"/>
    </xf>
    <xf numFmtId="164" fontId="10" fillId="9" borderId="4" xfId="21" applyFont="true" applyBorder="true" applyAlignment="true" applyProtection="false">
      <alignment horizontal="center" vertical="center" textRotation="0" wrapText="true" indent="0" shrinkToFit="false"/>
      <protection locked="true" hidden="false"/>
    </xf>
    <xf numFmtId="164" fontId="18" fillId="7" borderId="24" xfId="21" applyFont="true" applyBorder="true" applyAlignment="true" applyProtection="false">
      <alignment horizontal="center" vertical="center" textRotation="0" wrapText="true" indent="0" shrinkToFit="false"/>
      <protection locked="true" hidden="false"/>
    </xf>
    <xf numFmtId="164" fontId="18" fillId="7" borderId="29" xfId="21" applyFont="true" applyBorder="true" applyAlignment="true" applyProtection="false">
      <alignment horizontal="center" vertical="center" textRotation="0" wrapText="true" indent="0" shrinkToFit="false"/>
      <protection locked="true" hidden="false"/>
    </xf>
    <xf numFmtId="164" fontId="18" fillId="7" borderId="25" xfId="21" applyFont="true" applyBorder="true" applyAlignment="true" applyProtection="false">
      <alignment horizontal="center" vertical="center" textRotation="0" wrapText="true" indent="0" shrinkToFit="false"/>
      <protection locked="true" hidden="false"/>
    </xf>
    <xf numFmtId="164" fontId="39" fillId="0" borderId="29" xfId="21" applyFont="true" applyBorder="true" applyAlignment="false" applyProtection="false">
      <alignment horizontal="general" vertical="bottom" textRotation="0" wrapText="false" indent="0" shrinkToFit="false"/>
      <protection locked="true" hidden="false"/>
    </xf>
    <xf numFmtId="164" fontId="18" fillId="7" borderId="30" xfId="21" applyFont="true" applyBorder="true" applyAlignment="true" applyProtection="false">
      <alignment horizontal="center" vertical="center" textRotation="0" wrapText="true" indent="0" shrinkToFit="false"/>
      <protection locked="true" hidden="false"/>
    </xf>
    <xf numFmtId="164" fontId="18" fillId="7" borderId="23" xfId="21" applyFont="true" applyBorder="true" applyAlignment="true" applyProtection="false">
      <alignment horizontal="center" vertical="center" textRotation="0" wrapText="true" indent="0" shrinkToFit="false"/>
      <protection locked="true" hidden="false"/>
    </xf>
    <xf numFmtId="164" fontId="0" fillId="0" borderId="24" xfId="21" applyFont="true" applyBorder="true" applyAlignment="true" applyProtection="false">
      <alignment horizontal="general" vertical="center" textRotation="0" wrapText="true" indent="0" shrinkToFit="false"/>
      <protection locked="true" hidden="false"/>
    </xf>
    <xf numFmtId="164" fontId="0" fillId="0" borderId="25" xfId="21" applyFont="true" applyBorder="true" applyAlignment="true" applyProtection="false">
      <alignment horizontal="center" vertical="center" textRotation="0" wrapText="true" indent="0" shrinkToFit="false"/>
      <protection locked="true" hidden="false"/>
    </xf>
    <xf numFmtId="168" fontId="0" fillId="0" borderId="25" xfId="21" applyFont="true" applyBorder="true" applyAlignment="true" applyProtection="false">
      <alignment horizontal="general" vertical="center" textRotation="0" wrapText="true" indent="0" shrinkToFit="false"/>
      <protection locked="true" hidden="false"/>
    </xf>
    <xf numFmtId="168" fontId="0" fillId="0" borderId="26" xfId="21" applyFont="true" applyBorder="true" applyAlignment="true" applyProtection="false">
      <alignment horizontal="general" vertical="center" textRotation="0" wrapText="true" indent="0" shrinkToFit="false"/>
      <protection locked="true" hidden="false"/>
    </xf>
    <xf numFmtId="164" fontId="29" fillId="7" borderId="58" xfId="21" applyFont="true" applyBorder="true" applyAlignment="true" applyProtection="false">
      <alignment horizontal="center" vertical="center" textRotation="0" wrapText="true" indent="0" shrinkToFit="false"/>
      <protection locked="true" hidden="false"/>
    </xf>
    <xf numFmtId="166" fontId="29" fillId="7" borderId="48" xfId="21" applyFont="true" applyBorder="true" applyAlignment="true" applyProtection="false">
      <alignment horizontal="center" vertical="center" textRotation="0" wrapText="true" indent="0" shrinkToFit="false"/>
      <protection locked="true" hidden="false"/>
    </xf>
    <xf numFmtId="164" fontId="30" fillId="0" borderId="49" xfId="21" applyFont="true" applyBorder="true" applyAlignment="false" applyProtection="false">
      <alignment horizontal="general" vertical="bottom" textRotation="0" wrapText="false" indent="0" shrinkToFit="false"/>
      <protection locked="true" hidden="false"/>
    </xf>
    <xf numFmtId="164" fontId="29" fillId="7" borderId="29" xfId="21" applyFont="true" applyBorder="true" applyAlignment="true" applyProtection="false">
      <alignment horizontal="center" vertical="center" textRotation="0" wrapText="true" indent="0" shrinkToFit="false"/>
      <protection locked="true" hidden="false"/>
    </xf>
    <xf numFmtId="168" fontId="29" fillId="7" borderId="59" xfId="21" applyFont="true" applyBorder="true" applyAlignment="true" applyProtection="false">
      <alignment horizontal="center" vertical="center" textRotation="0" wrapText="true" indent="0" shrinkToFit="false"/>
      <protection locked="true" hidden="false"/>
    </xf>
    <xf numFmtId="164" fontId="36" fillId="7" borderId="60" xfId="21" applyFont="true" applyBorder="true" applyAlignment="true" applyProtection="false">
      <alignment horizontal="center" vertical="center" textRotation="0" wrapText="true" indent="0" shrinkToFit="false"/>
      <protection locked="true" hidden="false"/>
    </xf>
    <xf numFmtId="164" fontId="0" fillId="0" borderId="60" xfId="21" applyFont="true" applyBorder="true" applyAlignment="true" applyProtection="false">
      <alignment horizontal="center" vertical="center" textRotation="0" wrapText="true" indent="0" shrinkToFit="false"/>
      <protection locked="true" hidden="false"/>
    </xf>
    <xf numFmtId="164" fontId="8" fillId="3" borderId="50" xfId="21" applyFont="true" applyBorder="true" applyAlignment="true" applyProtection="false">
      <alignment horizontal="center" vertical="center" textRotation="0" wrapText="true" indent="0" shrinkToFit="false"/>
      <protection locked="true" hidden="false"/>
    </xf>
    <xf numFmtId="164" fontId="0" fillId="0" borderId="50" xfId="21" applyFont="true" applyBorder="true" applyAlignment="true" applyProtection="false">
      <alignment horizontal="center" vertical="center" textRotation="0" wrapText="true" indent="0" shrinkToFit="false"/>
      <protection locked="true" hidden="false"/>
    </xf>
    <xf numFmtId="164" fontId="32" fillId="13" borderId="61" xfId="22" applyFont="true" applyBorder="true" applyAlignment="true" applyProtection="false">
      <alignment horizontal="center" vertical="center" textRotation="0" wrapText="false" indent="0" shrinkToFit="false"/>
      <protection locked="true" hidden="false"/>
    </xf>
    <xf numFmtId="164" fontId="32" fillId="13" borderId="62" xfId="22" applyFont="true" applyBorder="true" applyAlignment="true" applyProtection="false">
      <alignment horizontal="center" vertical="center" textRotation="0" wrapText="false" indent="0" shrinkToFit="false"/>
      <protection locked="true" hidden="false"/>
    </xf>
    <xf numFmtId="164" fontId="0" fillId="0" borderId="63" xfId="0" applyFont="true" applyBorder="true" applyAlignment="false" applyProtection="false">
      <alignment horizontal="general" vertical="bottom" textRotation="0" wrapText="false" indent="0" shrinkToFit="false"/>
      <protection locked="true" hidden="false"/>
    </xf>
    <xf numFmtId="164" fontId="0" fillId="0" borderId="64" xfId="0" applyFont="true" applyBorder="true" applyAlignment="false" applyProtection="false">
      <alignment horizontal="general" vertical="bottom" textRotation="0" wrapText="false" indent="0" shrinkToFit="false"/>
      <protection locked="true" hidden="false"/>
    </xf>
    <xf numFmtId="164" fontId="20" fillId="3" borderId="65" xfId="21" applyFont="true" applyBorder="true" applyAlignment="true" applyProtection="false">
      <alignment horizontal="center" vertical="center" textRotation="0" wrapText="true" indent="0" shrinkToFit="false"/>
      <protection locked="true" hidden="false"/>
    </xf>
    <xf numFmtId="164" fontId="19" fillId="12" borderId="36" xfId="0" applyFont="true" applyBorder="true" applyAlignment="true" applyProtection="false">
      <alignment horizontal="center" vertical="center" textRotation="0" wrapText="true" indent="0" shrinkToFit="false"/>
      <protection locked="true" hidden="false"/>
    </xf>
    <xf numFmtId="164" fontId="19" fillId="12" borderId="0" xfId="0" applyFont="true" applyBorder="true" applyAlignment="true" applyProtection="false">
      <alignment horizontal="center" vertical="center" textRotation="0" wrapText="true" indent="0" shrinkToFit="false"/>
      <protection locked="true" hidden="false"/>
    </xf>
    <xf numFmtId="164" fontId="19" fillId="12" borderId="4" xfId="0" applyFont="true" applyBorder="true" applyAlignment="true" applyProtection="false">
      <alignment horizontal="center" vertical="center" textRotation="0" wrapText="true" indent="0" shrinkToFit="false"/>
      <protection locked="true" hidden="false"/>
    </xf>
    <xf numFmtId="164" fontId="10" fillId="0" borderId="31" xfId="21" applyFont="true" applyBorder="true" applyAlignment="true" applyProtection="false">
      <alignment horizontal="left" vertical="center" textRotation="0" wrapText="false" indent="0" shrinkToFit="false"/>
      <protection locked="true" hidden="false"/>
    </xf>
    <xf numFmtId="164" fontId="10" fillId="0" borderId="25" xfId="21" applyFont="true" applyBorder="true" applyAlignment="true" applyProtection="false">
      <alignment horizontal="left" vertical="center" textRotation="0" wrapText="true" indent="0" shrinkToFit="false"/>
      <protection locked="true" hidden="false"/>
    </xf>
    <xf numFmtId="164" fontId="10" fillId="0" borderId="25" xfId="21" applyFont="true" applyBorder="true" applyAlignment="true" applyProtection="false">
      <alignment horizontal="left" vertical="center" textRotation="0" wrapText="false" indent="0" shrinkToFit="false"/>
      <protection locked="true" hidden="false"/>
    </xf>
    <xf numFmtId="164" fontId="40" fillId="0" borderId="4" xfId="21" applyFont="true" applyBorder="true" applyAlignment="true" applyProtection="false">
      <alignment horizontal="left" vertical="center" textRotation="0" wrapText="true" indent="0" shrinkToFit="false"/>
      <protection locked="true" hidden="false"/>
    </xf>
    <xf numFmtId="164" fontId="10" fillId="0" borderId="66" xfId="21" applyFont="true" applyBorder="true" applyAlignment="true" applyProtection="false">
      <alignment horizontal="left" vertical="center" textRotation="0" wrapText="false" indent="0" shrinkToFit="false"/>
      <protection locked="true" hidden="false"/>
    </xf>
    <xf numFmtId="164" fontId="10" fillId="0" borderId="20" xfId="21" applyFont="true" applyBorder="true" applyAlignment="true" applyProtection="false">
      <alignment horizontal="left" vertical="center" textRotation="0" wrapText="true" indent="0" shrinkToFit="false"/>
      <protection locked="true" hidden="false"/>
    </xf>
    <xf numFmtId="164" fontId="10" fillId="0" borderId="20" xfId="21" applyFont="true" applyBorder="true" applyAlignment="true" applyProtection="false">
      <alignment horizontal="left" vertical="center" textRotation="0" wrapText="false" indent="0" shrinkToFit="false"/>
      <protection locked="true" hidden="false"/>
    </xf>
    <xf numFmtId="164" fontId="40" fillId="0" borderId="28" xfId="21" applyFont="true" applyBorder="true" applyAlignment="true" applyProtection="false">
      <alignment horizontal="left" vertical="center" textRotation="0" wrapText="true" indent="0" shrinkToFit="false"/>
      <protection locked="true" hidden="false"/>
    </xf>
    <xf numFmtId="164" fontId="21" fillId="0" borderId="0" xfId="20" applyFont="true" applyBorder="false" applyAlignment="true" applyProtection="false">
      <alignment horizontal="left" vertical="center" textRotation="0" wrapText="false" indent="0" shrinkToFit="false"/>
      <protection locked="true" hidden="false"/>
    </xf>
    <xf numFmtId="164" fontId="21" fillId="2" borderId="5" xfId="22" applyFont="true" applyBorder="true" applyAlignment="true" applyProtection="false">
      <alignment horizontal="center" vertical="center" textRotation="0" wrapText="false" indent="0" shrinkToFit="false"/>
      <protection locked="true" hidden="false"/>
    </xf>
    <xf numFmtId="164" fontId="30" fillId="2" borderId="67" xfId="22" applyFont="true" applyBorder="true" applyAlignment="true" applyProtection="false">
      <alignment horizontal="general" vertical="center" textRotation="0" wrapText="false" indent="0" shrinkToFit="false"/>
      <protection locked="true" hidden="false"/>
    </xf>
    <xf numFmtId="164" fontId="21" fillId="0" borderId="0" xfId="21" applyFont="true" applyBorder="false" applyAlignment="true" applyProtection="false">
      <alignment horizontal="center" vertical="bottom" textRotation="0" wrapText="false" indent="0" shrinkToFit="false"/>
      <protection locked="true" hidden="false"/>
    </xf>
    <xf numFmtId="164" fontId="30" fillId="2" borderId="0" xfId="22" applyFont="true" applyBorder="false" applyAlignment="true" applyProtection="false">
      <alignment horizontal="general" vertical="center"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 name="Normal 5" xfId="23"/>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8080"/>
      <rgbColor rgb="FFBFBFBF"/>
      <rgbColor rgb="FF7F7F7F"/>
      <rgbColor rgb="FF8EB4E3"/>
      <rgbColor rgb="FF7030A0"/>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F5F7FA"/>
      <rgbColor rgb="FFE2F0D9"/>
      <rgbColor rgb="FFF2F2F2"/>
      <rgbColor rgb="FFB8CCE4"/>
      <rgbColor rgb="FFFF99CC"/>
      <rgbColor rgb="FFB7C3D0"/>
      <rgbColor rgb="FFFCCF6A"/>
      <rgbColor rgb="FF3366FF"/>
      <rgbColor rgb="FF33CCCC"/>
      <rgbColor rgb="FFC9A227"/>
      <rgbColor rgb="FFFFCC00"/>
      <rgbColor rgb="FFD39A12"/>
      <rgbColor rgb="FFFF6600"/>
      <rgbColor rgb="FF666699"/>
      <rgbColor rgb="FFA6A6A6"/>
      <rgbColor rgb="FF17365D"/>
      <rgbColor rgb="FF2E7D32"/>
      <rgbColor rgb="FF003300"/>
      <rgbColor rgb="FF333300"/>
      <rgbColor rgb="FF993300"/>
      <rgbColor rgb="FF993366"/>
      <rgbColor rgb="FF333399"/>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68760</xdr:colOff>
      <xdr:row>6</xdr:row>
      <xdr:rowOff>174240</xdr:rowOff>
    </xdr:to>
    <xdr:pic>
      <xdr:nvPicPr>
        <xdr:cNvPr id="0" name="Imagen 2" descr=""/>
        <xdr:cNvPicPr/>
      </xdr:nvPicPr>
      <xdr:blipFill>
        <a:blip r:embed="rId1"/>
        <a:stretch/>
      </xdr:blipFill>
      <xdr:spPr>
        <a:xfrm>
          <a:off x="0" y="0"/>
          <a:ext cx="3029040" cy="1355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2765880</xdr:colOff>
      <xdr:row>8</xdr:row>
      <xdr:rowOff>172440</xdr:rowOff>
    </xdr:to>
    <xdr:pic>
      <xdr:nvPicPr>
        <xdr:cNvPr id="1" name="Imagen 2" descr=""/>
        <xdr:cNvPicPr/>
      </xdr:nvPicPr>
      <xdr:blipFill>
        <a:blip r:embed="rId1"/>
        <a:stretch/>
      </xdr:blipFill>
      <xdr:spPr>
        <a:xfrm>
          <a:off x="0" y="0"/>
          <a:ext cx="3329640" cy="16012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66960</xdr:rowOff>
    </xdr:from>
    <xdr:to>
      <xdr:col>6</xdr:col>
      <xdr:colOff>725400</xdr:colOff>
      <xdr:row>135</xdr:row>
      <xdr:rowOff>28080</xdr:rowOff>
    </xdr:to>
    <xdr:pic>
      <xdr:nvPicPr>
        <xdr:cNvPr id="2" name="Image 2" descr="Picture"/>
        <xdr:cNvPicPr/>
      </xdr:nvPicPr>
      <xdr:blipFill>
        <a:blip r:embed="rId1"/>
        <a:stretch/>
      </xdr:blipFill>
      <xdr:spPr>
        <a:xfrm>
          <a:off x="0" y="23689080"/>
          <a:ext cx="5447880" cy="865800"/>
        </a:xfrm>
        <a:prstGeom prst="rect">
          <a:avLst/>
        </a:prstGeom>
        <a:ln w="0">
          <a:noFill/>
        </a:ln>
      </xdr:spPr>
    </xdr:pic>
    <xdr:clientData/>
  </xdr:twoCellAnchor>
  <xdr:twoCellAnchor editAs="oneCell">
    <xdr:from>
      <xdr:col>0</xdr:col>
      <xdr:colOff>0</xdr:colOff>
      <xdr:row>0</xdr:row>
      <xdr:rowOff>0</xdr:rowOff>
    </xdr:from>
    <xdr:to>
      <xdr:col>3</xdr:col>
      <xdr:colOff>749520</xdr:colOff>
      <xdr:row>8</xdr:row>
      <xdr:rowOff>147960</xdr:rowOff>
    </xdr:to>
    <xdr:pic>
      <xdr:nvPicPr>
        <xdr:cNvPr id="3" name="Imagen 2" descr=""/>
        <xdr:cNvPicPr/>
      </xdr:nvPicPr>
      <xdr:blipFill>
        <a:blip r:embed="rId2"/>
        <a:stretch/>
      </xdr:blipFill>
      <xdr:spPr>
        <a:xfrm>
          <a:off x="0" y="0"/>
          <a:ext cx="3146040" cy="15102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E47"/>
  <sheetViews>
    <sheetView showFormulas="false" showGridLines="true" showRowColHeaders="true" showZeros="true" rightToLeft="false" tabSelected="true" showOutlineSymbols="true" defaultGridColor="true" view="normal" topLeftCell="A1" colorId="64" zoomScale="83" zoomScaleNormal="83" zoomScalePageLayoutView="100" workbookViewId="0">
      <pane xSplit="0" ySplit="7" topLeftCell="A8" activePane="bottomLeft" state="frozen"/>
      <selection pane="topLeft" activeCell="A1" activeCellId="0" sqref="A1"/>
      <selection pane="bottomLeft" activeCell="H35" activeCellId="0" sqref="H35"/>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78"/>
    <col collapsed="false" customWidth="true" hidden="false" outlineLevel="0" max="3" min="3" style="1" width="50.77"/>
    <col collapsed="false" customWidth="true" hidden="false" outlineLevel="0" max="5" min="4" style="1" width="15.78"/>
  </cols>
  <sheetData>
    <row r="1" customFormat="false" ht="25.5" hidden="false" customHeight="true" outlineLevel="0" collapsed="false">
      <c r="A1" s="2"/>
      <c r="B1" s="3" t="s">
        <v>0</v>
      </c>
      <c r="C1" s="3"/>
      <c r="D1" s="3"/>
      <c r="E1" s="3"/>
    </row>
    <row r="2" customFormat="false" ht="4.5" hidden="false" customHeight="true" outlineLevel="0" collapsed="false">
      <c r="A2" s="4"/>
      <c r="B2" s="5"/>
      <c r="C2" s="5"/>
      <c r="D2" s="5"/>
      <c r="E2" s="5"/>
    </row>
    <row r="3" customFormat="false" ht="18" hidden="false" customHeight="true" outlineLevel="0" collapsed="false">
      <c r="A3" s="4"/>
      <c r="B3" s="6"/>
      <c r="C3" s="7"/>
      <c r="D3" s="8" t="s">
        <v>1</v>
      </c>
      <c r="E3" s="8"/>
    </row>
    <row r="4" customFormat="false" ht="15" hidden="false" customHeight="true" outlineLevel="0" collapsed="false">
      <c r="A4" s="4"/>
      <c r="B4" s="9" t="s">
        <v>2</v>
      </c>
      <c r="C4" s="9"/>
      <c r="D4" s="10" t="s">
        <v>3</v>
      </c>
      <c r="E4" s="11" t="s">
        <v>4</v>
      </c>
    </row>
    <row r="5" customFormat="false" ht="15" hidden="false" customHeight="true" outlineLevel="0" collapsed="false">
      <c r="A5" s="4"/>
      <c r="B5" s="12" t="s">
        <v>5</v>
      </c>
      <c r="C5" s="12"/>
      <c r="D5" s="10" t="s">
        <v>6</v>
      </c>
      <c r="E5" s="13" t="n">
        <v>1</v>
      </c>
    </row>
    <row r="6" customFormat="false" ht="15" hidden="false" customHeight="true" outlineLevel="0" collapsed="false">
      <c r="A6" s="4"/>
      <c r="B6" s="14"/>
      <c r="C6" s="15"/>
      <c r="D6" s="10" t="s">
        <v>7</v>
      </c>
      <c r="E6" s="16" t="s">
        <v>8</v>
      </c>
    </row>
    <row r="7" customFormat="false" ht="15" hidden="false" customHeight="true" outlineLevel="0" collapsed="false">
      <c r="B7" s="14"/>
      <c r="C7" s="15"/>
      <c r="D7" s="17" t="s">
        <v>9</v>
      </c>
      <c r="E7" s="18" t="s">
        <v>10</v>
      </c>
    </row>
    <row r="8" customFormat="false" ht="14.25" hidden="false" customHeight="false" outlineLevel="0" collapsed="false">
      <c r="A8" s="19" t="s">
        <v>11</v>
      </c>
    </row>
    <row r="9" customFormat="false" ht="14.25" hidden="false" customHeight="false" outlineLevel="0" collapsed="false">
      <c r="A9" s="20" t="s">
        <v>12</v>
      </c>
      <c r="B9" s="21"/>
      <c r="C9" s="21"/>
      <c r="D9" s="21"/>
      <c r="E9" s="21"/>
    </row>
    <row r="10" customFormat="false" ht="14.25" hidden="false" customHeight="false" outlineLevel="0" collapsed="false">
      <c r="A10" s="20" t="s">
        <v>13</v>
      </c>
      <c r="B10" s="22"/>
      <c r="C10" s="20" t="s">
        <v>7</v>
      </c>
      <c r="D10" s="21"/>
      <c r="E10" s="21"/>
    </row>
    <row r="11" customFormat="false" ht="14.25" hidden="false" customHeight="false" outlineLevel="0" collapsed="false">
      <c r="A11" s="20" t="s">
        <v>14</v>
      </c>
      <c r="B11" s="21"/>
      <c r="C11" s="21"/>
      <c r="D11" s="21"/>
      <c r="E11" s="21"/>
    </row>
    <row r="12" customFormat="false" ht="14.25" hidden="false" customHeight="false" outlineLevel="0" collapsed="false">
      <c r="A12" s="20" t="s">
        <v>15</v>
      </c>
      <c r="B12" s="21"/>
      <c r="C12" s="21"/>
      <c r="D12" s="21"/>
      <c r="E12" s="21"/>
    </row>
    <row r="13" customFormat="false" ht="15" hidden="false" customHeight="true" outlineLevel="0" collapsed="false">
      <c r="A13" s="23" t="s">
        <v>16</v>
      </c>
      <c r="B13" s="23"/>
      <c r="C13" s="23"/>
      <c r="D13" s="23"/>
      <c r="E13" s="23"/>
    </row>
    <row r="14" customFormat="false" ht="15" hidden="false" customHeight="true" outlineLevel="0" collapsed="false">
      <c r="A14" s="20" t="s">
        <v>17</v>
      </c>
      <c r="B14" s="24"/>
      <c r="C14" s="25" t="s">
        <v>18</v>
      </c>
      <c r="D14" s="25"/>
      <c r="E14" s="25"/>
    </row>
    <row r="15" customFormat="false" ht="15" hidden="false" customHeight="true" outlineLevel="0" collapsed="false">
      <c r="A15" s="26" t="s">
        <v>19</v>
      </c>
      <c r="B15" s="27"/>
      <c r="C15" s="28" t="s">
        <v>20</v>
      </c>
      <c r="D15" s="28"/>
      <c r="E15" s="28"/>
    </row>
    <row r="16" customFormat="false" ht="15" hidden="false" customHeight="true" outlineLevel="0" collapsed="false">
      <c r="A16" s="20" t="s">
        <v>21</v>
      </c>
      <c r="B16" s="24"/>
      <c r="C16" s="25" t="s">
        <v>22</v>
      </c>
      <c r="D16" s="25"/>
      <c r="E16" s="25"/>
    </row>
    <row r="17" customFormat="false" ht="15" hidden="false" customHeight="true" outlineLevel="0" collapsed="false">
      <c r="A17" s="26" t="s">
        <v>23</v>
      </c>
      <c r="B17" s="27"/>
      <c r="C17" s="28" t="s">
        <v>22</v>
      </c>
      <c r="D17" s="28"/>
      <c r="E17" s="28"/>
    </row>
    <row r="18" customFormat="false" ht="15" hidden="false" customHeight="true" outlineLevel="0" collapsed="false">
      <c r="A18" s="20" t="s">
        <v>24</v>
      </c>
      <c r="B18" s="29" t="n">
        <f aca="false">B14*B17</f>
        <v>0</v>
      </c>
      <c r="C18" s="25" t="s">
        <v>22</v>
      </c>
      <c r="D18" s="25"/>
      <c r="E18" s="25"/>
    </row>
    <row r="19" customFormat="false" ht="15" hidden="false" customHeight="true" outlineLevel="0" collapsed="false">
      <c r="A19" s="26" t="s">
        <v>25</v>
      </c>
      <c r="B19" s="27"/>
      <c r="C19" s="28" t="s">
        <v>22</v>
      </c>
      <c r="D19" s="28"/>
      <c r="E19" s="28"/>
    </row>
    <row r="20" customFormat="false" ht="15" hidden="false" customHeight="true" outlineLevel="0" collapsed="false">
      <c r="A20" s="20" t="s">
        <v>26</v>
      </c>
      <c r="B20" s="24"/>
      <c r="C20" s="25" t="s">
        <v>22</v>
      </c>
      <c r="D20" s="25"/>
      <c r="E20" s="25"/>
    </row>
    <row r="21" customFormat="false" ht="15" hidden="false" customHeight="true" outlineLevel="0" collapsed="false">
      <c r="A21" s="26" t="s">
        <v>27</v>
      </c>
      <c r="B21" s="30" t="n">
        <f aca="false">B18+B19+B20</f>
        <v>0</v>
      </c>
      <c r="C21" s="28" t="s">
        <v>22</v>
      </c>
      <c r="D21" s="28"/>
      <c r="E21" s="28"/>
    </row>
    <row r="22" customFormat="false" ht="15" hidden="false" customHeight="true" outlineLevel="0" collapsed="false">
      <c r="A22" s="20" t="s">
        <v>28</v>
      </c>
      <c r="B22" s="24"/>
      <c r="C22" s="25" t="s">
        <v>29</v>
      </c>
      <c r="D22" s="25"/>
      <c r="E22" s="25"/>
    </row>
    <row r="23" customFormat="false" ht="15" hidden="false" customHeight="true" outlineLevel="0" collapsed="false">
      <c r="A23" s="26" t="s">
        <v>30</v>
      </c>
      <c r="B23" s="27"/>
      <c r="C23" s="28" t="s">
        <v>22</v>
      </c>
      <c r="D23" s="28"/>
      <c r="E23" s="28"/>
    </row>
    <row r="24" customFormat="false" ht="15" hidden="false" customHeight="true" outlineLevel="0" collapsed="false">
      <c r="A24" s="20" t="s">
        <v>31</v>
      </c>
      <c r="B24" s="24"/>
      <c r="C24" s="25" t="s">
        <v>29</v>
      </c>
      <c r="D24" s="25"/>
      <c r="E24" s="25"/>
    </row>
    <row r="25" customFormat="false" ht="15" hidden="false" customHeight="true" outlineLevel="0" collapsed="false">
      <c r="A25" s="26" t="s">
        <v>32</v>
      </c>
      <c r="B25" s="27"/>
      <c r="C25" s="28" t="s">
        <v>29</v>
      </c>
      <c r="D25" s="28"/>
      <c r="E25" s="28"/>
    </row>
    <row r="26" customFormat="false" ht="15" hidden="false" customHeight="true" outlineLevel="0" collapsed="false">
      <c r="A26" s="20" t="s">
        <v>33</v>
      </c>
      <c r="B26" s="24"/>
      <c r="C26" s="25" t="s">
        <v>34</v>
      </c>
      <c r="D26" s="25"/>
      <c r="E26" s="25"/>
    </row>
    <row r="27" customFormat="false" ht="14.25" hidden="false" customHeight="false" outlineLevel="0" collapsed="false">
      <c r="A27" s="31"/>
      <c r="B27" s="31"/>
      <c r="C27" s="32"/>
      <c r="D27" s="32"/>
      <c r="E27" s="32"/>
    </row>
    <row r="28" customFormat="false" ht="15" hidden="false" customHeight="true" outlineLevel="0" collapsed="false">
      <c r="A28" s="33" t="s">
        <v>35</v>
      </c>
      <c r="B28" s="33"/>
      <c r="C28" s="33"/>
      <c r="D28" s="33"/>
      <c r="E28" s="33"/>
    </row>
    <row r="29" customFormat="false" ht="15" hidden="false" customHeight="true" outlineLevel="0" collapsed="false">
      <c r="A29" s="20" t="s">
        <v>36</v>
      </c>
      <c r="B29" s="34" t="n">
        <v>0.1</v>
      </c>
      <c r="C29" s="25" t="s">
        <v>37</v>
      </c>
      <c r="D29" s="25"/>
      <c r="E29" s="25"/>
    </row>
    <row r="30" customFormat="false" ht="15" hidden="false" customHeight="true" outlineLevel="0" collapsed="false">
      <c r="A30" s="26" t="s">
        <v>38</v>
      </c>
      <c r="B30" s="35" t="n">
        <v>0.04</v>
      </c>
      <c r="C30" s="28" t="s">
        <v>37</v>
      </c>
      <c r="D30" s="28"/>
      <c r="E30" s="28"/>
    </row>
    <row r="31" customFormat="false" ht="15" hidden="false" customHeight="true" outlineLevel="0" collapsed="false">
      <c r="A31" s="20" t="s">
        <v>39</v>
      </c>
      <c r="B31" s="34" t="n">
        <v>0.12</v>
      </c>
      <c r="C31" s="25" t="s">
        <v>37</v>
      </c>
      <c r="D31" s="25"/>
      <c r="E31" s="25"/>
    </row>
    <row r="32" customFormat="false" ht="15" hidden="false" customHeight="true" outlineLevel="0" collapsed="false">
      <c r="A32" s="26" t="s">
        <v>40</v>
      </c>
      <c r="B32" s="35" t="n">
        <v>0.19</v>
      </c>
      <c r="C32" s="28" t="s">
        <v>41</v>
      </c>
      <c r="D32" s="28"/>
      <c r="E32" s="28"/>
    </row>
    <row r="33" customFormat="false" ht="14.25" hidden="false" customHeight="false" outlineLevel="0" collapsed="false">
      <c r="A33" s="31"/>
      <c r="B33" s="31"/>
      <c r="C33" s="32"/>
      <c r="D33" s="32"/>
      <c r="E33" s="32"/>
    </row>
    <row r="34" customFormat="false" ht="15" hidden="false" customHeight="true" outlineLevel="0" collapsed="false">
      <c r="A34" s="36" t="s">
        <v>42</v>
      </c>
      <c r="B34" s="37" t="n">
        <f aca="false">B29+B30+B31</f>
        <v>0.26</v>
      </c>
      <c r="C34" s="32"/>
      <c r="D34" s="32"/>
      <c r="E34" s="32"/>
    </row>
    <row r="35" customFormat="false" ht="14.25" hidden="false" customHeight="false" outlineLevel="0" collapsed="false">
      <c r="A35" s="31"/>
      <c r="B35" s="31"/>
      <c r="C35" s="32"/>
      <c r="D35" s="32"/>
      <c r="E35" s="32"/>
    </row>
    <row r="36" customFormat="false" ht="15" hidden="false" customHeight="true" outlineLevel="0" collapsed="false">
      <c r="A36" s="33" t="s">
        <v>43</v>
      </c>
      <c r="B36" s="33"/>
      <c r="C36" s="33"/>
      <c r="D36" s="33"/>
      <c r="E36" s="33"/>
    </row>
    <row r="37" s="41" customFormat="true" ht="15" hidden="false" customHeight="true" outlineLevel="0" collapsed="false">
      <c r="A37" s="38" t="s">
        <v>44</v>
      </c>
      <c r="B37" s="39"/>
      <c r="C37" s="39"/>
      <c r="D37" s="39"/>
      <c r="E37" s="40" t="str">
        <f aca="false">E4</f>
        <v>RYR-FT-001</v>
      </c>
    </row>
    <row r="38" customFormat="false" ht="25.5" hidden="false" customHeight="true" outlineLevel="0" collapsed="false">
      <c r="A38" s="42" t="s">
        <v>45</v>
      </c>
      <c r="B38" s="42"/>
      <c r="C38" s="42"/>
      <c r="D38" s="42"/>
      <c r="E38" s="42"/>
    </row>
    <row r="39" customFormat="false" ht="25.5" hidden="false" customHeight="true" outlineLevel="0" collapsed="false">
      <c r="A39" s="42" t="s">
        <v>46</v>
      </c>
      <c r="B39" s="42"/>
      <c r="C39" s="42"/>
      <c r="D39" s="42"/>
      <c r="E39" s="42"/>
    </row>
    <row r="40" customFormat="false" ht="25.5" hidden="false" customHeight="true" outlineLevel="0" collapsed="false">
      <c r="A40" s="42" t="s">
        <v>47</v>
      </c>
      <c r="B40" s="42"/>
      <c r="C40" s="42"/>
      <c r="D40" s="42"/>
      <c r="E40" s="42"/>
    </row>
    <row r="41" customFormat="false" ht="25.5" hidden="false" customHeight="true" outlineLevel="0" collapsed="false">
      <c r="A41" s="42" t="s">
        <v>48</v>
      </c>
      <c r="B41" s="42"/>
      <c r="C41" s="42"/>
      <c r="D41" s="42"/>
      <c r="E41" s="42"/>
    </row>
    <row r="42" customFormat="false" ht="25.5" hidden="false" customHeight="true" outlineLevel="0" collapsed="false">
      <c r="A42" s="42" t="s">
        <v>49</v>
      </c>
      <c r="B42" s="42"/>
      <c r="C42" s="42"/>
      <c r="D42" s="42"/>
      <c r="E42" s="42"/>
    </row>
    <row r="43" customFormat="false" ht="25.5" hidden="false" customHeight="true" outlineLevel="0" collapsed="false">
      <c r="A43" s="42" t="s">
        <v>50</v>
      </c>
      <c r="B43" s="42"/>
      <c r="C43" s="42"/>
      <c r="D43" s="42"/>
      <c r="E43" s="42"/>
    </row>
    <row r="44" customFormat="false" ht="25.5" hidden="false" customHeight="true" outlineLevel="0" collapsed="false">
      <c r="A44" s="42" t="s">
        <v>51</v>
      </c>
      <c r="B44" s="42"/>
      <c r="C44" s="42"/>
      <c r="D44" s="42"/>
      <c r="E44" s="42"/>
    </row>
    <row r="45" customFormat="false" ht="25.5" hidden="false" customHeight="true" outlineLevel="0" collapsed="false">
      <c r="A45" s="42" t="s">
        <v>52</v>
      </c>
      <c r="B45" s="42"/>
      <c r="C45" s="42"/>
      <c r="D45" s="42"/>
      <c r="E45" s="42"/>
    </row>
    <row r="46" customFormat="false" ht="25.5" hidden="false" customHeight="true" outlineLevel="0" collapsed="false">
      <c r="A46" s="42" t="s">
        <v>53</v>
      </c>
      <c r="B46" s="42"/>
      <c r="C46" s="42"/>
      <c r="D46" s="42"/>
      <c r="E46" s="42"/>
    </row>
    <row r="47" customFormat="false" ht="25.5" hidden="false" customHeight="true" outlineLevel="0" collapsed="false">
      <c r="A47" s="42" t="s">
        <v>54</v>
      </c>
      <c r="B47" s="42"/>
      <c r="C47" s="42"/>
      <c r="D47" s="42"/>
      <c r="E47" s="42"/>
    </row>
  </sheetData>
  <mergeCells count="43">
    <mergeCell ref="B1:E1"/>
    <mergeCell ref="B2:E2"/>
    <mergeCell ref="D3:E3"/>
    <mergeCell ref="B4:C4"/>
    <mergeCell ref="B5:C5"/>
    <mergeCell ref="B9:E9"/>
    <mergeCell ref="D10:E10"/>
    <mergeCell ref="B11:E11"/>
    <mergeCell ref="B12:E12"/>
    <mergeCell ref="A13:E13"/>
    <mergeCell ref="C14:E14"/>
    <mergeCell ref="C15:E15"/>
    <mergeCell ref="C16:E16"/>
    <mergeCell ref="C17:E17"/>
    <mergeCell ref="C18:E18"/>
    <mergeCell ref="C19:E19"/>
    <mergeCell ref="C20:E20"/>
    <mergeCell ref="C21:E21"/>
    <mergeCell ref="C22:E22"/>
    <mergeCell ref="C23:E23"/>
    <mergeCell ref="C24:E24"/>
    <mergeCell ref="C25:E25"/>
    <mergeCell ref="C26:E26"/>
    <mergeCell ref="C27:E27"/>
    <mergeCell ref="A28:E28"/>
    <mergeCell ref="C29:E29"/>
    <mergeCell ref="C30:E30"/>
    <mergeCell ref="C31:E31"/>
    <mergeCell ref="C32:E32"/>
    <mergeCell ref="C33:E33"/>
    <mergeCell ref="C34:E34"/>
    <mergeCell ref="C35:E35"/>
    <mergeCell ref="A36:E36"/>
    <mergeCell ref="A38:E38"/>
    <mergeCell ref="A39:E39"/>
    <mergeCell ref="A40:E40"/>
    <mergeCell ref="A41:E41"/>
    <mergeCell ref="A42:E42"/>
    <mergeCell ref="A43:E43"/>
    <mergeCell ref="A44:E44"/>
    <mergeCell ref="A45:E45"/>
    <mergeCell ref="A46:E46"/>
    <mergeCell ref="A47:E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F253"/>
  <sheetViews>
    <sheetView showFormulas="false" showGridLines="true" showRowColHeaders="true" showZeros="true" rightToLeft="false" tabSelected="false" showOutlineSymbols="true" defaultGridColor="true" view="normal" topLeftCell="A1" colorId="64" zoomScale="81" zoomScaleNormal="81" zoomScalePageLayoutView="100" workbookViewId="0">
      <pane xSplit="0" ySplit="13" topLeftCell="A218" activePane="bottomLeft" state="frozen"/>
      <selection pane="topLeft" activeCell="A1" activeCellId="0" sqref="A1"/>
      <selection pane="bottomLeft" activeCell="B3" activeCellId="0" sqref="B3"/>
    </sheetView>
  </sheetViews>
  <sheetFormatPr defaultColWidth="8.66796875" defaultRowHeight="14.25" zeroHeight="false" outlineLevelRow="0" outlineLevelCol="0"/>
  <cols>
    <col collapsed="false" customWidth="true" hidden="false" outlineLevel="0" max="1" min="1" style="43" width="8"/>
    <col collapsed="false" customWidth="true" hidden="false" outlineLevel="0" max="2" min="2" style="1" width="60.77"/>
    <col collapsed="false" customWidth="true" hidden="false" outlineLevel="0" max="3" min="3" style="1" width="50.77"/>
    <col collapsed="false" customWidth="true" hidden="false" outlineLevel="0" max="6" min="4" style="1" width="20.78"/>
  </cols>
  <sheetData>
    <row r="1" customFormat="false" ht="14.25" hidden="false" customHeight="false" outlineLevel="0" collapsed="false">
      <c r="A1" s="44"/>
      <c r="B1" s="44"/>
      <c r="C1" s="45" t="s">
        <v>55</v>
      </c>
      <c r="D1" s="45"/>
      <c r="E1" s="45"/>
      <c r="F1" s="45"/>
    </row>
    <row r="2" customFormat="false" ht="14.25" hidden="false" customHeight="false" outlineLevel="0" collapsed="false">
      <c r="A2" s="44"/>
      <c r="B2" s="46"/>
      <c r="C2" s="45"/>
      <c r="D2" s="45"/>
      <c r="E2" s="45"/>
      <c r="F2" s="45"/>
    </row>
    <row r="3" customFormat="false" ht="14.25" hidden="false" customHeight="false" outlineLevel="0" collapsed="false">
      <c r="A3" s="44"/>
      <c r="B3" s="46"/>
      <c r="C3" s="45"/>
      <c r="D3" s="45"/>
      <c r="E3" s="45"/>
      <c r="F3" s="45"/>
    </row>
    <row r="4" customFormat="false" ht="4.5" hidden="false" customHeight="true" outlineLevel="0" collapsed="false">
      <c r="A4" s="44"/>
      <c r="B4" s="46"/>
      <c r="C4" s="47"/>
      <c r="D4" s="47"/>
      <c r="E4" s="47"/>
      <c r="F4" s="47"/>
    </row>
    <row r="5" customFormat="false" ht="14.25" hidden="false" customHeight="false" outlineLevel="0" collapsed="false">
      <c r="A5" s="44"/>
      <c r="B5" s="46"/>
      <c r="C5" s="48"/>
      <c r="D5" s="48"/>
      <c r="E5" s="49" t="s">
        <v>1</v>
      </c>
      <c r="F5" s="49"/>
    </row>
    <row r="6" customFormat="false" ht="21" hidden="false" customHeight="true" outlineLevel="0" collapsed="false">
      <c r="A6" s="44"/>
      <c r="B6" s="46"/>
      <c r="C6" s="9" t="s">
        <v>2</v>
      </c>
      <c r="D6" s="9"/>
      <c r="E6" s="50" t="s">
        <v>3</v>
      </c>
      <c r="F6" s="11" t="s">
        <v>56</v>
      </c>
    </row>
    <row r="7" customFormat="false" ht="15" hidden="false" customHeight="true" outlineLevel="0" collapsed="false">
      <c r="A7" s="44"/>
      <c r="B7" s="46"/>
      <c r="C7" s="12" t="s">
        <v>5</v>
      </c>
      <c r="D7" s="12"/>
      <c r="E7" s="50" t="s">
        <v>6</v>
      </c>
      <c r="F7" s="13" t="n">
        <v>1</v>
      </c>
    </row>
    <row r="8" customFormat="false" ht="15" hidden="false" customHeight="true" outlineLevel="0" collapsed="false">
      <c r="A8" s="44"/>
      <c r="B8" s="46"/>
      <c r="C8" s="48"/>
      <c r="D8" s="48"/>
      <c r="E8" s="50" t="s">
        <v>7</v>
      </c>
      <c r="F8" s="16" t="s">
        <v>8</v>
      </c>
    </row>
    <row r="9" customFormat="false" ht="15" hidden="false" customHeight="true" outlineLevel="0" collapsed="false">
      <c r="A9" s="51"/>
      <c r="B9" s="52"/>
      <c r="C9" s="48"/>
      <c r="D9" s="48"/>
      <c r="E9" s="53" t="s">
        <v>9</v>
      </c>
      <c r="F9" s="18" t="s">
        <v>10</v>
      </c>
    </row>
    <row r="10" customFormat="false" ht="15" hidden="false" customHeight="true" outlineLevel="0" collapsed="false">
      <c r="A10" s="54" t="s">
        <v>57</v>
      </c>
      <c r="B10" s="54"/>
      <c r="C10" s="54"/>
      <c r="D10" s="54"/>
      <c r="E10" s="54"/>
      <c r="F10" s="54"/>
    </row>
    <row r="11" customFormat="false" ht="15" hidden="false" customHeight="true" outlineLevel="0" collapsed="false">
      <c r="A11" s="55" t="s">
        <v>58</v>
      </c>
      <c r="B11" s="55"/>
      <c r="C11" s="55"/>
      <c r="D11" s="55"/>
      <c r="E11" s="55"/>
      <c r="F11" s="55"/>
    </row>
    <row r="12" customFormat="false" ht="14.25" hidden="false" customHeight="false" outlineLevel="0" collapsed="false">
      <c r="A12" s="56" t="s">
        <v>12</v>
      </c>
      <c r="B12" s="56"/>
      <c r="C12" s="57"/>
      <c r="D12" s="57"/>
      <c r="E12" s="58" t="s">
        <v>7</v>
      </c>
      <c r="F12" s="59" t="s">
        <v>8</v>
      </c>
    </row>
    <row r="13" customFormat="false" ht="15" hidden="false" customHeight="true" outlineLevel="0" collapsed="false">
      <c r="A13" s="60" t="s">
        <v>59</v>
      </c>
      <c r="B13" s="61" t="s">
        <v>60</v>
      </c>
      <c r="C13" s="61" t="s">
        <v>61</v>
      </c>
      <c r="D13" s="61" t="s">
        <v>62</v>
      </c>
      <c r="E13" s="61" t="s">
        <v>63</v>
      </c>
      <c r="F13" s="62" t="s">
        <v>64</v>
      </c>
    </row>
    <row r="14" customFormat="false" ht="14.25" hidden="false" customHeight="false" outlineLevel="0" collapsed="false">
      <c r="A14" s="63" t="s">
        <v>65</v>
      </c>
      <c r="B14" s="64" t="s">
        <v>66</v>
      </c>
      <c r="C14" s="64"/>
      <c r="D14" s="64"/>
      <c r="E14" s="64"/>
      <c r="F14" s="64"/>
    </row>
    <row r="15" customFormat="false" ht="14.25" hidden="false" customHeight="false" outlineLevel="0" collapsed="false">
      <c r="A15" s="65" t="s">
        <v>67</v>
      </c>
      <c r="B15" s="66" t="s">
        <v>68</v>
      </c>
      <c r="C15" s="67" t="s">
        <v>69</v>
      </c>
      <c r="D15" s="68"/>
      <c r="E15" s="69"/>
      <c r="F15" s="70" t="n">
        <f aca="false">D15*E15</f>
        <v>0</v>
      </c>
    </row>
    <row r="16" customFormat="false" ht="14.25" hidden="false" customHeight="false" outlineLevel="0" collapsed="false">
      <c r="A16" s="65" t="s">
        <v>70</v>
      </c>
      <c r="B16" s="66" t="s">
        <v>71</v>
      </c>
      <c r="C16" s="67" t="s">
        <v>72</v>
      </c>
      <c r="D16" s="68"/>
      <c r="E16" s="69"/>
      <c r="F16" s="70" t="n">
        <f aca="false">D16*E16</f>
        <v>0</v>
      </c>
    </row>
    <row r="17" customFormat="false" ht="14.25" hidden="false" customHeight="false" outlineLevel="0" collapsed="false">
      <c r="A17" s="65" t="s">
        <v>73</v>
      </c>
      <c r="B17" s="66" t="s">
        <v>74</v>
      </c>
      <c r="C17" s="67" t="s">
        <v>69</v>
      </c>
      <c r="D17" s="68"/>
      <c r="E17" s="69"/>
      <c r="F17" s="70" t="n">
        <f aca="false">D17*E17</f>
        <v>0</v>
      </c>
    </row>
    <row r="18" customFormat="false" ht="14.25" hidden="false" customHeight="false" outlineLevel="0" collapsed="false">
      <c r="A18" s="65" t="s">
        <v>75</v>
      </c>
      <c r="B18" s="66" t="s">
        <v>76</v>
      </c>
      <c r="C18" s="67" t="s">
        <v>69</v>
      </c>
      <c r="D18" s="68"/>
      <c r="E18" s="69"/>
      <c r="F18" s="70" t="n">
        <f aca="false">D18*E18</f>
        <v>0</v>
      </c>
    </row>
    <row r="19" customFormat="false" ht="14.25" hidden="false" customHeight="false" outlineLevel="0" collapsed="false">
      <c r="A19" s="65" t="s">
        <v>77</v>
      </c>
      <c r="B19" s="66" t="s">
        <v>78</v>
      </c>
      <c r="C19" s="67" t="s">
        <v>79</v>
      </c>
      <c r="D19" s="68"/>
      <c r="E19" s="69"/>
      <c r="F19" s="70" t="n">
        <f aca="false">D19*E19</f>
        <v>0</v>
      </c>
    </row>
    <row r="20" customFormat="false" ht="14.25" hidden="false" customHeight="false" outlineLevel="0" collapsed="false">
      <c r="A20" s="65" t="s">
        <v>80</v>
      </c>
      <c r="B20" s="66" t="s">
        <v>81</v>
      </c>
      <c r="C20" s="67" t="s">
        <v>82</v>
      </c>
      <c r="D20" s="68"/>
      <c r="E20" s="69"/>
      <c r="F20" s="70" t="n">
        <f aca="false">D20*E20</f>
        <v>0</v>
      </c>
    </row>
    <row r="21" customFormat="false" ht="14.25" hidden="false" customHeight="false" outlineLevel="0" collapsed="false">
      <c r="A21" s="65" t="s">
        <v>83</v>
      </c>
      <c r="B21" s="66" t="s">
        <v>84</v>
      </c>
      <c r="C21" s="67" t="s">
        <v>69</v>
      </c>
      <c r="D21" s="68"/>
      <c r="E21" s="69"/>
      <c r="F21" s="70" t="n">
        <f aca="false">D21*E21</f>
        <v>0</v>
      </c>
    </row>
    <row r="22" customFormat="false" ht="14.25" hidden="false" customHeight="false" outlineLevel="0" collapsed="false">
      <c r="A22" s="65" t="s">
        <v>85</v>
      </c>
      <c r="B22" s="66" t="s">
        <v>86</v>
      </c>
      <c r="C22" s="67" t="s">
        <v>69</v>
      </c>
      <c r="D22" s="68"/>
      <c r="E22" s="69"/>
      <c r="F22" s="70" t="n">
        <f aca="false">D22*E22</f>
        <v>0</v>
      </c>
    </row>
    <row r="23" customFormat="false" ht="14.25" hidden="false" customHeight="false" outlineLevel="0" collapsed="false">
      <c r="A23" s="65" t="s">
        <v>87</v>
      </c>
      <c r="B23" s="66" t="s">
        <v>88</v>
      </c>
      <c r="C23" s="67" t="s">
        <v>89</v>
      </c>
      <c r="D23" s="68"/>
      <c r="E23" s="69"/>
      <c r="F23" s="70" t="n">
        <f aca="false">D23*E23</f>
        <v>0</v>
      </c>
    </row>
    <row r="24" customFormat="false" ht="14.25" hidden="false" customHeight="false" outlineLevel="0" collapsed="false">
      <c r="A24" s="65" t="s">
        <v>90</v>
      </c>
      <c r="B24" s="66" t="s">
        <v>91</v>
      </c>
      <c r="C24" s="67" t="s">
        <v>92</v>
      </c>
      <c r="D24" s="68"/>
      <c r="E24" s="69"/>
      <c r="F24" s="70" t="n">
        <f aca="false">D24*E24</f>
        <v>0</v>
      </c>
    </row>
    <row r="25" customFormat="false" ht="14.25" hidden="false" customHeight="false" outlineLevel="0" collapsed="false">
      <c r="A25" s="71"/>
      <c r="B25" s="72" t="s">
        <v>93</v>
      </c>
      <c r="C25" s="72"/>
      <c r="D25" s="72"/>
      <c r="E25" s="72"/>
      <c r="F25" s="73" t="n">
        <f aca="false">SUM(F15:F24)</f>
        <v>0</v>
      </c>
    </row>
    <row r="26" customFormat="false" ht="14.25" hidden="false" customHeight="false" outlineLevel="0" collapsed="false">
      <c r="A26" s="74"/>
      <c r="B26" s="75"/>
      <c r="C26" s="75"/>
      <c r="D26" s="75"/>
      <c r="E26" s="75"/>
      <c r="F26" s="76"/>
    </row>
    <row r="27" customFormat="false" ht="14.25" hidden="false" customHeight="false" outlineLevel="0" collapsed="false">
      <c r="A27" s="63" t="s">
        <v>94</v>
      </c>
      <c r="B27" s="64" t="s">
        <v>95</v>
      </c>
      <c r="C27" s="64"/>
      <c r="D27" s="64"/>
      <c r="E27" s="64"/>
      <c r="F27" s="64"/>
    </row>
    <row r="28" customFormat="false" ht="14.25" hidden="false" customHeight="false" outlineLevel="0" collapsed="false">
      <c r="A28" s="65" t="s">
        <v>96</v>
      </c>
      <c r="B28" s="66" t="s">
        <v>97</v>
      </c>
      <c r="C28" s="67" t="s">
        <v>89</v>
      </c>
      <c r="D28" s="68"/>
      <c r="E28" s="69"/>
      <c r="F28" s="70" t="n">
        <f aca="false">D28*E28</f>
        <v>0</v>
      </c>
    </row>
    <row r="29" customFormat="false" ht="14.25" hidden="false" customHeight="false" outlineLevel="0" collapsed="false">
      <c r="A29" s="65" t="s">
        <v>98</v>
      </c>
      <c r="B29" s="66" t="s">
        <v>99</v>
      </c>
      <c r="C29" s="67" t="s">
        <v>89</v>
      </c>
      <c r="D29" s="68"/>
      <c r="E29" s="69"/>
      <c r="F29" s="70" t="n">
        <f aca="false">D29*E29</f>
        <v>0</v>
      </c>
    </row>
    <row r="30" customFormat="false" ht="14.25" hidden="false" customHeight="false" outlineLevel="0" collapsed="false">
      <c r="A30" s="65" t="s">
        <v>100</v>
      </c>
      <c r="B30" s="66" t="s">
        <v>101</v>
      </c>
      <c r="C30" s="67" t="s">
        <v>89</v>
      </c>
      <c r="D30" s="68"/>
      <c r="E30" s="69"/>
      <c r="F30" s="70" t="n">
        <f aca="false">D30*E30</f>
        <v>0</v>
      </c>
    </row>
    <row r="31" customFormat="false" ht="14.25" hidden="false" customHeight="false" outlineLevel="0" collapsed="false">
      <c r="A31" s="65" t="s">
        <v>102</v>
      </c>
      <c r="B31" s="66" t="s">
        <v>103</v>
      </c>
      <c r="C31" s="67" t="s">
        <v>69</v>
      </c>
      <c r="D31" s="68"/>
      <c r="E31" s="69"/>
      <c r="F31" s="70" t="n">
        <f aca="false">D31*E31</f>
        <v>0</v>
      </c>
    </row>
    <row r="32" customFormat="false" ht="14.25" hidden="false" customHeight="false" outlineLevel="0" collapsed="false">
      <c r="A32" s="65" t="s">
        <v>104</v>
      </c>
      <c r="B32" s="66" t="s">
        <v>105</v>
      </c>
      <c r="C32" s="67" t="s">
        <v>89</v>
      </c>
      <c r="D32" s="68"/>
      <c r="E32" s="69"/>
      <c r="F32" s="70" t="n">
        <f aca="false">D32*E32</f>
        <v>0</v>
      </c>
    </row>
    <row r="33" customFormat="false" ht="14.25" hidden="false" customHeight="false" outlineLevel="0" collapsed="false">
      <c r="A33" s="65" t="s">
        <v>106</v>
      </c>
      <c r="B33" s="66" t="s">
        <v>107</v>
      </c>
      <c r="C33" s="67" t="s">
        <v>89</v>
      </c>
      <c r="D33" s="68"/>
      <c r="E33" s="69"/>
      <c r="F33" s="70" t="n">
        <f aca="false">D33*E33</f>
        <v>0</v>
      </c>
    </row>
    <row r="34" customFormat="false" ht="14.25" hidden="false" customHeight="false" outlineLevel="0" collapsed="false">
      <c r="A34" s="65" t="s">
        <v>108</v>
      </c>
      <c r="B34" s="66" t="s">
        <v>109</v>
      </c>
      <c r="C34" s="67" t="s">
        <v>89</v>
      </c>
      <c r="D34" s="68"/>
      <c r="E34" s="69"/>
      <c r="F34" s="70" t="n">
        <f aca="false">D34*E34</f>
        <v>0</v>
      </c>
    </row>
    <row r="35" customFormat="false" ht="14.25" hidden="false" customHeight="false" outlineLevel="0" collapsed="false">
      <c r="A35" s="65" t="s">
        <v>110</v>
      </c>
      <c r="B35" s="66" t="s">
        <v>111</v>
      </c>
      <c r="C35" s="67" t="s">
        <v>89</v>
      </c>
      <c r="D35" s="68"/>
      <c r="E35" s="69"/>
      <c r="F35" s="70" t="n">
        <f aca="false">D35*E35</f>
        <v>0</v>
      </c>
    </row>
    <row r="36" customFormat="false" ht="14.25" hidden="false" customHeight="false" outlineLevel="0" collapsed="false">
      <c r="A36" s="65" t="s">
        <v>112</v>
      </c>
      <c r="B36" s="66" t="s">
        <v>113</v>
      </c>
      <c r="C36" s="67" t="s">
        <v>89</v>
      </c>
      <c r="D36" s="68"/>
      <c r="E36" s="69"/>
      <c r="F36" s="70" t="n">
        <f aca="false">D36*E36</f>
        <v>0</v>
      </c>
    </row>
    <row r="37" customFormat="false" ht="14.25" hidden="false" customHeight="false" outlineLevel="0" collapsed="false">
      <c r="A37" s="65" t="s">
        <v>114</v>
      </c>
      <c r="B37" s="66" t="s">
        <v>115</v>
      </c>
      <c r="C37" s="67" t="s">
        <v>89</v>
      </c>
      <c r="D37" s="68"/>
      <c r="E37" s="69"/>
      <c r="F37" s="70" t="n">
        <f aca="false">D37*E37</f>
        <v>0</v>
      </c>
    </row>
    <row r="38" customFormat="false" ht="14.25" hidden="false" customHeight="false" outlineLevel="0" collapsed="false">
      <c r="A38" s="65" t="s">
        <v>116</v>
      </c>
      <c r="B38" s="66" t="s">
        <v>117</v>
      </c>
      <c r="C38" s="67" t="s">
        <v>89</v>
      </c>
      <c r="D38" s="68"/>
      <c r="E38" s="69"/>
      <c r="F38" s="70" t="n">
        <f aca="false">D38*E38</f>
        <v>0</v>
      </c>
    </row>
    <row r="39" customFormat="false" ht="14.25" hidden="false" customHeight="false" outlineLevel="0" collapsed="false">
      <c r="A39" s="71"/>
      <c r="B39" s="72" t="s">
        <v>118</v>
      </c>
      <c r="C39" s="72"/>
      <c r="D39" s="72"/>
      <c r="E39" s="72"/>
      <c r="F39" s="73" t="n">
        <f aca="false">SUM(F28:F38)</f>
        <v>0</v>
      </c>
    </row>
    <row r="40" customFormat="false" ht="14.25" hidden="false" customHeight="false" outlineLevel="0" collapsed="false">
      <c r="A40" s="74"/>
      <c r="B40" s="75"/>
      <c r="C40" s="75"/>
      <c r="D40" s="75"/>
      <c r="E40" s="75"/>
      <c r="F40" s="76"/>
    </row>
    <row r="41" customFormat="false" ht="14.25" hidden="false" customHeight="false" outlineLevel="0" collapsed="false">
      <c r="A41" s="63" t="s">
        <v>119</v>
      </c>
      <c r="B41" s="64" t="s">
        <v>120</v>
      </c>
      <c r="C41" s="64"/>
      <c r="D41" s="64"/>
      <c r="E41" s="64"/>
      <c r="F41" s="64"/>
    </row>
    <row r="42" customFormat="false" ht="14.25" hidden="false" customHeight="false" outlineLevel="0" collapsed="false">
      <c r="A42" s="65" t="s">
        <v>121</v>
      </c>
      <c r="B42" s="66" t="s">
        <v>122</v>
      </c>
      <c r="C42" s="67" t="s">
        <v>89</v>
      </c>
      <c r="D42" s="68"/>
      <c r="E42" s="69"/>
      <c r="F42" s="70" t="n">
        <f aca="false">D42*E42</f>
        <v>0</v>
      </c>
    </row>
    <row r="43" customFormat="false" ht="14.25" hidden="false" customHeight="false" outlineLevel="0" collapsed="false">
      <c r="A43" s="65" t="s">
        <v>123</v>
      </c>
      <c r="B43" s="66" t="s">
        <v>124</v>
      </c>
      <c r="C43" s="67" t="s">
        <v>89</v>
      </c>
      <c r="D43" s="68"/>
      <c r="E43" s="69"/>
      <c r="F43" s="70" t="n">
        <f aca="false">D43*E43</f>
        <v>0</v>
      </c>
    </row>
    <row r="44" customFormat="false" ht="14.25" hidden="false" customHeight="false" outlineLevel="0" collapsed="false">
      <c r="A44" s="65" t="s">
        <v>125</v>
      </c>
      <c r="B44" s="66" t="s">
        <v>126</v>
      </c>
      <c r="C44" s="67" t="s">
        <v>89</v>
      </c>
      <c r="D44" s="68"/>
      <c r="E44" s="69"/>
      <c r="F44" s="70" t="n">
        <f aca="false">D44*E44</f>
        <v>0</v>
      </c>
    </row>
    <row r="45" customFormat="false" ht="14.25" hidden="false" customHeight="false" outlineLevel="0" collapsed="false">
      <c r="A45" s="65" t="s">
        <v>127</v>
      </c>
      <c r="B45" s="66" t="s">
        <v>128</v>
      </c>
      <c r="C45" s="67" t="s">
        <v>89</v>
      </c>
      <c r="D45" s="68"/>
      <c r="E45" s="69"/>
      <c r="F45" s="70" t="n">
        <f aca="false">D45*E45</f>
        <v>0</v>
      </c>
    </row>
    <row r="46" customFormat="false" ht="14.25" hidden="false" customHeight="false" outlineLevel="0" collapsed="false">
      <c r="A46" s="65" t="s">
        <v>129</v>
      </c>
      <c r="B46" s="66" t="s">
        <v>130</v>
      </c>
      <c r="C46" s="67" t="s">
        <v>89</v>
      </c>
      <c r="D46" s="68"/>
      <c r="E46" s="69"/>
      <c r="F46" s="70" t="n">
        <f aca="false">D46*E46</f>
        <v>0</v>
      </c>
    </row>
    <row r="47" customFormat="false" ht="14.25" hidden="false" customHeight="false" outlineLevel="0" collapsed="false">
      <c r="A47" s="65" t="s">
        <v>131</v>
      </c>
      <c r="B47" s="66" t="s">
        <v>132</v>
      </c>
      <c r="C47" s="67" t="s">
        <v>92</v>
      </c>
      <c r="D47" s="68"/>
      <c r="E47" s="69"/>
      <c r="F47" s="70" t="n">
        <f aca="false">D47*E47</f>
        <v>0</v>
      </c>
    </row>
    <row r="48" customFormat="false" ht="14.25" hidden="false" customHeight="false" outlineLevel="0" collapsed="false">
      <c r="A48" s="65" t="s">
        <v>133</v>
      </c>
      <c r="B48" s="66" t="s">
        <v>134</v>
      </c>
      <c r="C48" s="67" t="s">
        <v>69</v>
      </c>
      <c r="D48" s="68"/>
      <c r="E48" s="69"/>
      <c r="F48" s="70" t="n">
        <f aca="false">D48*E48</f>
        <v>0</v>
      </c>
    </row>
    <row r="49" customFormat="false" ht="14.25" hidden="false" customHeight="false" outlineLevel="0" collapsed="false">
      <c r="A49" s="71"/>
      <c r="B49" s="72" t="s">
        <v>135</v>
      </c>
      <c r="C49" s="72"/>
      <c r="D49" s="72"/>
      <c r="E49" s="72"/>
      <c r="F49" s="73" t="n">
        <f aca="false">SUM(F42:F48)</f>
        <v>0</v>
      </c>
    </row>
    <row r="50" customFormat="false" ht="14.25" hidden="false" customHeight="false" outlineLevel="0" collapsed="false">
      <c r="A50" s="74"/>
      <c r="B50" s="75"/>
      <c r="C50" s="75"/>
      <c r="D50" s="75"/>
      <c r="E50" s="75"/>
      <c r="F50" s="76"/>
    </row>
    <row r="51" customFormat="false" ht="14.25" hidden="false" customHeight="false" outlineLevel="0" collapsed="false">
      <c r="A51" s="63" t="s">
        <v>136</v>
      </c>
      <c r="B51" s="77" t="s">
        <v>137</v>
      </c>
      <c r="C51" s="77"/>
      <c r="D51" s="77"/>
      <c r="E51" s="77"/>
      <c r="F51" s="77"/>
    </row>
    <row r="52" customFormat="false" ht="14.25" hidden="false" customHeight="false" outlineLevel="0" collapsed="false">
      <c r="A52" s="65" t="s">
        <v>138</v>
      </c>
      <c r="B52" s="66" t="s">
        <v>139</v>
      </c>
      <c r="C52" s="67" t="s">
        <v>89</v>
      </c>
      <c r="D52" s="68"/>
      <c r="E52" s="69"/>
      <c r="F52" s="70" t="n">
        <f aca="false">D52*E52</f>
        <v>0</v>
      </c>
    </row>
    <row r="53" customFormat="false" ht="14.25" hidden="false" customHeight="false" outlineLevel="0" collapsed="false">
      <c r="A53" s="65" t="s">
        <v>140</v>
      </c>
      <c r="B53" s="78" t="s">
        <v>141</v>
      </c>
      <c r="C53" s="67" t="s">
        <v>89</v>
      </c>
      <c r="F53" s="1" t="n">
        <f aca="false">D53*E53</f>
        <v>0</v>
      </c>
    </row>
    <row r="54" customFormat="false" ht="14.25" hidden="false" customHeight="false" outlineLevel="0" collapsed="false">
      <c r="A54" s="65" t="s">
        <v>142</v>
      </c>
      <c r="B54" s="66" t="s">
        <v>143</v>
      </c>
      <c r="C54" s="67" t="s">
        <v>89</v>
      </c>
      <c r="D54" s="68"/>
      <c r="E54" s="69"/>
      <c r="F54" s="70" t="n">
        <f aca="false">D54*E54</f>
        <v>0</v>
      </c>
    </row>
    <row r="55" customFormat="false" ht="14.25" hidden="false" customHeight="false" outlineLevel="0" collapsed="false">
      <c r="A55" s="65" t="s">
        <v>144</v>
      </c>
      <c r="B55" s="66" t="s">
        <v>145</v>
      </c>
      <c r="C55" s="67" t="s">
        <v>89</v>
      </c>
      <c r="D55" s="68"/>
      <c r="E55" s="69"/>
      <c r="F55" s="70" t="n">
        <f aca="false">D55*E55</f>
        <v>0</v>
      </c>
    </row>
    <row r="56" customFormat="false" ht="14.25" hidden="false" customHeight="false" outlineLevel="0" collapsed="false">
      <c r="A56" s="65" t="s">
        <v>146</v>
      </c>
      <c r="B56" s="66" t="s">
        <v>147</v>
      </c>
      <c r="C56" s="67" t="s">
        <v>89</v>
      </c>
      <c r="D56" s="68"/>
      <c r="E56" s="69"/>
      <c r="F56" s="70" t="n">
        <f aca="false">D56*E56</f>
        <v>0</v>
      </c>
    </row>
    <row r="57" customFormat="false" ht="14.25" hidden="false" customHeight="false" outlineLevel="0" collapsed="false">
      <c r="A57" s="65" t="s">
        <v>148</v>
      </c>
      <c r="B57" s="66" t="s">
        <v>149</v>
      </c>
      <c r="C57" s="67" t="s">
        <v>92</v>
      </c>
      <c r="D57" s="68"/>
      <c r="E57" s="69"/>
      <c r="F57" s="70" t="n">
        <f aca="false">D57*E57</f>
        <v>0</v>
      </c>
    </row>
    <row r="58" customFormat="false" ht="14.25" hidden="false" customHeight="false" outlineLevel="0" collapsed="false">
      <c r="A58" s="65" t="s">
        <v>150</v>
      </c>
      <c r="B58" s="66" t="s">
        <v>151</v>
      </c>
      <c r="C58" s="67" t="s">
        <v>92</v>
      </c>
      <c r="D58" s="68"/>
      <c r="E58" s="69"/>
      <c r="F58" s="70" t="n">
        <f aca="false">D58*E58</f>
        <v>0</v>
      </c>
    </row>
    <row r="59" customFormat="false" ht="14.25" hidden="false" customHeight="false" outlineLevel="0" collapsed="false">
      <c r="A59" s="65" t="s">
        <v>152</v>
      </c>
      <c r="B59" s="66" t="s">
        <v>153</v>
      </c>
      <c r="C59" s="67" t="s">
        <v>92</v>
      </c>
      <c r="F59" s="70" t="n">
        <f aca="false">D59*E59</f>
        <v>0</v>
      </c>
    </row>
    <row r="60" customFormat="false" ht="14.25" hidden="false" customHeight="false" outlineLevel="0" collapsed="false">
      <c r="A60" s="65" t="s">
        <v>154</v>
      </c>
      <c r="B60" s="66" t="s">
        <v>155</v>
      </c>
      <c r="C60" s="67" t="s">
        <v>69</v>
      </c>
      <c r="D60" s="68"/>
      <c r="E60" s="69"/>
      <c r="F60" s="70" t="n">
        <f aca="false">D60*E60</f>
        <v>0</v>
      </c>
    </row>
    <row r="61" customFormat="false" ht="14.25" hidden="false" customHeight="false" outlineLevel="0" collapsed="false">
      <c r="A61" s="65" t="s">
        <v>156</v>
      </c>
      <c r="B61" s="78" t="s">
        <v>157</v>
      </c>
      <c r="C61" s="67" t="s">
        <v>69</v>
      </c>
      <c r="F61" s="1" t="n">
        <f aca="false">D61*E61</f>
        <v>0</v>
      </c>
    </row>
    <row r="62" customFormat="false" ht="14.25" hidden="false" customHeight="false" outlineLevel="0" collapsed="false">
      <c r="A62" s="65" t="s">
        <v>158</v>
      </c>
      <c r="B62" s="66" t="s">
        <v>159</v>
      </c>
      <c r="C62" s="67" t="s">
        <v>69</v>
      </c>
      <c r="D62" s="68"/>
      <c r="E62" s="69"/>
      <c r="F62" s="70" t="n">
        <f aca="false">D62*E62</f>
        <v>0</v>
      </c>
    </row>
    <row r="63" customFormat="false" ht="14.25" hidden="false" customHeight="false" outlineLevel="0" collapsed="false">
      <c r="A63" s="65" t="s">
        <v>160</v>
      </c>
      <c r="B63" s="66" t="s">
        <v>161</v>
      </c>
      <c r="C63" s="67" t="s">
        <v>69</v>
      </c>
      <c r="D63" s="68"/>
      <c r="E63" s="69"/>
      <c r="F63" s="70" t="n">
        <f aca="false">D63*E63</f>
        <v>0</v>
      </c>
    </row>
    <row r="64" customFormat="false" ht="14.25" hidden="false" customHeight="false" outlineLevel="0" collapsed="false">
      <c r="A64" s="65" t="s">
        <v>162</v>
      </c>
      <c r="B64" s="66" t="s">
        <v>163</v>
      </c>
      <c r="C64" s="67" t="s">
        <v>92</v>
      </c>
      <c r="D64" s="68"/>
      <c r="E64" s="69"/>
      <c r="F64" s="70" t="n">
        <f aca="false">D64*E64</f>
        <v>0</v>
      </c>
    </row>
    <row r="65" customFormat="false" ht="14.25" hidden="false" customHeight="false" outlineLevel="0" collapsed="false">
      <c r="A65" s="65" t="s">
        <v>164</v>
      </c>
      <c r="B65" s="66" t="s">
        <v>165</v>
      </c>
      <c r="C65" s="67" t="s">
        <v>92</v>
      </c>
      <c r="D65" s="68"/>
      <c r="E65" s="69"/>
      <c r="F65" s="70" t="n">
        <f aca="false">D65*E65</f>
        <v>0</v>
      </c>
    </row>
    <row r="66" customFormat="false" ht="14.25" hidden="false" customHeight="false" outlineLevel="0" collapsed="false">
      <c r="A66" s="65" t="s">
        <v>166</v>
      </c>
      <c r="B66" s="66" t="s">
        <v>167</v>
      </c>
      <c r="C66" s="67" t="s">
        <v>69</v>
      </c>
      <c r="D66" s="68"/>
      <c r="E66" s="69"/>
      <c r="F66" s="70" t="n">
        <f aca="false">D66*E66</f>
        <v>0</v>
      </c>
    </row>
    <row r="67" customFormat="false" ht="14.25" hidden="false" customHeight="false" outlineLevel="0" collapsed="false">
      <c r="A67" s="65" t="s">
        <v>168</v>
      </c>
      <c r="B67" s="66" t="s">
        <v>169</v>
      </c>
      <c r="C67" s="67" t="s">
        <v>69</v>
      </c>
      <c r="D67" s="68"/>
      <c r="E67" s="69"/>
      <c r="F67" s="70" t="n">
        <f aca="false">D67*E67</f>
        <v>0</v>
      </c>
    </row>
    <row r="68" customFormat="false" ht="14.25" hidden="false" customHeight="false" outlineLevel="0" collapsed="false">
      <c r="A68" s="65" t="s">
        <v>170</v>
      </c>
      <c r="B68" s="66" t="s">
        <v>171</v>
      </c>
      <c r="C68" s="67" t="s">
        <v>89</v>
      </c>
      <c r="D68" s="68"/>
      <c r="E68" s="69"/>
      <c r="F68" s="70" t="n">
        <f aca="false">D68*E68</f>
        <v>0</v>
      </c>
    </row>
    <row r="69" customFormat="false" ht="14.25" hidden="false" customHeight="false" outlineLevel="0" collapsed="false">
      <c r="A69" s="71"/>
      <c r="B69" s="72" t="s">
        <v>172</v>
      </c>
      <c r="C69" s="72"/>
      <c r="D69" s="72"/>
      <c r="E69" s="72"/>
      <c r="F69" s="73" t="n">
        <f aca="false">SUM(F51:F68)</f>
        <v>0</v>
      </c>
    </row>
    <row r="70" customFormat="false" ht="14.25" hidden="false" customHeight="false" outlineLevel="0" collapsed="false">
      <c r="A70" s="74"/>
      <c r="B70" s="75"/>
      <c r="C70" s="75"/>
      <c r="D70" s="75"/>
      <c r="E70" s="75"/>
      <c r="F70" s="76"/>
    </row>
    <row r="71" customFormat="false" ht="14.25" hidden="false" customHeight="false" outlineLevel="0" collapsed="false">
      <c r="A71" s="63" t="s">
        <v>173</v>
      </c>
      <c r="B71" s="64" t="s">
        <v>174</v>
      </c>
      <c r="C71" s="64"/>
      <c r="D71" s="64"/>
      <c r="E71" s="64"/>
      <c r="F71" s="64"/>
    </row>
    <row r="72" customFormat="false" ht="14.25" hidden="false" customHeight="false" outlineLevel="0" collapsed="false">
      <c r="A72" s="65" t="s">
        <v>175</v>
      </c>
      <c r="B72" s="66" t="s">
        <v>176</v>
      </c>
      <c r="C72" s="67" t="s">
        <v>69</v>
      </c>
      <c r="D72" s="68"/>
      <c r="E72" s="69"/>
      <c r="F72" s="70" t="n">
        <f aca="false">D72*E72</f>
        <v>0</v>
      </c>
    </row>
    <row r="73" customFormat="false" ht="14.25" hidden="false" customHeight="false" outlineLevel="0" collapsed="false">
      <c r="A73" s="65" t="s">
        <v>177</v>
      </c>
      <c r="B73" s="66" t="s">
        <v>178</v>
      </c>
      <c r="C73" s="67" t="s">
        <v>69</v>
      </c>
      <c r="D73" s="68"/>
      <c r="E73" s="69"/>
      <c r="F73" s="70" t="n">
        <f aca="false">D73*E73</f>
        <v>0</v>
      </c>
    </row>
    <row r="74" customFormat="false" ht="14.25" hidden="false" customHeight="false" outlineLevel="0" collapsed="false">
      <c r="A74" s="65" t="s">
        <v>179</v>
      </c>
      <c r="B74" s="66" t="s">
        <v>180</v>
      </c>
      <c r="C74" s="67" t="s">
        <v>69</v>
      </c>
      <c r="D74" s="68"/>
      <c r="E74" s="69"/>
      <c r="F74" s="70" t="n">
        <f aca="false">D74*E74</f>
        <v>0</v>
      </c>
    </row>
    <row r="75" customFormat="false" ht="14.25" hidden="false" customHeight="false" outlineLevel="0" collapsed="false">
      <c r="A75" s="65" t="s">
        <v>181</v>
      </c>
      <c r="B75" s="66" t="s">
        <v>182</v>
      </c>
      <c r="C75" s="67" t="s">
        <v>69</v>
      </c>
      <c r="D75" s="68"/>
      <c r="E75" s="69"/>
      <c r="F75" s="70" t="n">
        <f aca="false">D75*E75</f>
        <v>0</v>
      </c>
    </row>
    <row r="76" customFormat="false" ht="14.25" hidden="false" customHeight="false" outlineLevel="0" collapsed="false">
      <c r="A76" s="65" t="s">
        <v>183</v>
      </c>
      <c r="B76" s="66" t="s">
        <v>184</v>
      </c>
      <c r="C76" s="67" t="s">
        <v>72</v>
      </c>
      <c r="D76" s="68"/>
      <c r="E76" s="69"/>
      <c r="F76" s="70" t="n">
        <f aca="false">D76*E76</f>
        <v>0</v>
      </c>
    </row>
    <row r="77" customFormat="false" ht="14.25" hidden="false" customHeight="false" outlineLevel="0" collapsed="false">
      <c r="A77" s="65" t="s">
        <v>185</v>
      </c>
      <c r="B77" s="66" t="s">
        <v>186</v>
      </c>
      <c r="C77" s="67" t="s">
        <v>72</v>
      </c>
      <c r="D77" s="68"/>
      <c r="E77" s="69"/>
      <c r="F77" s="70" t="n">
        <f aca="false">D77*E77</f>
        <v>0</v>
      </c>
    </row>
    <row r="78" customFormat="false" ht="14.25" hidden="false" customHeight="false" outlineLevel="0" collapsed="false">
      <c r="A78" s="65" t="s">
        <v>187</v>
      </c>
      <c r="B78" s="66" t="s">
        <v>188</v>
      </c>
      <c r="C78" s="67" t="s">
        <v>79</v>
      </c>
      <c r="D78" s="68"/>
      <c r="E78" s="69"/>
      <c r="F78" s="70" t="n">
        <f aca="false">D78*E78</f>
        <v>0</v>
      </c>
    </row>
    <row r="79" customFormat="false" ht="14.25" hidden="false" customHeight="false" outlineLevel="0" collapsed="false">
      <c r="A79" s="65" t="s">
        <v>189</v>
      </c>
      <c r="B79" s="66" t="s">
        <v>190</v>
      </c>
      <c r="C79" s="67" t="s">
        <v>69</v>
      </c>
      <c r="D79" s="68"/>
      <c r="E79" s="69"/>
      <c r="F79" s="70" t="n">
        <f aca="false">D79*E79</f>
        <v>0</v>
      </c>
    </row>
    <row r="80" customFormat="false" ht="14.25" hidden="false" customHeight="false" outlineLevel="0" collapsed="false">
      <c r="A80" s="65" t="s">
        <v>191</v>
      </c>
      <c r="B80" s="66" t="s">
        <v>192</v>
      </c>
      <c r="C80" s="67" t="s">
        <v>69</v>
      </c>
      <c r="D80" s="68"/>
      <c r="E80" s="69"/>
      <c r="F80" s="70" t="n">
        <f aca="false">D80*E80</f>
        <v>0</v>
      </c>
    </row>
    <row r="81" customFormat="false" ht="14.25" hidden="false" customHeight="false" outlineLevel="0" collapsed="false">
      <c r="A81" s="71"/>
      <c r="B81" s="72" t="s">
        <v>193</v>
      </c>
      <c r="C81" s="72"/>
      <c r="D81" s="72"/>
      <c r="E81" s="72"/>
      <c r="F81" s="73" t="n">
        <f aca="false">SUM(F72:F80)</f>
        <v>0</v>
      </c>
    </row>
    <row r="82" customFormat="false" ht="14.25" hidden="false" customHeight="false" outlineLevel="0" collapsed="false">
      <c r="A82" s="74"/>
      <c r="B82" s="75"/>
      <c r="C82" s="75"/>
      <c r="D82" s="75"/>
      <c r="E82" s="75"/>
      <c r="F82" s="76"/>
    </row>
    <row r="83" customFormat="false" ht="14.25" hidden="false" customHeight="false" outlineLevel="0" collapsed="false">
      <c r="A83" s="63" t="s">
        <v>194</v>
      </c>
      <c r="B83" s="79" t="s">
        <v>195</v>
      </c>
      <c r="C83" s="79"/>
      <c r="D83" s="79"/>
      <c r="E83" s="79"/>
      <c r="F83" s="79"/>
    </row>
    <row r="84" customFormat="false" ht="14.25" hidden="false" customHeight="false" outlineLevel="0" collapsed="false">
      <c r="A84" s="65" t="s">
        <v>196</v>
      </c>
      <c r="B84" s="78" t="s">
        <v>197</v>
      </c>
      <c r="C84" s="67" t="s">
        <v>92</v>
      </c>
      <c r="F84" s="1" t="n">
        <f aca="false">D84*E84</f>
        <v>0</v>
      </c>
    </row>
    <row r="85" customFormat="false" ht="14.25" hidden="false" customHeight="false" outlineLevel="0" collapsed="false">
      <c r="A85" s="65" t="s">
        <v>198</v>
      </c>
      <c r="B85" s="66" t="s">
        <v>199</v>
      </c>
      <c r="C85" s="67" t="s">
        <v>92</v>
      </c>
      <c r="D85" s="68"/>
      <c r="E85" s="69"/>
      <c r="F85" s="70" t="n">
        <f aca="false">D85*E85</f>
        <v>0</v>
      </c>
    </row>
    <row r="86" customFormat="false" ht="14.25" hidden="false" customHeight="false" outlineLevel="0" collapsed="false">
      <c r="A86" s="65" t="s">
        <v>200</v>
      </c>
      <c r="B86" s="66" t="s">
        <v>201</v>
      </c>
      <c r="C86" s="67" t="s">
        <v>69</v>
      </c>
      <c r="D86" s="68"/>
      <c r="E86" s="69"/>
      <c r="F86" s="70" t="n">
        <f aca="false">D86*E86</f>
        <v>0</v>
      </c>
    </row>
    <row r="87" customFormat="false" ht="14.25" hidden="false" customHeight="false" outlineLevel="0" collapsed="false">
      <c r="A87" s="65" t="s">
        <v>202</v>
      </c>
      <c r="B87" s="66" t="s">
        <v>203</v>
      </c>
      <c r="C87" s="67" t="s">
        <v>69</v>
      </c>
      <c r="D87" s="68"/>
      <c r="E87" s="69"/>
      <c r="F87" s="70" t="n">
        <f aca="false">D87*E87</f>
        <v>0</v>
      </c>
    </row>
    <row r="88" customFormat="false" ht="14.25" hidden="false" customHeight="false" outlineLevel="0" collapsed="false">
      <c r="A88" s="65" t="s">
        <v>204</v>
      </c>
      <c r="B88" s="66" t="s">
        <v>205</v>
      </c>
      <c r="C88" s="67" t="s">
        <v>69</v>
      </c>
      <c r="D88" s="68"/>
      <c r="E88" s="69"/>
      <c r="F88" s="70" t="n">
        <f aca="false">D88*E88</f>
        <v>0</v>
      </c>
    </row>
    <row r="89" customFormat="false" ht="14.25" hidden="false" customHeight="false" outlineLevel="0" collapsed="false">
      <c r="A89" s="65" t="s">
        <v>206</v>
      </c>
      <c r="B89" s="66" t="s">
        <v>207</v>
      </c>
      <c r="C89" s="67" t="s">
        <v>72</v>
      </c>
      <c r="D89" s="68"/>
      <c r="E89" s="69"/>
      <c r="F89" s="70" t="n">
        <f aca="false">D89*E89</f>
        <v>0</v>
      </c>
    </row>
    <row r="90" customFormat="false" ht="14.25" hidden="false" customHeight="false" outlineLevel="0" collapsed="false">
      <c r="A90" s="65" t="s">
        <v>208</v>
      </c>
      <c r="B90" s="66" t="s">
        <v>209</v>
      </c>
      <c r="C90" s="67" t="s">
        <v>72</v>
      </c>
      <c r="D90" s="68"/>
      <c r="E90" s="69"/>
      <c r="F90" s="70" t="n">
        <f aca="false">D90*E90</f>
        <v>0</v>
      </c>
    </row>
    <row r="91" customFormat="false" ht="14.25" hidden="false" customHeight="false" outlineLevel="0" collapsed="false">
      <c r="A91" s="65" t="s">
        <v>210</v>
      </c>
      <c r="B91" s="66" t="s">
        <v>211</v>
      </c>
      <c r="C91" s="67" t="s">
        <v>69</v>
      </c>
      <c r="D91" s="68"/>
      <c r="E91" s="69"/>
      <c r="F91" s="70" t="n">
        <f aca="false">D91*E91</f>
        <v>0</v>
      </c>
    </row>
    <row r="92" customFormat="false" ht="14.25" hidden="false" customHeight="false" outlineLevel="0" collapsed="false">
      <c r="A92" s="65" t="s">
        <v>212</v>
      </c>
      <c r="B92" s="66" t="s">
        <v>213</v>
      </c>
      <c r="C92" s="67" t="s">
        <v>69</v>
      </c>
      <c r="D92" s="68"/>
      <c r="E92" s="69"/>
      <c r="F92" s="70" t="n">
        <f aca="false">D92*E92</f>
        <v>0</v>
      </c>
    </row>
    <row r="93" customFormat="false" ht="14.25" hidden="false" customHeight="false" outlineLevel="0" collapsed="false">
      <c r="A93" s="71"/>
      <c r="B93" s="72" t="s">
        <v>214</v>
      </c>
      <c r="C93" s="72"/>
      <c r="D93" s="72"/>
      <c r="E93" s="72"/>
      <c r="F93" s="73" t="n">
        <f aca="false">SUM(F84:F92)</f>
        <v>0</v>
      </c>
    </row>
    <row r="94" customFormat="false" ht="14.25" hidden="false" customHeight="false" outlineLevel="0" collapsed="false">
      <c r="A94" s="74"/>
      <c r="B94" s="75"/>
      <c r="C94" s="75"/>
      <c r="D94" s="75"/>
      <c r="E94" s="75"/>
      <c r="F94" s="76"/>
    </row>
    <row r="95" customFormat="false" ht="14.25" hidden="false" customHeight="false" outlineLevel="0" collapsed="false">
      <c r="A95" s="63" t="s">
        <v>215</v>
      </c>
      <c r="B95" s="77" t="s">
        <v>216</v>
      </c>
      <c r="C95" s="77"/>
      <c r="D95" s="77"/>
      <c r="E95" s="77"/>
      <c r="F95" s="77"/>
    </row>
    <row r="96" customFormat="false" ht="14.25" hidden="false" customHeight="false" outlineLevel="0" collapsed="false">
      <c r="A96" s="65" t="s">
        <v>217</v>
      </c>
      <c r="B96" s="66" t="s">
        <v>218</v>
      </c>
      <c r="C96" s="67" t="s">
        <v>69</v>
      </c>
      <c r="D96" s="68"/>
      <c r="E96" s="69"/>
      <c r="F96" s="70" t="n">
        <f aca="false">D96*E96</f>
        <v>0</v>
      </c>
    </row>
    <row r="97" customFormat="false" ht="14.25" hidden="false" customHeight="false" outlineLevel="0" collapsed="false">
      <c r="A97" s="65" t="s">
        <v>219</v>
      </c>
      <c r="B97" s="78" t="s">
        <v>220</v>
      </c>
      <c r="C97" s="67" t="s">
        <v>69</v>
      </c>
      <c r="F97" s="1" t="n">
        <f aca="false">D97*E97</f>
        <v>0</v>
      </c>
    </row>
    <row r="98" customFormat="false" ht="14.25" hidden="false" customHeight="false" outlineLevel="0" collapsed="false">
      <c r="A98" s="65" t="s">
        <v>221</v>
      </c>
      <c r="B98" s="66" t="s">
        <v>222</v>
      </c>
      <c r="C98" s="67" t="s">
        <v>69</v>
      </c>
      <c r="D98" s="68"/>
      <c r="E98" s="69"/>
      <c r="F98" s="70" t="n">
        <f aca="false">D98*E98</f>
        <v>0</v>
      </c>
    </row>
    <row r="99" customFormat="false" ht="14.25" hidden="false" customHeight="false" outlineLevel="0" collapsed="false">
      <c r="A99" s="65" t="s">
        <v>223</v>
      </c>
      <c r="B99" s="66" t="s">
        <v>224</v>
      </c>
      <c r="C99" s="67" t="s">
        <v>69</v>
      </c>
      <c r="D99" s="68"/>
      <c r="E99" s="69"/>
      <c r="F99" s="70" t="n">
        <f aca="false">D99*E99</f>
        <v>0</v>
      </c>
    </row>
    <row r="100" customFormat="false" ht="14.25" hidden="false" customHeight="false" outlineLevel="0" collapsed="false">
      <c r="A100" s="71"/>
      <c r="B100" s="72" t="s">
        <v>225</v>
      </c>
      <c r="C100" s="72"/>
      <c r="D100" s="72"/>
      <c r="E100" s="72"/>
      <c r="F100" s="73" t="n">
        <f aca="false">SUM(F96:F99)</f>
        <v>0</v>
      </c>
    </row>
    <row r="101" customFormat="false" ht="14.25" hidden="false" customHeight="false" outlineLevel="0" collapsed="false">
      <c r="A101" s="74"/>
      <c r="B101" s="75"/>
      <c r="C101" s="75"/>
      <c r="D101" s="75"/>
      <c r="E101" s="75"/>
      <c r="F101" s="76"/>
    </row>
    <row r="102" customFormat="false" ht="14.25" hidden="false" customHeight="false" outlineLevel="0" collapsed="false">
      <c r="A102" s="63" t="s">
        <v>226</v>
      </c>
      <c r="B102" s="77" t="s">
        <v>227</v>
      </c>
      <c r="C102" s="77"/>
      <c r="D102" s="77"/>
      <c r="E102" s="77"/>
      <c r="F102" s="77"/>
    </row>
    <row r="103" customFormat="false" ht="14.25" hidden="false" customHeight="false" outlineLevel="0" collapsed="false">
      <c r="A103" s="65" t="s">
        <v>228</v>
      </c>
      <c r="B103" s="78" t="s">
        <v>229</v>
      </c>
      <c r="C103" s="67" t="s">
        <v>69</v>
      </c>
      <c r="F103" s="1" t="n">
        <f aca="false">D103*E103</f>
        <v>0</v>
      </c>
    </row>
    <row r="104" customFormat="false" ht="14.25" hidden="false" customHeight="false" outlineLevel="0" collapsed="false">
      <c r="A104" s="65" t="s">
        <v>230</v>
      </c>
      <c r="B104" s="66" t="s">
        <v>231</v>
      </c>
      <c r="C104" s="67" t="s">
        <v>69</v>
      </c>
      <c r="D104" s="68"/>
      <c r="E104" s="69"/>
      <c r="F104" s="70" t="n">
        <f aca="false">D104*E104</f>
        <v>0</v>
      </c>
    </row>
    <row r="105" customFormat="false" ht="14.25" hidden="false" customHeight="false" outlineLevel="0" collapsed="false">
      <c r="A105" s="65" t="s">
        <v>232</v>
      </c>
      <c r="B105" s="66" t="s">
        <v>233</v>
      </c>
      <c r="C105" s="67" t="s">
        <v>69</v>
      </c>
      <c r="D105" s="68"/>
      <c r="E105" s="69"/>
      <c r="F105" s="70" t="n">
        <f aca="false">D105*E105</f>
        <v>0</v>
      </c>
    </row>
    <row r="106" customFormat="false" ht="14.25" hidden="false" customHeight="false" outlineLevel="0" collapsed="false">
      <c r="A106" s="65" t="s">
        <v>234</v>
      </c>
      <c r="B106" s="66" t="s">
        <v>235</v>
      </c>
      <c r="C106" s="67" t="s">
        <v>69</v>
      </c>
      <c r="F106" s="70" t="n">
        <f aca="false">D106*E106</f>
        <v>0</v>
      </c>
    </row>
    <row r="107" customFormat="false" ht="14.25" hidden="false" customHeight="false" outlineLevel="0" collapsed="false">
      <c r="A107" s="71"/>
      <c r="B107" s="72" t="s">
        <v>236</v>
      </c>
      <c r="C107" s="72"/>
      <c r="D107" s="72"/>
      <c r="E107" s="72"/>
      <c r="F107" s="73" t="n">
        <f aca="false">SUM(F103:F106)</f>
        <v>0</v>
      </c>
    </row>
    <row r="108" customFormat="false" ht="14.25" hidden="false" customHeight="false" outlineLevel="0" collapsed="false">
      <c r="A108" s="74"/>
      <c r="B108" s="76"/>
      <c r="C108" s="76"/>
      <c r="D108" s="76"/>
      <c r="E108" s="76"/>
      <c r="F108" s="76"/>
    </row>
    <row r="109" customFormat="false" ht="14.25" hidden="false" customHeight="false" outlineLevel="0" collapsed="false">
      <c r="A109" s="63" t="s">
        <v>237</v>
      </c>
      <c r="B109" s="77" t="s">
        <v>238</v>
      </c>
      <c r="C109" s="77"/>
      <c r="D109" s="77"/>
      <c r="E109" s="77"/>
      <c r="F109" s="77"/>
    </row>
    <row r="110" customFormat="false" ht="14.25" hidden="false" customHeight="false" outlineLevel="0" collapsed="false">
      <c r="A110" s="65" t="s">
        <v>239</v>
      </c>
      <c r="B110" s="66" t="s">
        <v>240</v>
      </c>
      <c r="C110" s="67" t="s">
        <v>69</v>
      </c>
      <c r="D110" s="68"/>
      <c r="E110" s="69"/>
      <c r="F110" s="70" t="n">
        <f aca="false">D110*E110</f>
        <v>0</v>
      </c>
    </row>
    <row r="111" customFormat="false" ht="14.25" hidden="false" customHeight="false" outlineLevel="0" collapsed="false">
      <c r="A111" s="65" t="s">
        <v>241</v>
      </c>
      <c r="B111" s="66" t="s">
        <v>242</v>
      </c>
      <c r="C111" s="67" t="s">
        <v>69</v>
      </c>
      <c r="D111" s="68"/>
      <c r="E111" s="69"/>
      <c r="F111" s="70" t="n">
        <f aca="false">D111*E111</f>
        <v>0</v>
      </c>
    </row>
    <row r="112" customFormat="false" ht="14.25" hidden="false" customHeight="false" outlineLevel="0" collapsed="false">
      <c r="A112" s="65" t="s">
        <v>243</v>
      </c>
      <c r="B112" s="66" t="s">
        <v>244</v>
      </c>
      <c r="C112" s="67" t="s">
        <v>69</v>
      </c>
      <c r="D112" s="68"/>
      <c r="E112" s="69"/>
      <c r="F112" s="70" t="n">
        <f aca="false">D112*E112</f>
        <v>0</v>
      </c>
    </row>
    <row r="113" customFormat="false" ht="14.25" hidden="false" customHeight="false" outlineLevel="0" collapsed="false">
      <c r="A113" s="65" t="s">
        <v>245</v>
      </c>
      <c r="B113" s="66" t="s">
        <v>246</v>
      </c>
      <c r="C113" s="67" t="s">
        <v>69</v>
      </c>
      <c r="D113" s="68"/>
      <c r="E113" s="69"/>
      <c r="F113" s="70" t="n">
        <f aca="false">D113*E113</f>
        <v>0</v>
      </c>
    </row>
    <row r="114" customFormat="false" ht="14.25" hidden="false" customHeight="false" outlineLevel="0" collapsed="false">
      <c r="A114" s="65" t="s">
        <v>247</v>
      </c>
      <c r="B114" s="66" t="s">
        <v>248</v>
      </c>
      <c r="C114" s="67" t="s">
        <v>69</v>
      </c>
      <c r="D114" s="68"/>
      <c r="E114" s="69"/>
      <c r="F114" s="70" t="n">
        <f aca="false">D114*E114</f>
        <v>0</v>
      </c>
    </row>
    <row r="115" customFormat="false" ht="14.25" hidden="false" customHeight="false" outlineLevel="0" collapsed="false">
      <c r="A115" s="65" t="s">
        <v>249</v>
      </c>
      <c r="B115" s="66" t="s">
        <v>250</v>
      </c>
      <c r="C115" s="67" t="s">
        <v>69</v>
      </c>
      <c r="F115" s="70" t="n">
        <f aca="false">D115*E115</f>
        <v>0</v>
      </c>
    </row>
    <row r="116" customFormat="false" ht="14.25" hidden="false" customHeight="false" outlineLevel="0" collapsed="false">
      <c r="A116" s="65" t="s">
        <v>251</v>
      </c>
      <c r="B116" s="66" t="s">
        <v>252</v>
      </c>
      <c r="C116" s="67" t="s">
        <v>72</v>
      </c>
      <c r="D116" s="68"/>
      <c r="E116" s="69"/>
      <c r="F116" s="70" t="n">
        <f aca="false">D116*E116</f>
        <v>0</v>
      </c>
    </row>
    <row r="117" customFormat="false" ht="14.25" hidden="false" customHeight="false" outlineLevel="0" collapsed="false">
      <c r="A117" s="65" t="s">
        <v>253</v>
      </c>
      <c r="B117" s="78" t="s">
        <v>254</v>
      </c>
      <c r="C117" s="67" t="s">
        <v>72</v>
      </c>
      <c r="F117" s="1" t="n">
        <f aca="false">D117*E117</f>
        <v>0</v>
      </c>
    </row>
    <row r="118" customFormat="false" ht="14.25" hidden="false" customHeight="false" outlineLevel="0" collapsed="false">
      <c r="A118" s="65" t="s">
        <v>255</v>
      </c>
      <c r="B118" s="78" t="s">
        <v>256</v>
      </c>
      <c r="C118" s="67" t="s">
        <v>69</v>
      </c>
      <c r="F118" s="1" t="n">
        <f aca="false">D118*E118</f>
        <v>0</v>
      </c>
    </row>
    <row r="119" customFormat="false" ht="14.25" hidden="false" customHeight="false" outlineLevel="0" collapsed="false">
      <c r="A119" s="65" t="s">
        <v>257</v>
      </c>
      <c r="B119" s="78" t="s">
        <v>258</v>
      </c>
      <c r="C119" s="67" t="s">
        <v>69</v>
      </c>
      <c r="F119" s="1" t="n">
        <f aca="false">D119*E119</f>
        <v>0</v>
      </c>
    </row>
    <row r="120" customFormat="false" ht="14.25" hidden="false" customHeight="false" outlineLevel="0" collapsed="false">
      <c r="A120" s="65" t="s">
        <v>259</v>
      </c>
      <c r="B120" s="78" t="s">
        <v>260</v>
      </c>
      <c r="C120" s="67" t="s">
        <v>69</v>
      </c>
      <c r="F120" s="1" t="n">
        <f aca="false">D120*E120</f>
        <v>0</v>
      </c>
    </row>
    <row r="121" customFormat="false" ht="14.25" hidden="false" customHeight="false" outlineLevel="0" collapsed="false">
      <c r="A121" s="71"/>
      <c r="B121" s="72" t="s">
        <v>261</v>
      </c>
      <c r="C121" s="72"/>
      <c r="D121" s="72"/>
      <c r="E121" s="72"/>
      <c r="F121" s="73" t="n">
        <f aca="false">SUM(F110:F120)</f>
        <v>0</v>
      </c>
    </row>
    <row r="122" customFormat="false" ht="14.25" hidden="false" customHeight="false" outlineLevel="0" collapsed="false">
      <c r="A122" s="74"/>
      <c r="B122" s="75"/>
      <c r="C122" s="75"/>
      <c r="D122" s="75"/>
      <c r="E122" s="75"/>
      <c r="F122" s="76"/>
    </row>
    <row r="123" customFormat="false" ht="14.25" hidden="false" customHeight="false" outlineLevel="0" collapsed="false">
      <c r="A123" s="63" t="s">
        <v>262</v>
      </c>
      <c r="B123" s="77" t="s">
        <v>263</v>
      </c>
      <c r="C123" s="77"/>
      <c r="D123" s="77"/>
      <c r="E123" s="77"/>
      <c r="F123" s="77"/>
    </row>
    <row r="124" customFormat="false" ht="14.25" hidden="false" customHeight="false" outlineLevel="0" collapsed="false">
      <c r="A124" s="65" t="s">
        <v>264</v>
      </c>
      <c r="B124" s="66" t="s">
        <v>265</v>
      </c>
      <c r="C124" s="67" t="s">
        <v>69</v>
      </c>
      <c r="D124" s="68"/>
      <c r="E124" s="69"/>
      <c r="F124" s="70" t="n">
        <f aca="false">D124*E124</f>
        <v>0</v>
      </c>
    </row>
    <row r="125" customFormat="false" ht="14.25" hidden="false" customHeight="false" outlineLevel="0" collapsed="false">
      <c r="A125" s="65" t="s">
        <v>266</v>
      </c>
      <c r="B125" s="66" t="s">
        <v>267</v>
      </c>
      <c r="C125" s="67" t="s">
        <v>69</v>
      </c>
      <c r="D125" s="68"/>
      <c r="E125" s="69"/>
      <c r="F125" s="70" t="n">
        <f aca="false">D125*E125</f>
        <v>0</v>
      </c>
    </row>
    <row r="126" customFormat="false" ht="14.25" hidden="false" customHeight="false" outlineLevel="0" collapsed="false">
      <c r="A126" s="65" t="s">
        <v>268</v>
      </c>
      <c r="B126" s="66" t="s">
        <v>269</v>
      </c>
      <c r="C126" s="67" t="s">
        <v>69</v>
      </c>
      <c r="D126" s="68"/>
      <c r="E126" s="69"/>
      <c r="F126" s="70" t="n">
        <f aca="false">D126*E126</f>
        <v>0</v>
      </c>
    </row>
    <row r="127" customFormat="false" ht="14.25" hidden="false" customHeight="false" outlineLevel="0" collapsed="false">
      <c r="A127" s="65" t="s">
        <v>270</v>
      </c>
      <c r="B127" s="66" t="s">
        <v>271</v>
      </c>
      <c r="C127" s="67" t="s">
        <v>69</v>
      </c>
      <c r="D127" s="68"/>
      <c r="E127" s="69"/>
      <c r="F127" s="70" t="n">
        <f aca="false">D127*E127</f>
        <v>0</v>
      </c>
    </row>
    <row r="128" customFormat="false" ht="14.25" hidden="false" customHeight="false" outlineLevel="0" collapsed="false">
      <c r="A128" s="65" t="s">
        <v>272</v>
      </c>
      <c r="B128" s="66" t="s">
        <v>273</v>
      </c>
      <c r="C128" s="67" t="s">
        <v>69</v>
      </c>
      <c r="F128" s="70" t="n">
        <f aca="false">D128*E128</f>
        <v>0</v>
      </c>
    </row>
    <row r="129" customFormat="false" ht="14.25" hidden="false" customHeight="false" outlineLevel="0" collapsed="false">
      <c r="A129" s="71"/>
      <c r="B129" s="72" t="s">
        <v>274</v>
      </c>
      <c r="C129" s="72"/>
      <c r="D129" s="72"/>
      <c r="E129" s="72"/>
      <c r="F129" s="73" t="n">
        <f aca="false">SUM(F124:F128)</f>
        <v>0</v>
      </c>
    </row>
    <row r="130" customFormat="false" ht="14.25" hidden="false" customHeight="false" outlineLevel="0" collapsed="false">
      <c r="A130" s="74"/>
      <c r="B130" s="76"/>
      <c r="C130" s="76"/>
      <c r="D130" s="76"/>
      <c r="E130" s="76"/>
      <c r="F130" s="76"/>
    </row>
    <row r="131" customFormat="false" ht="14.25" hidden="false" customHeight="false" outlineLevel="0" collapsed="false">
      <c r="A131" s="63" t="s">
        <v>275</v>
      </c>
      <c r="B131" s="77" t="s">
        <v>276</v>
      </c>
      <c r="C131" s="77"/>
      <c r="D131" s="77"/>
      <c r="E131" s="77"/>
      <c r="F131" s="77"/>
    </row>
    <row r="132" customFormat="false" ht="14.25" hidden="false" customHeight="false" outlineLevel="0" collapsed="false">
      <c r="A132" s="65" t="s">
        <v>277</v>
      </c>
      <c r="B132" s="66" t="s">
        <v>278</v>
      </c>
      <c r="C132" s="67" t="s">
        <v>79</v>
      </c>
      <c r="D132" s="68"/>
      <c r="E132" s="69"/>
      <c r="F132" s="70" t="n">
        <f aca="false">D132*E132</f>
        <v>0</v>
      </c>
    </row>
    <row r="133" customFormat="false" ht="14.25" hidden="false" customHeight="false" outlineLevel="0" collapsed="false">
      <c r="A133" s="65" t="s">
        <v>279</v>
      </c>
      <c r="B133" s="66" t="s">
        <v>280</v>
      </c>
      <c r="C133" s="67" t="s">
        <v>72</v>
      </c>
      <c r="F133" s="70" t="n">
        <f aca="false">D133*E133</f>
        <v>0</v>
      </c>
    </row>
    <row r="134" customFormat="false" ht="14.25" hidden="false" customHeight="false" outlineLevel="0" collapsed="false">
      <c r="A134" s="65" t="s">
        <v>281</v>
      </c>
      <c r="B134" s="66" t="s">
        <v>282</v>
      </c>
      <c r="C134" s="67" t="s">
        <v>79</v>
      </c>
      <c r="D134" s="68"/>
      <c r="E134" s="69"/>
      <c r="F134" s="70" t="n">
        <f aca="false">D134*E134</f>
        <v>0</v>
      </c>
    </row>
    <row r="135" customFormat="false" ht="14.25" hidden="false" customHeight="false" outlineLevel="0" collapsed="false">
      <c r="A135" s="65" t="s">
        <v>283</v>
      </c>
      <c r="B135" s="78" t="s">
        <v>284</v>
      </c>
      <c r="C135" s="67" t="s">
        <v>72</v>
      </c>
      <c r="F135" s="1" t="n">
        <f aca="false">D135*E135</f>
        <v>0</v>
      </c>
    </row>
    <row r="136" customFormat="false" ht="14.25" hidden="false" customHeight="false" outlineLevel="0" collapsed="false">
      <c r="A136" s="65" t="s">
        <v>285</v>
      </c>
      <c r="B136" s="66" t="s">
        <v>286</v>
      </c>
      <c r="C136" s="67" t="s">
        <v>72</v>
      </c>
      <c r="D136" s="68"/>
      <c r="E136" s="69"/>
      <c r="F136" s="70" t="n">
        <f aca="false">D136*E136</f>
        <v>0</v>
      </c>
    </row>
    <row r="137" customFormat="false" ht="14.25" hidden="false" customHeight="false" outlineLevel="0" collapsed="false">
      <c r="A137" s="65" t="s">
        <v>287</v>
      </c>
      <c r="B137" s="66" t="s">
        <v>288</v>
      </c>
      <c r="C137" s="67" t="s">
        <v>69</v>
      </c>
      <c r="D137" s="68"/>
      <c r="E137" s="69"/>
      <c r="F137" s="70" t="n">
        <f aca="false">D137*E137</f>
        <v>0</v>
      </c>
    </row>
    <row r="138" customFormat="false" ht="14.25" hidden="false" customHeight="false" outlineLevel="0" collapsed="false">
      <c r="A138" s="65" t="s">
        <v>289</v>
      </c>
      <c r="B138" s="66" t="s">
        <v>290</v>
      </c>
      <c r="C138" s="67" t="s">
        <v>69</v>
      </c>
      <c r="D138" s="68"/>
      <c r="E138" s="69"/>
      <c r="F138" s="70" t="n">
        <f aca="false">D138*E138</f>
        <v>0</v>
      </c>
    </row>
    <row r="139" customFormat="false" ht="14.25" hidden="false" customHeight="false" outlineLevel="0" collapsed="false">
      <c r="A139" s="65" t="s">
        <v>291</v>
      </c>
      <c r="B139" s="66" t="s">
        <v>292</v>
      </c>
      <c r="C139" s="67" t="s">
        <v>79</v>
      </c>
      <c r="D139" s="68"/>
      <c r="E139" s="69"/>
      <c r="F139" s="70" t="n">
        <f aca="false">D139*E139</f>
        <v>0</v>
      </c>
    </row>
    <row r="140" customFormat="false" ht="14.25" hidden="false" customHeight="false" outlineLevel="0" collapsed="false">
      <c r="A140" s="71"/>
      <c r="B140" s="72" t="s">
        <v>293</v>
      </c>
      <c r="C140" s="72"/>
      <c r="D140" s="72"/>
      <c r="E140" s="72"/>
      <c r="F140" s="73" t="n">
        <f aca="false">SUM(F132:F139)</f>
        <v>0</v>
      </c>
    </row>
    <row r="141" customFormat="false" ht="14.25" hidden="false" customHeight="false" outlineLevel="0" collapsed="false">
      <c r="A141" s="74"/>
      <c r="B141" s="75"/>
      <c r="C141" s="75"/>
      <c r="D141" s="75"/>
      <c r="E141" s="75"/>
      <c r="F141" s="76"/>
    </row>
    <row r="142" customFormat="false" ht="14.25" hidden="false" customHeight="false" outlineLevel="0" collapsed="false">
      <c r="A142" s="63" t="s">
        <v>294</v>
      </c>
      <c r="B142" s="77" t="s">
        <v>295</v>
      </c>
      <c r="C142" s="77"/>
      <c r="D142" s="77"/>
      <c r="E142" s="77"/>
      <c r="F142" s="77"/>
    </row>
    <row r="143" customFormat="false" ht="14.25" hidden="false" customHeight="false" outlineLevel="0" collapsed="false">
      <c r="A143" s="65" t="s">
        <v>296</v>
      </c>
      <c r="B143" s="66" t="s">
        <v>297</v>
      </c>
      <c r="C143" s="67" t="s">
        <v>69</v>
      </c>
      <c r="F143" s="70" t="n">
        <f aca="false">D143*E143</f>
        <v>0</v>
      </c>
    </row>
    <row r="144" customFormat="false" ht="14.25" hidden="false" customHeight="false" outlineLevel="0" collapsed="false">
      <c r="A144" s="65" t="s">
        <v>298</v>
      </c>
      <c r="B144" s="66" t="s">
        <v>299</v>
      </c>
      <c r="C144" s="67" t="s">
        <v>69</v>
      </c>
      <c r="D144" s="68"/>
      <c r="E144" s="69"/>
      <c r="F144" s="70" t="n">
        <f aca="false">D144*E144</f>
        <v>0</v>
      </c>
    </row>
    <row r="145" customFormat="false" ht="14.25" hidden="false" customHeight="false" outlineLevel="0" collapsed="false">
      <c r="A145" s="65" t="s">
        <v>300</v>
      </c>
      <c r="B145" s="78" t="s">
        <v>301</v>
      </c>
      <c r="C145" s="67" t="s">
        <v>69</v>
      </c>
      <c r="F145" s="1" t="n">
        <f aca="false">D145*E145</f>
        <v>0</v>
      </c>
    </row>
    <row r="146" customFormat="false" ht="14.25" hidden="false" customHeight="false" outlineLevel="0" collapsed="false">
      <c r="A146" s="65" t="s">
        <v>302</v>
      </c>
      <c r="B146" s="66" t="s">
        <v>303</v>
      </c>
      <c r="C146" s="67" t="s">
        <v>72</v>
      </c>
      <c r="D146" s="68"/>
      <c r="E146" s="69"/>
      <c r="F146" s="70" t="n">
        <f aca="false">D146*E146</f>
        <v>0</v>
      </c>
    </row>
    <row r="147" customFormat="false" ht="14.25" hidden="false" customHeight="false" outlineLevel="0" collapsed="false">
      <c r="A147" s="71"/>
      <c r="B147" s="72" t="s">
        <v>304</v>
      </c>
      <c r="C147" s="72"/>
      <c r="D147" s="72"/>
      <c r="E147" s="72"/>
      <c r="F147" s="73" t="n">
        <f aca="false">SUM(F143:F146)</f>
        <v>0</v>
      </c>
    </row>
    <row r="148" customFormat="false" ht="14.25" hidden="false" customHeight="false" outlineLevel="0" collapsed="false">
      <c r="A148" s="74"/>
      <c r="B148" s="75"/>
      <c r="C148" s="75"/>
      <c r="D148" s="75"/>
      <c r="E148" s="75"/>
      <c r="F148" s="76"/>
    </row>
    <row r="149" customFormat="false" ht="14.25" hidden="false" customHeight="false" outlineLevel="0" collapsed="false">
      <c r="A149" s="63" t="s">
        <v>305</v>
      </c>
      <c r="B149" s="77" t="s">
        <v>306</v>
      </c>
      <c r="C149" s="77"/>
      <c r="D149" s="77"/>
      <c r="E149" s="77"/>
      <c r="F149" s="77"/>
    </row>
    <row r="150" customFormat="false" ht="14.25" hidden="false" customHeight="false" outlineLevel="0" collapsed="false">
      <c r="A150" s="65" t="s">
        <v>307</v>
      </c>
      <c r="B150" s="66" t="s">
        <v>308</v>
      </c>
      <c r="C150" s="67" t="s">
        <v>72</v>
      </c>
      <c r="F150" s="70" t="n">
        <f aca="false">D150*E150</f>
        <v>0</v>
      </c>
    </row>
    <row r="151" customFormat="false" ht="14.25" hidden="false" customHeight="false" outlineLevel="0" collapsed="false">
      <c r="A151" s="65" t="s">
        <v>309</v>
      </c>
      <c r="B151" s="66" t="s">
        <v>310</v>
      </c>
      <c r="C151" s="67" t="s">
        <v>72</v>
      </c>
      <c r="D151" s="68"/>
      <c r="E151" s="69"/>
      <c r="F151" s="70" t="n">
        <f aca="false">D151*E151</f>
        <v>0</v>
      </c>
    </row>
    <row r="152" customFormat="false" ht="14.25" hidden="false" customHeight="false" outlineLevel="0" collapsed="false">
      <c r="A152" s="65" t="s">
        <v>311</v>
      </c>
      <c r="B152" s="66" t="s">
        <v>312</v>
      </c>
      <c r="C152" s="67" t="s">
        <v>79</v>
      </c>
      <c r="F152" s="70" t="n">
        <f aca="false">D152*E152</f>
        <v>0</v>
      </c>
    </row>
    <row r="153" customFormat="false" ht="14.25" hidden="false" customHeight="false" outlineLevel="0" collapsed="false">
      <c r="A153" s="65" t="s">
        <v>313</v>
      </c>
      <c r="B153" s="66" t="s">
        <v>314</v>
      </c>
      <c r="C153" s="67" t="s">
        <v>72</v>
      </c>
      <c r="D153" s="68"/>
      <c r="E153" s="69"/>
      <c r="F153" s="70" t="n">
        <f aca="false">D153*E153</f>
        <v>0</v>
      </c>
    </row>
    <row r="154" customFormat="false" ht="14.25" hidden="false" customHeight="false" outlineLevel="0" collapsed="false">
      <c r="A154" s="65" t="s">
        <v>315</v>
      </c>
      <c r="B154" s="66" t="s">
        <v>316</v>
      </c>
      <c r="C154" s="67" t="s">
        <v>72</v>
      </c>
      <c r="D154" s="68"/>
      <c r="E154" s="69"/>
      <c r="F154" s="70" t="n">
        <f aca="false">D154*E154</f>
        <v>0</v>
      </c>
    </row>
    <row r="155" customFormat="false" ht="14.25" hidden="false" customHeight="false" outlineLevel="0" collapsed="false">
      <c r="A155" s="65" t="s">
        <v>317</v>
      </c>
      <c r="B155" s="66" t="s">
        <v>318</v>
      </c>
      <c r="C155" s="67" t="s">
        <v>79</v>
      </c>
      <c r="D155" s="68"/>
      <c r="E155" s="69"/>
      <c r="F155" s="70" t="n">
        <f aca="false">D155*E155</f>
        <v>0</v>
      </c>
    </row>
    <row r="156" customFormat="false" ht="14.25" hidden="false" customHeight="false" outlineLevel="0" collapsed="false">
      <c r="A156" s="65" t="s">
        <v>319</v>
      </c>
      <c r="B156" s="66" t="s">
        <v>320</v>
      </c>
      <c r="C156" s="67" t="s">
        <v>79</v>
      </c>
      <c r="D156" s="68"/>
      <c r="E156" s="69"/>
      <c r="F156" s="70" t="n">
        <f aca="false">D156*E156</f>
        <v>0</v>
      </c>
    </row>
    <row r="157" customFormat="false" ht="14.25" hidden="false" customHeight="false" outlineLevel="0" collapsed="false">
      <c r="A157" s="65" t="s">
        <v>321</v>
      </c>
      <c r="B157" s="66" t="s">
        <v>322</v>
      </c>
      <c r="C157" s="67" t="s">
        <v>79</v>
      </c>
      <c r="D157" s="68"/>
      <c r="E157" s="69"/>
      <c r="F157" s="70" t="n">
        <f aca="false">D157*E157</f>
        <v>0</v>
      </c>
    </row>
    <row r="158" customFormat="false" ht="14.25" hidden="false" customHeight="false" outlineLevel="0" collapsed="false">
      <c r="A158" s="65" t="s">
        <v>323</v>
      </c>
      <c r="B158" s="66" t="s">
        <v>324</v>
      </c>
      <c r="C158" s="67" t="s">
        <v>79</v>
      </c>
      <c r="D158" s="68"/>
      <c r="E158" s="69"/>
      <c r="F158" s="70" t="n">
        <f aca="false">D158*E158</f>
        <v>0</v>
      </c>
    </row>
    <row r="159" customFormat="false" ht="14.25" hidden="false" customHeight="false" outlineLevel="0" collapsed="false">
      <c r="A159" s="65" t="s">
        <v>325</v>
      </c>
      <c r="B159" s="66" t="s">
        <v>326</v>
      </c>
      <c r="C159" s="67" t="s">
        <v>79</v>
      </c>
      <c r="D159" s="68"/>
      <c r="E159" s="69"/>
      <c r="F159" s="70" t="n">
        <f aca="false">D159*E159</f>
        <v>0</v>
      </c>
    </row>
    <row r="160" customFormat="false" ht="14.25" hidden="false" customHeight="false" outlineLevel="0" collapsed="false">
      <c r="A160" s="65" t="s">
        <v>327</v>
      </c>
      <c r="B160" s="66" t="s">
        <v>328</v>
      </c>
      <c r="C160" s="67" t="s">
        <v>82</v>
      </c>
      <c r="D160" s="68"/>
      <c r="E160" s="69"/>
      <c r="F160" s="70" t="n">
        <f aca="false">D160*E160</f>
        <v>0</v>
      </c>
    </row>
    <row r="161" customFormat="false" ht="14.25" hidden="false" customHeight="false" outlineLevel="0" collapsed="false">
      <c r="A161" s="65" t="s">
        <v>329</v>
      </c>
      <c r="B161" s="66" t="s">
        <v>330</v>
      </c>
      <c r="C161" s="67" t="s">
        <v>79</v>
      </c>
      <c r="D161" s="68"/>
      <c r="E161" s="69"/>
      <c r="F161" s="70" t="n">
        <f aca="false">D161*E161</f>
        <v>0</v>
      </c>
    </row>
    <row r="162" customFormat="false" ht="14.25" hidden="false" customHeight="false" outlineLevel="0" collapsed="false">
      <c r="A162" s="71"/>
      <c r="B162" s="72" t="s">
        <v>331</v>
      </c>
      <c r="C162" s="72"/>
      <c r="D162" s="72"/>
      <c r="E162" s="72"/>
      <c r="F162" s="73" t="n">
        <f aca="false">SUM(F150:F161)</f>
        <v>0</v>
      </c>
    </row>
    <row r="163" customFormat="false" ht="14.25" hidden="false" customHeight="false" outlineLevel="0" collapsed="false">
      <c r="A163" s="74"/>
      <c r="B163" s="75"/>
      <c r="C163" s="75"/>
      <c r="D163" s="75"/>
      <c r="E163" s="75"/>
      <c r="F163" s="76"/>
    </row>
    <row r="164" customFormat="false" ht="14.25" hidden="false" customHeight="false" outlineLevel="0" collapsed="false">
      <c r="A164" s="63" t="s">
        <v>332</v>
      </c>
      <c r="B164" s="77" t="s">
        <v>333</v>
      </c>
      <c r="C164" s="77"/>
      <c r="D164" s="77"/>
      <c r="E164" s="77"/>
      <c r="F164" s="77"/>
    </row>
    <row r="165" customFormat="false" ht="14.25" hidden="false" customHeight="false" outlineLevel="0" collapsed="false">
      <c r="A165" s="65" t="s">
        <v>334</v>
      </c>
      <c r="B165" s="66" t="s">
        <v>335</v>
      </c>
      <c r="C165" s="67" t="s">
        <v>72</v>
      </c>
      <c r="D165" s="68"/>
      <c r="E165" s="69"/>
      <c r="F165" s="70" t="n">
        <f aca="false">D165*E165</f>
        <v>0</v>
      </c>
    </row>
    <row r="166" customFormat="false" ht="14.25" hidden="false" customHeight="false" outlineLevel="0" collapsed="false">
      <c r="A166" s="65" t="s">
        <v>336</v>
      </c>
      <c r="B166" s="66" t="s">
        <v>337</v>
      </c>
      <c r="C166" s="67" t="s">
        <v>72</v>
      </c>
      <c r="D166" s="68"/>
      <c r="E166" s="69"/>
      <c r="F166" s="70" t="n">
        <f aca="false">D166*E166</f>
        <v>0</v>
      </c>
    </row>
    <row r="167" customFormat="false" ht="14.25" hidden="false" customHeight="false" outlineLevel="0" collapsed="false">
      <c r="A167" s="65" t="s">
        <v>338</v>
      </c>
      <c r="B167" s="66" t="s">
        <v>339</v>
      </c>
      <c r="C167" s="67" t="s">
        <v>79</v>
      </c>
      <c r="D167" s="68"/>
      <c r="E167" s="69"/>
      <c r="F167" s="70" t="n">
        <f aca="false">D167*E167</f>
        <v>0</v>
      </c>
    </row>
    <row r="168" customFormat="false" ht="14.25" hidden="false" customHeight="false" outlineLevel="0" collapsed="false">
      <c r="A168" s="65" t="s">
        <v>340</v>
      </c>
      <c r="B168" s="66" t="s">
        <v>341</v>
      </c>
      <c r="C168" s="67" t="s">
        <v>72</v>
      </c>
      <c r="D168" s="68"/>
      <c r="E168" s="69"/>
      <c r="F168" s="70" t="n">
        <f aca="false">D168*E168</f>
        <v>0</v>
      </c>
    </row>
    <row r="169" customFormat="false" ht="14.25" hidden="false" customHeight="false" outlineLevel="0" collapsed="false">
      <c r="A169" s="65" t="s">
        <v>342</v>
      </c>
      <c r="B169" s="66" t="s">
        <v>343</v>
      </c>
      <c r="C169" s="67" t="s">
        <v>72</v>
      </c>
      <c r="D169" s="68"/>
      <c r="E169" s="69"/>
      <c r="F169" s="70" t="n">
        <f aca="false">D169*E169</f>
        <v>0</v>
      </c>
    </row>
    <row r="170" customFormat="false" ht="14.25" hidden="false" customHeight="false" outlineLevel="0" collapsed="false">
      <c r="A170" s="65" t="s">
        <v>344</v>
      </c>
      <c r="B170" s="66" t="s">
        <v>345</v>
      </c>
      <c r="C170" s="67" t="s">
        <v>79</v>
      </c>
      <c r="D170" s="68"/>
      <c r="E170" s="69"/>
      <c r="F170" s="70" t="n">
        <f aca="false">D170*E170</f>
        <v>0</v>
      </c>
    </row>
    <row r="171" customFormat="false" ht="14.25" hidden="false" customHeight="false" outlineLevel="0" collapsed="false">
      <c r="A171" s="65" t="s">
        <v>346</v>
      </c>
      <c r="B171" s="66" t="s">
        <v>347</v>
      </c>
      <c r="C171" s="67" t="s">
        <v>79</v>
      </c>
      <c r="D171" s="68"/>
      <c r="E171" s="69"/>
      <c r="F171" s="70" t="n">
        <f aca="false">D171*E171</f>
        <v>0</v>
      </c>
    </row>
    <row r="172" customFormat="false" ht="14.25" hidden="false" customHeight="false" outlineLevel="0" collapsed="false">
      <c r="A172" s="65" t="s">
        <v>348</v>
      </c>
      <c r="B172" s="66" t="s">
        <v>349</v>
      </c>
      <c r="C172" s="67" t="s">
        <v>79</v>
      </c>
      <c r="D172" s="68"/>
      <c r="E172" s="69"/>
      <c r="F172" s="70" t="n">
        <f aca="false">D172*E172</f>
        <v>0</v>
      </c>
    </row>
    <row r="173" customFormat="false" ht="14.25" hidden="false" customHeight="false" outlineLevel="0" collapsed="false">
      <c r="A173" s="65" t="s">
        <v>350</v>
      </c>
      <c r="B173" s="66" t="s">
        <v>351</v>
      </c>
      <c r="C173" s="67" t="s">
        <v>79</v>
      </c>
      <c r="D173" s="68"/>
      <c r="E173" s="69"/>
      <c r="F173" s="70" t="n">
        <f aca="false">D173*E173</f>
        <v>0</v>
      </c>
    </row>
    <row r="174" customFormat="false" ht="14.25" hidden="false" customHeight="false" outlineLevel="0" collapsed="false">
      <c r="A174" s="65" t="s">
        <v>352</v>
      </c>
      <c r="B174" s="66" t="s">
        <v>353</v>
      </c>
      <c r="C174" s="67" t="s">
        <v>82</v>
      </c>
      <c r="D174" s="68"/>
      <c r="E174" s="69"/>
      <c r="F174" s="70" t="n">
        <f aca="false">D174*E174</f>
        <v>0</v>
      </c>
    </row>
    <row r="175" customFormat="false" ht="14.25" hidden="false" customHeight="false" outlineLevel="0" collapsed="false">
      <c r="A175" s="65" t="s">
        <v>354</v>
      </c>
      <c r="B175" s="66" t="s">
        <v>355</v>
      </c>
      <c r="C175" s="67" t="s">
        <v>82</v>
      </c>
      <c r="D175" s="68"/>
      <c r="E175" s="69"/>
      <c r="F175" s="70" t="n">
        <f aca="false">D175*E175</f>
        <v>0</v>
      </c>
    </row>
    <row r="176" customFormat="false" ht="14.25" hidden="false" customHeight="false" outlineLevel="0" collapsed="false">
      <c r="A176" s="71"/>
      <c r="B176" s="72" t="s">
        <v>356</v>
      </c>
      <c r="C176" s="72"/>
      <c r="D176" s="72"/>
      <c r="E176" s="72"/>
      <c r="F176" s="73" t="n">
        <f aca="false">SUM(F165:F175)</f>
        <v>0</v>
      </c>
    </row>
    <row r="177" customFormat="false" ht="14.25" hidden="false" customHeight="false" outlineLevel="0" collapsed="false">
      <c r="A177" s="74"/>
      <c r="B177" s="75"/>
      <c r="C177" s="75"/>
      <c r="D177" s="75"/>
      <c r="E177" s="75"/>
      <c r="F177" s="76"/>
    </row>
    <row r="178" customFormat="false" ht="14.25" hidden="false" customHeight="false" outlineLevel="0" collapsed="false">
      <c r="A178" s="63" t="s">
        <v>357</v>
      </c>
      <c r="B178" s="77" t="s">
        <v>358</v>
      </c>
      <c r="C178" s="77"/>
      <c r="D178" s="77"/>
      <c r="E178" s="77"/>
      <c r="F178" s="77"/>
    </row>
    <row r="179" customFormat="false" ht="14.25" hidden="false" customHeight="false" outlineLevel="0" collapsed="false">
      <c r="A179" s="65" t="s">
        <v>359</v>
      </c>
      <c r="B179" s="66" t="s">
        <v>360</v>
      </c>
      <c r="C179" s="67" t="s">
        <v>72</v>
      </c>
      <c r="D179" s="68"/>
      <c r="E179" s="69"/>
      <c r="F179" s="70" t="n">
        <f aca="false">D179*E179</f>
        <v>0</v>
      </c>
    </row>
    <row r="180" customFormat="false" ht="14.25" hidden="false" customHeight="false" outlineLevel="0" collapsed="false">
      <c r="A180" s="65" t="s">
        <v>361</v>
      </c>
      <c r="B180" s="66" t="s">
        <v>362</v>
      </c>
      <c r="C180" s="67" t="s">
        <v>79</v>
      </c>
      <c r="D180" s="68"/>
      <c r="E180" s="69"/>
      <c r="F180" s="70" t="n">
        <f aca="false">D180*E180</f>
        <v>0</v>
      </c>
    </row>
    <row r="181" customFormat="false" ht="14.25" hidden="false" customHeight="false" outlineLevel="0" collapsed="false">
      <c r="A181" s="65" t="s">
        <v>363</v>
      </c>
      <c r="B181" s="66" t="s">
        <v>364</v>
      </c>
      <c r="C181" s="67" t="s">
        <v>79</v>
      </c>
      <c r="D181" s="68"/>
      <c r="E181" s="69"/>
      <c r="F181" s="70" t="n">
        <f aca="false">D181*E181</f>
        <v>0</v>
      </c>
    </row>
    <row r="182" customFormat="false" ht="14.25" hidden="false" customHeight="false" outlineLevel="0" collapsed="false">
      <c r="A182" s="65" t="s">
        <v>365</v>
      </c>
      <c r="B182" s="66" t="s">
        <v>366</v>
      </c>
      <c r="C182" s="67" t="s">
        <v>79</v>
      </c>
      <c r="D182" s="68"/>
      <c r="E182" s="69"/>
      <c r="F182" s="70" t="n">
        <f aca="false">D182*E182</f>
        <v>0</v>
      </c>
    </row>
    <row r="183" customFormat="false" ht="14.25" hidden="false" customHeight="false" outlineLevel="0" collapsed="false">
      <c r="A183" s="65" t="s">
        <v>367</v>
      </c>
      <c r="B183" s="66" t="s">
        <v>368</v>
      </c>
      <c r="C183" s="67" t="s">
        <v>79</v>
      </c>
      <c r="D183" s="68"/>
      <c r="E183" s="69"/>
      <c r="F183" s="70" t="n">
        <f aca="false">D183*E183</f>
        <v>0</v>
      </c>
    </row>
    <row r="184" customFormat="false" ht="14.25" hidden="false" customHeight="false" outlineLevel="0" collapsed="false">
      <c r="A184" s="65" t="s">
        <v>369</v>
      </c>
      <c r="B184" s="66" t="s">
        <v>370</v>
      </c>
      <c r="C184" s="67" t="s">
        <v>82</v>
      </c>
      <c r="D184" s="68"/>
      <c r="E184" s="69"/>
      <c r="F184" s="70" t="n">
        <f aca="false">D184*E184</f>
        <v>0</v>
      </c>
    </row>
    <row r="185" customFormat="false" ht="14.25" hidden="false" customHeight="false" outlineLevel="0" collapsed="false">
      <c r="A185" s="71"/>
      <c r="B185" s="72" t="s">
        <v>371</v>
      </c>
      <c r="C185" s="72"/>
      <c r="D185" s="72"/>
      <c r="E185" s="72"/>
      <c r="F185" s="73" t="n">
        <f aca="false">SUM(F179:F184)</f>
        <v>0</v>
      </c>
    </row>
    <row r="186" customFormat="false" ht="14.25" hidden="false" customHeight="false" outlineLevel="0" collapsed="false">
      <c r="A186" s="74"/>
      <c r="B186" s="75"/>
      <c r="C186" s="75"/>
      <c r="D186" s="75"/>
      <c r="E186" s="75"/>
      <c r="F186" s="76"/>
    </row>
    <row r="187" customFormat="false" ht="14.25" hidden="false" customHeight="false" outlineLevel="0" collapsed="false">
      <c r="A187" s="63" t="s">
        <v>372</v>
      </c>
      <c r="B187" s="77" t="s">
        <v>373</v>
      </c>
      <c r="C187" s="77"/>
      <c r="D187" s="77"/>
      <c r="E187" s="77"/>
      <c r="F187" s="77"/>
    </row>
    <row r="188" customFormat="false" ht="14.25" hidden="false" customHeight="false" outlineLevel="0" collapsed="false">
      <c r="A188" s="65" t="s">
        <v>374</v>
      </c>
      <c r="B188" s="66" t="s">
        <v>375</v>
      </c>
      <c r="C188" s="67" t="s">
        <v>79</v>
      </c>
      <c r="D188" s="68"/>
      <c r="E188" s="69"/>
      <c r="F188" s="70" t="n">
        <f aca="false">D188*E188</f>
        <v>0</v>
      </c>
    </row>
    <row r="189" customFormat="false" ht="14.25" hidden="false" customHeight="false" outlineLevel="0" collapsed="false">
      <c r="A189" s="65" t="s">
        <v>376</v>
      </c>
      <c r="B189" s="66" t="s">
        <v>377</v>
      </c>
      <c r="C189" s="67" t="s">
        <v>69</v>
      </c>
      <c r="D189" s="68"/>
      <c r="E189" s="69"/>
      <c r="F189" s="70" t="n">
        <f aca="false">D189*E189</f>
        <v>0</v>
      </c>
    </row>
    <row r="190" customFormat="false" ht="14.25" hidden="false" customHeight="false" outlineLevel="0" collapsed="false">
      <c r="A190" s="65" t="s">
        <v>378</v>
      </c>
      <c r="B190" s="66" t="s">
        <v>379</v>
      </c>
      <c r="C190" s="67" t="s">
        <v>72</v>
      </c>
      <c r="D190" s="68"/>
      <c r="E190" s="69"/>
      <c r="F190" s="70" t="n">
        <f aca="false">D190*E190</f>
        <v>0</v>
      </c>
    </row>
    <row r="191" customFormat="false" ht="14.25" hidden="false" customHeight="false" outlineLevel="0" collapsed="false">
      <c r="A191" s="65" t="s">
        <v>380</v>
      </c>
      <c r="B191" s="66" t="s">
        <v>381</v>
      </c>
      <c r="C191" s="67" t="s">
        <v>79</v>
      </c>
      <c r="D191" s="68"/>
      <c r="E191" s="69"/>
      <c r="F191" s="70" t="n">
        <f aca="false">D191*E191</f>
        <v>0</v>
      </c>
    </row>
    <row r="192" customFormat="false" ht="14.25" hidden="false" customHeight="false" outlineLevel="0" collapsed="false">
      <c r="A192" s="71"/>
      <c r="B192" s="72" t="s">
        <v>382</v>
      </c>
      <c r="C192" s="72"/>
      <c r="D192" s="72"/>
      <c r="E192" s="72"/>
      <c r="F192" s="73" t="n">
        <f aca="false">SUM(F188:F191)</f>
        <v>0</v>
      </c>
    </row>
    <row r="193" customFormat="false" ht="14.25" hidden="false" customHeight="false" outlineLevel="0" collapsed="false">
      <c r="A193" s="74"/>
      <c r="B193" s="75"/>
      <c r="C193" s="75"/>
      <c r="D193" s="75"/>
      <c r="E193" s="75"/>
      <c r="F193" s="76"/>
    </row>
    <row r="194" customFormat="false" ht="14.25" hidden="false" customHeight="false" outlineLevel="0" collapsed="false">
      <c r="A194" s="63" t="s">
        <v>383</v>
      </c>
      <c r="B194" s="77" t="s">
        <v>384</v>
      </c>
      <c r="C194" s="77"/>
      <c r="D194" s="77"/>
      <c r="E194" s="77"/>
      <c r="F194" s="77"/>
    </row>
    <row r="195" customFormat="false" ht="14.25" hidden="false" customHeight="false" outlineLevel="0" collapsed="false">
      <c r="A195" s="65" t="s">
        <v>385</v>
      </c>
      <c r="B195" s="66" t="s">
        <v>386</v>
      </c>
      <c r="C195" s="67" t="s">
        <v>72</v>
      </c>
      <c r="D195" s="68"/>
      <c r="E195" s="69"/>
      <c r="F195" s="70" t="n">
        <f aca="false">D195*E195</f>
        <v>0</v>
      </c>
    </row>
    <row r="196" customFormat="false" ht="14.25" hidden="false" customHeight="false" outlineLevel="0" collapsed="false">
      <c r="A196" s="65" t="s">
        <v>387</v>
      </c>
      <c r="B196" s="66" t="s">
        <v>312</v>
      </c>
      <c r="C196" s="67" t="s">
        <v>79</v>
      </c>
      <c r="D196" s="68"/>
      <c r="E196" s="69"/>
      <c r="F196" s="70" t="n">
        <f aca="false">D196*E196</f>
        <v>0</v>
      </c>
    </row>
    <row r="197" customFormat="false" ht="14.25" hidden="false" customHeight="false" outlineLevel="0" collapsed="false">
      <c r="A197" s="65" t="s">
        <v>388</v>
      </c>
      <c r="B197" s="66" t="s">
        <v>389</v>
      </c>
      <c r="C197" s="67" t="s">
        <v>82</v>
      </c>
      <c r="D197" s="68"/>
      <c r="E197" s="69"/>
      <c r="F197" s="70" t="n">
        <f aca="false">D197*E197</f>
        <v>0</v>
      </c>
    </row>
    <row r="198" customFormat="false" ht="14.25" hidden="false" customHeight="false" outlineLevel="0" collapsed="false">
      <c r="A198" s="71"/>
      <c r="B198" s="72" t="s">
        <v>390</v>
      </c>
      <c r="C198" s="72"/>
      <c r="D198" s="72"/>
      <c r="E198" s="72"/>
      <c r="F198" s="73" t="n">
        <f aca="false">SUM(F195:F197)</f>
        <v>0</v>
      </c>
    </row>
    <row r="199" customFormat="false" ht="14.25" hidden="false" customHeight="false" outlineLevel="0" collapsed="false">
      <c r="A199" s="74"/>
      <c r="B199" s="75"/>
      <c r="C199" s="75"/>
      <c r="D199" s="75"/>
      <c r="E199" s="75"/>
      <c r="F199" s="76"/>
    </row>
    <row r="200" customFormat="false" ht="14.25" hidden="false" customHeight="false" outlineLevel="0" collapsed="false">
      <c r="A200" s="63" t="s">
        <v>391</v>
      </c>
      <c r="B200" s="77" t="s">
        <v>392</v>
      </c>
      <c r="C200" s="77"/>
      <c r="D200" s="77"/>
      <c r="E200" s="77"/>
      <c r="F200" s="77"/>
    </row>
    <row r="201" customFormat="false" ht="14.25" hidden="false" customHeight="false" outlineLevel="0" collapsed="false">
      <c r="A201" s="65" t="s">
        <v>393</v>
      </c>
      <c r="B201" s="66" t="s">
        <v>394</v>
      </c>
      <c r="C201" s="67" t="s">
        <v>69</v>
      </c>
      <c r="D201" s="68"/>
      <c r="E201" s="69"/>
      <c r="F201" s="70" t="n">
        <f aca="false">D201*E201</f>
        <v>0</v>
      </c>
    </row>
    <row r="202" customFormat="false" ht="14.25" hidden="false" customHeight="false" outlineLevel="0" collapsed="false">
      <c r="A202" s="65" t="s">
        <v>395</v>
      </c>
      <c r="B202" s="66" t="s">
        <v>396</v>
      </c>
      <c r="C202" s="67" t="s">
        <v>89</v>
      </c>
      <c r="D202" s="68"/>
      <c r="E202" s="69"/>
      <c r="F202" s="70" t="n">
        <f aca="false">D202*E202</f>
        <v>0</v>
      </c>
    </row>
    <row r="203" customFormat="false" ht="14.25" hidden="false" customHeight="false" outlineLevel="0" collapsed="false">
      <c r="A203" s="65" t="s">
        <v>397</v>
      </c>
      <c r="B203" s="66" t="s">
        <v>398</v>
      </c>
      <c r="C203" s="67" t="s">
        <v>69</v>
      </c>
      <c r="D203" s="68"/>
      <c r="E203" s="69"/>
      <c r="F203" s="70" t="n">
        <f aca="false">D203*E203</f>
        <v>0</v>
      </c>
    </row>
    <row r="204" customFormat="false" ht="14.25" hidden="false" customHeight="false" outlineLevel="0" collapsed="false">
      <c r="A204" s="65" t="s">
        <v>399</v>
      </c>
      <c r="B204" s="66" t="s">
        <v>400</v>
      </c>
      <c r="C204" s="67" t="s">
        <v>72</v>
      </c>
      <c r="D204" s="68"/>
      <c r="E204" s="69"/>
      <c r="F204" s="70" t="n">
        <f aca="false">D204*E204</f>
        <v>0</v>
      </c>
    </row>
    <row r="205" customFormat="false" ht="14.25" hidden="false" customHeight="false" outlineLevel="0" collapsed="false">
      <c r="A205" s="65" t="s">
        <v>401</v>
      </c>
      <c r="B205" s="66" t="s">
        <v>402</v>
      </c>
      <c r="C205" s="67" t="s">
        <v>79</v>
      </c>
      <c r="D205" s="68"/>
      <c r="E205" s="69"/>
      <c r="F205" s="70" t="n">
        <f aca="false">D205*E205</f>
        <v>0</v>
      </c>
    </row>
    <row r="206" customFormat="false" ht="14.25" hidden="false" customHeight="false" outlineLevel="0" collapsed="false">
      <c r="A206" s="65" t="s">
        <v>403</v>
      </c>
      <c r="B206" s="66" t="s">
        <v>404</v>
      </c>
      <c r="C206" s="67" t="s">
        <v>89</v>
      </c>
      <c r="D206" s="68"/>
      <c r="E206" s="69"/>
      <c r="F206" s="70" t="n">
        <f aca="false">D206*E206</f>
        <v>0</v>
      </c>
    </row>
    <row r="207" customFormat="false" ht="14.25" hidden="false" customHeight="false" outlineLevel="0" collapsed="false">
      <c r="A207" s="65" t="s">
        <v>405</v>
      </c>
      <c r="B207" s="66" t="s">
        <v>406</v>
      </c>
      <c r="C207" s="67" t="s">
        <v>69</v>
      </c>
      <c r="D207" s="68"/>
      <c r="E207" s="69"/>
      <c r="F207" s="70" t="n">
        <f aca="false">D207*E207</f>
        <v>0</v>
      </c>
    </row>
    <row r="208" customFormat="false" ht="14.25" hidden="false" customHeight="false" outlineLevel="0" collapsed="false">
      <c r="A208" s="65" t="s">
        <v>407</v>
      </c>
      <c r="B208" s="66" t="s">
        <v>408</v>
      </c>
      <c r="C208" s="67" t="s">
        <v>69</v>
      </c>
      <c r="D208" s="68"/>
      <c r="E208" s="69"/>
      <c r="F208" s="70" t="n">
        <f aca="false">D208*E208</f>
        <v>0</v>
      </c>
    </row>
    <row r="209" customFormat="false" ht="14.25" hidden="false" customHeight="false" outlineLevel="0" collapsed="false">
      <c r="A209" s="65" t="s">
        <v>409</v>
      </c>
      <c r="B209" s="66" t="s">
        <v>410</v>
      </c>
      <c r="C209" s="67" t="s">
        <v>89</v>
      </c>
      <c r="D209" s="68"/>
      <c r="E209" s="69"/>
      <c r="F209" s="70" t="n">
        <f aca="false">D209*E209</f>
        <v>0</v>
      </c>
    </row>
    <row r="210" customFormat="false" ht="14.25" hidden="false" customHeight="false" outlineLevel="0" collapsed="false">
      <c r="A210" s="65" t="s">
        <v>411</v>
      </c>
      <c r="B210" s="66" t="s">
        <v>412</v>
      </c>
      <c r="C210" s="67" t="s">
        <v>72</v>
      </c>
      <c r="D210" s="68"/>
      <c r="E210" s="69"/>
      <c r="F210" s="70" t="n">
        <f aca="false">D210*E210</f>
        <v>0</v>
      </c>
    </row>
    <row r="211" customFormat="false" ht="14.25" hidden="false" customHeight="false" outlineLevel="0" collapsed="false">
      <c r="A211" s="65" t="s">
        <v>413</v>
      </c>
      <c r="B211" s="66" t="s">
        <v>414</v>
      </c>
      <c r="C211" s="67" t="s">
        <v>69</v>
      </c>
      <c r="D211" s="68"/>
      <c r="E211" s="69"/>
      <c r="F211" s="70" t="n">
        <f aca="false">D211*E211</f>
        <v>0</v>
      </c>
    </row>
    <row r="212" customFormat="false" ht="14.25" hidden="false" customHeight="false" outlineLevel="0" collapsed="false">
      <c r="A212" s="71"/>
      <c r="B212" s="72" t="s">
        <v>415</v>
      </c>
      <c r="C212" s="72"/>
      <c r="D212" s="72"/>
      <c r="E212" s="72"/>
      <c r="F212" s="73" t="n">
        <f aca="false">SUM(F201:F211)</f>
        <v>0</v>
      </c>
    </row>
    <row r="213" customFormat="false" ht="14.25" hidden="false" customHeight="false" outlineLevel="0" collapsed="false">
      <c r="A213" s="74"/>
      <c r="B213" s="75"/>
      <c r="C213" s="75"/>
      <c r="D213" s="75"/>
      <c r="E213" s="75"/>
      <c r="F213" s="76"/>
    </row>
    <row r="214" customFormat="false" ht="14.25" hidden="false" customHeight="false" outlineLevel="0" collapsed="false">
      <c r="A214" s="63" t="s">
        <v>416</v>
      </c>
      <c r="B214" s="77" t="s">
        <v>417</v>
      </c>
      <c r="C214" s="77"/>
      <c r="D214" s="77"/>
      <c r="E214" s="77"/>
      <c r="F214" s="77"/>
    </row>
    <row r="215" customFormat="false" ht="14.25" hidden="false" customHeight="false" outlineLevel="0" collapsed="false">
      <c r="A215" s="65" t="s">
        <v>418</v>
      </c>
      <c r="B215" s="66" t="s">
        <v>419</v>
      </c>
      <c r="C215" s="67" t="s">
        <v>69</v>
      </c>
      <c r="D215" s="68"/>
      <c r="E215" s="69"/>
      <c r="F215" s="70" t="n">
        <f aca="false">D215*E215</f>
        <v>0</v>
      </c>
    </row>
    <row r="216" customFormat="false" ht="14.25" hidden="false" customHeight="false" outlineLevel="0" collapsed="false">
      <c r="A216" s="65" t="s">
        <v>420</v>
      </c>
      <c r="B216" s="66" t="s">
        <v>421</v>
      </c>
      <c r="C216" s="67" t="s">
        <v>92</v>
      </c>
      <c r="D216" s="68"/>
      <c r="E216" s="69"/>
      <c r="F216" s="70" t="n">
        <f aca="false">D216*E216</f>
        <v>0</v>
      </c>
    </row>
    <row r="217" customFormat="false" ht="14.25" hidden="false" customHeight="false" outlineLevel="0" collapsed="false">
      <c r="A217" s="65" t="s">
        <v>422</v>
      </c>
      <c r="B217" s="66" t="s">
        <v>423</v>
      </c>
      <c r="C217" s="67" t="s">
        <v>92</v>
      </c>
      <c r="D217" s="68"/>
      <c r="E217" s="69"/>
      <c r="F217" s="70" t="n">
        <f aca="false">D217*E217</f>
        <v>0</v>
      </c>
    </row>
    <row r="218" customFormat="false" ht="14.25" hidden="false" customHeight="false" outlineLevel="0" collapsed="false">
      <c r="A218" s="65" t="s">
        <v>424</v>
      </c>
      <c r="B218" s="66" t="s">
        <v>425</v>
      </c>
      <c r="C218" s="67" t="s">
        <v>79</v>
      </c>
      <c r="D218" s="68"/>
      <c r="E218" s="69"/>
      <c r="F218" s="70" t="n">
        <f aca="false">D218*E218</f>
        <v>0</v>
      </c>
    </row>
    <row r="219" customFormat="false" ht="14.25" hidden="false" customHeight="false" outlineLevel="0" collapsed="false">
      <c r="A219" s="71"/>
      <c r="B219" s="72" t="s">
        <v>426</v>
      </c>
      <c r="C219" s="72"/>
      <c r="D219" s="72"/>
      <c r="E219" s="72"/>
      <c r="F219" s="73" t="n">
        <f aca="false">SUM(F215:F218)</f>
        <v>0</v>
      </c>
    </row>
    <row r="220" customFormat="false" ht="14.25" hidden="false" customHeight="false" outlineLevel="0" collapsed="false">
      <c r="A220" s="74"/>
      <c r="B220" s="75"/>
      <c r="C220" s="75"/>
      <c r="D220" s="75"/>
      <c r="E220" s="75"/>
      <c r="F220" s="76"/>
    </row>
    <row r="221" customFormat="false" ht="14.25" hidden="false" customHeight="false" outlineLevel="0" collapsed="false">
      <c r="A221" s="63" t="s">
        <v>427</v>
      </c>
      <c r="B221" s="77" t="s">
        <v>428</v>
      </c>
      <c r="C221" s="77"/>
      <c r="D221" s="77"/>
      <c r="E221" s="77"/>
      <c r="F221" s="77"/>
    </row>
    <row r="222" customFormat="false" ht="14.25" hidden="false" customHeight="false" outlineLevel="0" collapsed="false">
      <c r="A222" s="65" t="s">
        <v>429</v>
      </c>
      <c r="B222" s="66" t="s">
        <v>430</v>
      </c>
      <c r="C222" s="67" t="s">
        <v>69</v>
      </c>
      <c r="D222" s="68"/>
      <c r="E222" s="69"/>
      <c r="F222" s="70" t="n">
        <f aca="false">D222*E222</f>
        <v>0</v>
      </c>
    </row>
    <row r="223" customFormat="false" ht="14.25" hidden="false" customHeight="false" outlineLevel="0" collapsed="false">
      <c r="A223" s="65" t="s">
        <v>431</v>
      </c>
      <c r="B223" s="66" t="s">
        <v>432</v>
      </c>
      <c r="C223" s="67" t="s">
        <v>69</v>
      </c>
      <c r="D223" s="68"/>
      <c r="E223" s="69"/>
      <c r="F223" s="70" t="n">
        <f aca="false">D223*E223</f>
        <v>0</v>
      </c>
    </row>
    <row r="224" customFormat="false" ht="14.25" hidden="false" customHeight="false" outlineLevel="0" collapsed="false">
      <c r="A224" s="65" t="s">
        <v>433</v>
      </c>
      <c r="B224" s="66" t="s">
        <v>434</v>
      </c>
      <c r="C224" s="67" t="s">
        <v>82</v>
      </c>
      <c r="D224" s="68"/>
      <c r="E224" s="69"/>
      <c r="F224" s="70" t="n">
        <f aca="false">D224*E224</f>
        <v>0</v>
      </c>
    </row>
    <row r="225" customFormat="false" ht="14.25" hidden="false" customHeight="false" outlineLevel="0" collapsed="false">
      <c r="A225" s="65" t="s">
        <v>435</v>
      </c>
      <c r="B225" s="66" t="s">
        <v>436</v>
      </c>
      <c r="C225" s="67" t="s">
        <v>82</v>
      </c>
      <c r="D225" s="68"/>
      <c r="E225" s="69"/>
      <c r="F225" s="70" t="n">
        <f aca="false">D225*E225</f>
        <v>0</v>
      </c>
    </row>
    <row r="226" customFormat="false" ht="14.25" hidden="false" customHeight="false" outlineLevel="0" collapsed="false">
      <c r="A226" s="65" t="s">
        <v>437</v>
      </c>
      <c r="B226" s="66" t="s">
        <v>438</v>
      </c>
      <c r="C226" s="67" t="s">
        <v>82</v>
      </c>
      <c r="D226" s="68"/>
      <c r="E226" s="69"/>
      <c r="F226" s="70" t="n">
        <f aca="false">D226*E226</f>
        <v>0</v>
      </c>
    </row>
    <row r="227" customFormat="false" ht="14.25" hidden="false" customHeight="false" outlineLevel="0" collapsed="false">
      <c r="A227" s="71"/>
      <c r="B227" s="72" t="s">
        <v>439</v>
      </c>
      <c r="C227" s="72"/>
      <c r="D227" s="72"/>
      <c r="E227" s="72"/>
      <c r="F227" s="73" t="n">
        <f aca="false">SUM(F222:F226)</f>
        <v>0</v>
      </c>
    </row>
    <row r="228" customFormat="false" ht="14.25" hidden="false" customHeight="false" outlineLevel="0" collapsed="false">
      <c r="A228" s="74"/>
      <c r="B228" s="75"/>
      <c r="C228" s="75"/>
      <c r="D228" s="75"/>
      <c r="E228" s="75"/>
      <c r="F228" s="76"/>
    </row>
    <row r="229" customFormat="false" ht="14.25" hidden="false" customHeight="false" outlineLevel="0" collapsed="false">
      <c r="A229" s="63" t="s">
        <v>440</v>
      </c>
      <c r="B229" s="77" t="s">
        <v>441</v>
      </c>
      <c r="C229" s="77"/>
      <c r="D229" s="77"/>
      <c r="E229" s="77"/>
      <c r="F229" s="77"/>
    </row>
    <row r="230" customFormat="false" ht="14.25" hidden="false" customHeight="false" outlineLevel="0" collapsed="false">
      <c r="A230" s="65" t="s">
        <v>442</v>
      </c>
      <c r="B230" s="66" t="s">
        <v>443</v>
      </c>
      <c r="C230" s="67" t="s">
        <v>79</v>
      </c>
      <c r="D230" s="68"/>
      <c r="E230" s="69"/>
      <c r="F230" s="70" t="n">
        <f aca="false">D230*E230</f>
        <v>0</v>
      </c>
    </row>
    <row r="231" customFormat="false" ht="14.25" hidden="false" customHeight="false" outlineLevel="0" collapsed="false">
      <c r="A231" s="71"/>
      <c r="B231" s="72" t="s">
        <v>444</v>
      </c>
      <c r="C231" s="72"/>
      <c r="D231" s="72"/>
      <c r="E231" s="72"/>
      <c r="F231" s="73" t="n">
        <f aca="false">SUM(F230:F230)</f>
        <v>0</v>
      </c>
    </row>
    <row r="232" customFormat="false" ht="14.25" hidden="false" customHeight="false" outlineLevel="0" collapsed="false">
      <c r="A232" s="74"/>
      <c r="B232" s="75"/>
      <c r="C232" s="75"/>
      <c r="D232" s="75"/>
      <c r="E232" s="75"/>
      <c r="F232" s="76"/>
    </row>
    <row r="233" customFormat="false" ht="14.25" hidden="false" customHeight="false" outlineLevel="0" collapsed="false">
      <c r="A233" s="63" t="s">
        <v>445</v>
      </c>
      <c r="B233" s="77" t="s">
        <v>446</v>
      </c>
      <c r="C233" s="77"/>
      <c r="D233" s="77"/>
      <c r="E233" s="77"/>
      <c r="F233" s="77"/>
    </row>
    <row r="234" customFormat="false" ht="14.25" hidden="false" customHeight="false" outlineLevel="0" collapsed="false">
      <c r="A234" s="65" t="s">
        <v>447</v>
      </c>
      <c r="B234" s="66" t="s">
        <v>448</v>
      </c>
      <c r="C234" s="67" t="s">
        <v>82</v>
      </c>
      <c r="D234" s="68"/>
      <c r="E234" s="69"/>
      <c r="F234" s="70" t="n">
        <f aca="false">D234*E234</f>
        <v>0</v>
      </c>
    </row>
    <row r="235" customFormat="false" ht="14.25" hidden="false" customHeight="false" outlineLevel="0" collapsed="false">
      <c r="A235" s="65" t="s">
        <v>449</v>
      </c>
      <c r="B235" s="66" t="s">
        <v>450</v>
      </c>
      <c r="C235" s="67" t="s">
        <v>82</v>
      </c>
      <c r="D235" s="68"/>
      <c r="E235" s="69"/>
      <c r="F235" s="70" t="n">
        <f aca="false">D235*E235</f>
        <v>0</v>
      </c>
    </row>
    <row r="236" customFormat="false" ht="14.25" hidden="false" customHeight="false" outlineLevel="0" collapsed="false">
      <c r="A236" s="65" t="s">
        <v>451</v>
      </c>
      <c r="B236" s="66" t="s">
        <v>452</v>
      </c>
      <c r="C236" s="67" t="s">
        <v>82</v>
      </c>
      <c r="D236" s="68"/>
      <c r="E236" s="69"/>
      <c r="F236" s="70" t="n">
        <f aca="false">D236*E236</f>
        <v>0</v>
      </c>
    </row>
    <row r="237" customFormat="false" ht="14.25" hidden="false" customHeight="false" outlineLevel="0" collapsed="false">
      <c r="A237" s="65" t="s">
        <v>453</v>
      </c>
      <c r="B237" s="66" t="s">
        <v>454</v>
      </c>
      <c r="C237" s="67" t="s">
        <v>82</v>
      </c>
      <c r="D237" s="68"/>
      <c r="E237" s="69"/>
      <c r="F237" s="70" t="n">
        <f aca="false">D237*E237</f>
        <v>0</v>
      </c>
    </row>
    <row r="238" customFormat="false" ht="14.25" hidden="false" customHeight="false" outlineLevel="0" collapsed="false">
      <c r="A238" s="71"/>
      <c r="B238" s="72" t="s">
        <v>455</v>
      </c>
      <c r="C238" s="72"/>
      <c r="D238" s="72"/>
      <c r="E238" s="72"/>
      <c r="F238" s="73" t="n">
        <f aca="false">SUM(F234:F237)</f>
        <v>0</v>
      </c>
    </row>
    <row r="239" customFormat="false" ht="14.25" hidden="false" customHeight="false" outlineLevel="0" collapsed="false">
      <c r="A239" s="74"/>
      <c r="B239" s="75"/>
      <c r="C239" s="75"/>
      <c r="D239" s="75"/>
      <c r="E239" s="75"/>
      <c r="F239" s="76"/>
    </row>
    <row r="240" customFormat="false" ht="15" hidden="false" customHeight="true" outlineLevel="0" collapsed="false">
      <c r="A240" s="80"/>
      <c r="B240" s="81" t="s">
        <v>456</v>
      </c>
      <c r="C240" s="81"/>
      <c r="D240" s="81"/>
      <c r="E240" s="81"/>
      <c r="F240" s="82" t="n">
        <f aca="false">F25+F39+F49+F69+F81+F93+F100+F107+F121+F129+F140+F147+F162+F176+F185+F192+F198+F212+F219+F227+F231+F238</f>
        <v>0</v>
      </c>
    </row>
    <row r="241" customFormat="false" ht="14.25" hidden="false" customHeight="false" outlineLevel="0" collapsed="false">
      <c r="A241" s="83"/>
      <c r="B241" s="84"/>
      <c r="C241" s="84"/>
      <c r="D241" s="84"/>
      <c r="E241" s="84"/>
      <c r="F241" s="85"/>
    </row>
    <row r="242" customFormat="false" ht="15" hidden="false" customHeight="true" outlineLevel="0" collapsed="false">
      <c r="A242" s="74"/>
      <c r="B242" s="86" t="s">
        <v>36</v>
      </c>
      <c r="C242" s="75"/>
      <c r="D242" s="75"/>
      <c r="E242" s="87" t="n">
        <f aca="false">'Ficha Técnica del Proyecto'!$B$29</f>
        <v>0.1</v>
      </c>
      <c r="F242" s="88" t="n">
        <f aca="false">F240*E242</f>
        <v>0</v>
      </c>
    </row>
    <row r="243" customFormat="false" ht="15" hidden="false" customHeight="true" outlineLevel="0" collapsed="false">
      <c r="A243" s="74"/>
      <c r="B243" s="86" t="s">
        <v>38</v>
      </c>
      <c r="C243" s="75"/>
      <c r="D243" s="75"/>
      <c r="E243" s="87" t="n">
        <f aca="false">'Ficha Técnica del Proyecto'!$B$30</f>
        <v>0.04</v>
      </c>
      <c r="F243" s="88" t="n">
        <f aca="false">F240*E243</f>
        <v>0</v>
      </c>
    </row>
    <row r="244" customFormat="false" ht="15" hidden="false" customHeight="true" outlineLevel="0" collapsed="false">
      <c r="A244" s="74"/>
      <c r="B244" s="86" t="s">
        <v>39</v>
      </c>
      <c r="C244" s="75"/>
      <c r="D244" s="75"/>
      <c r="E244" s="87" t="n">
        <f aca="false">'Ficha Técnica del Proyecto'!$B$31</f>
        <v>0.12</v>
      </c>
      <c r="F244" s="88" t="n">
        <f aca="false">F240*E244</f>
        <v>0</v>
      </c>
    </row>
    <row r="245" customFormat="false" ht="15" hidden="false" customHeight="true" outlineLevel="0" collapsed="false">
      <c r="A245" s="71"/>
      <c r="B245" s="72" t="s">
        <v>457</v>
      </c>
      <c r="C245" s="89"/>
      <c r="D245" s="89"/>
      <c r="E245" s="90"/>
      <c r="F245" s="73" t="n">
        <f aca="false">F242+F243+F244</f>
        <v>0</v>
      </c>
    </row>
    <row r="246" customFormat="false" ht="15" hidden="false" customHeight="true" outlineLevel="0" collapsed="false">
      <c r="A246" s="74"/>
      <c r="B246" s="86" t="s">
        <v>458</v>
      </c>
      <c r="C246" s="75"/>
      <c r="D246" s="75"/>
      <c r="E246" s="91"/>
      <c r="F246" s="88" t="n">
        <f aca="false">F240+F245</f>
        <v>0</v>
      </c>
    </row>
    <row r="247" customFormat="false" ht="15" hidden="false" customHeight="true" outlineLevel="0" collapsed="false">
      <c r="A247" s="74"/>
      <c r="B247" s="86" t="s">
        <v>459</v>
      </c>
      <c r="C247" s="75"/>
      <c r="D247" s="75"/>
      <c r="E247" s="87" t="n">
        <f aca="false">'Ficha Técnica del Proyecto'!$B$32</f>
        <v>0.19</v>
      </c>
      <c r="F247" s="88" t="n">
        <f aca="false">F244*E247</f>
        <v>0</v>
      </c>
    </row>
    <row r="248" customFormat="false" ht="14.25" hidden="false" customHeight="false" outlineLevel="0" collapsed="false">
      <c r="A248" s="74"/>
      <c r="B248" s="75"/>
      <c r="C248" s="75"/>
      <c r="D248" s="75"/>
      <c r="E248" s="75"/>
      <c r="F248" s="76"/>
    </row>
    <row r="249" customFormat="false" ht="24" hidden="false" customHeight="true" outlineLevel="0" collapsed="false">
      <c r="A249" s="92"/>
      <c r="B249" s="77" t="s">
        <v>460</v>
      </c>
      <c r="C249" s="77"/>
      <c r="D249" s="77"/>
      <c r="E249" s="77"/>
      <c r="F249" s="93" t="n">
        <f aca="false">F246+F247</f>
        <v>0</v>
      </c>
    </row>
    <row r="250" customFormat="false" ht="14.25" hidden="false" customHeight="false" outlineLevel="0" collapsed="false">
      <c r="A250" s="94"/>
      <c r="B250" s="95" t="s">
        <v>44</v>
      </c>
      <c r="F250" s="96" t="str">
        <f aca="false">F6</f>
        <v>RYR-PP-001</v>
      </c>
    </row>
    <row r="251" customFormat="false" ht="14.25" hidden="false" customHeight="false" outlineLevel="0" collapsed="false">
      <c r="A251" s="94"/>
      <c r="B251" s="95"/>
      <c r="F251" s="97"/>
    </row>
    <row r="252" customFormat="false" ht="15" hidden="false" customHeight="true" outlineLevel="0" collapsed="false">
      <c r="A252" s="94"/>
      <c r="B252" s="98" t="s">
        <v>461</v>
      </c>
      <c r="C252" s="99"/>
      <c r="D252" s="99"/>
      <c r="E252" s="99"/>
      <c r="F252" s="100" t="e">
        <f aca="false">F240/'Ficha Técnica del Proyecto'!$B$21</f>
        <v>#DIV/0!</v>
      </c>
    </row>
    <row r="253" customFormat="false" ht="15" hidden="false" customHeight="true" outlineLevel="0" collapsed="false">
      <c r="A253" s="101"/>
      <c r="B253" s="102" t="s">
        <v>462</v>
      </c>
      <c r="C253" s="103"/>
      <c r="D253" s="103"/>
      <c r="E253" s="103"/>
      <c r="F253" s="104" t="e">
        <f aca="false">F249/'Ficha Técnica del Proyecto'!$B$21</f>
        <v>#DIV/0!</v>
      </c>
    </row>
  </sheetData>
  <mergeCells count="61">
    <mergeCell ref="C1:F3"/>
    <mergeCell ref="C5:D5"/>
    <mergeCell ref="E5:F5"/>
    <mergeCell ref="C6:D6"/>
    <mergeCell ref="C7:D7"/>
    <mergeCell ref="C8:D8"/>
    <mergeCell ref="C9:D9"/>
    <mergeCell ref="A10:F10"/>
    <mergeCell ref="A11:F11"/>
    <mergeCell ref="A12:B12"/>
    <mergeCell ref="C12:D12"/>
    <mergeCell ref="B14:F14"/>
    <mergeCell ref="B25:E25"/>
    <mergeCell ref="B27:F27"/>
    <mergeCell ref="B39:E39"/>
    <mergeCell ref="B41:F41"/>
    <mergeCell ref="B49:E49"/>
    <mergeCell ref="B51:F51"/>
    <mergeCell ref="B69:E69"/>
    <mergeCell ref="B71:F71"/>
    <mergeCell ref="B81:E81"/>
    <mergeCell ref="B82:E82"/>
    <mergeCell ref="B83:F83"/>
    <mergeCell ref="B93:E93"/>
    <mergeCell ref="B95:F95"/>
    <mergeCell ref="B100:E100"/>
    <mergeCell ref="B101:E101"/>
    <mergeCell ref="B102:F102"/>
    <mergeCell ref="B107:E107"/>
    <mergeCell ref="B108:F108"/>
    <mergeCell ref="B109:F109"/>
    <mergeCell ref="B121:E121"/>
    <mergeCell ref="B123:F123"/>
    <mergeCell ref="B129:E129"/>
    <mergeCell ref="B130:F130"/>
    <mergeCell ref="B131:F131"/>
    <mergeCell ref="B140:E140"/>
    <mergeCell ref="B142:F142"/>
    <mergeCell ref="B147:E147"/>
    <mergeCell ref="B149:F149"/>
    <mergeCell ref="B162:E162"/>
    <mergeCell ref="B164:F164"/>
    <mergeCell ref="B176:E176"/>
    <mergeCell ref="B178:F178"/>
    <mergeCell ref="B185:E185"/>
    <mergeCell ref="B187:F187"/>
    <mergeCell ref="B192:E192"/>
    <mergeCell ref="B194:F194"/>
    <mergeCell ref="B198:E198"/>
    <mergeCell ref="B200:F200"/>
    <mergeCell ref="B212:E212"/>
    <mergeCell ref="B214:F214"/>
    <mergeCell ref="B219:E219"/>
    <mergeCell ref="B221:F221"/>
    <mergeCell ref="B227:E227"/>
    <mergeCell ref="B229:F229"/>
    <mergeCell ref="B231:E231"/>
    <mergeCell ref="B233:F233"/>
    <mergeCell ref="B238:E238"/>
    <mergeCell ref="B240:E240"/>
    <mergeCell ref="B249:E249"/>
  </mergeCells>
  <printOptions headings="false" gridLines="false" gridLinesSet="true" horizontalCentered="false" verticalCentered="false"/>
  <pageMargins left="0.196527777777778" right="0.196527777777778" top="0.196527777777778" bottom="0.196527777777778" header="0.511811023622047" footer="0.511811023622047"/>
  <pageSetup paperSize="9" scale="53"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S131"/>
  <sheetViews>
    <sheetView showFormulas="false" showGridLines="true" showRowColHeaders="true" showZeros="true" rightToLeft="false" tabSelected="true" showOutlineSymbols="true" defaultGridColor="true" view="normal" topLeftCell="A1" colorId="64" zoomScale="76" zoomScaleNormal="76" zoomScalePageLayoutView="100" workbookViewId="0">
      <selection pane="topLeft" activeCell="T15" activeCellId="0" sqref="T15"/>
    </sheetView>
  </sheetViews>
  <sheetFormatPr defaultColWidth="8.88671875" defaultRowHeight="14.25" zeroHeight="false" outlineLevelRow="0" outlineLevelCol="0"/>
  <cols>
    <col collapsed="false" customWidth="true" hidden="false" outlineLevel="0" max="3" min="1" style="105" width="11.33"/>
    <col collapsed="false" customWidth="true" hidden="false" outlineLevel="0" max="14" min="4" style="105" width="11"/>
    <col collapsed="false" customWidth="false" hidden="false" outlineLevel="0" max="16384" min="15" style="105" width="8.88"/>
  </cols>
  <sheetData>
    <row r="1" customFormat="false" ht="15" hidden="false" customHeight="true" outlineLevel="0" collapsed="false">
      <c r="A1" s="106"/>
      <c r="B1" s="107"/>
      <c r="C1" s="107"/>
      <c r="D1" s="107"/>
      <c r="E1" s="108" t="s">
        <v>463</v>
      </c>
      <c r="F1" s="108"/>
      <c r="G1" s="108"/>
      <c r="H1" s="108"/>
      <c r="I1" s="108"/>
      <c r="J1" s="108"/>
      <c r="K1" s="108"/>
      <c r="L1" s="108"/>
      <c r="M1" s="108"/>
      <c r="N1" s="108"/>
    </row>
    <row r="2" customFormat="false" ht="14.25" hidden="false" customHeight="true" outlineLevel="0" collapsed="false">
      <c r="A2" s="107"/>
      <c r="B2" s="107"/>
      <c r="C2" s="107"/>
      <c r="D2" s="107"/>
      <c r="E2" s="108"/>
      <c r="F2" s="108"/>
      <c r="G2" s="108"/>
      <c r="H2" s="108"/>
      <c r="I2" s="108"/>
      <c r="J2" s="108"/>
      <c r="K2" s="108"/>
      <c r="L2" s="108"/>
      <c r="M2" s="108"/>
      <c r="N2" s="108"/>
    </row>
    <row r="3" customFormat="false" ht="14.25" hidden="false" customHeight="true" outlineLevel="0" collapsed="false">
      <c r="A3" s="107"/>
      <c r="B3" s="107"/>
      <c r="C3" s="107"/>
      <c r="D3" s="107"/>
      <c r="E3" s="108"/>
      <c r="F3" s="108"/>
      <c r="G3" s="108"/>
      <c r="H3" s="108"/>
      <c r="I3" s="108"/>
      <c r="J3" s="108"/>
      <c r="K3" s="108"/>
      <c r="L3" s="108"/>
      <c r="M3" s="108"/>
      <c r="N3" s="108"/>
    </row>
    <row r="4" customFormat="false" ht="14.25" hidden="false" customHeight="true" outlineLevel="0" collapsed="false">
      <c r="A4" s="107"/>
      <c r="B4" s="107"/>
      <c r="C4" s="107"/>
      <c r="D4" s="107"/>
      <c r="E4" s="108"/>
      <c r="F4" s="108"/>
      <c r="G4" s="108"/>
      <c r="H4" s="108"/>
      <c r="I4" s="108"/>
      <c r="J4" s="108"/>
      <c r="K4" s="108"/>
      <c r="L4" s="108"/>
      <c r="M4" s="108"/>
      <c r="N4" s="108"/>
    </row>
    <row r="5" customFormat="false" ht="15" hidden="false" customHeight="true" outlineLevel="0" collapsed="false">
      <c r="A5" s="107"/>
      <c r="B5" s="107"/>
      <c r="C5" s="107"/>
      <c r="D5" s="107"/>
      <c r="E5" s="108"/>
      <c r="F5" s="108"/>
      <c r="G5" s="108"/>
      <c r="H5" s="108"/>
      <c r="I5" s="108"/>
      <c r="J5" s="108"/>
      <c r="K5" s="108"/>
      <c r="L5" s="108"/>
      <c r="M5" s="108"/>
      <c r="N5" s="108"/>
    </row>
    <row r="6" customFormat="false" ht="4.5" hidden="false" customHeight="true" outlineLevel="0" collapsed="false">
      <c r="A6" s="107"/>
      <c r="B6" s="107"/>
      <c r="C6" s="107"/>
      <c r="D6" s="107"/>
      <c r="E6" s="109"/>
      <c r="F6" s="109"/>
      <c r="G6" s="109"/>
      <c r="H6" s="109"/>
      <c r="I6" s="109"/>
      <c r="J6" s="109"/>
      <c r="K6" s="109"/>
      <c r="L6" s="109"/>
      <c r="M6" s="109"/>
      <c r="N6" s="109"/>
    </row>
    <row r="7" customFormat="false" ht="15" hidden="false" customHeight="true" outlineLevel="0" collapsed="false">
      <c r="A7" s="107"/>
      <c r="B7" s="107"/>
      <c r="C7" s="107"/>
      <c r="D7" s="107"/>
      <c r="E7" s="110"/>
      <c r="F7" s="110"/>
      <c r="G7" s="110"/>
      <c r="H7" s="110"/>
      <c r="I7" s="110"/>
      <c r="J7" s="110"/>
      <c r="K7" s="110"/>
      <c r="L7" s="111" t="s">
        <v>1</v>
      </c>
      <c r="M7" s="111"/>
      <c r="N7" s="111"/>
    </row>
    <row r="8" customFormat="false" ht="15" hidden="false" customHeight="true" outlineLevel="0" collapsed="false">
      <c r="A8" s="107"/>
      <c r="B8" s="107"/>
      <c r="C8" s="107"/>
      <c r="D8" s="107"/>
      <c r="E8" s="112" t="s">
        <v>2</v>
      </c>
      <c r="F8" s="112"/>
      <c r="G8" s="112"/>
      <c r="H8" s="112"/>
      <c r="I8" s="112"/>
      <c r="J8" s="112"/>
      <c r="K8" s="112"/>
      <c r="L8" s="113" t="s">
        <v>3</v>
      </c>
      <c r="M8" s="11" t="s">
        <v>464</v>
      </c>
      <c r="N8" s="11"/>
    </row>
    <row r="9" customFormat="false" ht="15" hidden="false" customHeight="true" outlineLevel="0" collapsed="false">
      <c r="A9" s="107"/>
      <c r="B9" s="107"/>
      <c r="C9" s="107"/>
      <c r="D9" s="107"/>
      <c r="E9" s="112"/>
      <c r="F9" s="112"/>
      <c r="G9" s="112"/>
      <c r="H9" s="112"/>
      <c r="I9" s="112"/>
      <c r="J9" s="112"/>
      <c r="K9" s="112"/>
      <c r="L9" s="113" t="s">
        <v>6</v>
      </c>
      <c r="M9" s="13" t="n">
        <v>1</v>
      </c>
      <c r="N9" s="13"/>
    </row>
    <row r="10" customFormat="false" ht="15" hidden="false" customHeight="true" outlineLevel="0" collapsed="false">
      <c r="A10" s="107"/>
      <c r="B10" s="107"/>
      <c r="C10" s="107"/>
      <c r="D10" s="107"/>
      <c r="E10" s="114" t="s">
        <v>465</v>
      </c>
      <c r="F10" s="114"/>
      <c r="G10" s="114"/>
      <c r="H10" s="114"/>
      <c r="I10" s="114"/>
      <c r="J10" s="114"/>
      <c r="K10" s="114"/>
      <c r="L10" s="113" t="s">
        <v>7</v>
      </c>
      <c r="M10" s="13" t="s">
        <v>8</v>
      </c>
      <c r="N10" s="13"/>
    </row>
    <row r="11" customFormat="false" ht="15" hidden="false" customHeight="true" outlineLevel="0" collapsed="false">
      <c r="A11" s="46"/>
      <c r="B11" s="46"/>
      <c r="C11" s="46"/>
      <c r="D11" s="46"/>
      <c r="E11" s="115"/>
      <c r="F11" s="115"/>
      <c r="G11" s="115"/>
      <c r="H11" s="115"/>
      <c r="I11" s="115"/>
      <c r="J11" s="115"/>
      <c r="K11" s="115"/>
      <c r="L11" s="116" t="s">
        <v>9</v>
      </c>
      <c r="M11" s="18" t="s">
        <v>10</v>
      </c>
      <c r="N11" s="18"/>
    </row>
    <row r="12" customFormat="false" ht="15" hidden="false" customHeight="true" outlineLevel="0" collapsed="false">
      <c r="A12" s="117" t="s">
        <v>466</v>
      </c>
      <c r="B12" s="117"/>
      <c r="C12" s="117"/>
      <c r="D12" s="117"/>
      <c r="E12" s="117"/>
      <c r="F12" s="117"/>
      <c r="G12" s="117"/>
      <c r="H12" s="117"/>
      <c r="I12" s="117"/>
      <c r="J12" s="117"/>
      <c r="K12" s="117"/>
      <c r="L12" s="117"/>
      <c r="M12" s="117"/>
      <c r="N12" s="117"/>
    </row>
    <row r="13" customFormat="false" ht="15" hidden="false" customHeight="true" outlineLevel="0" collapsed="false">
      <c r="A13" s="118" t="s">
        <v>12</v>
      </c>
      <c r="B13" s="118"/>
      <c r="C13" s="118"/>
      <c r="D13" s="118"/>
      <c r="E13" s="119"/>
      <c r="F13" s="119"/>
      <c r="G13" s="119"/>
      <c r="H13" s="119"/>
      <c r="I13" s="119"/>
      <c r="J13" s="119"/>
      <c r="K13" s="119"/>
      <c r="L13" s="119"/>
      <c r="M13" s="119"/>
      <c r="N13" s="119"/>
    </row>
    <row r="14" customFormat="false" ht="15" hidden="false" customHeight="true" outlineLevel="0" collapsed="false">
      <c r="A14" s="118" t="s">
        <v>13</v>
      </c>
      <c r="B14" s="118"/>
      <c r="C14" s="118"/>
      <c r="D14" s="118"/>
      <c r="E14" s="120"/>
      <c r="F14" s="120"/>
      <c r="G14" s="120"/>
      <c r="H14" s="120"/>
      <c r="I14" s="121" t="s">
        <v>467</v>
      </c>
      <c r="J14" s="121"/>
      <c r="K14" s="121"/>
      <c r="L14" s="122" t="n">
        <f aca="false">'Presupuesto '!F249</f>
        <v>0</v>
      </c>
      <c r="M14" s="122"/>
      <c r="N14" s="122"/>
    </row>
    <row r="15" customFormat="false" ht="15" hidden="false" customHeight="true" outlineLevel="0" collapsed="false">
      <c r="A15" s="118" t="s">
        <v>14</v>
      </c>
      <c r="B15" s="118"/>
      <c r="C15" s="118"/>
      <c r="D15" s="118"/>
      <c r="E15" s="120" t="s">
        <v>2</v>
      </c>
      <c r="F15" s="120"/>
      <c r="G15" s="120"/>
      <c r="H15" s="120"/>
      <c r="I15" s="121" t="s">
        <v>468</v>
      </c>
      <c r="J15" s="121"/>
      <c r="K15" s="121"/>
      <c r="L15" s="119"/>
      <c r="M15" s="119"/>
      <c r="N15" s="119"/>
    </row>
    <row r="16" customFormat="false" ht="15" hidden="false" customHeight="true" outlineLevel="0" collapsed="false">
      <c r="A16" s="118" t="s">
        <v>469</v>
      </c>
      <c r="B16" s="118"/>
      <c r="C16" s="118"/>
      <c r="D16" s="118"/>
      <c r="E16" s="120"/>
      <c r="F16" s="120"/>
      <c r="G16" s="120"/>
      <c r="H16" s="120"/>
      <c r="I16" s="121" t="s">
        <v>7</v>
      </c>
      <c r="J16" s="121"/>
      <c r="K16" s="121"/>
      <c r="L16" s="119"/>
      <c r="M16" s="119"/>
      <c r="N16" s="119"/>
    </row>
    <row r="17" customFormat="false" ht="15.75" hidden="false" customHeight="true" outlineLevel="0" collapsed="false">
      <c r="A17" s="123" t="s">
        <v>470</v>
      </c>
      <c r="B17" s="123"/>
      <c r="C17" s="123"/>
      <c r="D17" s="123"/>
      <c r="E17" s="123"/>
      <c r="F17" s="123"/>
      <c r="G17" s="123"/>
      <c r="H17" s="123"/>
      <c r="I17" s="123"/>
      <c r="J17" s="123"/>
      <c r="K17" s="123"/>
      <c r="L17" s="123"/>
      <c r="M17" s="123"/>
      <c r="N17" s="123"/>
    </row>
    <row r="18" customFormat="false" ht="15" hidden="false" customHeight="true" outlineLevel="0" collapsed="false">
      <c r="A18" s="124"/>
      <c r="B18" s="124"/>
      <c r="C18" s="124"/>
      <c r="D18" s="124"/>
      <c r="E18" s="124"/>
      <c r="F18" s="124"/>
      <c r="G18" s="124"/>
      <c r="H18" s="124"/>
      <c r="I18" s="124"/>
      <c r="J18" s="124"/>
      <c r="K18" s="124"/>
      <c r="L18" s="124"/>
      <c r="M18" s="124"/>
      <c r="N18" s="124"/>
    </row>
    <row r="19" customFormat="false" ht="15.75" hidden="false" customHeight="true" outlineLevel="0" collapsed="false">
      <c r="A19" s="125" t="s">
        <v>471</v>
      </c>
      <c r="B19" s="125"/>
      <c r="C19" s="125"/>
      <c r="D19" s="125"/>
      <c r="E19" s="125"/>
      <c r="F19" s="125"/>
      <c r="G19" s="125"/>
      <c r="H19" s="125"/>
      <c r="I19" s="125"/>
      <c r="J19" s="125"/>
      <c r="K19" s="125"/>
      <c r="L19" s="125"/>
      <c r="M19" s="125"/>
      <c r="N19" s="125"/>
    </row>
    <row r="20" customFormat="false" ht="14.25" hidden="false" customHeight="true" outlineLevel="0" collapsed="false">
      <c r="A20" s="126" t="s">
        <v>472</v>
      </c>
      <c r="B20" s="126"/>
      <c r="C20" s="126"/>
      <c r="D20" s="127" t="s">
        <v>473</v>
      </c>
      <c r="E20" s="127"/>
      <c r="F20" s="127"/>
      <c r="G20" s="127" t="s">
        <v>474</v>
      </c>
      <c r="H20" s="127"/>
      <c r="I20" s="127"/>
      <c r="J20" s="128" t="s">
        <v>475</v>
      </c>
      <c r="K20" s="128"/>
      <c r="L20" s="128"/>
      <c r="M20" s="128"/>
      <c r="N20" s="128"/>
    </row>
    <row r="21" customFormat="false" ht="14.25" hidden="false" customHeight="false" outlineLevel="0" collapsed="false">
      <c r="A21" s="129" t="e">
        <f aca="false">H47</f>
        <v>#DIV/0!</v>
      </c>
      <c r="B21" s="129"/>
      <c r="C21" s="129"/>
      <c r="D21" s="130" t="e">
        <f aca="false">I47</f>
        <v>#DIV/0!</v>
      </c>
      <c r="E21" s="130"/>
      <c r="F21" s="130"/>
      <c r="G21" s="130" t="e">
        <f aca="false">D21-A21</f>
        <v>#DIV/0!</v>
      </c>
      <c r="H21" s="130"/>
      <c r="I21" s="130"/>
      <c r="J21" s="131" t="n">
        <f aca="false">IFERROR(J47/$L$14,0)</f>
        <v>0</v>
      </c>
      <c r="K21" s="131"/>
      <c r="L21" s="131"/>
      <c r="M21" s="131"/>
      <c r="N21" s="131"/>
    </row>
    <row r="22" customFormat="false" ht="14.25" hidden="false" customHeight="true" outlineLevel="0" collapsed="false">
      <c r="A22" s="132" t="s">
        <v>476</v>
      </c>
      <c r="B22" s="132"/>
      <c r="C22" s="132"/>
      <c r="D22" s="132"/>
      <c r="E22" s="132"/>
      <c r="F22" s="133" t="n">
        <v>0</v>
      </c>
      <c r="G22" s="133"/>
      <c r="H22" s="134" t="s">
        <v>477</v>
      </c>
      <c r="I22" s="134"/>
      <c r="J22" s="134"/>
      <c r="K22" s="135" t="e">
        <f aca="false">D21-F22</f>
        <v>#DIV/0!</v>
      </c>
      <c r="L22" s="135"/>
      <c r="M22" s="135"/>
      <c r="N22" s="135"/>
    </row>
    <row r="23" customFormat="false" ht="14.25" hidden="false" customHeight="true" outlineLevel="0" collapsed="false">
      <c r="A23" s="136" t="s">
        <v>478</v>
      </c>
      <c r="B23" s="136"/>
      <c r="C23" s="136"/>
      <c r="D23" s="137" t="s">
        <v>479</v>
      </c>
      <c r="E23" s="137" t="s">
        <v>480</v>
      </c>
      <c r="F23" s="137" t="s">
        <v>481</v>
      </c>
      <c r="G23" s="137" t="s">
        <v>482</v>
      </c>
      <c r="H23" s="137" t="s">
        <v>483</v>
      </c>
      <c r="I23" s="137" t="s">
        <v>484</v>
      </c>
      <c r="J23" s="138" t="s">
        <v>485</v>
      </c>
      <c r="K23" s="138"/>
      <c r="L23" s="138"/>
      <c r="M23" s="138"/>
      <c r="N23" s="138"/>
    </row>
    <row r="24" customFormat="false" ht="14.25" hidden="false" customHeight="false" outlineLevel="0" collapsed="false">
      <c r="A24" s="136"/>
      <c r="B24" s="136"/>
      <c r="C24" s="136"/>
      <c r="D24" s="137"/>
      <c r="E24" s="137"/>
      <c r="F24" s="137"/>
      <c r="G24" s="137"/>
      <c r="H24" s="137"/>
      <c r="I24" s="137"/>
      <c r="J24" s="138"/>
      <c r="K24" s="138"/>
      <c r="L24" s="138"/>
      <c r="M24" s="138"/>
      <c r="N24" s="138"/>
    </row>
    <row r="25" customFormat="false" ht="14.25" hidden="false" customHeight="false" outlineLevel="0" collapsed="false">
      <c r="A25" s="139" t="str">
        <f aca="false">'Presupuesto '!B14</f>
        <v>PRELIMINARES</v>
      </c>
      <c r="B25" s="139"/>
      <c r="C25" s="139"/>
      <c r="D25" s="140" t="e">
        <f aca="false">'Presupuesto '!F25/'Presupuesto '!$F$240</f>
        <v>#DIV/0!</v>
      </c>
      <c r="E25" s="141"/>
      <c r="F25" s="141"/>
      <c r="G25" s="142" t="n">
        <f aca="false">F25-E25</f>
        <v>0</v>
      </c>
      <c r="H25" s="143" t="e">
        <f aca="false">D25*E25</f>
        <v>#DIV/0!</v>
      </c>
      <c r="I25" s="143" t="e">
        <f aca="false">D25*F25</f>
        <v>#DIV/0!</v>
      </c>
      <c r="J25" s="144" t="e">
        <f aca="false">D25*$L$14*G25</f>
        <v>#DIV/0!</v>
      </c>
      <c r="K25" s="144"/>
      <c r="L25" s="144"/>
      <c r="M25" s="144"/>
      <c r="N25" s="144"/>
    </row>
    <row r="26" customFormat="false" ht="14.25" hidden="false" customHeight="false" outlineLevel="0" collapsed="false">
      <c r="A26" s="139" t="str">
        <f aca="false">'Presupuesto '!B27</f>
        <v>MOVIMIENTO DE TIERRAS</v>
      </c>
      <c r="B26" s="139"/>
      <c r="C26" s="139"/>
      <c r="D26" s="140" t="e">
        <f aca="false">'Presupuesto '!F39/'Presupuesto '!$F$240</f>
        <v>#DIV/0!</v>
      </c>
      <c r="E26" s="141"/>
      <c r="F26" s="141"/>
      <c r="G26" s="142" t="n">
        <f aca="false">F26-E26</f>
        <v>0</v>
      </c>
      <c r="H26" s="143" t="e">
        <f aca="false">D26*E26</f>
        <v>#DIV/0!</v>
      </c>
      <c r="I26" s="143" t="e">
        <f aca="false">D26*F26</f>
        <v>#DIV/0!</v>
      </c>
      <c r="J26" s="145" t="e">
        <f aca="false">D26*$L$14*G26</f>
        <v>#DIV/0!</v>
      </c>
      <c r="K26" s="145"/>
      <c r="L26" s="145"/>
      <c r="M26" s="145"/>
      <c r="N26" s="145"/>
    </row>
    <row r="27" customFormat="false" ht="14.25" hidden="false" customHeight="false" outlineLevel="0" collapsed="false">
      <c r="A27" s="139" t="str">
        <f aca="false">'Presupuesto '!B41</f>
        <v>CIMENTACIONES</v>
      </c>
      <c r="B27" s="139"/>
      <c r="C27" s="139"/>
      <c r="D27" s="140" t="e">
        <f aca="false">'Presupuesto '!F49/'Presupuesto '!$F$240</f>
        <v>#DIV/0!</v>
      </c>
      <c r="E27" s="141"/>
      <c r="F27" s="141"/>
      <c r="G27" s="142" t="n">
        <f aca="false">F27-E27</f>
        <v>0</v>
      </c>
      <c r="H27" s="143" t="e">
        <f aca="false">D27*E27</f>
        <v>#DIV/0!</v>
      </c>
      <c r="I27" s="143" t="e">
        <f aca="false">D27*F27</f>
        <v>#DIV/0!</v>
      </c>
      <c r="J27" s="145" t="e">
        <f aca="false">D27*$L$14*G27</f>
        <v>#DIV/0!</v>
      </c>
      <c r="K27" s="145"/>
      <c r="L27" s="145"/>
      <c r="M27" s="145"/>
      <c r="N27" s="145"/>
    </row>
    <row r="28" customFormat="false" ht="14.25" hidden="false" customHeight="false" outlineLevel="0" collapsed="false">
      <c r="A28" s="139" t="str">
        <f aca="false">'Presupuesto '!B51</f>
        <v>ESTRUCTURA</v>
      </c>
      <c r="B28" s="139"/>
      <c r="C28" s="139"/>
      <c r="D28" s="140" t="e">
        <f aca="false">'Presupuesto '!F69/'Presupuesto '!$F$240</f>
        <v>#DIV/0!</v>
      </c>
      <c r="E28" s="141"/>
      <c r="F28" s="141"/>
      <c r="G28" s="142" t="n">
        <f aca="false">F28-E28</f>
        <v>0</v>
      </c>
      <c r="H28" s="143" t="e">
        <f aca="false">D28*E28</f>
        <v>#DIV/0!</v>
      </c>
      <c r="I28" s="143" t="e">
        <f aca="false">D28*F28</f>
        <v>#DIV/0!</v>
      </c>
      <c r="J28" s="145" t="e">
        <f aca="false">D28*$L$14*G28</f>
        <v>#DIV/0!</v>
      </c>
      <c r="K28" s="145"/>
      <c r="L28" s="145"/>
      <c r="M28" s="145"/>
      <c r="N28" s="145"/>
    </row>
    <row r="29" customFormat="false" ht="14.25" hidden="false" customHeight="false" outlineLevel="0" collapsed="false">
      <c r="A29" s="139" t="str">
        <f aca="false">'Presupuesto '!B71</f>
        <v>MAMPOSTERÍA</v>
      </c>
      <c r="B29" s="139"/>
      <c r="C29" s="139"/>
      <c r="D29" s="140" t="e">
        <f aca="false">'Presupuesto '!F81/'Presupuesto '!$F$240</f>
        <v>#DIV/0!</v>
      </c>
      <c r="E29" s="141"/>
      <c r="F29" s="141"/>
      <c r="G29" s="142" t="n">
        <f aca="false">F29-E29</f>
        <v>0</v>
      </c>
      <c r="H29" s="143" t="e">
        <f aca="false">D29*E29</f>
        <v>#DIV/0!</v>
      </c>
      <c r="I29" s="143" t="e">
        <f aca="false">D29*F29</f>
        <v>#DIV/0!</v>
      </c>
      <c r="J29" s="145" t="e">
        <f aca="false">D29*$L$14*G29</f>
        <v>#DIV/0!</v>
      </c>
      <c r="K29" s="145"/>
      <c r="L29" s="145"/>
      <c r="M29" s="145"/>
      <c r="N29" s="145"/>
    </row>
    <row r="30" customFormat="false" ht="14.25" hidden="false" customHeight="false" outlineLevel="0" collapsed="false">
      <c r="A30" s="139" t="str">
        <f aca="false">'Presupuesto '!B83</f>
        <v>CUBIERTAS</v>
      </c>
      <c r="B30" s="139"/>
      <c r="C30" s="139"/>
      <c r="D30" s="140" t="e">
        <f aca="false">'Presupuesto '!F93/'Presupuesto '!$F$240</f>
        <v>#DIV/0!</v>
      </c>
      <c r="E30" s="141"/>
      <c r="F30" s="141"/>
      <c r="G30" s="142" t="n">
        <f aca="false">F30-E30</f>
        <v>0</v>
      </c>
      <c r="H30" s="143" t="e">
        <f aca="false">D30*E30</f>
        <v>#DIV/0!</v>
      </c>
      <c r="I30" s="143" t="e">
        <f aca="false">D30*F30</f>
        <v>#DIV/0!</v>
      </c>
      <c r="J30" s="145" t="e">
        <f aca="false">D30*$L$14*G30</f>
        <v>#DIV/0!</v>
      </c>
      <c r="K30" s="145"/>
      <c r="L30" s="145"/>
      <c r="M30" s="145"/>
      <c r="N30" s="145"/>
    </row>
    <row r="31" customFormat="false" ht="14.25" hidden="false" customHeight="false" outlineLevel="0" collapsed="false">
      <c r="A31" s="139" t="str">
        <f aca="false">'Presupuesto '!B95</f>
        <v>IMPERMEABILIZACIONES</v>
      </c>
      <c r="B31" s="139"/>
      <c r="C31" s="139"/>
      <c r="D31" s="140" t="e">
        <f aca="false">'Presupuesto '!F100/'Presupuesto '!$F$240</f>
        <v>#DIV/0!</v>
      </c>
      <c r="E31" s="141"/>
      <c r="F31" s="141"/>
      <c r="G31" s="142" t="n">
        <f aca="false">F31-E31</f>
        <v>0</v>
      </c>
      <c r="H31" s="143" t="e">
        <f aca="false">D31*E31</f>
        <v>#DIV/0!</v>
      </c>
      <c r="I31" s="143" t="e">
        <f aca="false">D31*F31</f>
        <v>#DIV/0!</v>
      </c>
      <c r="J31" s="145" t="e">
        <f aca="false">D31*$L$14*G31</f>
        <v>#DIV/0!</v>
      </c>
      <c r="K31" s="145"/>
      <c r="L31" s="145"/>
      <c r="M31" s="145"/>
      <c r="N31" s="145"/>
    </row>
    <row r="32" customFormat="false" ht="14.25" hidden="false" customHeight="false" outlineLevel="0" collapsed="false">
      <c r="A32" s="139" t="str">
        <f aca="false">'Presupuesto '!B102</f>
        <v>PAÑETES Y REVOQUES</v>
      </c>
      <c r="B32" s="139"/>
      <c r="C32" s="139"/>
      <c r="D32" s="140" t="e">
        <f aca="false">'Presupuesto '!F107/'Presupuesto '!$F$240</f>
        <v>#DIV/0!</v>
      </c>
      <c r="E32" s="141"/>
      <c r="F32" s="141"/>
      <c r="G32" s="142" t="n">
        <f aca="false">F32-E32</f>
        <v>0</v>
      </c>
      <c r="H32" s="143" t="e">
        <f aca="false">D32*E32</f>
        <v>#DIV/0!</v>
      </c>
      <c r="I32" s="143" t="e">
        <f aca="false">D32*F32</f>
        <v>#DIV/0!</v>
      </c>
      <c r="J32" s="145" t="e">
        <f aca="false">D32*$L$14*G32</f>
        <v>#DIV/0!</v>
      </c>
      <c r="K32" s="145"/>
      <c r="L32" s="145"/>
      <c r="M32" s="145"/>
      <c r="N32" s="145"/>
    </row>
    <row r="33" customFormat="false" ht="14.25" hidden="false" customHeight="false" outlineLevel="0" collapsed="false">
      <c r="A33" s="139" t="str">
        <f aca="false">'Presupuesto '!B109</f>
        <v>PISOS Y ENCHAPES</v>
      </c>
      <c r="B33" s="139"/>
      <c r="C33" s="139"/>
      <c r="D33" s="140" t="e">
        <f aca="false">'Presupuesto '!F121/'Presupuesto '!$F$240</f>
        <v>#DIV/0!</v>
      </c>
      <c r="E33" s="141"/>
      <c r="F33" s="141"/>
      <c r="G33" s="142" t="n">
        <f aca="false">F33-E33</f>
        <v>0</v>
      </c>
      <c r="H33" s="143" t="e">
        <f aca="false">D33*E33</f>
        <v>#DIV/0!</v>
      </c>
      <c r="I33" s="143" t="e">
        <f aca="false">D33*F33</f>
        <v>#DIV/0!</v>
      </c>
      <c r="J33" s="145" t="e">
        <f aca="false">D33*$L$14*G33</f>
        <v>#DIV/0!</v>
      </c>
      <c r="K33" s="145"/>
      <c r="L33" s="145"/>
      <c r="M33" s="145"/>
      <c r="N33" s="145"/>
    </row>
    <row r="34" customFormat="false" ht="14.25" hidden="false" customHeight="false" outlineLevel="0" collapsed="false">
      <c r="A34" s="139" t="str">
        <f aca="false">'Presupuesto '!B123</f>
        <v>PINTURA</v>
      </c>
      <c r="B34" s="139"/>
      <c r="C34" s="139"/>
      <c r="D34" s="140" t="e">
        <f aca="false">'Presupuesto '!F129/'Presupuesto '!$F$240</f>
        <v>#DIV/0!</v>
      </c>
      <c r="E34" s="141"/>
      <c r="F34" s="141"/>
      <c r="G34" s="142" t="n">
        <f aca="false">F34-E34</f>
        <v>0</v>
      </c>
      <c r="H34" s="143" t="e">
        <f aca="false">D34*E34</f>
        <v>#DIV/0!</v>
      </c>
      <c r="I34" s="143" t="e">
        <f aca="false">D34*F34</f>
        <v>#DIV/0!</v>
      </c>
      <c r="J34" s="145" t="e">
        <f aca="false">D34*$L$14*G34</f>
        <v>#DIV/0!</v>
      </c>
      <c r="K34" s="145"/>
      <c r="L34" s="145"/>
      <c r="M34" s="145"/>
      <c r="N34" s="145"/>
    </row>
    <row r="35" customFormat="false" ht="14.25" hidden="false" customHeight="false" outlineLevel="0" collapsed="false">
      <c r="A35" s="139" t="str">
        <f aca="false">'Presupuesto '!B131</f>
        <v>CARPINTERÍA</v>
      </c>
      <c r="B35" s="139"/>
      <c r="C35" s="139"/>
      <c r="D35" s="140" t="e">
        <f aca="false">'Presupuesto '!F140/'Presupuesto '!$F$240</f>
        <v>#DIV/0!</v>
      </c>
      <c r="E35" s="141"/>
      <c r="F35" s="141"/>
      <c r="G35" s="142" t="n">
        <f aca="false">F35-E35</f>
        <v>0</v>
      </c>
      <c r="H35" s="143" t="e">
        <f aca="false">D35*E35</f>
        <v>#DIV/0!</v>
      </c>
      <c r="I35" s="143" t="e">
        <f aca="false">D35*F35</f>
        <v>#DIV/0!</v>
      </c>
      <c r="J35" s="145" t="e">
        <f aca="false">D35*$L$14*G35</f>
        <v>#DIV/0!</v>
      </c>
      <c r="K35" s="145"/>
      <c r="L35" s="145"/>
      <c r="M35" s="145"/>
      <c r="N35" s="145"/>
    </row>
    <row r="36" customFormat="false" ht="14.25" hidden="false" customHeight="false" outlineLevel="0" collapsed="false">
      <c r="A36" s="139" t="str">
        <f aca="false">'Presupuesto '!B142</f>
        <v>VIDRIOS</v>
      </c>
      <c r="B36" s="139"/>
      <c r="C36" s="139"/>
      <c r="D36" s="140" t="e">
        <f aca="false">'Presupuesto '!F147/'Presupuesto '!$F$240</f>
        <v>#DIV/0!</v>
      </c>
      <c r="E36" s="141"/>
      <c r="F36" s="141"/>
      <c r="G36" s="142" t="n">
        <f aca="false">F36-E36</f>
        <v>0</v>
      </c>
      <c r="H36" s="143" t="e">
        <f aca="false">D36*E36</f>
        <v>#DIV/0!</v>
      </c>
      <c r="I36" s="143" t="e">
        <f aca="false">D36*F36</f>
        <v>#DIV/0!</v>
      </c>
      <c r="J36" s="145" t="e">
        <f aca="false">D36*$L$14*G36</f>
        <v>#DIV/0!</v>
      </c>
      <c r="K36" s="145"/>
      <c r="L36" s="145"/>
      <c r="M36" s="145"/>
      <c r="N36" s="145"/>
    </row>
    <row r="37" customFormat="false" ht="14.25" hidden="false" customHeight="false" outlineLevel="0" collapsed="false">
      <c r="A37" s="139" t="str">
        <f aca="false">'Presupuesto '!B149</f>
        <v>INSTALACIONES HIDROSANITARIAS</v>
      </c>
      <c r="B37" s="139"/>
      <c r="C37" s="139"/>
      <c r="D37" s="140" t="e">
        <f aca="false">'Presupuesto '!F162/'Presupuesto '!$F$240</f>
        <v>#DIV/0!</v>
      </c>
      <c r="E37" s="141"/>
      <c r="F37" s="141"/>
      <c r="G37" s="142" t="n">
        <f aca="false">F37-E37</f>
        <v>0</v>
      </c>
      <c r="H37" s="143" t="e">
        <f aca="false">D37*E37</f>
        <v>#DIV/0!</v>
      </c>
      <c r="I37" s="143" t="e">
        <f aca="false">D37*F37</f>
        <v>#DIV/0!</v>
      </c>
      <c r="J37" s="145" t="e">
        <f aca="false">D37*$L$14*G37</f>
        <v>#DIV/0!</v>
      </c>
      <c r="K37" s="145"/>
      <c r="L37" s="145"/>
      <c r="M37" s="145"/>
      <c r="N37" s="145"/>
    </row>
    <row r="38" customFormat="false" ht="14.25" hidden="false" customHeight="false" outlineLevel="0" collapsed="false">
      <c r="A38" s="139" t="str">
        <f aca="false">'Presupuesto '!B164</f>
        <v>INSTALACIONES ELÉCTRICAS</v>
      </c>
      <c r="B38" s="139"/>
      <c r="C38" s="139"/>
      <c r="D38" s="140" t="e">
        <f aca="false">'Presupuesto '!F176/'Presupuesto '!$F$240</f>
        <v>#DIV/0!</v>
      </c>
      <c r="E38" s="141"/>
      <c r="F38" s="141"/>
      <c r="G38" s="142" t="n">
        <f aca="false">F38-E38</f>
        <v>0</v>
      </c>
      <c r="H38" s="143" t="e">
        <f aca="false">D38*E38</f>
        <v>#DIV/0!</v>
      </c>
      <c r="I38" s="143" t="e">
        <f aca="false">D38*F38</f>
        <v>#DIV/0!</v>
      </c>
      <c r="J38" s="145" t="e">
        <f aca="false">D38*$L$14*G38</f>
        <v>#DIV/0!</v>
      </c>
      <c r="K38" s="145"/>
      <c r="L38" s="145"/>
      <c r="M38" s="145"/>
      <c r="N38" s="145"/>
    </row>
    <row r="39" customFormat="false" ht="14.25" hidden="false" customHeight="false" outlineLevel="0" collapsed="false">
      <c r="A39" s="139" t="str">
        <f aca="false">'Presupuesto '!B178</f>
        <v>COMUNICACIONES Y SEGURIDAD</v>
      </c>
      <c r="B39" s="139"/>
      <c r="C39" s="139"/>
      <c r="D39" s="140" t="e">
        <f aca="false">'Presupuesto '!F185/'Presupuesto '!$F$240</f>
        <v>#DIV/0!</v>
      </c>
      <c r="E39" s="141"/>
      <c r="F39" s="141"/>
      <c r="G39" s="142" t="n">
        <f aca="false">F39-E39</f>
        <v>0</v>
      </c>
      <c r="H39" s="143" t="e">
        <f aca="false">D39*E39</f>
        <v>#DIV/0!</v>
      </c>
      <c r="I39" s="143" t="e">
        <f aca="false">D39*F39</f>
        <v>#DIV/0!</v>
      </c>
      <c r="J39" s="145" t="e">
        <f aca="false">D39*$L$14*G39</f>
        <v>#DIV/0!</v>
      </c>
      <c r="K39" s="145"/>
      <c r="L39" s="145"/>
      <c r="M39" s="145"/>
      <c r="N39" s="145"/>
    </row>
    <row r="40" customFormat="false" ht="14.25" hidden="false" customHeight="true" outlineLevel="0" collapsed="false">
      <c r="A40" s="146" t="str">
        <f aca="false">'Presupuesto '!B187</f>
        <v>CLIMATIZACIÓN Y VENTILACIÓN</v>
      </c>
      <c r="B40" s="146"/>
      <c r="C40" s="146"/>
      <c r="D40" s="140" t="e">
        <f aca="false">'Presupuesto '!F192/'Presupuesto '!$F$240</f>
        <v>#DIV/0!</v>
      </c>
      <c r="E40" s="141"/>
      <c r="F40" s="141"/>
      <c r="G40" s="142" t="n">
        <f aca="false">F40-E40</f>
        <v>0</v>
      </c>
      <c r="H40" s="143" t="e">
        <f aca="false">D40*E40</f>
        <v>#DIV/0!</v>
      </c>
      <c r="I40" s="143" t="e">
        <f aca="false">D40*F40</f>
        <v>#DIV/0!</v>
      </c>
      <c r="J40" s="145" t="e">
        <f aca="false">D40*$L$14*G40</f>
        <v>#DIV/0!</v>
      </c>
      <c r="K40" s="145"/>
      <c r="L40" s="145"/>
      <c r="M40" s="145"/>
      <c r="N40" s="145"/>
    </row>
    <row r="41" customFormat="false" ht="14.25" hidden="false" customHeight="false" outlineLevel="0" collapsed="false">
      <c r="A41" s="147" t="str">
        <f aca="false">'Presupuesto '!B194</f>
        <v>GAS</v>
      </c>
      <c r="B41" s="147"/>
      <c r="C41" s="147"/>
      <c r="D41" s="140" t="e">
        <f aca="false">'Presupuesto '!F198/'Presupuesto '!$F$240</f>
        <v>#DIV/0!</v>
      </c>
      <c r="E41" s="148"/>
      <c r="F41" s="148"/>
      <c r="G41" s="149" t="n">
        <f aca="false">F41-E41</f>
        <v>0</v>
      </c>
      <c r="H41" s="143" t="e">
        <f aca="false">D41*E41</f>
        <v>#DIV/0!</v>
      </c>
      <c r="I41" s="143" t="e">
        <f aca="false">D41*F41</f>
        <v>#DIV/0!</v>
      </c>
      <c r="J41" s="145" t="e">
        <f aca="false">D41*$L$14*G41</f>
        <v>#DIV/0!</v>
      </c>
      <c r="K41" s="145"/>
      <c r="L41" s="145"/>
      <c r="M41" s="145"/>
      <c r="N41" s="145"/>
    </row>
    <row r="42" customFormat="false" ht="14.25" hidden="false" customHeight="true" outlineLevel="0" collapsed="false">
      <c r="A42" s="139" t="str">
        <f aca="false">'Presupuesto '!B200</f>
        <v>URBANISMO Y EXTERIORES</v>
      </c>
      <c r="B42" s="139"/>
      <c r="C42" s="139"/>
      <c r="D42" s="140" t="e">
        <f aca="false">'Presupuesto '!F212/'Presupuesto '!$F$240</f>
        <v>#DIV/0!</v>
      </c>
      <c r="E42" s="150"/>
      <c r="F42" s="150"/>
      <c r="G42" s="149" t="n">
        <f aca="false">F42-E42</f>
        <v>0</v>
      </c>
      <c r="H42" s="143" t="e">
        <f aca="false">D42*E42</f>
        <v>#DIV/0!</v>
      </c>
      <c r="I42" s="143" t="e">
        <f aca="false">D42*F42</f>
        <v>#DIV/0!</v>
      </c>
      <c r="J42" s="145" t="e">
        <f aca="false">D42*$L$14*G42</f>
        <v>#DIV/0!</v>
      </c>
      <c r="K42" s="145"/>
      <c r="L42" s="145"/>
      <c r="M42" s="145"/>
      <c r="N42" s="145"/>
    </row>
    <row r="43" customFormat="false" ht="14.25" hidden="false" customHeight="true" outlineLevel="0" collapsed="false">
      <c r="A43" s="146" t="str">
        <f aca="false">'Presupuesto '!B214</f>
        <v>OBRAS COMPLEMENTARIAS</v>
      </c>
      <c r="B43" s="146"/>
      <c r="C43" s="146"/>
      <c r="D43" s="140" t="e">
        <f aca="false">'Presupuesto '!F219/'Presupuesto '!$F$240</f>
        <v>#DIV/0!</v>
      </c>
      <c r="E43" s="141"/>
      <c r="F43" s="141"/>
      <c r="G43" s="149" t="n">
        <f aca="false">F43-E43</f>
        <v>0</v>
      </c>
      <c r="H43" s="143" t="e">
        <f aca="false">D43*E43</f>
        <v>#DIV/0!</v>
      </c>
      <c r="I43" s="143" t="e">
        <f aca="false">D43*F43</f>
        <v>#DIV/0!</v>
      </c>
      <c r="J43" s="145" t="e">
        <f aca="false">D43*$L$14*G43</f>
        <v>#DIV/0!</v>
      </c>
      <c r="K43" s="145"/>
      <c r="L43" s="145"/>
      <c r="M43" s="145"/>
      <c r="N43" s="145"/>
    </row>
    <row r="44" customFormat="false" ht="14.25" hidden="false" customHeight="true" outlineLevel="0" collapsed="false">
      <c r="A44" s="146" t="str">
        <f aca="false">'Presupuesto '!B221</f>
        <v>ASEO, ENTREGA Y CIERRE</v>
      </c>
      <c r="B44" s="146"/>
      <c r="C44" s="146"/>
      <c r="D44" s="140" t="e">
        <f aca="false">'Presupuesto '!F227/'Presupuesto '!$F$240</f>
        <v>#DIV/0!</v>
      </c>
      <c r="E44" s="141"/>
      <c r="F44" s="141"/>
      <c r="G44" s="142" t="n">
        <f aca="false">F44-E44</f>
        <v>0</v>
      </c>
      <c r="H44" s="143" t="e">
        <f aca="false">D44*E44</f>
        <v>#DIV/0!</v>
      </c>
      <c r="I44" s="143" t="e">
        <f aca="false">D44*F44</f>
        <v>#DIV/0!</v>
      </c>
      <c r="J44" s="145" t="e">
        <f aca="false">D44*$L$14*G44</f>
        <v>#DIV/0!</v>
      </c>
      <c r="K44" s="145"/>
      <c r="L44" s="145"/>
      <c r="M44" s="145"/>
      <c r="N44" s="145"/>
    </row>
    <row r="45" customFormat="false" ht="14.25" hidden="false" customHeight="false" outlineLevel="0" collapsed="false">
      <c r="A45" s="146" t="str">
        <f aca="false">'Presupuesto '!B229</f>
        <v>ASCENSORES</v>
      </c>
      <c r="B45" s="146"/>
      <c r="C45" s="146"/>
      <c r="D45" s="140" t="e">
        <f aca="false">'Presupuesto '!F231/'Presupuesto '!$F$240</f>
        <v>#DIV/0!</v>
      </c>
      <c r="E45" s="151"/>
      <c r="F45" s="151"/>
      <c r="G45" s="142" t="n">
        <f aca="false">F45-E45</f>
        <v>0</v>
      </c>
      <c r="H45" s="143" t="e">
        <f aca="false">D45*E45</f>
        <v>#DIV/0!</v>
      </c>
      <c r="I45" s="143" t="e">
        <f aca="false">D45*F45</f>
        <v>#DIV/0!</v>
      </c>
      <c r="J45" s="145" t="e">
        <f aca="false">D45*$L$14*G45</f>
        <v>#DIV/0!</v>
      </c>
      <c r="K45" s="145"/>
      <c r="L45" s="145"/>
      <c r="M45" s="145"/>
      <c r="N45" s="145"/>
    </row>
    <row r="46" customFormat="false" ht="14.25" hidden="false" customHeight="true" outlineLevel="0" collapsed="false">
      <c r="A46" s="146" t="str">
        <f aca="false">'Presupuesto '!B233</f>
        <v>GESTIÓN, DISEÑO Y ADMINISTRACIÓN</v>
      </c>
      <c r="B46" s="146"/>
      <c r="C46" s="146"/>
      <c r="D46" s="140" t="e">
        <f aca="false">'Presupuesto '!F238/'Presupuesto '!$F$240</f>
        <v>#DIV/0!</v>
      </c>
      <c r="E46" s="141"/>
      <c r="F46" s="141"/>
      <c r="G46" s="142" t="n">
        <f aca="false">F46-E46</f>
        <v>0</v>
      </c>
      <c r="H46" s="143" t="e">
        <f aca="false">D46*E46</f>
        <v>#DIV/0!</v>
      </c>
      <c r="I46" s="143" t="e">
        <f aca="false">D46*F46</f>
        <v>#DIV/0!</v>
      </c>
      <c r="J46" s="145" t="e">
        <f aca="false">D46*$L$14*G46</f>
        <v>#DIV/0!</v>
      </c>
      <c r="K46" s="145"/>
      <c r="L46" s="145"/>
      <c r="M46" s="145"/>
      <c r="N46" s="145"/>
    </row>
    <row r="47" customFormat="false" ht="14.25" hidden="false" customHeight="true" outlineLevel="0" collapsed="false">
      <c r="A47" s="152" t="s">
        <v>486</v>
      </c>
      <c r="B47" s="152"/>
      <c r="C47" s="152"/>
      <c r="D47" s="153" t="e">
        <f aca="false">SUM(D25:D46)</f>
        <v>#DIV/0!</v>
      </c>
      <c r="E47" s="154"/>
      <c r="F47" s="154"/>
      <c r="G47" s="155"/>
      <c r="H47" s="156" t="e">
        <f aca="false">SUM(H25:H46)</f>
        <v>#DIV/0!</v>
      </c>
      <c r="I47" s="156" t="e">
        <f aca="false">SUM(I25:I46)</f>
        <v>#DIV/0!</v>
      </c>
      <c r="J47" s="157" t="e">
        <f aca="false">SUM(J25:J46)</f>
        <v>#DIV/0!</v>
      </c>
      <c r="K47" s="157"/>
      <c r="L47" s="157"/>
      <c r="M47" s="157"/>
      <c r="N47" s="157"/>
    </row>
    <row r="48" customFormat="false" ht="15.75" hidden="false" customHeight="true" outlineLevel="0" collapsed="false">
      <c r="A48" s="158" t="s">
        <v>487</v>
      </c>
      <c r="B48" s="158"/>
      <c r="C48" s="158"/>
      <c r="D48" s="158"/>
      <c r="E48" s="158"/>
      <c r="F48" s="158"/>
      <c r="G48" s="158"/>
      <c r="H48" s="158"/>
      <c r="I48" s="158"/>
      <c r="J48" s="158"/>
      <c r="K48" s="158"/>
      <c r="L48" s="158"/>
      <c r="M48" s="158"/>
      <c r="N48" s="158"/>
    </row>
    <row r="49" customFormat="false" ht="14.25" hidden="false" customHeight="true" outlineLevel="0" collapsed="false">
      <c r="A49" s="159" t="s">
        <v>488</v>
      </c>
      <c r="B49" s="159"/>
      <c r="C49" s="160" t="s">
        <v>489</v>
      </c>
      <c r="D49" s="160"/>
      <c r="E49" s="160"/>
      <c r="F49" s="160"/>
      <c r="G49" s="160" t="s">
        <v>490</v>
      </c>
      <c r="H49" s="160"/>
      <c r="I49" s="160" t="s">
        <v>491</v>
      </c>
      <c r="J49" s="160"/>
      <c r="K49" s="161" t="s">
        <v>492</v>
      </c>
      <c r="L49" s="161"/>
      <c r="M49" s="161"/>
      <c r="N49" s="161"/>
    </row>
    <row r="50" customFormat="false" ht="14.25" hidden="false" customHeight="false" outlineLevel="0" collapsed="false">
      <c r="A50" s="162"/>
      <c r="B50" s="162"/>
      <c r="C50" s="163"/>
      <c r="D50" s="163"/>
      <c r="E50" s="163"/>
      <c r="F50" s="163"/>
      <c r="G50" s="164"/>
      <c r="H50" s="164"/>
      <c r="I50" s="165"/>
      <c r="J50" s="165"/>
      <c r="K50" s="166"/>
      <c r="L50" s="166"/>
      <c r="M50" s="166"/>
      <c r="N50" s="166"/>
    </row>
    <row r="51" customFormat="false" ht="14.25" hidden="false" customHeight="false" outlineLevel="0" collapsed="false">
      <c r="A51" s="167"/>
      <c r="B51" s="167"/>
      <c r="C51" s="163"/>
      <c r="D51" s="163"/>
      <c r="E51" s="163"/>
      <c r="F51" s="163"/>
      <c r="G51" s="164"/>
      <c r="H51" s="164"/>
      <c r="I51" s="168"/>
      <c r="J51" s="168"/>
      <c r="K51" s="169"/>
      <c r="L51" s="169"/>
      <c r="M51" s="169"/>
      <c r="N51" s="169"/>
    </row>
    <row r="52" customFormat="false" ht="14.25" hidden="false" customHeight="false" outlineLevel="0" collapsed="false">
      <c r="A52" s="170"/>
      <c r="B52" s="170"/>
      <c r="C52" s="163"/>
      <c r="D52" s="163"/>
      <c r="E52" s="163"/>
      <c r="F52" s="163"/>
      <c r="G52" s="164"/>
      <c r="H52" s="164"/>
      <c r="I52" s="171"/>
      <c r="J52" s="171"/>
      <c r="K52" s="172"/>
      <c r="L52" s="172"/>
      <c r="M52" s="172"/>
      <c r="N52" s="172"/>
    </row>
    <row r="53" customFormat="false" ht="14.25" hidden="false" customHeight="false" outlineLevel="0" collapsed="false">
      <c r="A53" s="170"/>
      <c r="B53" s="170"/>
      <c r="C53" s="163"/>
      <c r="D53" s="163"/>
      <c r="E53" s="163"/>
      <c r="F53" s="163"/>
      <c r="G53" s="173"/>
      <c r="H53" s="173"/>
      <c r="I53" s="171"/>
      <c r="J53" s="171"/>
      <c r="K53" s="172"/>
      <c r="L53" s="172"/>
      <c r="M53" s="172"/>
      <c r="N53" s="172"/>
      <c r="S53" s="174"/>
    </row>
    <row r="54" customFormat="false" ht="14.25" hidden="false" customHeight="false" outlineLevel="0" collapsed="false">
      <c r="A54" s="170"/>
      <c r="B54" s="170"/>
      <c r="C54" s="163"/>
      <c r="D54" s="163"/>
      <c r="E54" s="163"/>
      <c r="F54" s="163"/>
      <c r="G54" s="173"/>
      <c r="H54" s="173"/>
      <c r="I54" s="171"/>
      <c r="J54" s="171"/>
      <c r="K54" s="172"/>
      <c r="L54" s="172"/>
      <c r="M54" s="172"/>
      <c r="N54" s="172"/>
    </row>
    <row r="55" customFormat="false" ht="14.25" hidden="false" customHeight="false" outlineLevel="0" collapsed="false">
      <c r="A55" s="170"/>
      <c r="B55" s="170"/>
      <c r="C55" s="163"/>
      <c r="D55" s="163"/>
      <c r="E55" s="163"/>
      <c r="F55" s="163"/>
      <c r="G55" s="173"/>
      <c r="H55" s="173"/>
      <c r="I55" s="171"/>
      <c r="J55" s="171"/>
      <c r="K55" s="172"/>
      <c r="L55" s="172"/>
      <c r="M55" s="172"/>
      <c r="N55" s="172"/>
    </row>
    <row r="56" customFormat="false" ht="14.25" hidden="false" customHeight="false" outlineLevel="0" collapsed="false">
      <c r="A56" s="170"/>
      <c r="B56" s="170"/>
      <c r="C56" s="163"/>
      <c r="D56" s="163"/>
      <c r="E56" s="163"/>
      <c r="F56" s="163"/>
      <c r="G56" s="173"/>
      <c r="H56" s="173"/>
      <c r="I56" s="171"/>
      <c r="J56" s="171"/>
      <c r="K56" s="172"/>
      <c r="L56" s="172"/>
      <c r="M56" s="172"/>
      <c r="N56" s="172"/>
    </row>
    <row r="57" customFormat="false" ht="14.25" hidden="false" customHeight="false" outlineLevel="0" collapsed="false">
      <c r="A57" s="170"/>
      <c r="B57" s="170"/>
      <c r="C57" s="163"/>
      <c r="D57" s="163"/>
      <c r="E57" s="163"/>
      <c r="F57" s="163"/>
      <c r="G57" s="173"/>
      <c r="H57" s="173"/>
      <c r="I57" s="171"/>
      <c r="J57" s="171"/>
      <c r="K57" s="172"/>
      <c r="L57" s="172"/>
      <c r="M57" s="172"/>
      <c r="N57" s="172"/>
    </row>
    <row r="58" customFormat="false" ht="14.25" hidden="false" customHeight="false" outlineLevel="0" collapsed="false">
      <c r="A58" s="170"/>
      <c r="B58" s="170"/>
      <c r="C58" s="163"/>
      <c r="D58" s="163"/>
      <c r="E58" s="163"/>
      <c r="F58" s="163"/>
      <c r="G58" s="173"/>
      <c r="H58" s="173"/>
      <c r="I58" s="171"/>
      <c r="J58" s="171"/>
      <c r="K58" s="172"/>
      <c r="L58" s="172"/>
      <c r="M58" s="172"/>
      <c r="N58" s="172"/>
    </row>
    <row r="59" customFormat="false" ht="14.25" hidden="false" customHeight="true" outlineLevel="0" collapsed="false">
      <c r="A59" s="175" t="s">
        <v>493</v>
      </c>
      <c r="B59" s="175"/>
      <c r="C59" s="175"/>
      <c r="D59" s="175"/>
      <c r="E59" s="175"/>
      <c r="F59" s="175"/>
      <c r="G59" s="175"/>
      <c r="H59" s="175"/>
      <c r="I59" s="175"/>
      <c r="J59" s="175"/>
      <c r="K59" s="175"/>
      <c r="L59" s="175"/>
      <c r="M59" s="175"/>
      <c r="N59" s="175"/>
    </row>
    <row r="60" customFormat="false" ht="14.25" hidden="false" customHeight="true" outlineLevel="0" collapsed="false">
      <c r="A60" s="176" t="s">
        <v>494</v>
      </c>
      <c r="B60" s="176"/>
      <c r="C60" s="176"/>
      <c r="D60" s="176"/>
      <c r="E60" s="176"/>
      <c r="F60" s="176"/>
      <c r="G60" s="177"/>
      <c r="H60" s="178" t="s">
        <v>495</v>
      </c>
      <c r="I60" s="178"/>
      <c r="J60" s="178"/>
      <c r="K60" s="178"/>
      <c r="L60" s="178"/>
      <c r="M60" s="178"/>
      <c r="N60" s="178"/>
    </row>
    <row r="61" customFormat="false" ht="14.25" hidden="false" customHeight="true" outlineLevel="0" collapsed="false">
      <c r="A61" s="179" t="s">
        <v>496</v>
      </c>
      <c r="B61" s="179"/>
      <c r="C61" s="179"/>
      <c r="D61" s="180" t="s">
        <v>497</v>
      </c>
      <c r="E61" s="181" t="s">
        <v>498</v>
      </c>
      <c r="F61" s="181"/>
      <c r="G61" s="182"/>
      <c r="H61" s="181" t="s">
        <v>496</v>
      </c>
      <c r="I61" s="181"/>
      <c r="J61" s="181"/>
      <c r="K61" s="183" t="s">
        <v>497</v>
      </c>
      <c r="L61" s="183"/>
      <c r="M61" s="184" t="s">
        <v>498</v>
      </c>
      <c r="N61" s="184"/>
    </row>
    <row r="62" customFormat="false" ht="14.25" hidden="false" customHeight="false" outlineLevel="0" collapsed="false">
      <c r="A62" s="185"/>
      <c r="B62" s="185"/>
      <c r="C62" s="185"/>
      <c r="D62" s="186"/>
      <c r="E62" s="187"/>
      <c r="F62" s="187"/>
      <c r="G62" s="177"/>
      <c r="H62" s="171"/>
      <c r="I62" s="171"/>
      <c r="J62" s="171"/>
      <c r="K62" s="186"/>
      <c r="L62" s="186"/>
      <c r="M62" s="188"/>
      <c r="N62" s="188"/>
    </row>
    <row r="63" customFormat="false" ht="14.25" hidden="false" customHeight="false" outlineLevel="0" collapsed="false">
      <c r="A63" s="185"/>
      <c r="B63" s="185"/>
      <c r="C63" s="185"/>
      <c r="D63" s="186"/>
      <c r="E63" s="187"/>
      <c r="F63" s="187"/>
      <c r="G63" s="177"/>
      <c r="H63" s="171"/>
      <c r="I63" s="171"/>
      <c r="J63" s="171"/>
      <c r="K63" s="186"/>
      <c r="L63" s="186"/>
      <c r="M63" s="188"/>
      <c r="N63" s="188"/>
    </row>
    <row r="64" customFormat="false" ht="14.25" hidden="false" customHeight="false" outlineLevel="0" collapsed="false">
      <c r="A64" s="185"/>
      <c r="B64" s="185"/>
      <c r="C64" s="185"/>
      <c r="D64" s="186"/>
      <c r="E64" s="187"/>
      <c r="F64" s="187"/>
      <c r="G64" s="177"/>
      <c r="H64" s="171"/>
      <c r="I64" s="171"/>
      <c r="J64" s="171"/>
      <c r="K64" s="186"/>
      <c r="L64" s="186"/>
      <c r="M64" s="188"/>
      <c r="N64" s="188"/>
    </row>
    <row r="65" customFormat="false" ht="14.25" hidden="false" customHeight="false" outlineLevel="0" collapsed="false">
      <c r="A65" s="185"/>
      <c r="B65" s="185"/>
      <c r="C65" s="185"/>
      <c r="D65" s="186"/>
      <c r="E65" s="187"/>
      <c r="F65" s="187"/>
      <c r="G65" s="177"/>
      <c r="H65" s="171"/>
      <c r="I65" s="171"/>
      <c r="J65" s="171"/>
      <c r="K65" s="186"/>
      <c r="L65" s="186"/>
      <c r="M65" s="188"/>
      <c r="N65" s="188"/>
    </row>
    <row r="66" customFormat="false" ht="14.25" hidden="false" customHeight="false" outlineLevel="0" collapsed="false">
      <c r="A66" s="185"/>
      <c r="B66" s="185"/>
      <c r="C66" s="185"/>
      <c r="D66" s="186"/>
      <c r="E66" s="187"/>
      <c r="F66" s="187"/>
      <c r="G66" s="177"/>
      <c r="H66" s="171"/>
      <c r="I66" s="171"/>
      <c r="J66" s="171"/>
      <c r="K66" s="186"/>
      <c r="L66" s="186"/>
      <c r="M66" s="188"/>
      <c r="N66" s="188"/>
    </row>
    <row r="67" customFormat="false" ht="14.25" hidden="false" customHeight="true" outlineLevel="0" collapsed="false">
      <c r="A67" s="189" t="s">
        <v>499</v>
      </c>
      <c r="B67" s="189"/>
      <c r="C67" s="189"/>
      <c r="D67" s="189"/>
      <c r="E67" s="190" t="n">
        <f aca="false">SUM(E62:F66)</f>
        <v>0</v>
      </c>
      <c r="F67" s="190"/>
      <c r="G67" s="191"/>
      <c r="H67" s="192" t="s">
        <v>500</v>
      </c>
      <c r="I67" s="192"/>
      <c r="J67" s="192"/>
      <c r="K67" s="192"/>
      <c r="L67" s="192"/>
      <c r="M67" s="193" t="n">
        <f aca="false">SUM(M62:N66)</f>
        <v>0</v>
      </c>
      <c r="N67" s="193"/>
    </row>
    <row r="68" customFormat="false" ht="15.75" hidden="false" customHeight="true" outlineLevel="0" collapsed="false">
      <c r="A68" s="158" t="s">
        <v>501</v>
      </c>
      <c r="B68" s="158"/>
      <c r="C68" s="158"/>
      <c r="D68" s="158"/>
      <c r="E68" s="158"/>
      <c r="F68" s="158"/>
      <c r="G68" s="158"/>
      <c r="H68" s="158"/>
      <c r="I68" s="158"/>
      <c r="J68" s="158"/>
      <c r="K68" s="158"/>
      <c r="L68" s="158"/>
      <c r="M68" s="158"/>
      <c r="N68" s="158"/>
    </row>
    <row r="69" customFormat="false" ht="14.25" hidden="false" customHeight="true" outlineLevel="0" collapsed="false">
      <c r="A69" s="194" t="s">
        <v>502</v>
      </c>
      <c r="B69" s="194"/>
      <c r="C69" s="194"/>
      <c r="D69" s="194"/>
      <c r="E69" s="194"/>
      <c r="F69" s="194"/>
      <c r="G69" s="194"/>
      <c r="H69" s="194"/>
      <c r="I69" s="194"/>
      <c r="J69" s="194"/>
      <c r="K69" s="194"/>
      <c r="L69" s="194"/>
      <c r="M69" s="194"/>
      <c r="N69" s="194"/>
    </row>
    <row r="70" customFormat="false" ht="14.25" hidden="false" customHeight="false" outlineLevel="0" collapsed="false">
      <c r="A70" s="195"/>
      <c r="B70" s="195"/>
      <c r="C70" s="195"/>
      <c r="D70" s="195"/>
      <c r="E70" s="195"/>
      <c r="F70" s="195"/>
      <c r="G70" s="195"/>
      <c r="H70" s="195"/>
      <c r="I70" s="195"/>
      <c r="J70" s="195"/>
      <c r="K70" s="195"/>
      <c r="L70" s="195"/>
      <c r="M70" s="195"/>
      <c r="N70" s="195"/>
    </row>
    <row r="71" customFormat="false" ht="14.25" hidden="false" customHeight="true" outlineLevel="0" collapsed="false">
      <c r="A71" s="196" t="s">
        <v>503</v>
      </c>
      <c r="B71" s="196"/>
      <c r="C71" s="196"/>
      <c r="D71" s="196"/>
      <c r="E71" s="196"/>
      <c r="F71" s="196"/>
      <c r="G71" s="196"/>
      <c r="H71" s="196"/>
      <c r="I71" s="196"/>
      <c r="J71" s="196"/>
      <c r="K71" s="196"/>
      <c r="L71" s="196"/>
      <c r="M71" s="196"/>
      <c r="N71" s="196"/>
    </row>
    <row r="72" customFormat="false" ht="14.25" hidden="false" customHeight="false" outlineLevel="0" collapsed="false">
      <c r="A72" s="197"/>
      <c r="B72" s="197"/>
      <c r="C72" s="197"/>
      <c r="D72" s="197"/>
      <c r="E72" s="197"/>
      <c r="F72" s="197"/>
      <c r="G72" s="197"/>
      <c r="H72" s="197"/>
      <c r="I72" s="197"/>
      <c r="J72" s="197"/>
      <c r="K72" s="197"/>
      <c r="L72" s="197"/>
      <c r="M72" s="197"/>
      <c r="N72" s="197"/>
    </row>
    <row r="73" customFormat="false" ht="14.25" hidden="false" customHeight="false" outlineLevel="0" collapsed="false">
      <c r="A73" s="198" t="s">
        <v>504</v>
      </c>
      <c r="B73" s="198"/>
      <c r="C73" s="198"/>
      <c r="D73" s="198"/>
      <c r="E73" s="198"/>
      <c r="F73" s="198"/>
      <c r="G73" s="198"/>
      <c r="H73" s="199" t="s">
        <v>504</v>
      </c>
      <c r="I73" s="199"/>
      <c r="J73" s="199"/>
      <c r="K73" s="199"/>
      <c r="L73" s="199"/>
      <c r="M73" s="199"/>
      <c r="N73" s="199"/>
    </row>
    <row r="74" customFormat="false" ht="14.25" hidden="false" customHeight="true" outlineLevel="0" collapsed="false">
      <c r="A74" s="198"/>
      <c r="B74" s="198"/>
      <c r="C74" s="198"/>
      <c r="D74" s="198"/>
      <c r="E74" s="198"/>
      <c r="F74" s="198"/>
      <c r="G74" s="198"/>
      <c r="H74" s="199"/>
      <c r="I74" s="199"/>
      <c r="J74" s="199"/>
      <c r="K74" s="199"/>
      <c r="L74" s="199"/>
      <c r="M74" s="199"/>
      <c r="N74" s="199"/>
    </row>
    <row r="75" customFormat="false" ht="14.25" hidden="false" customHeight="false" outlineLevel="0" collapsed="false">
      <c r="A75" s="198"/>
      <c r="B75" s="198"/>
      <c r="C75" s="198"/>
      <c r="D75" s="198"/>
      <c r="E75" s="198"/>
      <c r="F75" s="198"/>
      <c r="G75" s="198"/>
      <c r="H75" s="199"/>
      <c r="I75" s="199"/>
      <c r="J75" s="199"/>
      <c r="K75" s="199"/>
      <c r="L75" s="199"/>
      <c r="M75" s="199"/>
      <c r="N75" s="199"/>
    </row>
    <row r="76" customFormat="false" ht="14.25" hidden="false" customHeight="false" outlineLevel="0" collapsed="false">
      <c r="A76" s="198"/>
      <c r="B76" s="198"/>
      <c r="C76" s="198"/>
      <c r="D76" s="198"/>
      <c r="E76" s="198"/>
      <c r="F76" s="198"/>
      <c r="G76" s="198"/>
      <c r="H76" s="199"/>
      <c r="I76" s="199"/>
      <c r="J76" s="199"/>
      <c r="K76" s="199"/>
      <c r="L76" s="199"/>
      <c r="M76" s="199"/>
      <c r="N76" s="199"/>
    </row>
    <row r="77" customFormat="false" ht="14.25" hidden="false" customHeight="true" outlineLevel="0" collapsed="false">
      <c r="A77" s="198"/>
      <c r="B77" s="198"/>
      <c r="C77" s="198"/>
      <c r="D77" s="198"/>
      <c r="E77" s="198"/>
      <c r="F77" s="198"/>
      <c r="G77" s="198"/>
      <c r="H77" s="199"/>
      <c r="I77" s="199"/>
      <c r="J77" s="199"/>
      <c r="K77" s="199"/>
      <c r="L77" s="199"/>
      <c r="M77" s="199"/>
      <c r="N77" s="199"/>
    </row>
    <row r="78" customFormat="false" ht="14.25" hidden="false" customHeight="false" outlineLevel="0" collapsed="false">
      <c r="A78" s="198"/>
      <c r="B78" s="198"/>
      <c r="C78" s="198"/>
      <c r="D78" s="198"/>
      <c r="E78" s="198"/>
      <c r="F78" s="198"/>
      <c r="G78" s="198"/>
      <c r="H78" s="199"/>
      <c r="I78" s="199"/>
      <c r="J78" s="199"/>
      <c r="K78" s="199"/>
      <c r="L78" s="199"/>
      <c r="M78" s="199"/>
      <c r="N78" s="199"/>
    </row>
    <row r="79" customFormat="false" ht="14.25" hidden="false" customHeight="false" outlineLevel="0" collapsed="false">
      <c r="A79" s="198"/>
      <c r="B79" s="198"/>
      <c r="C79" s="198"/>
      <c r="D79" s="198"/>
      <c r="E79" s="198"/>
      <c r="F79" s="198"/>
      <c r="G79" s="198"/>
      <c r="H79" s="199"/>
      <c r="I79" s="199"/>
      <c r="J79" s="199"/>
      <c r="K79" s="199"/>
      <c r="L79" s="199"/>
      <c r="M79" s="199"/>
      <c r="N79" s="199"/>
    </row>
    <row r="80" customFormat="false" ht="15.75" hidden="false" customHeight="true" outlineLevel="0" collapsed="false">
      <c r="A80" s="198"/>
      <c r="B80" s="198"/>
      <c r="C80" s="198"/>
      <c r="D80" s="198"/>
      <c r="E80" s="198"/>
      <c r="F80" s="198"/>
      <c r="G80" s="198"/>
      <c r="H80" s="199"/>
      <c r="I80" s="199"/>
      <c r="J80" s="199"/>
      <c r="K80" s="199"/>
      <c r="L80" s="199"/>
      <c r="M80" s="199"/>
      <c r="N80" s="199"/>
    </row>
    <row r="81" customFormat="false" ht="14.25" hidden="false" customHeight="true" outlineLevel="0" collapsed="false">
      <c r="A81" s="198"/>
      <c r="B81" s="198"/>
      <c r="C81" s="198"/>
      <c r="D81" s="198"/>
      <c r="E81" s="198"/>
      <c r="F81" s="198"/>
      <c r="G81" s="198"/>
      <c r="H81" s="199"/>
      <c r="I81" s="199"/>
      <c r="J81" s="199"/>
      <c r="K81" s="199"/>
      <c r="L81" s="199"/>
      <c r="M81" s="199"/>
      <c r="N81" s="199"/>
    </row>
    <row r="82" customFormat="false" ht="14.25" hidden="false" customHeight="false" outlineLevel="0" collapsed="false">
      <c r="A82" s="198"/>
      <c r="B82" s="198"/>
      <c r="C82" s="198"/>
      <c r="D82" s="198"/>
      <c r="E82" s="198"/>
      <c r="F82" s="198"/>
      <c r="G82" s="198"/>
      <c r="H82" s="199"/>
      <c r="I82" s="199"/>
      <c r="J82" s="199"/>
      <c r="K82" s="199"/>
      <c r="L82" s="199"/>
      <c r="M82" s="199"/>
      <c r="N82" s="199"/>
    </row>
    <row r="83" customFormat="false" ht="14.25" hidden="false" customHeight="false" outlineLevel="0" collapsed="false">
      <c r="A83" s="198"/>
      <c r="B83" s="198"/>
      <c r="C83" s="198"/>
      <c r="D83" s="198"/>
      <c r="E83" s="198"/>
      <c r="F83" s="198"/>
      <c r="G83" s="198"/>
      <c r="H83" s="199"/>
      <c r="I83" s="199"/>
      <c r="J83" s="199"/>
      <c r="K83" s="199"/>
      <c r="L83" s="199"/>
      <c r="M83" s="199"/>
      <c r="N83" s="199"/>
    </row>
    <row r="84" customFormat="false" ht="14.25" hidden="false" customHeight="false" outlineLevel="0" collapsed="false">
      <c r="A84" s="198"/>
      <c r="B84" s="198"/>
      <c r="C84" s="198"/>
      <c r="D84" s="198"/>
      <c r="E84" s="198"/>
      <c r="F84" s="198"/>
      <c r="G84" s="198"/>
      <c r="H84" s="199"/>
      <c r="I84" s="199"/>
      <c r="J84" s="199"/>
      <c r="K84" s="199"/>
      <c r="L84" s="199"/>
      <c r="M84" s="199"/>
      <c r="N84" s="199"/>
    </row>
    <row r="85" customFormat="false" ht="14.25" hidden="false" customHeight="false" outlineLevel="0" collapsed="false">
      <c r="A85" s="198"/>
      <c r="B85" s="198"/>
      <c r="C85" s="198"/>
      <c r="D85" s="198"/>
      <c r="E85" s="198"/>
      <c r="F85" s="198"/>
      <c r="G85" s="198"/>
      <c r="H85" s="199"/>
      <c r="I85" s="199"/>
      <c r="J85" s="199"/>
      <c r="K85" s="199"/>
      <c r="L85" s="199"/>
      <c r="M85" s="199"/>
      <c r="N85" s="199"/>
    </row>
    <row r="86" customFormat="false" ht="14.25" hidden="false" customHeight="false" outlineLevel="0" collapsed="false">
      <c r="A86" s="198"/>
      <c r="B86" s="198"/>
      <c r="C86" s="198"/>
      <c r="D86" s="198"/>
      <c r="E86" s="198"/>
      <c r="F86" s="198"/>
      <c r="G86" s="198"/>
      <c r="H86" s="199"/>
      <c r="I86" s="199"/>
      <c r="J86" s="199"/>
      <c r="K86" s="199"/>
      <c r="L86" s="199"/>
      <c r="M86" s="199"/>
      <c r="N86" s="199"/>
    </row>
    <row r="87" customFormat="false" ht="14.25" hidden="false" customHeight="false" outlineLevel="0" collapsed="false">
      <c r="A87" s="198"/>
      <c r="B87" s="198"/>
      <c r="C87" s="198"/>
      <c r="D87" s="198"/>
      <c r="E87" s="198"/>
      <c r="F87" s="198"/>
      <c r="G87" s="198"/>
      <c r="H87" s="199"/>
      <c r="I87" s="199"/>
      <c r="J87" s="199"/>
      <c r="K87" s="199"/>
      <c r="L87" s="199"/>
      <c r="M87" s="199"/>
      <c r="N87" s="199"/>
    </row>
    <row r="88" customFormat="false" ht="14.25" hidden="false" customHeight="false" outlineLevel="0" collapsed="false">
      <c r="A88" s="198"/>
      <c r="B88" s="198"/>
      <c r="C88" s="198"/>
      <c r="D88" s="198"/>
      <c r="E88" s="198"/>
      <c r="F88" s="198"/>
      <c r="G88" s="198"/>
      <c r="H88" s="199"/>
      <c r="I88" s="199"/>
      <c r="J88" s="199"/>
      <c r="K88" s="199"/>
      <c r="L88" s="199"/>
      <c r="M88" s="199"/>
      <c r="N88" s="199"/>
    </row>
    <row r="89" customFormat="false" ht="14.25" hidden="false" customHeight="false" outlineLevel="0" collapsed="false">
      <c r="A89" s="198" t="s">
        <v>504</v>
      </c>
      <c r="B89" s="198"/>
      <c r="C89" s="198"/>
      <c r="D89" s="198"/>
      <c r="E89" s="198"/>
      <c r="F89" s="198"/>
      <c r="G89" s="198"/>
      <c r="H89" s="199" t="s">
        <v>504</v>
      </c>
      <c r="I89" s="199"/>
      <c r="J89" s="199"/>
      <c r="K89" s="199"/>
      <c r="L89" s="199"/>
      <c r="M89" s="199"/>
      <c r="N89" s="199"/>
    </row>
    <row r="90" customFormat="false" ht="14.25" hidden="false" customHeight="false" outlineLevel="0" collapsed="false">
      <c r="A90" s="198"/>
      <c r="B90" s="198"/>
      <c r="C90" s="198"/>
      <c r="D90" s="198"/>
      <c r="E90" s="198"/>
      <c r="F90" s="198"/>
      <c r="G90" s="198"/>
      <c r="H90" s="199"/>
      <c r="I90" s="199"/>
      <c r="J90" s="199"/>
      <c r="K90" s="199"/>
      <c r="L90" s="199"/>
      <c r="M90" s="199"/>
      <c r="N90" s="199"/>
    </row>
    <row r="91" customFormat="false" ht="14.25" hidden="false" customHeight="false" outlineLevel="0" collapsed="false">
      <c r="A91" s="198"/>
      <c r="B91" s="198"/>
      <c r="C91" s="198"/>
      <c r="D91" s="198"/>
      <c r="E91" s="198"/>
      <c r="F91" s="198"/>
      <c r="G91" s="198"/>
      <c r="H91" s="199"/>
      <c r="I91" s="199"/>
      <c r="J91" s="199"/>
      <c r="K91" s="199"/>
      <c r="L91" s="199"/>
      <c r="M91" s="199"/>
      <c r="N91" s="199"/>
    </row>
    <row r="92" customFormat="false" ht="14.25" hidden="false" customHeight="false" outlineLevel="0" collapsed="false">
      <c r="A92" s="198"/>
      <c r="B92" s="198"/>
      <c r="C92" s="198"/>
      <c r="D92" s="198"/>
      <c r="E92" s="198"/>
      <c r="F92" s="198"/>
      <c r="G92" s="198"/>
      <c r="H92" s="199"/>
      <c r="I92" s="199"/>
      <c r="J92" s="199"/>
      <c r="K92" s="199"/>
      <c r="L92" s="199"/>
      <c r="M92" s="199"/>
      <c r="N92" s="199"/>
    </row>
    <row r="93" customFormat="false" ht="14.25" hidden="false" customHeight="false" outlineLevel="0" collapsed="false">
      <c r="A93" s="198"/>
      <c r="B93" s="198"/>
      <c r="C93" s="198"/>
      <c r="D93" s="198"/>
      <c r="E93" s="198"/>
      <c r="F93" s="198"/>
      <c r="G93" s="198"/>
      <c r="H93" s="199"/>
      <c r="I93" s="199"/>
      <c r="J93" s="199"/>
      <c r="K93" s="199"/>
      <c r="L93" s="199"/>
      <c r="M93" s="199"/>
      <c r="N93" s="199"/>
    </row>
    <row r="94" customFormat="false" ht="14.25" hidden="false" customHeight="false" outlineLevel="0" collapsed="false">
      <c r="A94" s="198"/>
      <c r="B94" s="198"/>
      <c r="C94" s="198"/>
      <c r="D94" s="198"/>
      <c r="E94" s="198"/>
      <c r="F94" s="198"/>
      <c r="G94" s="198"/>
      <c r="H94" s="199"/>
      <c r="I94" s="199"/>
      <c r="J94" s="199"/>
      <c r="K94" s="199"/>
      <c r="L94" s="199"/>
      <c r="M94" s="199"/>
      <c r="N94" s="199"/>
    </row>
    <row r="95" customFormat="false" ht="14.25" hidden="false" customHeight="false" outlineLevel="0" collapsed="false">
      <c r="A95" s="198"/>
      <c r="B95" s="198"/>
      <c r="C95" s="198"/>
      <c r="D95" s="198"/>
      <c r="E95" s="198"/>
      <c r="F95" s="198"/>
      <c r="G95" s="198"/>
      <c r="H95" s="199"/>
      <c r="I95" s="199"/>
      <c r="J95" s="199"/>
      <c r="K95" s="199"/>
      <c r="L95" s="199"/>
      <c r="M95" s="199"/>
      <c r="N95" s="199"/>
    </row>
    <row r="96" customFormat="false" ht="14.25" hidden="false" customHeight="false" outlineLevel="0" collapsed="false">
      <c r="A96" s="198"/>
      <c r="B96" s="198"/>
      <c r="C96" s="198"/>
      <c r="D96" s="198"/>
      <c r="E96" s="198"/>
      <c r="F96" s="198"/>
      <c r="G96" s="198"/>
      <c r="H96" s="199"/>
      <c r="I96" s="199"/>
      <c r="J96" s="199"/>
      <c r="K96" s="199"/>
      <c r="L96" s="199"/>
      <c r="M96" s="199"/>
      <c r="N96" s="199"/>
    </row>
    <row r="97" customFormat="false" ht="14.25" hidden="false" customHeight="false" outlineLevel="0" collapsed="false">
      <c r="A97" s="198"/>
      <c r="B97" s="198"/>
      <c r="C97" s="198"/>
      <c r="D97" s="198"/>
      <c r="E97" s="198"/>
      <c r="F97" s="198"/>
      <c r="G97" s="198"/>
      <c r="H97" s="199"/>
      <c r="I97" s="199"/>
      <c r="J97" s="199"/>
      <c r="K97" s="199"/>
      <c r="L97" s="199"/>
      <c r="M97" s="199"/>
      <c r="N97" s="199"/>
    </row>
    <row r="98" customFormat="false" ht="14.25" hidden="false" customHeight="false" outlineLevel="0" collapsed="false">
      <c r="A98" s="198"/>
      <c r="B98" s="198"/>
      <c r="C98" s="198"/>
      <c r="D98" s="198"/>
      <c r="E98" s="198"/>
      <c r="F98" s="198"/>
      <c r="G98" s="198"/>
      <c r="H98" s="199"/>
      <c r="I98" s="199"/>
      <c r="J98" s="199"/>
      <c r="K98" s="199"/>
      <c r="L98" s="199"/>
      <c r="M98" s="199"/>
      <c r="N98" s="199"/>
    </row>
    <row r="99" customFormat="false" ht="14.25" hidden="false" customHeight="false" outlineLevel="0" collapsed="false">
      <c r="A99" s="198"/>
      <c r="B99" s="198"/>
      <c r="C99" s="198"/>
      <c r="D99" s="198"/>
      <c r="E99" s="198"/>
      <c r="F99" s="198"/>
      <c r="G99" s="198"/>
      <c r="H99" s="199"/>
      <c r="I99" s="199"/>
      <c r="J99" s="199"/>
      <c r="K99" s="199"/>
      <c r="L99" s="199"/>
      <c r="M99" s="199"/>
      <c r="N99" s="199"/>
    </row>
    <row r="100" customFormat="false" ht="14.25" hidden="false" customHeight="false" outlineLevel="0" collapsed="false">
      <c r="A100" s="198"/>
      <c r="B100" s="198"/>
      <c r="C100" s="198"/>
      <c r="D100" s="198"/>
      <c r="E100" s="198"/>
      <c r="F100" s="198"/>
      <c r="G100" s="198"/>
      <c r="H100" s="199"/>
      <c r="I100" s="199"/>
      <c r="J100" s="199"/>
      <c r="K100" s="199"/>
      <c r="L100" s="199"/>
      <c r="M100" s="199"/>
      <c r="N100" s="199"/>
    </row>
    <row r="101" customFormat="false" ht="14.25" hidden="false" customHeight="false" outlineLevel="0" collapsed="false">
      <c r="A101" s="198"/>
      <c r="B101" s="198"/>
      <c r="C101" s="198"/>
      <c r="D101" s="198"/>
      <c r="E101" s="198"/>
      <c r="F101" s="198"/>
      <c r="G101" s="198"/>
      <c r="H101" s="199"/>
      <c r="I101" s="199"/>
      <c r="J101" s="199"/>
      <c r="K101" s="199"/>
      <c r="L101" s="199"/>
      <c r="M101" s="199"/>
      <c r="N101" s="199"/>
    </row>
    <row r="102" customFormat="false" ht="14.25" hidden="false" customHeight="false" outlineLevel="0" collapsed="false">
      <c r="A102" s="198"/>
      <c r="B102" s="198"/>
      <c r="C102" s="198"/>
      <c r="D102" s="198"/>
      <c r="E102" s="198"/>
      <c r="F102" s="198"/>
      <c r="G102" s="198"/>
      <c r="H102" s="199"/>
      <c r="I102" s="199"/>
      <c r="J102" s="199"/>
      <c r="K102" s="199"/>
      <c r="L102" s="199"/>
      <c r="M102" s="199"/>
      <c r="N102" s="199"/>
    </row>
    <row r="103" customFormat="false" ht="14.25" hidden="false" customHeight="false" outlineLevel="0" collapsed="false">
      <c r="A103" s="198"/>
      <c r="B103" s="198"/>
      <c r="C103" s="198"/>
      <c r="D103" s="198"/>
      <c r="E103" s="198"/>
      <c r="F103" s="198"/>
      <c r="G103" s="198"/>
      <c r="H103" s="199"/>
      <c r="I103" s="199"/>
      <c r="J103" s="199"/>
      <c r="K103" s="199"/>
      <c r="L103" s="199"/>
      <c r="M103" s="199"/>
      <c r="N103" s="199"/>
    </row>
    <row r="104" customFormat="false" ht="14.25" hidden="false" customHeight="false" outlineLevel="0" collapsed="false">
      <c r="A104" s="198"/>
      <c r="B104" s="198"/>
      <c r="C104" s="198"/>
      <c r="D104" s="198"/>
      <c r="E104" s="198"/>
      <c r="F104" s="198"/>
      <c r="G104" s="198"/>
      <c r="H104" s="199"/>
      <c r="I104" s="199"/>
      <c r="J104" s="199"/>
      <c r="K104" s="199"/>
      <c r="L104" s="199"/>
      <c r="M104" s="199"/>
      <c r="N104" s="199"/>
    </row>
    <row r="105" customFormat="false" ht="14.25" hidden="false" customHeight="false" outlineLevel="0" collapsed="false">
      <c r="A105" s="198" t="s">
        <v>504</v>
      </c>
      <c r="B105" s="198"/>
      <c r="C105" s="198"/>
      <c r="D105" s="198"/>
      <c r="E105" s="198"/>
      <c r="F105" s="198"/>
      <c r="G105" s="198"/>
      <c r="H105" s="199" t="s">
        <v>504</v>
      </c>
      <c r="I105" s="199"/>
      <c r="J105" s="199"/>
      <c r="K105" s="199"/>
      <c r="L105" s="199"/>
      <c r="M105" s="199"/>
      <c r="N105" s="199"/>
    </row>
    <row r="106" customFormat="false" ht="14.25" hidden="false" customHeight="false" outlineLevel="0" collapsed="false">
      <c r="A106" s="198"/>
      <c r="B106" s="198"/>
      <c r="C106" s="198"/>
      <c r="D106" s="198"/>
      <c r="E106" s="198"/>
      <c r="F106" s="198"/>
      <c r="G106" s="198"/>
      <c r="H106" s="199"/>
      <c r="I106" s="199"/>
      <c r="J106" s="199"/>
      <c r="K106" s="199"/>
      <c r="L106" s="199"/>
      <c r="M106" s="199"/>
      <c r="N106" s="199"/>
    </row>
    <row r="107" customFormat="false" ht="14.25" hidden="false" customHeight="false" outlineLevel="0" collapsed="false">
      <c r="A107" s="198"/>
      <c r="B107" s="198"/>
      <c r="C107" s="198"/>
      <c r="D107" s="198"/>
      <c r="E107" s="198"/>
      <c r="F107" s="198"/>
      <c r="G107" s="198"/>
      <c r="H107" s="199"/>
      <c r="I107" s="199"/>
      <c r="J107" s="199"/>
      <c r="K107" s="199"/>
      <c r="L107" s="199"/>
      <c r="M107" s="199"/>
      <c r="N107" s="199"/>
    </row>
    <row r="108" customFormat="false" ht="14.25" hidden="false" customHeight="false" outlineLevel="0" collapsed="false">
      <c r="A108" s="198"/>
      <c r="B108" s="198"/>
      <c r="C108" s="198"/>
      <c r="D108" s="198"/>
      <c r="E108" s="198"/>
      <c r="F108" s="198"/>
      <c r="G108" s="198"/>
      <c r="H108" s="199"/>
      <c r="I108" s="199"/>
      <c r="J108" s="199"/>
      <c r="K108" s="199"/>
      <c r="L108" s="199"/>
      <c r="M108" s="199"/>
      <c r="N108" s="199"/>
    </row>
    <row r="109" customFormat="false" ht="14.25" hidden="false" customHeight="false" outlineLevel="0" collapsed="false">
      <c r="A109" s="198"/>
      <c r="B109" s="198"/>
      <c r="C109" s="198"/>
      <c r="D109" s="198"/>
      <c r="E109" s="198"/>
      <c r="F109" s="198"/>
      <c r="G109" s="198"/>
      <c r="H109" s="199"/>
      <c r="I109" s="199"/>
      <c r="J109" s="199"/>
      <c r="K109" s="199"/>
      <c r="L109" s="199"/>
      <c r="M109" s="199"/>
      <c r="N109" s="199"/>
    </row>
    <row r="110" customFormat="false" ht="14.25" hidden="false" customHeight="false" outlineLevel="0" collapsed="false">
      <c r="A110" s="198"/>
      <c r="B110" s="198"/>
      <c r="C110" s="198"/>
      <c r="D110" s="198"/>
      <c r="E110" s="198"/>
      <c r="F110" s="198"/>
      <c r="G110" s="198"/>
      <c r="H110" s="199"/>
      <c r="I110" s="199"/>
      <c r="J110" s="199"/>
      <c r="K110" s="199"/>
      <c r="L110" s="199"/>
      <c r="M110" s="199"/>
      <c r="N110" s="199"/>
    </row>
    <row r="111" customFormat="false" ht="14.25" hidden="false" customHeight="false" outlineLevel="0" collapsed="false">
      <c r="A111" s="198"/>
      <c r="B111" s="198"/>
      <c r="C111" s="198"/>
      <c r="D111" s="198"/>
      <c r="E111" s="198"/>
      <c r="F111" s="198"/>
      <c r="G111" s="198"/>
      <c r="H111" s="199"/>
      <c r="I111" s="199"/>
      <c r="J111" s="199"/>
      <c r="K111" s="199"/>
      <c r="L111" s="199"/>
      <c r="M111" s="199"/>
      <c r="N111" s="199"/>
    </row>
    <row r="112" customFormat="false" ht="14.25" hidden="false" customHeight="false" outlineLevel="0" collapsed="false">
      <c r="A112" s="198"/>
      <c r="B112" s="198"/>
      <c r="C112" s="198"/>
      <c r="D112" s="198"/>
      <c r="E112" s="198"/>
      <c r="F112" s="198"/>
      <c r="G112" s="198"/>
      <c r="H112" s="199"/>
      <c r="I112" s="199"/>
      <c r="J112" s="199"/>
      <c r="K112" s="199"/>
      <c r="L112" s="199"/>
      <c r="M112" s="199"/>
      <c r="N112" s="199"/>
    </row>
    <row r="113" customFormat="false" ht="14.25" hidden="false" customHeight="false" outlineLevel="0" collapsed="false">
      <c r="A113" s="198"/>
      <c r="B113" s="198"/>
      <c r="C113" s="198"/>
      <c r="D113" s="198"/>
      <c r="E113" s="198"/>
      <c r="F113" s="198"/>
      <c r="G113" s="198"/>
      <c r="H113" s="199"/>
      <c r="I113" s="199"/>
      <c r="J113" s="199"/>
      <c r="K113" s="199"/>
      <c r="L113" s="199"/>
      <c r="M113" s="199"/>
      <c r="N113" s="199"/>
    </row>
    <row r="114" customFormat="false" ht="14.25" hidden="false" customHeight="false" outlineLevel="0" collapsed="false">
      <c r="A114" s="198"/>
      <c r="B114" s="198"/>
      <c r="C114" s="198"/>
      <c r="D114" s="198"/>
      <c r="E114" s="198"/>
      <c r="F114" s="198"/>
      <c r="G114" s="198"/>
      <c r="H114" s="199"/>
      <c r="I114" s="199"/>
      <c r="J114" s="199"/>
      <c r="K114" s="199"/>
      <c r="L114" s="199"/>
      <c r="M114" s="199"/>
      <c r="N114" s="199"/>
    </row>
    <row r="115" customFormat="false" ht="14.25" hidden="false" customHeight="false" outlineLevel="0" collapsed="false">
      <c r="A115" s="198"/>
      <c r="B115" s="198"/>
      <c r="C115" s="198"/>
      <c r="D115" s="198"/>
      <c r="E115" s="198"/>
      <c r="F115" s="198"/>
      <c r="G115" s="198"/>
      <c r="H115" s="199"/>
      <c r="I115" s="199"/>
      <c r="J115" s="199"/>
      <c r="K115" s="199"/>
      <c r="L115" s="199"/>
      <c r="M115" s="199"/>
      <c r="N115" s="199"/>
    </row>
    <row r="116" customFormat="false" ht="14.25" hidden="false" customHeight="false" outlineLevel="0" collapsed="false">
      <c r="A116" s="198"/>
      <c r="B116" s="198"/>
      <c r="C116" s="198"/>
      <c r="D116" s="198"/>
      <c r="E116" s="198"/>
      <c r="F116" s="198"/>
      <c r="G116" s="198"/>
      <c r="H116" s="199"/>
      <c r="I116" s="199"/>
      <c r="J116" s="199"/>
      <c r="K116" s="199"/>
      <c r="L116" s="199"/>
      <c r="M116" s="199"/>
      <c r="N116" s="199"/>
    </row>
    <row r="117" customFormat="false" ht="14.25" hidden="false" customHeight="false" outlineLevel="0" collapsed="false">
      <c r="A117" s="198"/>
      <c r="B117" s="198"/>
      <c r="C117" s="198"/>
      <c r="D117" s="198"/>
      <c r="E117" s="198"/>
      <c r="F117" s="198"/>
      <c r="G117" s="198"/>
      <c r="H117" s="199"/>
      <c r="I117" s="199"/>
      <c r="J117" s="199"/>
      <c r="K117" s="199"/>
      <c r="L117" s="199"/>
      <c r="M117" s="199"/>
      <c r="N117" s="199"/>
    </row>
    <row r="118" customFormat="false" ht="14.25" hidden="false" customHeight="false" outlineLevel="0" collapsed="false">
      <c r="A118" s="198"/>
      <c r="B118" s="198"/>
      <c r="C118" s="198"/>
      <c r="D118" s="198"/>
      <c r="E118" s="198"/>
      <c r="F118" s="198"/>
      <c r="G118" s="198"/>
      <c r="H118" s="199"/>
      <c r="I118" s="199"/>
      <c r="J118" s="199"/>
      <c r="K118" s="199"/>
      <c r="L118" s="199"/>
      <c r="M118" s="199"/>
      <c r="N118" s="199"/>
    </row>
    <row r="119" customFormat="false" ht="14.25" hidden="false" customHeight="false" outlineLevel="0" collapsed="false">
      <c r="A119" s="198"/>
      <c r="B119" s="198"/>
      <c r="C119" s="198"/>
      <c r="D119" s="198"/>
      <c r="E119" s="198"/>
      <c r="F119" s="198"/>
      <c r="G119" s="198"/>
      <c r="H119" s="199"/>
      <c r="I119" s="199"/>
      <c r="J119" s="199"/>
      <c r="K119" s="199"/>
      <c r="L119" s="199"/>
      <c r="M119" s="199"/>
      <c r="N119" s="199"/>
    </row>
    <row r="120" customFormat="false" ht="14.25" hidden="false" customHeight="false" outlineLevel="0" collapsed="false">
      <c r="A120" s="198"/>
      <c r="B120" s="198"/>
      <c r="C120" s="198"/>
      <c r="D120" s="198"/>
      <c r="E120" s="198"/>
      <c r="F120" s="198"/>
      <c r="G120" s="198"/>
      <c r="H120" s="199"/>
      <c r="I120" s="199"/>
      <c r="J120" s="199"/>
      <c r="K120" s="199"/>
      <c r="L120" s="199"/>
      <c r="M120" s="199"/>
      <c r="N120" s="199"/>
    </row>
    <row r="121" customFormat="false" ht="14.25" hidden="false" customHeight="false" outlineLevel="0" collapsed="false">
      <c r="A121" s="200"/>
      <c r="B121" s="200"/>
      <c r="C121" s="200"/>
      <c r="D121" s="200"/>
      <c r="E121" s="200"/>
      <c r="F121" s="200"/>
      <c r="G121" s="200"/>
      <c r="H121" s="201"/>
      <c r="I121" s="201"/>
      <c r="J121" s="201"/>
      <c r="K121" s="201"/>
      <c r="L121" s="201"/>
      <c r="M121" s="201"/>
      <c r="N121" s="201"/>
    </row>
    <row r="122" customFormat="false" ht="14.25" hidden="false" customHeight="true" outlineLevel="0" collapsed="false">
      <c r="A122" s="202" t="s">
        <v>505</v>
      </c>
      <c r="B122" s="202"/>
      <c r="C122" s="202"/>
      <c r="D122" s="202"/>
      <c r="E122" s="202"/>
      <c r="F122" s="202"/>
      <c r="G122" s="202"/>
      <c r="H122" s="202"/>
      <c r="I122" s="202"/>
      <c r="J122" s="202"/>
      <c r="K122" s="202"/>
      <c r="L122" s="202"/>
      <c r="M122" s="202"/>
      <c r="N122" s="202"/>
    </row>
    <row r="123" customFormat="false" ht="14.25" hidden="false" customHeight="true" outlineLevel="0" collapsed="false">
      <c r="A123" s="203" t="s">
        <v>506</v>
      </c>
      <c r="B123" s="203"/>
      <c r="C123" s="203"/>
      <c r="D123" s="203"/>
      <c r="E123" s="204" t="s">
        <v>507</v>
      </c>
      <c r="F123" s="204"/>
      <c r="G123" s="204"/>
      <c r="H123" s="204"/>
      <c r="I123" s="204"/>
      <c r="J123" s="205" t="s">
        <v>508</v>
      </c>
      <c r="K123" s="205"/>
      <c r="L123" s="205"/>
      <c r="M123" s="205"/>
      <c r="N123" s="205"/>
    </row>
    <row r="124" customFormat="false" ht="14.25" hidden="false" customHeight="false" outlineLevel="0" collapsed="false">
      <c r="A124" s="206" t="s">
        <v>509</v>
      </c>
      <c r="B124" s="207"/>
      <c r="C124" s="207"/>
      <c r="D124" s="207"/>
      <c r="E124" s="208" t="s">
        <v>509</v>
      </c>
      <c r="F124" s="207"/>
      <c r="G124" s="207"/>
      <c r="H124" s="207"/>
      <c r="I124" s="207"/>
      <c r="J124" s="208" t="s">
        <v>509</v>
      </c>
      <c r="K124" s="209"/>
      <c r="L124" s="209"/>
      <c r="M124" s="209"/>
      <c r="N124" s="209"/>
    </row>
    <row r="125" customFormat="false" ht="14.25" hidden="false" customHeight="false" outlineLevel="0" collapsed="false">
      <c r="A125" s="206"/>
      <c r="B125" s="207"/>
      <c r="C125" s="207"/>
      <c r="D125" s="207"/>
      <c r="E125" s="208"/>
      <c r="F125" s="208"/>
      <c r="G125" s="207"/>
      <c r="H125" s="207"/>
      <c r="I125" s="207"/>
      <c r="J125" s="208"/>
      <c r="K125" s="209"/>
      <c r="L125" s="209"/>
      <c r="M125" s="209"/>
      <c r="N125" s="209"/>
    </row>
    <row r="126" customFormat="false" ht="14.25" hidden="false" customHeight="false" outlineLevel="0" collapsed="false">
      <c r="A126" s="206" t="s">
        <v>510</v>
      </c>
      <c r="B126" s="207"/>
      <c r="C126" s="207"/>
      <c r="D126" s="207"/>
      <c r="E126" s="208" t="s">
        <v>510</v>
      </c>
      <c r="F126" s="207"/>
      <c r="G126" s="207"/>
      <c r="H126" s="207"/>
      <c r="I126" s="207"/>
      <c r="J126" s="208" t="s">
        <v>510</v>
      </c>
      <c r="K126" s="209"/>
      <c r="L126" s="209"/>
      <c r="M126" s="209"/>
      <c r="N126" s="209"/>
    </row>
    <row r="127" customFormat="false" ht="14.25" hidden="false" customHeight="false" outlineLevel="0" collapsed="false">
      <c r="A127" s="206"/>
      <c r="B127" s="207"/>
      <c r="C127" s="207"/>
      <c r="D127" s="207"/>
      <c r="E127" s="208"/>
      <c r="F127" s="208"/>
      <c r="G127" s="207"/>
      <c r="H127" s="207"/>
      <c r="I127" s="207"/>
      <c r="J127" s="208"/>
      <c r="K127" s="209"/>
      <c r="L127" s="209"/>
      <c r="M127" s="209"/>
      <c r="N127" s="209"/>
    </row>
    <row r="128" customFormat="false" ht="14.25" hidden="false" customHeight="false" outlineLevel="0" collapsed="false">
      <c r="A128" s="210" t="s">
        <v>511</v>
      </c>
      <c r="B128" s="211"/>
      <c r="C128" s="211"/>
      <c r="D128" s="211"/>
      <c r="E128" s="212" t="s">
        <v>511</v>
      </c>
      <c r="F128" s="211"/>
      <c r="G128" s="211"/>
      <c r="H128" s="211"/>
      <c r="I128" s="211"/>
      <c r="J128" s="212" t="s">
        <v>511</v>
      </c>
      <c r="K128" s="213"/>
      <c r="L128" s="213"/>
      <c r="M128" s="213"/>
      <c r="N128" s="213"/>
    </row>
    <row r="129" customFormat="false" ht="14.25" hidden="false" customHeight="false" outlineLevel="0" collapsed="false">
      <c r="A129" s="210"/>
      <c r="B129" s="211"/>
      <c r="C129" s="211"/>
      <c r="D129" s="211"/>
      <c r="E129" s="212"/>
      <c r="F129" s="212"/>
      <c r="G129" s="211"/>
      <c r="H129" s="211"/>
      <c r="I129" s="211"/>
      <c r="J129" s="212"/>
      <c r="K129" s="212"/>
      <c r="L129" s="213"/>
      <c r="M129" s="213"/>
      <c r="N129" s="213"/>
    </row>
    <row r="130" customFormat="false" ht="14.25" hidden="false" customHeight="false" outlineLevel="0" collapsed="false">
      <c r="A130" s="214" t="s">
        <v>44</v>
      </c>
      <c r="N130" s="215" t="str">
        <f aca="false">M8</f>
        <v>RYR-IM-001</v>
      </c>
      <c r="O130" s="216"/>
    </row>
    <row r="131" customFormat="false" ht="14.25" hidden="false" customHeight="false" outlineLevel="0" collapsed="false">
      <c r="N131" s="217"/>
      <c r="O131" s="218"/>
    </row>
  </sheetData>
  <mergeCells count="215">
    <mergeCell ref="E1:N5"/>
    <mergeCell ref="L7:N7"/>
    <mergeCell ref="E8:K9"/>
    <mergeCell ref="M8:N8"/>
    <mergeCell ref="M9:N9"/>
    <mergeCell ref="E10:K10"/>
    <mergeCell ref="M10:N10"/>
    <mergeCell ref="M11:N11"/>
    <mergeCell ref="A12:N12"/>
    <mergeCell ref="A13:D13"/>
    <mergeCell ref="E13:N13"/>
    <mergeCell ref="A14:D14"/>
    <mergeCell ref="E14:H14"/>
    <mergeCell ref="I14:K14"/>
    <mergeCell ref="L14:N14"/>
    <mergeCell ref="A15:D15"/>
    <mergeCell ref="E15:H15"/>
    <mergeCell ref="I15:K15"/>
    <mergeCell ref="L15:N15"/>
    <mergeCell ref="A16:D16"/>
    <mergeCell ref="E16:H16"/>
    <mergeCell ref="I16:K16"/>
    <mergeCell ref="L16:N16"/>
    <mergeCell ref="A17:N17"/>
    <mergeCell ref="A18:N18"/>
    <mergeCell ref="A19:N19"/>
    <mergeCell ref="A20:C20"/>
    <mergeCell ref="D20:F20"/>
    <mergeCell ref="G20:I20"/>
    <mergeCell ref="J20:N20"/>
    <mergeCell ref="A21:C21"/>
    <mergeCell ref="D21:F21"/>
    <mergeCell ref="G21:I21"/>
    <mergeCell ref="J21:N21"/>
    <mergeCell ref="A22:E22"/>
    <mergeCell ref="F22:G22"/>
    <mergeCell ref="H22:J22"/>
    <mergeCell ref="K22:N22"/>
    <mergeCell ref="A23:C24"/>
    <mergeCell ref="D23:D24"/>
    <mergeCell ref="E23:E24"/>
    <mergeCell ref="F23:F24"/>
    <mergeCell ref="G23:G24"/>
    <mergeCell ref="H23:H24"/>
    <mergeCell ref="I23:I24"/>
    <mergeCell ref="J23:N24"/>
    <mergeCell ref="A25:C25"/>
    <mergeCell ref="J25:N25"/>
    <mergeCell ref="A26:C26"/>
    <mergeCell ref="J26:N26"/>
    <mergeCell ref="A27:C27"/>
    <mergeCell ref="J27:N27"/>
    <mergeCell ref="A28:C28"/>
    <mergeCell ref="J28:N28"/>
    <mergeCell ref="A29:C29"/>
    <mergeCell ref="J29:N29"/>
    <mergeCell ref="A30:C30"/>
    <mergeCell ref="J30:N30"/>
    <mergeCell ref="A31:C31"/>
    <mergeCell ref="J31:N31"/>
    <mergeCell ref="A32:C32"/>
    <mergeCell ref="J32:N32"/>
    <mergeCell ref="A33:C33"/>
    <mergeCell ref="J33:N33"/>
    <mergeCell ref="A34:C34"/>
    <mergeCell ref="J34:N34"/>
    <mergeCell ref="A35:C35"/>
    <mergeCell ref="J35:N35"/>
    <mergeCell ref="A36:C36"/>
    <mergeCell ref="J36:N36"/>
    <mergeCell ref="A37:C37"/>
    <mergeCell ref="J37:N37"/>
    <mergeCell ref="A38:C38"/>
    <mergeCell ref="J38:N38"/>
    <mergeCell ref="A39:C39"/>
    <mergeCell ref="J39:N39"/>
    <mergeCell ref="A40:C40"/>
    <mergeCell ref="J40:N40"/>
    <mergeCell ref="A41:C41"/>
    <mergeCell ref="J41:N41"/>
    <mergeCell ref="A42:C42"/>
    <mergeCell ref="J42:N42"/>
    <mergeCell ref="A43:C43"/>
    <mergeCell ref="J43:N43"/>
    <mergeCell ref="A44:C44"/>
    <mergeCell ref="J44:N44"/>
    <mergeCell ref="A45:C45"/>
    <mergeCell ref="J45:N45"/>
    <mergeCell ref="A46:C46"/>
    <mergeCell ref="J46:N46"/>
    <mergeCell ref="A47:C47"/>
    <mergeCell ref="J47:N47"/>
    <mergeCell ref="A48:N48"/>
    <mergeCell ref="A49:B49"/>
    <mergeCell ref="C49:F49"/>
    <mergeCell ref="G49:H49"/>
    <mergeCell ref="I49:J49"/>
    <mergeCell ref="K49:N49"/>
    <mergeCell ref="A50:B50"/>
    <mergeCell ref="C50:F50"/>
    <mergeCell ref="G50:H50"/>
    <mergeCell ref="I50:J50"/>
    <mergeCell ref="K50:N50"/>
    <mergeCell ref="A51:B51"/>
    <mergeCell ref="C51:F51"/>
    <mergeCell ref="G51:H51"/>
    <mergeCell ref="I51:J51"/>
    <mergeCell ref="K51:N51"/>
    <mergeCell ref="A52:B52"/>
    <mergeCell ref="C52:F52"/>
    <mergeCell ref="G52:H52"/>
    <mergeCell ref="I52:J52"/>
    <mergeCell ref="K52:N52"/>
    <mergeCell ref="A53:B53"/>
    <mergeCell ref="C53:F53"/>
    <mergeCell ref="G53:H53"/>
    <mergeCell ref="I53:J53"/>
    <mergeCell ref="K53:N53"/>
    <mergeCell ref="A54:B54"/>
    <mergeCell ref="C54:F54"/>
    <mergeCell ref="G54:H54"/>
    <mergeCell ref="I54:J54"/>
    <mergeCell ref="K54:N54"/>
    <mergeCell ref="A55:B55"/>
    <mergeCell ref="C55:F55"/>
    <mergeCell ref="G55:H55"/>
    <mergeCell ref="I55:J55"/>
    <mergeCell ref="K55:N55"/>
    <mergeCell ref="A56:B56"/>
    <mergeCell ref="C56:F56"/>
    <mergeCell ref="G56:H56"/>
    <mergeCell ref="I56:J56"/>
    <mergeCell ref="K56:N56"/>
    <mergeCell ref="A57:B57"/>
    <mergeCell ref="C57:F57"/>
    <mergeCell ref="G57:H57"/>
    <mergeCell ref="I57:J57"/>
    <mergeCell ref="K57:N57"/>
    <mergeCell ref="A58:B58"/>
    <mergeCell ref="C58:F58"/>
    <mergeCell ref="G58:H58"/>
    <mergeCell ref="I58:J58"/>
    <mergeCell ref="K58:N58"/>
    <mergeCell ref="A59:N59"/>
    <mergeCell ref="A60:F60"/>
    <mergeCell ref="H60:N60"/>
    <mergeCell ref="A61:C61"/>
    <mergeCell ref="E61:F61"/>
    <mergeCell ref="H61:J61"/>
    <mergeCell ref="K61:L61"/>
    <mergeCell ref="M61:N61"/>
    <mergeCell ref="A62:C62"/>
    <mergeCell ref="E62:F62"/>
    <mergeCell ref="H62:J62"/>
    <mergeCell ref="K62:L62"/>
    <mergeCell ref="M62:N62"/>
    <mergeCell ref="A63:C63"/>
    <mergeCell ref="E63:F63"/>
    <mergeCell ref="H63:J63"/>
    <mergeCell ref="K63:L63"/>
    <mergeCell ref="M63:N63"/>
    <mergeCell ref="A64:C64"/>
    <mergeCell ref="E64:F64"/>
    <mergeCell ref="H64:J64"/>
    <mergeCell ref="K64:L64"/>
    <mergeCell ref="M64:N64"/>
    <mergeCell ref="A65:C65"/>
    <mergeCell ref="E65:F65"/>
    <mergeCell ref="H65:J65"/>
    <mergeCell ref="K65:L65"/>
    <mergeCell ref="M65:N65"/>
    <mergeCell ref="A66:C66"/>
    <mergeCell ref="E66:F66"/>
    <mergeCell ref="H66:J66"/>
    <mergeCell ref="K66:L66"/>
    <mergeCell ref="M66:N66"/>
    <mergeCell ref="A67:D67"/>
    <mergeCell ref="E67:F67"/>
    <mergeCell ref="H67:L67"/>
    <mergeCell ref="M67:N67"/>
    <mergeCell ref="A68:N68"/>
    <mergeCell ref="A69:N69"/>
    <mergeCell ref="A70:N70"/>
    <mergeCell ref="A71:N71"/>
    <mergeCell ref="A72:N72"/>
    <mergeCell ref="A73:G88"/>
    <mergeCell ref="H73:N88"/>
    <mergeCell ref="A89:G104"/>
    <mergeCell ref="H89:N104"/>
    <mergeCell ref="A105:G120"/>
    <mergeCell ref="H105:N120"/>
    <mergeCell ref="A121:G121"/>
    <mergeCell ref="H121:N121"/>
    <mergeCell ref="A122:N122"/>
    <mergeCell ref="A123:D123"/>
    <mergeCell ref="E123:I123"/>
    <mergeCell ref="J123:N123"/>
    <mergeCell ref="A124:A125"/>
    <mergeCell ref="B124:D125"/>
    <mergeCell ref="E124:E125"/>
    <mergeCell ref="F124:I125"/>
    <mergeCell ref="J124:J125"/>
    <mergeCell ref="K124:N125"/>
    <mergeCell ref="A126:A127"/>
    <mergeCell ref="B126:D127"/>
    <mergeCell ref="E126:E127"/>
    <mergeCell ref="F126:I127"/>
    <mergeCell ref="J126:J127"/>
    <mergeCell ref="K126:N127"/>
    <mergeCell ref="A128:A129"/>
    <mergeCell ref="B128:D129"/>
    <mergeCell ref="E128:E129"/>
    <mergeCell ref="F128:I129"/>
    <mergeCell ref="J128:J129"/>
    <mergeCell ref="K128:N129"/>
  </mergeCells>
  <printOptions headings="false" gridLines="false" gridLinesSet="true" horizontalCentered="false" verticalCentered="false"/>
  <pageMargins left="0.295138888888889" right="0.295138888888889" top="0.196527777777778" bottom="0.196527777777778"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rowBreaks count="1" manualBreakCount="1">
    <brk id="71" man="true" max="16383" min="0"/>
  </rowBreaks>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2026-08-07T19:45:20Z</dcterms:created>
  <dc:creator>openpyxl</dc:creator>
  <dc:description/>
  <dc:language>en-US</dc:language>
  <cp:lastModifiedBy>Hugo Fernando Hurtado Ruiz</cp:lastModifiedBy>
  <cp:lastPrinted>2026-09-14T01:27:33Z</cp:lastPrinted>
  <dcterms:modified xsi:type="dcterms:W3CDTF">2026-09-19T22:43:50Z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