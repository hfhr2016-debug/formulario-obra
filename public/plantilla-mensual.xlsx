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Ficha Técnica del Proyecto" sheetId="1" state="visible" r:id="rId1"/>
    <sheet xmlns:r="http://schemas.openxmlformats.org/officeDocument/2006/relationships" name="Presupuesto " sheetId="2" state="visible" r:id="rId2"/>
    <sheet xmlns:r="http://schemas.openxmlformats.org/officeDocument/2006/relationships" name="Informe Mensual" sheetId="3" state="visible" r:id="rId3"/>
  </sheets>
  <definedNames/>
  <calcPr calcId="191029" fullCalcOnLoad="1" iterateDelta="0.0001"/>
</workbook>
</file>

<file path=xl/styles.xml><?xml version="1.0" encoding="utf-8"?>
<styleSheet xmlns="http://schemas.openxmlformats.org/spreadsheetml/2006/main">
  <numFmts count="9">
    <numFmt numFmtId="164" formatCode="0.0%"/>
    <numFmt numFmtId="165" formatCode="dd/mm/yyyy"/>
    <numFmt numFmtId="166" formatCode="&quot;$ &quot;#,##0"/>
    <numFmt numFmtId="167" formatCode="\$\ #,##0.00"/>
    <numFmt numFmtId="168" formatCode="_-&quot;$ &quot;* #,##0.00_-;&quot;-$ &quot;* #,##0.00_-;_-&quot;$ &quot;* \-??_-;_-@_-"/>
    <numFmt numFmtId="169" formatCode="0.000"/>
    <numFmt numFmtId="170" formatCode="&quot;$&quot;\ #,##0.00"/>
    <numFmt numFmtId="171" formatCode="\$\ #,##0"/>
    <numFmt numFmtId="172" formatCode="$ #,##0"/>
  </numFmts>
  <fonts count="167">
    <font>
      <name val="Calibri"/>
      <charset val="1"/>
      <family val="2"/>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mbria"/>
      <charset val="1"/>
      <family val="1"/>
      <i val="1"/>
      <color rgb="FF8A8F99"/>
      <sz val="8"/>
    </font>
    <font>
      <name val="Tahoma"/>
      <charset val="1"/>
      <family val="2"/>
      <color theme="1"/>
      <sz val="11"/>
    </font>
    <font>
      <name val="Tahoma"/>
      <charset val="1"/>
      <family val="2"/>
      <sz val="10"/>
    </font>
    <font>
      <name val="Franklin Gothic Demi Cond"/>
      <charset val="1"/>
      <family val="2"/>
      <color rgb="FFFFFFFF"/>
      <sz val="16"/>
    </font>
    <font>
      <name val="Arial"/>
      <charset val="1"/>
      <family val="2"/>
      <i val="1"/>
      <color theme="3" tint="-0.499984740745262"/>
      <sz val="9"/>
    </font>
    <font>
      <name val="Arial"/>
      <charset val="1"/>
      <family val="2"/>
      <b val="1"/>
      <color rgb="FFFFFFFF"/>
      <sz val="16"/>
    </font>
    <font>
      <name val="Arial"/>
      <charset val="1"/>
      <family val="2"/>
      <b val="1"/>
      <color theme="0"/>
      <sz val="9"/>
    </font>
    <font>
      <name val="Arial"/>
      <charset val="1"/>
      <family val="2"/>
      <b val="1"/>
      <color theme="3" tint="-0.499984740745262"/>
      <sz val="9"/>
    </font>
    <font>
      <name val="Arial"/>
      <charset val="1"/>
      <family val="2"/>
      <b val="1"/>
      <color rgb="FFFFFFFF"/>
      <sz val="9"/>
    </font>
    <font>
      <name val="Arial"/>
      <charset val="1"/>
      <family val="2"/>
      <b val="1"/>
      <sz val="9"/>
    </font>
    <font>
      <name val="Arial"/>
      <charset val="1"/>
      <family val="2"/>
      <sz val="9"/>
    </font>
    <font>
      <name val="Cambria"/>
      <charset val="1"/>
      <family val="1"/>
      <color rgb="FF8A8F99"/>
      <sz val="7"/>
    </font>
    <font>
      <name val="Calibri"/>
      <charset val="1"/>
      <family val="2"/>
      <b val="1"/>
      <color rgb="FFFFFFFF"/>
      <sz val="11"/>
    </font>
    <font>
      <name val="Calibri"/>
      <charset val="1"/>
      <family val="2"/>
      <b val="1"/>
      <color rgb="FF17365D"/>
      <sz val="8"/>
    </font>
    <font>
      <name val="Calibri"/>
      <charset val="1"/>
      <family val="2"/>
      <b val="1"/>
      <color theme="1"/>
      <sz val="11"/>
    </font>
    <font>
      <name val="Calibri"/>
      <charset val="1"/>
      <family val="2"/>
      <b val="1"/>
      <color rgb="FFFFFFFF"/>
      <sz val="10"/>
    </font>
    <font>
      <name val="Calibri"/>
      <charset val="1"/>
      <family val="2"/>
      <b val="1"/>
      <color rgb="FF17365D"/>
      <sz val="11"/>
    </font>
    <font>
      <name val="Calibri"/>
      <charset val="1"/>
      <family val="2"/>
      <b val="1"/>
      <color rgb="FF203040"/>
      <sz val="11"/>
    </font>
    <font>
      <name val="Calibri"/>
      <charset val="1"/>
      <family val="2"/>
      <i val="1"/>
      <color rgb="FF666666"/>
      <sz val="9"/>
    </font>
    <font>
      <name val="Calibri"/>
      <charset val="1"/>
      <family val="2"/>
      <color rgb="FF666666"/>
      <sz val="10"/>
    </font>
    <font>
      <name val="Calibri"/>
      <charset val="1"/>
      <family val="2"/>
      <b val="1"/>
      <color rgb="FF203040"/>
      <sz val="8"/>
      <u val="single"/>
    </font>
    <font>
      <name val="Calibri"/>
      <charset val="1"/>
      <family val="2"/>
      <color theme="1"/>
      <sz val="11"/>
    </font>
    <font>
      <name val="Calibri"/>
      <family val="2"/>
      <b val="1"/>
      <color theme="0"/>
      <sz val="11"/>
      <scheme val="minor"/>
    </font>
    <font>
      <name val="Calibri"/>
      <family val="2"/>
      <b val="1"/>
      <color theme="1"/>
      <sz val="11"/>
      <scheme val="minor"/>
    </font>
    <font>
      <name val="Calibri"/>
      <family val="2"/>
      <color theme="0"/>
      <sz val="11"/>
      <scheme val="minor"/>
    </font>
    <font>
      <name val="Calibri"/>
      <charset val="1"/>
      <family val="2"/>
      <color theme="1"/>
      <sz val="10"/>
    </font>
    <font>
      <name val="Arial"/>
      <family val="2"/>
      <b val="1"/>
      <color theme="0"/>
      <sz val="16"/>
    </font>
    <font>
      <name val="Calibri"/>
      <family val="2"/>
      <color theme="0"/>
      <sz val="10"/>
      <scheme val="minor"/>
    </font>
    <font>
      <name val="Calibri"/>
      <family val="2"/>
      <sz val="10"/>
      <scheme val="minor"/>
    </font>
    <font>
      <name val="Calibri"/>
      <family val="2"/>
      <color theme="1"/>
      <sz val="10"/>
      <scheme val="minor"/>
    </font>
    <font>
      <name val="Calibri"/>
      <family val="2"/>
      <b val="1"/>
      <color theme="3" tint="-0.499984740745262"/>
      <sz val="9"/>
      <scheme val="minor"/>
    </font>
    <font>
      <name val="Calibri"/>
      <family val="2"/>
      <sz val="11"/>
      <scheme val="minor"/>
    </font>
    <font>
      <name val="Calibri"/>
      <family val="2"/>
      <b val="1"/>
      <color theme="3" tint="-0.499984740745262"/>
      <sz val="11"/>
      <scheme val="minor"/>
    </font>
    <font>
      <name val="Calibri"/>
      <family val="2"/>
      <color theme="3" tint="-0.499984740745262"/>
      <sz val="10"/>
      <scheme val="minor"/>
    </font>
    <font>
      <name val="Calibri"/>
      <family val="2"/>
      <b val="1"/>
      <color rgb="FFFFFFFF"/>
      <sz val="11"/>
      <scheme val="minor"/>
    </font>
    <font>
      <name val="Calibri"/>
      <family val="2"/>
      <b val="1"/>
      <color rgb="FFFFFFFF"/>
      <sz val="10"/>
      <scheme val="minor"/>
    </font>
    <font>
      <name val="Calibri"/>
      <family val="2"/>
      <sz val="9"/>
    </font>
    <font>
      <name val="Calibri"/>
      <family val="2"/>
      <color theme="0"/>
      <sz val="10"/>
    </font>
    <font>
      <name val="Calibri"/>
      <family val="2"/>
      <color rgb="FFFFFFFF"/>
      <sz val="10"/>
    </font>
    <font>
      <name val="Calibri"/>
      <family val="2"/>
      <color theme="1"/>
      <sz val="11"/>
    </font>
    <font>
      <name val="Calibri"/>
      <family val="2"/>
      <color theme="3" tint="-0.499984740745262"/>
      <sz val="11"/>
    </font>
    <font>
      <name val="Calibri"/>
      <family val="2"/>
      <color theme="1"/>
      <sz val="10"/>
    </font>
    <font>
      <name val="Calibri"/>
      <family val="2"/>
      <b val="1"/>
      <color theme="3" tint="-0.499984740745262"/>
      <sz val="10"/>
    </font>
    <font>
      <name val="Calibri"/>
      <family val="2"/>
      <color theme="0"/>
      <sz val="11"/>
    </font>
    <font>
      <name val="Calibri"/>
      <family val="2"/>
      <sz val="11"/>
    </font>
    <font>
      <name val="Calibri"/>
      <family val="2"/>
      <i val="1"/>
      <sz val="8.5"/>
    </font>
    <font>
      <name val="Calibri"/>
      <family val="2"/>
      <b val="1"/>
      <color rgb="FF17365D"/>
      <sz val="10"/>
      <scheme val="minor"/>
    </font>
    <font>
      <name val="Calibri"/>
      <family val="2"/>
      <b val="1"/>
      <color rgb="FF17365D"/>
      <sz val="10"/>
    </font>
    <font>
      <name val="Calibri"/>
      <family val="2"/>
      <b val="1"/>
      <color rgb="FFFFFFFF"/>
      <sz val="11"/>
    </font>
    <font>
      <name val="Calibri"/>
      <family val="2"/>
      <b val="1"/>
      <sz val="11"/>
      <scheme val="minor"/>
    </font>
    <font>
      <name val="Calibri"/>
      <family val="2"/>
      <b val="1"/>
      <color theme="0"/>
      <sz val="10"/>
      <scheme val="minor"/>
    </font>
    <font>
      <name val="Calibri"/>
      <family val="2"/>
      <b val="1"/>
      <color theme="3" tint="-0.499984740745262"/>
      <sz val="10"/>
      <scheme val="minor"/>
    </font>
    <font>
      <name val="Calibri"/>
      <family val="2"/>
      <b val="1"/>
      <color theme="0"/>
      <sz val="10"/>
    </font>
    <font>
      <name val="Calibri"/>
      <family val="2"/>
      <b val="1"/>
      <sz val="10"/>
      <scheme val="minor"/>
    </font>
    <font>
      <name val="Calibri"/>
      <family val="2"/>
      <b val="1"/>
      <color theme="3" tint="-0.499984740745262"/>
      <sz val="9"/>
    </font>
    <font>
      <name val="Calibri"/>
      <family val="2"/>
      <sz val="10"/>
    </font>
    <font>
      <name val="Calibri"/>
      <family val="2"/>
      <b val="1"/>
      <sz val="10"/>
    </font>
    <font>
      <name val="Calibri"/>
      <family val="2"/>
      <b val="1"/>
      <color theme="1"/>
      <sz val="11"/>
    </font>
    <font>
      <name val="Calibri"/>
      <family val="2"/>
      <b val="1"/>
      <color theme="3" tint="-0.499984740745262"/>
      <sz val="11"/>
    </font>
    <font>
      <name val="Calibri"/>
      <family val="2"/>
      <b val="1"/>
      <color theme="0"/>
      <sz val="11"/>
    </font>
    <font>
      <name val="Calibri"/>
      <family val="2"/>
      <b val="1"/>
      <color rgb="FF17365D"/>
      <sz val="9"/>
    </font>
    <font>
      <name val="Calibri"/>
      <family val="2"/>
      <b val="1"/>
      <color rgb="FF17365D"/>
      <sz val="9"/>
      <scheme val="minor"/>
    </font>
    <font>
      <name val="Arial"/>
      <family val="2"/>
      <b val="1"/>
      <color theme="0"/>
      <sz val="28"/>
    </font>
    <font>
      <name val="Calibri"/>
      <family val="2"/>
      <b val="1"/>
      <sz val="9"/>
    </font>
    <font>
      <name val="Calibri"/>
      <family val="2"/>
      <i val="1"/>
      <color theme="0" tint="-0.3499862666707358"/>
      <sz val="9"/>
      <scheme val="minor"/>
    </font>
    <font>
      <name val="Calibri"/>
      <family val="2"/>
      <i val="1"/>
      <color rgb="FF4A4A4A"/>
      <sz val="9"/>
      <scheme val="minor"/>
    </font>
    <font>
      <name val="Calibri"/>
      <family val="2"/>
      <b val="1"/>
      <color rgb="FF17365D"/>
      <sz val="11"/>
      <scheme val="minor"/>
    </font>
    <font>
      <name val="Calibri"/>
      <family val="2"/>
      <color theme="0" tint="-0.499984740745262"/>
      <sz val="11"/>
    </font>
    <font>
      <name val="Calibri"/>
      <family val="2"/>
      <color rgb="FF0000FF"/>
      <sz val="10"/>
    </font>
    <font>
      <name val="Calibri"/>
      <family val="2"/>
      <i val="1"/>
      <color rgb="FF7F7F7F"/>
      <sz val="8"/>
    </font>
    <font>
      <name val="Calibri"/>
      <charset val="1"/>
      <family val="2"/>
      <b val="1"/>
      <color rgb="FF17365D"/>
      <sz val="10"/>
    </font>
    <font>
      <name val="Calibri"/>
      <charset val="1"/>
      <family val="2"/>
      <b val="1"/>
      <color theme="1"/>
      <sz val="10"/>
    </font>
    <font>
      <name val="Calibri"/>
      <charset val="1"/>
      <family val="2"/>
      <b val="1"/>
      <i val="1"/>
      <color theme="1"/>
      <sz val="8"/>
    </font>
    <font>
      <name val="Calibri"/>
      <family val="2"/>
      <b val="1"/>
      <color theme="0"/>
      <sz val="9"/>
    </font>
    <font>
      <name val="Calibri"/>
      <family val="2"/>
      <b val="1"/>
      <color rgb="FFFFFFFF"/>
      <sz val="9"/>
    </font>
    <font>
      <name val="Calibri"/>
      <family val="2"/>
      <b val="1"/>
      <color rgb="FF17365D"/>
      <sz val="11"/>
    </font>
    <font>
      <name val="Calibri"/>
      <charset val="1"/>
      <family val="2"/>
      <b val="1"/>
      <color theme="0" tint="-0.3499862666707358"/>
      <sz val="11"/>
    </font>
    <font>
      <name val="Arial"/>
      <charset val="1"/>
      <family val="2"/>
      <b val="1"/>
      <color rgb="FF17365D"/>
      <sz val="9"/>
    </font>
    <font>
      <name val="Calibri"/>
      <family val="2"/>
      <b val="1"/>
      <color theme="0"/>
      <sz val="16"/>
      <scheme val="minor"/>
    </font>
    <font>
      <name val="Calibri"/>
      <family val="2"/>
      <b val="1"/>
      <color theme="0"/>
      <sz val="14"/>
      <scheme val="minor"/>
    </font>
    <font>
      <name val="Calibri"/>
      <family val="2"/>
      <b val="1"/>
      <i val="1"/>
      <color theme="0" tint="-0.3499862666707358"/>
      <sz val="10"/>
    </font>
    <font>
      <name val="Calibri"/>
      <family val="2"/>
      <b val="1"/>
      <i val="1"/>
      <color theme="0" tint="-0.3499862666707358"/>
      <sz val="9"/>
      <scheme val="minor"/>
    </font>
    <font>
      <name val="Calibri"/>
      <family val="2"/>
      <b val="1"/>
      <color theme="0" tint="-0.3499862666707358"/>
      <sz val="10"/>
    </font>
    <font>
      <name val="Calibri"/>
      <family val="2"/>
      <b val="1"/>
      <i val="1"/>
      <color theme="0" tint="-0.3499862666707358"/>
      <sz val="10"/>
      <scheme val="minor"/>
    </font>
    <font>
      <name val="Calibri"/>
      <family val="2"/>
      <b val="1"/>
      <color rgb="FFFFFFFF"/>
      <sz val="10"/>
    </font>
    <font>
      <name val="Arial"/>
      <family val="2"/>
      <b val="1"/>
      <color theme="0"/>
      <sz val="11"/>
    </font>
    <font>
      <name val="Calibri"/>
      <family val="2"/>
      <b val="1"/>
      <i val="1"/>
      <color theme="3" tint="-0.499984740745262"/>
      <sz val="8"/>
      <scheme val="minor"/>
    </font>
    <font>
      <name val="Arial"/>
      <charset val="1"/>
      <family val="2"/>
      <i val="1"/>
      <color theme="3" tint="-0.499984740745262"/>
      <sz val="10"/>
    </font>
    <font>
      <name val="Cambria"/>
      <charset val="1"/>
      <family val="1"/>
      <i val="1"/>
      <sz val="8"/>
    </font>
    <font>
      <name val="Calibri"/>
      <family val="2"/>
      <color rgb="FF17365D"/>
      <sz val="12"/>
      <scheme val="minor"/>
    </font>
    <font>
      <name val="Calibri"/>
      <family val="2"/>
      <b val="1"/>
      <color rgb="FF17365D"/>
      <sz val="12"/>
      <scheme val="minor"/>
    </font>
    <font>
      <name val="Calibri"/>
      <charset val="1"/>
      <family val="2"/>
      <sz val="11"/>
    </font>
    <font>
      <name val="Calibri"/>
      <family val="2"/>
      <b val="1"/>
      <color theme="3" tint="-0.499984740745262"/>
      <sz val="8"/>
      <scheme val="minor"/>
    </font>
    <font>
      <name val="Calibri"/>
      <family val="2"/>
      <color rgb="FF17365D"/>
      <sz val="11"/>
      <scheme val="minor"/>
    </font>
    <font>
      <name val="Arial"/>
      <family val="2"/>
      <b val="1"/>
      <color rgb="FFFFFFFF"/>
      <sz val="12"/>
    </font>
    <font>
      <name val="Calibri"/>
      <family val="2"/>
      <b val="1"/>
      <color rgb="FF0F243E"/>
      <sz val="10"/>
      <scheme val="minor"/>
    </font>
    <font>
      <name val="Arial"/>
      <family val="2"/>
      <b val="1"/>
      <sz val="16"/>
    </font>
    <font>
      <name val="Arial"/>
      <charset val="1"/>
      <family val="2"/>
      <b val="1"/>
      <sz val="16"/>
    </font>
    <font>
      <name val="Calibri"/>
      <family val="2"/>
      <i val="1"/>
      <color rgb="FF1F2933"/>
      <sz val="8"/>
      <scheme val="minor"/>
    </font>
    <font>
      <name val="Arial"/>
      <family val="2"/>
      <i val="1"/>
      <sz val="10"/>
    </font>
    <font>
      <name val="Arial"/>
      <family val="2"/>
      <i val="1"/>
      <sz val="11"/>
    </font>
    <font>
      <name val="Arial"/>
      <family val="2"/>
      <b val="1"/>
      <color rgb="FFFFFFFF"/>
      <sz val="11"/>
    </font>
    <font>
      <name val="Calibri"/>
      <family val="2"/>
      <b val="1"/>
      <sz val="11"/>
    </font>
    <font>
      <name val="Calibri"/>
      <family val="2"/>
      <i val="1"/>
      <sz val="8"/>
    </font>
    <font>
      <name val="Calibri"/>
      <family val="2"/>
      <color rgb="FF17365D"/>
      <sz val="8"/>
    </font>
    <font>
      <name val="Calibri"/>
      <family val="2"/>
      <i val="1"/>
      <sz val="11"/>
    </font>
    <font>
      <name val="Calibri"/>
      <family val="2"/>
      <b val="1"/>
      <sz val="16"/>
    </font>
    <font>
      <name val="Calibri"/>
      <family val="2"/>
      <b val="1"/>
      <color rgb="FF17365D"/>
      <sz val="16"/>
    </font>
    <font>
      <name val="Arial"/>
      <family val="2"/>
      <b val="1"/>
      <color rgb="FF17365D"/>
      <sz val="16"/>
    </font>
    <font>
      <name val="Arial"/>
      <family val="2"/>
      <b val="1"/>
      <color rgb="FFFFFFFF"/>
      <sz val="22"/>
    </font>
    <font>
      <name val="Arial"/>
      <family val="2"/>
      <b val="1"/>
      <color rgb="FF142B44"/>
      <sz val="16"/>
    </font>
    <font>
      <name val="Calibri"/>
      <family val="2"/>
      <b val="1"/>
      <color rgb="FF1F2933"/>
      <sz val="10"/>
      <scheme val="minor"/>
    </font>
    <font>
      <name val="Calibri"/>
      <family val="2"/>
      <b val="1"/>
      <i val="1"/>
      <color theme="0" tint="-0.249977111117893"/>
      <sz val="11"/>
      <scheme val="minor"/>
    </font>
    <font>
      <name val="Calibri"/>
      <family val="2"/>
      <i val="1"/>
      <color theme="0" tint="-0.249977111117893"/>
      <sz val="11"/>
      <scheme val="minor"/>
    </font>
    <font>
      <name val="Calibri"/>
      <family val="2"/>
      <b val="1"/>
      <color rgb="FF002060"/>
      <sz val="11"/>
      <scheme val="minor"/>
    </font>
    <font>
      <name val="Calibri"/>
      <family val="2"/>
      <b val="1"/>
      <i val="1"/>
      <color theme="0" tint="-0.249977111117893"/>
      <sz val="11"/>
    </font>
    <font>
      <name val="Calibri"/>
      <family val="2"/>
      <color rgb="FF1F2933"/>
      <sz val="11"/>
      <scheme val="minor"/>
    </font>
    <font>
      <name val="Calibri"/>
      <family val="2"/>
      <b val="1"/>
      <color rgb="FF1F2933"/>
      <sz val="11"/>
      <scheme val="minor"/>
    </font>
    <font>
      <name val="Calibri"/>
      <family val="2"/>
      <b val="1"/>
      <color rgb="FF0F243E"/>
      <sz val="11"/>
      <scheme val="minor"/>
    </font>
    <font>
      <name val="Calibri"/>
      <family val="2"/>
      <b val="1"/>
      <color rgb="FF142B44"/>
      <sz val="11"/>
      <scheme val="minor"/>
    </font>
    <font>
      <name val="Tahoma"/>
      <family val="2"/>
      <b val="1"/>
      <color rgb="FFFFFFFF"/>
      <sz val="10"/>
    </font>
    <font>
      <name val="Cambria"/>
      <family val="1"/>
      <b val="1"/>
      <color rgb="FFFFFFFF"/>
      <sz val="11"/>
    </font>
    <font>
      <name val="Arial"/>
      <family val="2"/>
      <b val="1"/>
      <color rgb="FF1B2A45"/>
      <sz val="13"/>
    </font>
    <font>
      <name val="Calibri"/>
      <family val="2"/>
      <color rgb="FF8A8F99"/>
      <sz val="8"/>
    </font>
    <font>
      <name val="Calibri"/>
      <family val="2"/>
      <b val="1"/>
      <color rgb="FFFFFFFF"/>
      <sz val="22"/>
      <scheme val="minor"/>
    </font>
    <font>
      <name val="Calibri"/>
      <family val="2"/>
      <b val="1"/>
      <color rgb="FFFFFFFF"/>
      <sz val="18"/>
      <scheme val="minor"/>
    </font>
    <font>
      <name val="Calibri"/>
      <family val="2"/>
      <i val="1"/>
      <color rgb="FF404040"/>
      <sz val="10"/>
      <scheme val="minor"/>
    </font>
    <font>
      <name val="Calibri"/>
      <family val="2"/>
      <i val="1"/>
      <color theme="1"/>
      <sz val="10"/>
      <scheme val="minor"/>
    </font>
    <font>
      <name val="Calibri"/>
      <family val="2"/>
      <b val="1"/>
      <color rgb="FFFFFFFF"/>
      <sz val="9"/>
      <scheme val="minor"/>
    </font>
    <font>
      <name val="Calibri"/>
      <family val="2"/>
      <color theme="1"/>
      <sz val="9"/>
      <scheme val="minor"/>
    </font>
    <font>
      <name val="Calibri"/>
      <charset val="1"/>
      <family val="2"/>
      <color theme="1"/>
      <sz val="9"/>
    </font>
    <font>
      <name val="Calibri"/>
      <family val="2"/>
      <sz val="9"/>
      <scheme val="minor"/>
    </font>
    <font>
      <name val="Calibri"/>
      <family val="2"/>
      <b val="1"/>
      <color theme="1"/>
      <sz val="9"/>
      <scheme val="minor"/>
    </font>
    <font>
      <name val="Calibri"/>
      <family val="2"/>
      <b val="1"/>
      <color theme="0"/>
      <sz val="9"/>
      <scheme val="minor"/>
    </font>
    <font>
      <name val="Calibri"/>
      <family val="2"/>
      <b val="1"/>
      <color theme="1"/>
      <sz val="9"/>
    </font>
    <font>
      <name val="Calibri"/>
      <family val="2"/>
      <i val="1"/>
      <sz val="9"/>
    </font>
    <font>
      <name val="Arial"/>
      <family val="2"/>
      <b val="1"/>
      <color rgb="FFFFFFFF"/>
      <sz val="9"/>
    </font>
    <font>
      <name val="Arial"/>
      <family val="2"/>
      <color theme="1"/>
      <sz val="9"/>
    </font>
    <font>
      <name val="Calibri"/>
      <charset val="1"/>
      <family val="2"/>
      <color rgb="FF17365D"/>
      <sz val="11"/>
    </font>
    <font>
      <name val="Calibri"/>
      <family val="2"/>
      <color rgb="FF17365D"/>
      <sz val="11"/>
    </font>
    <font>
      <name val="Calibri"/>
      <family val="2"/>
      <color rgb="FF8A8F99"/>
      <sz val="10"/>
    </font>
    <font>
      <name val="Arial"/>
      <family val="2"/>
      <b val="1"/>
      <color rgb="FFFFFFFF"/>
      <sz val="16"/>
    </font>
    <font>
      <name val="Tahoma"/>
      <family val="2"/>
      <b val="1"/>
      <color rgb="FF17365D"/>
      <sz val="8.5"/>
    </font>
    <font>
      <name val="Calibri"/>
      <family val="2"/>
      <b val="1"/>
      <color theme="1"/>
      <sz val="16"/>
    </font>
    <font>
      <name val="Calibri"/>
      <family val="2"/>
      <i val="1"/>
      <color theme="1"/>
      <sz val="11"/>
    </font>
    <font>
      <name val="Calibri"/>
      <family val="2"/>
      <i val="1"/>
      <color theme="1"/>
      <sz val="9"/>
    </font>
    <font>
      <name val="Calibri"/>
      <family val="2"/>
      <i val="1"/>
      <sz val="10"/>
    </font>
    <font>
      <name val="Calibri"/>
      <family val="2"/>
      <b val="1"/>
      <color theme="3" tint="-0.499984740745262"/>
      <sz val="12"/>
      <scheme val="minor"/>
    </font>
    <font>
      <name val="Calibri"/>
      <family val="2"/>
      <b val="1"/>
      <color theme="1"/>
      <sz val="12"/>
      <scheme val="minor"/>
    </font>
    <font>
      <name val="Calibri"/>
      <family val="2"/>
      <b val="1"/>
      <i val="1"/>
      <color theme="0" tint="-0.249977111117893"/>
      <sz val="10"/>
    </font>
    <font>
      <name val="Calibri"/>
      <family val="2"/>
      <b val="1"/>
      <color rgb="FF17365D"/>
      <sz val="12"/>
    </font>
    <font>
      <name val="Calibri"/>
      <family val="2"/>
      <b val="1"/>
      <color theme="0"/>
      <sz val="12"/>
      <scheme val="minor"/>
    </font>
    <font>
      <name val="Calibri"/>
      <family val="2"/>
      <color rgb="FF17365D"/>
      <sz val="14"/>
    </font>
    <font>
      <name val="Calibri"/>
      <family val="2"/>
      <color rgb="FF17365D"/>
      <sz val="16"/>
    </font>
    <font>
      <name val="Calibri"/>
      <family val="2"/>
      <b val="1"/>
      <i val="1"/>
      <color rgb="FF1F2933"/>
      <sz val="11"/>
      <scheme val="minor"/>
    </font>
    <font>
      <name val="Calibri"/>
      <family val="2"/>
      <b val="1"/>
      <color theme="1"/>
      <sz val="8"/>
      <scheme val="minor"/>
    </font>
    <font>
      <name val="Calibri"/>
      <color rgb="FF000000"/>
      <sz val="10"/>
    </font>
    <font>
      <name val="Calibri"/>
      <color rgb="FF8A8F99"/>
      <sz val="8"/>
    </font>
    <font>
      <i val="1"/>
      <color rgb="006B7280"/>
      <sz val="8"/>
    </font>
    <font>
      <color rgb="008A8F99"/>
      <sz val="8"/>
    </font>
  </fonts>
  <fills count="76">
    <fill>
      <patternFill/>
    </fill>
    <fill>
      <patternFill patternType="gray125"/>
    </fill>
    <fill>
      <patternFill patternType="solid">
        <fgColor theme="3" tint="-0.499984740745262"/>
        <bgColor rgb="FF0C1F3F"/>
      </patternFill>
    </fill>
    <fill>
      <patternFill patternType="solid">
        <fgColor rgb="FFFCCF6A"/>
        <bgColor rgb="FFFCD5B5"/>
      </patternFill>
    </fill>
    <fill>
      <patternFill patternType="solid">
        <fgColor theme="0"/>
        <bgColor rgb="FFF5F7FA"/>
      </patternFill>
    </fill>
    <fill>
      <patternFill patternType="solid">
        <fgColor rgb="FFCC9900"/>
        <bgColor rgb="FFC9A227"/>
      </patternFill>
    </fill>
    <fill>
      <patternFill patternType="solid">
        <fgColor rgb="FFF2F2F2"/>
        <bgColor rgb="FFEAF0F6"/>
      </patternFill>
    </fill>
    <fill>
      <patternFill patternType="solid">
        <fgColor theme="9" tint="0.5998718222602009"/>
        <bgColor rgb="FFD9D9D9"/>
      </patternFill>
    </fill>
    <fill>
      <patternFill patternType="solid">
        <fgColor theme="0" tint="-0.1499984740745262"/>
        <bgColor rgb="FFDCE6F1"/>
      </patternFill>
    </fill>
    <fill>
      <patternFill patternType="solid">
        <fgColor rgb="FF17365D"/>
        <bgColor rgb="FF1F3864"/>
      </patternFill>
    </fill>
    <fill>
      <patternFill patternType="solid">
        <fgColor rgb="FFEAF0F6"/>
        <bgColor rgb="FFF2F2F2"/>
      </patternFill>
    </fill>
    <fill>
      <patternFill patternType="solid">
        <fgColor rgb="FFFFF2CC"/>
        <bgColor rgb="FFF2F2F2"/>
      </patternFill>
    </fill>
    <fill>
      <patternFill patternType="solid">
        <fgColor rgb="FFE2F0D9"/>
        <bgColor rgb="FFEAF0F6"/>
      </patternFill>
    </fill>
    <fill>
      <patternFill patternType="solid">
        <fgColor rgb="FFC9A227"/>
        <bgColor rgb="FFCC9900"/>
      </patternFill>
    </fill>
    <fill>
      <patternFill patternType="solid">
        <fgColor rgb="FFF5F7FA"/>
        <bgColor rgb="FFF2F2F2"/>
      </patternFill>
    </fill>
    <fill>
      <patternFill patternType="solid">
        <fgColor theme="4" tint="0.5999938962981048"/>
        <bgColor rgb="FFFCD5B5"/>
      </patternFill>
    </fill>
    <fill>
      <patternFill patternType="solid">
        <fgColor rgb="FFFFF2CC"/>
        <bgColor indexed="64"/>
      </patternFill>
    </fill>
    <fill>
      <patternFill patternType="solid">
        <fgColor rgb="FFE2F0D9"/>
        <bgColor indexed="64"/>
      </patternFill>
    </fill>
    <fill>
      <patternFill patternType="solid">
        <fgColor rgb="FFC9A227"/>
        <bgColor indexed="64"/>
      </patternFill>
    </fill>
    <fill>
      <patternFill patternType="solid">
        <fgColor rgb="FFC9A227"/>
        <bgColor rgb="FFFCD5B5"/>
      </patternFill>
    </fill>
    <fill>
      <patternFill patternType="solid">
        <fgColor rgb="FF17365D"/>
        <bgColor rgb="FF0C1F3F"/>
      </patternFill>
    </fill>
    <fill>
      <patternFill patternType="solid">
        <fgColor rgb="FF17365D"/>
        <bgColor rgb="FF203040"/>
      </patternFill>
    </fill>
    <fill>
      <patternFill patternType="solid">
        <fgColor rgb="FFFCCF6A"/>
        <bgColor rgb="FF203040"/>
      </patternFill>
    </fill>
    <fill>
      <patternFill patternType="solid">
        <fgColor rgb="FFFFF2CC"/>
        <bgColor rgb="FFFCD5B5"/>
      </patternFill>
    </fill>
    <fill>
      <patternFill patternType="solid">
        <fgColor rgb="FFF5F7FA"/>
        <bgColor indexed="64"/>
      </patternFill>
    </fill>
    <fill>
      <patternFill patternType="solid">
        <fgColor rgb="FF17365D"/>
        <bgColor indexed="64"/>
      </patternFill>
    </fill>
    <fill>
      <patternFill patternType="solid">
        <fgColor rgb="FFEAF0F6"/>
        <bgColor indexed="64"/>
      </patternFill>
    </fill>
    <fill>
      <patternFill patternType="solid">
        <fgColor rgb="FFEAF0F6"/>
        <bgColor rgb="FF0C1F3F"/>
      </patternFill>
    </fill>
    <fill>
      <patternFill patternType="solid">
        <fgColor theme="0"/>
        <bgColor indexed="64"/>
      </patternFill>
    </fill>
    <fill>
      <patternFill patternType="solid">
        <fgColor rgb="FFEAF0F6"/>
        <bgColor rgb="FFB7C3D0"/>
      </patternFill>
    </fill>
    <fill>
      <patternFill patternType="solid">
        <fgColor rgb="FFEAF0F6"/>
        <bgColor rgb="FF203040"/>
      </patternFill>
    </fill>
    <fill>
      <patternFill patternType="solid">
        <fgColor theme="0" tint="-0.0499893185216834"/>
        <bgColor indexed="64"/>
      </patternFill>
    </fill>
    <fill>
      <patternFill patternType="solid">
        <fgColor rgb="FFE2F0D9"/>
        <bgColor rgb="FFF5F7FA"/>
      </patternFill>
    </fill>
    <fill>
      <patternFill patternType="solid">
        <fgColor rgb="FFC9A227"/>
        <bgColor rgb="FFF5F7FA"/>
      </patternFill>
    </fill>
    <fill>
      <patternFill patternType="solid">
        <fgColor rgb="FFEAF0F6"/>
        <bgColor rgb="FFFCD5B5"/>
      </patternFill>
    </fill>
    <fill>
      <patternFill patternType="solid">
        <fgColor rgb="FF17365D"/>
        <bgColor rgb="FF17365D"/>
      </patternFill>
    </fill>
    <fill>
      <patternFill patternType="solid">
        <fgColor rgb="FFFCCF6A"/>
        <bgColor rgb="FFEAF0F6"/>
      </patternFill>
    </fill>
    <fill>
      <patternFill patternType="solid">
        <fgColor rgb="FFFFF2CC"/>
        <bgColor rgb="FF0C1F3F"/>
      </patternFill>
    </fill>
    <fill>
      <patternFill patternType="solid">
        <fgColor rgb="FFFCCF6A"/>
        <bgColor rgb="FF0C1F3F"/>
      </patternFill>
    </fill>
    <fill>
      <patternFill patternType="solid">
        <fgColor rgb="FF17365D"/>
        <bgColor rgb="FF10243E"/>
      </patternFill>
    </fill>
    <fill>
      <patternFill patternType="solid">
        <fgColor rgb="FFEAF0F6"/>
        <bgColor rgb="FF1B2A45"/>
      </patternFill>
    </fill>
    <fill>
      <patternFill patternType="solid">
        <fgColor rgb="FFFCCF6A"/>
        <bgColor indexed="64"/>
      </patternFill>
    </fill>
    <fill>
      <patternFill patternType="solid">
        <fgColor theme="0"/>
        <bgColor rgb="FFF2F2F2"/>
      </patternFill>
    </fill>
    <fill>
      <patternFill patternType="solid">
        <fgColor rgb="FFD39A12"/>
        <bgColor indexed="64"/>
      </patternFill>
    </fill>
    <fill>
      <patternFill patternType="solid">
        <fgColor theme="0"/>
        <bgColor rgb="FF1F3864"/>
      </patternFill>
    </fill>
    <fill>
      <patternFill patternType="solid">
        <fgColor rgb="FFD39A12"/>
        <bgColor rgb="FF1F3864"/>
      </patternFill>
    </fill>
    <fill>
      <patternFill patternType="solid">
        <fgColor rgb="FFD39A12"/>
        <bgColor rgb="FFF2F2F2"/>
      </patternFill>
    </fill>
    <fill>
      <patternFill patternType="solid">
        <fgColor rgb="FFD39A12"/>
        <bgColor rgb="FFF5F7FA"/>
      </patternFill>
    </fill>
    <fill>
      <patternFill patternType="solid">
        <fgColor theme="0"/>
        <bgColor rgb="FFFCD5B5"/>
      </patternFill>
    </fill>
    <fill>
      <patternFill patternType="solid">
        <fgColor rgb="FF17365D"/>
        <bgColor rgb="FFFCD5B5"/>
      </patternFill>
    </fill>
    <fill>
      <patternFill patternType="solid">
        <fgColor theme="0" tint="-0.0499893185216834"/>
        <bgColor rgb="FF0C1F3F"/>
      </patternFill>
    </fill>
    <fill>
      <patternFill patternType="solid">
        <fgColor rgb="FFFFF2CC"/>
        <bgColor rgb="FFF5F7FA"/>
      </patternFill>
    </fill>
    <fill>
      <patternFill patternType="solid">
        <fgColor rgb="FFD39A12"/>
        <bgColor rgb="FFFCD5B5"/>
      </patternFill>
    </fill>
    <fill>
      <patternFill patternType="solid">
        <fgColor rgb="FFF7F9FB"/>
      </patternFill>
    </fill>
    <fill>
      <patternFill patternType="solid">
        <fgColor rgb="FFF7E7BF"/>
      </patternFill>
    </fill>
    <fill>
      <patternFill patternType="solid">
        <fgColor rgb="FFEAF0F5"/>
      </patternFill>
    </fill>
    <fill>
      <patternFill patternType="solid">
        <fgColor theme="4" tint="0.7999816888943144"/>
        <bgColor indexed="64"/>
      </patternFill>
    </fill>
    <fill>
      <patternFill patternType="solid">
        <fgColor rgb="FFB8CCE4"/>
        <bgColor rgb="FFFCD5B5"/>
      </patternFill>
    </fill>
    <fill>
      <patternFill patternType="solid">
        <fgColor rgb="FFB8CCE4"/>
        <bgColor rgb="FF0C1F3F"/>
      </patternFill>
    </fill>
    <fill>
      <patternFill patternType="solid">
        <fgColor theme="0"/>
        <bgColor rgb="FF0C1F3F"/>
      </patternFill>
    </fill>
    <fill>
      <patternFill patternType="solid">
        <fgColor rgb="FF17365D"/>
        <bgColor rgb="FF1B2A45"/>
      </patternFill>
    </fill>
    <fill>
      <patternFill patternType="solid">
        <fgColor rgb="FF2F75B5"/>
        <bgColor rgb="FF4F81BD"/>
      </patternFill>
    </fill>
    <fill>
      <patternFill patternType="solid">
        <fgColor rgb="FFEAF2F8"/>
        <bgColor rgb="FFF2F2F2"/>
      </patternFill>
    </fill>
    <fill>
      <patternFill patternType="solid">
        <fgColor rgb="FF70AD47"/>
        <bgColor rgb="FF878787"/>
      </patternFill>
    </fill>
    <fill>
      <patternFill patternType="solid">
        <fgColor rgb="FFD6A84F"/>
        <bgColor rgb="FFFF8080"/>
      </patternFill>
    </fill>
    <fill>
      <patternFill patternType="solid">
        <fgColor rgb="FFC00000"/>
        <bgColor rgb="FF800000"/>
      </patternFill>
    </fill>
    <fill>
      <patternFill patternType="solid">
        <fgColor rgb="FF17365D"/>
        <bgColor rgb="FF4F81BD"/>
      </patternFill>
    </fill>
    <fill>
      <patternFill patternType="solid">
        <fgColor rgb="FFFCCF6A"/>
        <bgColor rgb="FFF2F2F2"/>
      </patternFill>
    </fill>
    <fill>
      <patternFill patternType="solid">
        <fgColor rgb="FFB8CCE4"/>
        <bgColor rgb="FF4F81BD"/>
      </patternFill>
    </fill>
    <fill>
      <patternFill patternType="solid">
        <fgColor rgb="FFB8CCE4"/>
        <bgColor indexed="64"/>
      </patternFill>
    </fill>
    <fill>
      <patternFill patternType="solid">
        <fgColor theme="0"/>
        <bgColor rgb="FF1B2A45"/>
      </patternFill>
    </fill>
    <fill>
      <patternFill patternType="solid">
        <fgColor rgb="FFB8CCE4"/>
        <bgColor rgb="FFEAF2F8"/>
      </patternFill>
    </fill>
    <fill>
      <patternFill patternType="solid">
        <fgColor rgb="FFFCCF6A"/>
        <bgColor rgb="FFEAF2F8"/>
      </patternFill>
    </fill>
    <fill>
      <patternFill patternType="solid">
        <fgColor theme="3" tint="0.3999755851924192"/>
        <bgColor indexed="64"/>
      </patternFill>
    </fill>
    <fill>
      <patternFill patternType="solid">
        <fgColor theme="4"/>
        <bgColor indexed="64"/>
      </patternFill>
    </fill>
    <fill>
      <patternFill patternType="solid">
        <fgColor rgb="FFD39A12"/>
        <bgColor rgb="FF1B2A45"/>
      </patternFill>
    </fill>
  </fills>
  <borders count="422">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style="thin">
        <color auto="1"/>
      </bottom>
      <diagonal/>
    </border>
    <border>
      <left style="thin">
        <color theme="0"/>
      </left>
      <right style="thin">
        <color theme="0"/>
      </right>
      <top/>
      <bottom style="thin">
        <color theme="0"/>
      </bottom>
      <diagonal/>
    </border>
    <border>
      <left/>
      <right style="thin">
        <color auto="1"/>
      </right>
      <top/>
      <bottom style="thin">
        <color auto="1"/>
      </bottom>
      <diagonal/>
    </border>
    <border>
      <left/>
      <right/>
      <top style="thin">
        <color rgb="FFB7C3D0"/>
      </top>
      <bottom/>
      <diagonal/>
    </border>
    <border>
      <left/>
      <right style="thin">
        <color rgb="FFB7C3D0"/>
      </right>
      <top style="thin">
        <color rgb="FFB7C3D0"/>
      </top>
      <bottom/>
      <diagonal/>
    </border>
    <border>
      <left style="thin">
        <color rgb="FFB7C3D0"/>
      </left>
      <right/>
      <top/>
      <bottom/>
      <diagonal/>
    </border>
    <border>
      <left/>
      <right/>
      <top/>
      <bottom style="thin">
        <color rgb="FFB7C3D0"/>
      </bottom>
      <diagonal/>
    </border>
    <border>
      <left/>
      <right style="thin">
        <color rgb="FFB7C3D0"/>
      </right>
      <top/>
      <bottom style="thin">
        <color rgb="FFB7C3D0"/>
      </bottom>
      <diagonal/>
    </border>
    <border>
      <left style="thin">
        <color rgb="FFB7C3D0"/>
      </left>
      <right/>
      <top/>
      <bottom style="thin">
        <color rgb="FFB7C3D0"/>
      </bottom>
      <diagonal/>
    </border>
    <border>
      <left/>
      <right/>
      <top style="thin">
        <color theme="4" tint="0.5998718222602009"/>
      </top>
      <bottom style="thin">
        <color theme="4" tint="0.5998718222602009"/>
      </bottom>
      <diagonal/>
    </border>
    <border>
      <left/>
      <right/>
      <top style="thin">
        <color rgb="FFB7C3D0"/>
      </top>
      <bottom style="thin">
        <color rgb="FFB7C3D0"/>
      </bottom>
      <diagonal/>
    </border>
    <border>
      <left/>
      <right/>
      <top style="thin">
        <color theme="4" tint="0.5998718222602009"/>
      </top>
      <bottom style="thin">
        <color rgb="FFB7C3D0"/>
      </bottom>
      <diagonal/>
    </border>
    <border>
      <left/>
      <right style="thin">
        <color rgb="FFB7C3D0"/>
      </right>
      <top style="thin">
        <color rgb="FFB7C3D0"/>
      </top>
      <bottom style="thin">
        <color rgb="FFB7C3D0"/>
      </bottom>
      <diagonal/>
    </border>
    <border>
      <left/>
      <right style="thin">
        <color rgb="FFB7C3D0"/>
      </right>
      <top/>
      <bottom/>
      <diagonal/>
    </border>
    <border>
      <left/>
      <right/>
      <top style="medium">
        <color rgb="FF17365D"/>
      </top>
      <bottom style="medium">
        <color rgb="FF17365D"/>
      </bottom>
      <diagonal/>
    </border>
    <border>
      <left/>
      <right style="thin">
        <color rgb="FFB7C3D0"/>
      </right>
      <top style="medium">
        <color rgb="FF17365D"/>
      </top>
      <bottom style="medium">
        <color rgb="FF17365D"/>
      </bottom>
      <diagonal/>
    </border>
    <border>
      <left style="thin">
        <color rgb="FFB7C3D0"/>
      </left>
      <right style="thin">
        <color rgb="FFB7C3D0"/>
      </right>
      <top style="thin">
        <color rgb="FFB7C3D0"/>
      </top>
      <bottom style="thin">
        <color rgb="FFB7C3D0"/>
      </bottom>
      <diagonal/>
    </border>
    <border>
      <left style="thin">
        <color rgb="FFB7C3D0"/>
      </left>
      <right/>
      <top style="thin">
        <color rgb="FFB7C3D0"/>
      </top>
      <bottom style="thin">
        <color rgb="FFB7C3D0"/>
      </bottom>
      <diagonal/>
    </border>
    <border>
      <left style="thin">
        <color theme="4" tint="0.5998718222602009"/>
      </left>
      <right style="thin">
        <color auto="1"/>
      </right>
      <top style="thin">
        <color theme="4" tint="0.5998718222602009"/>
      </top>
      <bottom style="thin">
        <color theme="4" tint="0.5998718222602009"/>
      </bottom>
      <diagonal/>
    </border>
    <border>
      <left style="thin">
        <color rgb="FFB7C3D0"/>
      </left>
      <right style="thin">
        <color theme="4" tint="0.5998718222602009"/>
      </right>
      <top style="thin">
        <color rgb="FFB7C3D0"/>
      </top>
      <bottom style="thin">
        <color rgb="FFB7C3D0"/>
      </bottom>
      <diagonal/>
    </border>
    <border>
      <left/>
      <right/>
      <top style="thin">
        <color rgb="FF17365D"/>
      </top>
      <bottom style="thin">
        <color rgb="FF17365D"/>
      </bottom>
      <diagonal/>
    </border>
    <border>
      <left/>
      <right/>
      <top style="medium">
        <color rgb="FF17365D"/>
      </top>
      <bottom/>
      <diagonal/>
    </border>
    <border>
      <left/>
      <right/>
      <top/>
      <bottom style="thin">
        <color theme="3" tint="-0.499984740745262"/>
      </bottom>
      <diagonal/>
    </border>
    <border>
      <left/>
      <right/>
      <top style="thin">
        <color theme="4"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4" tint="0.5999633777886288"/>
      </bottom>
      <diagonal/>
    </border>
    <border>
      <left/>
      <right/>
      <top/>
      <bottom style="thin">
        <color theme="0"/>
      </bottom>
      <diagonal/>
    </border>
    <border>
      <left/>
      <right/>
      <top/>
      <bottom style="thin">
        <color theme="4" tint="0.5999633777886288"/>
      </bottom>
      <diagonal/>
    </border>
    <border>
      <left/>
      <right/>
      <top style="thin">
        <color theme="4" tint="0.5999633777886288"/>
      </top>
      <bottom/>
      <diagonal/>
    </border>
    <border>
      <left style="thin">
        <color theme="0"/>
      </left>
      <right/>
      <top/>
      <bottom/>
      <diagonal/>
    </border>
    <border>
      <left/>
      <right style="thin">
        <color theme="4" tint="0.5999633777886288"/>
      </right>
      <top style="thin">
        <color theme="4" tint="0.5999633777886288"/>
      </top>
      <bottom/>
      <diagonal/>
    </border>
    <border>
      <left style="thin">
        <color theme="4" tint="0.5999633777886288"/>
      </left>
      <right/>
      <top/>
      <bottom style="thin">
        <color theme="4" tint="0.5999633777886288"/>
      </bottom>
      <diagonal/>
    </border>
    <border>
      <left/>
      <right style="thin">
        <color theme="4" tint="0.5999633777886288"/>
      </right>
      <top/>
      <bottom style="thin">
        <color theme="4" tint="0.5999633777886288"/>
      </bottom>
      <diagonal/>
    </border>
    <border>
      <left style="thin">
        <color theme="4" tint="0.5999633777886288"/>
      </left>
      <right/>
      <top style="thin">
        <color theme="4" tint="0.5999633777886288"/>
      </top>
      <bottom style="thin">
        <color theme="4" tint="0.5999633777886288"/>
      </bottom>
      <diagonal/>
    </border>
    <border>
      <left/>
      <right style="thin">
        <color theme="4" tint="0.5999633777886288"/>
      </right>
      <top style="thin">
        <color theme="4" tint="0.5999633777886288"/>
      </top>
      <bottom style="thin">
        <color theme="4" tint="0.5999633777886288"/>
      </bottom>
      <diagonal/>
    </border>
    <border>
      <left style="thin">
        <color theme="4" tint="0.5999633777886288"/>
      </left>
      <right/>
      <top/>
      <bottom/>
      <diagonal/>
    </border>
    <border>
      <left/>
      <right/>
      <top style="thin">
        <color rgb="FFEAF0F6"/>
      </top>
      <bottom/>
      <diagonal/>
    </border>
    <border>
      <left/>
      <right style="thin">
        <color rgb="FFEAF0F6"/>
      </right>
      <top/>
      <bottom style="thin">
        <color rgb="FFB7C3D0"/>
      </bottom>
      <diagonal/>
    </border>
    <border>
      <left/>
      <right style="thin">
        <color theme="4" tint="0.5999633777886288"/>
      </right>
      <top/>
      <bottom/>
      <diagonal/>
    </border>
    <border>
      <left/>
      <right/>
      <top/>
      <bottom style="medium">
        <color theme="4" tint="0.5999633777886288"/>
      </bottom>
      <diagonal/>
    </border>
    <border>
      <left/>
      <right/>
      <top style="thin">
        <color theme="0" tint="-0.1498764000366222"/>
      </top>
      <bottom/>
      <diagonal/>
    </border>
    <border>
      <left/>
      <right style="thin">
        <color theme="0" tint="-0.1498764000366222"/>
      </right>
      <top style="thin">
        <color theme="0" tint="-0.1498764000366222"/>
      </top>
      <bottom/>
      <diagonal/>
    </border>
    <border>
      <left style="thin">
        <color theme="0" tint="-0.1498764000366222"/>
      </left>
      <right/>
      <top/>
      <bottom/>
      <diagonal/>
    </border>
    <border>
      <left/>
      <right style="thin">
        <color theme="0" tint="-0.1498764000366222"/>
      </right>
      <top/>
      <bottom/>
      <diagonal/>
    </border>
    <border>
      <left style="thin">
        <color theme="0" tint="-0.1498764000366222"/>
      </left>
      <right/>
      <top/>
      <bottom style="thin">
        <color theme="0" tint="-0.1498764000366222"/>
      </bottom>
      <diagonal/>
    </border>
    <border>
      <left/>
      <right/>
      <top/>
      <bottom style="thin">
        <color theme="0" tint="-0.1498764000366222"/>
      </bottom>
      <diagonal/>
    </border>
    <border>
      <left/>
      <right style="thin">
        <color theme="0" tint="-0.1498764000366222"/>
      </right>
      <top/>
      <bottom style="thin">
        <color theme="0" tint="-0.1498764000366222"/>
      </bottom>
      <diagonal/>
    </border>
    <border>
      <left/>
      <right/>
      <top style="medium">
        <color auto="1"/>
      </top>
      <bottom/>
      <diagonal/>
    </border>
    <border>
      <left/>
      <right/>
      <top style="thin">
        <color theme="0"/>
      </top>
      <bottom style="medium">
        <color auto="1"/>
      </bottom>
      <diagonal/>
    </border>
    <border>
      <left/>
      <right/>
      <top style="medium">
        <color theme="4" tint="0.5999633777886288"/>
      </top>
      <bottom style="thin">
        <color theme="4" tint="0.5999633777886288"/>
      </bottom>
      <diagonal/>
    </border>
    <border>
      <left/>
      <right/>
      <top style="thin">
        <color theme="4" tint="0.5999633777886288"/>
      </top>
      <bottom style="medium">
        <color theme="4" tint="0.5999633777886288"/>
      </bottom>
      <diagonal/>
    </border>
    <border>
      <left/>
      <right/>
      <top style="thin">
        <color auto="1"/>
      </top>
      <bottom style="thin">
        <color theme="4" tint="0.5999633777886288"/>
      </bottom>
      <diagonal/>
    </border>
    <border>
      <left/>
      <right/>
      <top style="thin">
        <color theme="4" tint="0.5999633777886288"/>
      </top>
      <bottom style="thin">
        <color auto="1"/>
      </bottom>
      <diagonal/>
    </border>
    <border>
      <left/>
      <right/>
      <top style="thin">
        <color theme="0" tint="-0.3499862666707358"/>
      </top>
      <bottom style="thin">
        <color theme="0" tint="-0.3499862666707358"/>
      </bottom>
      <diagonal/>
    </border>
    <border>
      <left/>
      <right/>
      <top style="thin">
        <color auto="1"/>
      </top>
      <bottom style="thin">
        <color theme="0" tint="-0.3499862666707358"/>
      </bottom>
      <diagonal/>
    </border>
    <border>
      <left/>
      <right/>
      <top/>
      <bottom style="thin">
        <color theme="0" tint="-0.3499862666707358"/>
      </bottom>
      <diagonal/>
    </border>
    <border>
      <left style="thin">
        <color theme="0" tint="-0.3499862666707358"/>
      </left>
      <right/>
      <top style="thin">
        <color theme="0" tint="-0.3499862666707358"/>
      </top>
      <bottom style="thin">
        <color theme="4" tint="0.5999633777886288"/>
      </bottom>
      <diagonal/>
    </border>
    <border>
      <left/>
      <right/>
      <top style="thin">
        <color theme="0" tint="-0.3499862666707358"/>
      </top>
      <bottom style="thin">
        <color theme="4" tint="0.5999633777886288"/>
      </bottom>
      <diagonal/>
    </border>
    <border>
      <left/>
      <right style="thin">
        <color theme="0" tint="-0.3499862666707358"/>
      </right>
      <top style="thin">
        <color theme="0" tint="-0.3499862666707358"/>
      </top>
      <bottom style="thin">
        <color theme="4" tint="0.5999633777886288"/>
      </bottom>
      <diagonal/>
    </border>
    <border>
      <left style="thin">
        <color theme="0" tint="-0.3499862666707358"/>
      </left>
      <right/>
      <top style="thin">
        <color theme="4" tint="0.5999633777886288"/>
      </top>
      <bottom style="thin">
        <color theme="4" tint="0.5999633777886288"/>
      </bottom>
      <diagonal/>
    </border>
    <border>
      <left/>
      <right style="thin">
        <color theme="0" tint="-0.3499862666707358"/>
      </right>
      <top style="thin">
        <color theme="4" tint="0.5999633777886288"/>
      </top>
      <bottom style="thin">
        <color theme="4" tint="0.5999633777886288"/>
      </bottom>
      <diagonal/>
    </border>
    <border>
      <left style="thin">
        <color theme="0" tint="-0.3499862666707358"/>
      </left>
      <right style="thin">
        <color auto="1"/>
      </right>
      <top/>
      <bottom/>
      <diagonal/>
    </border>
    <border>
      <left style="thin">
        <color theme="0" tint="-0.3499862666707358"/>
      </left>
      <right/>
      <top style="medium">
        <color auto="1"/>
      </top>
      <bottom style="thin">
        <color auto="1"/>
      </bottom>
      <diagonal/>
    </border>
    <border>
      <left/>
      <right style="thin">
        <color theme="0" tint="-0.3499862666707358"/>
      </right>
      <top style="medium">
        <color auto="1"/>
      </top>
      <bottom style="thin">
        <color auto="1"/>
      </bottom>
      <diagonal/>
    </border>
    <border>
      <left style="thin">
        <color theme="0" tint="-0.3499862666707358"/>
      </left>
      <right style="thin">
        <color auto="1"/>
      </right>
      <top/>
      <bottom style="thin">
        <color auto="1"/>
      </bottom>
      <diagonal/>
    </border>
    <border>
      <left style="thin">
        <color theme="0" tint="-0.3499862666707358"/>
      </left>
      <right/>
      <top style="thin">
        <color auto="1"/>
      </top>
      <bottom/>
      <diagonal/>
    </border>
    <border>
      <left/>
      <right style="thin">
        <color theme="0" tint="-0.3499862666707358"/>
      </right>
      <top style="thin">
        <color auto="1"/>
      </top>
      <bottom/>
      <diagonal/>
    </border>
    <border>
      <left style="thin">
        <color theme="0" tint="-0.3499862666707358"/>
      </left>
      <right/>
      <top/>
      <bottom style="medium">
        <color theme="4" tint="0.5999633777886288"/>
      </bottom>
      <diagonal/>
    </border>
    <border>
      <left/>
      <right style="thin">
        <color theme="0" tint="-0.3499862666707358"/>
      </right>
      <top/>
      <bottom style="medium">
        <color theme="4" tint="0.5999633777886288"/>
      </bottom>
      <diagonal/>
    </border>
    <border>
      <left style="thin">
        <color theme="0" tint="-0.3499862666707358"/>
      </left>
      <right/>
      <top style="medium">
        <color theme="4" tint="0.5999633777886288"/>
      </top>
      <bottom style="thin">
        <color theme="4" tint="0.5999633777886288"/>
      </bottom>
      <diagonal/>
    </border>
    <border>
      <left/>
      <right style="thin">
        <color theme="0" tint="-0.3499862666707358"/>
      </right>
      <top style="medium">
        <color theme="4" tint="0.5999633777886288"/>
      </top>
      <bottom style="thin">
        <color theme="4" tint="0.5999633777886288"/>
      </bottom>
      <diagonal/>
    </border>
    <border>
      <left style="thin">
        <color theme="0" tint="-0.3499862666707358"/>
      </left>
      <right/>
      <top style="thin">
        <color theme="4" tint="0.5999633777886288"/>
      </top>
      <bottom style="medium">
        <color theme="4" tint="0.5999633777886288"/>
      </bottom>
      <diagonal/>
    </border>
    <border>
      <left/>
      <right style="thin">
        <color theme="0" tint="-0.3499862666707358"/>
      </right>
      <top style="thin">
        <color theme="4" tint="0.5999633777886288"/>
      </top>
      <bottom style="medium">
        <color theme="4" tint="0.5999633777886288"/>
      </bottom>
      <diagonal/>
    </border>
    <border>
      <left style="thin">
        <color theme="0" tint="-0.3499862666707358"/>
      </left>
      <right style="medium">
        <color auto="1"/>
      </right>
      <top style="medium">
        <color theme="4" tint="0.5999633777886288"/>
      </top>
      <bottom style="thin">
        <color theme="0"/>
      </bottom>
      <diagonal/>
    </border>
    <border>
      <left style="thin">
        <color theme="0" tint="-0.3499862666707358"/>
      </left>
      <right/>
      <top style="thin">
        <color theme="0"/>
      </top>
      <bottom style="medium">
        <color auto="1"/>
      </bottom>
      <diagonal/>
    </border>
    <border>
      <left/>
      <right style="thin">
        <color theme="0" tint="-0.3499862666707358"/>
      </right>
      <top style="thin">
        <color theme="0"/>
      </top>
      <bottom style="medium">
        <color auto="1"/>
      </bottom>
      <diagonal/>
    </border>
    <border>
      <left style="thin">
        <color auto="1"/>
      </left>
      <right style="thin">
        <color theme="0" tint="-0.3499862666707358"/>
      </right>
      <top/>
      <bottom style="thin">
        <color auto="1"/>
      </bottom>
      <diagonal/>
    </border>
    <border>
      <left style="thin">
        <color theme="0" tint="-0.3499862666707358"/>
      </left>
      <right/>
      <top style="thin">
        <color auto="1"/>
      </top>
      <bottom style="thin">
        <color theme="4" tint="0.5999633777886288"/>
      </bottom>
      <diagonal/>
    </border>
    <border>
      <left/>
      <right style="thin">
        <color theme="0" tint="-0.3499862666707358"/>
      </right>
      <top style="thin">
        <color auto="1"/>
      </top>
      <bottom style="thin">
        <color theme="4" tint="0.5999633777886288"/>
      </bottom>
      <diagonal/>
    </border>
    <border>
      <left style="thin">
        <color theme="0" tint="-0.3499862666707358"/>
      </left>
      <right/>
      <top style="thin">
        <color theme="4" tint="0.5999633777886288"/>
      </top>
      <bottom style="thin">
        <color auto="1"/>
      </bottom>
      <diagonal/>
    </border>
    <border>
      <left/>
      <right style="thin">
        <color theme="0" tint="-0.3499862666707358"/>
      </right>
      <top style="thin">
        <color theme="4" tint="0.5999633777886288"/>
      </top>
      <bottom style="thin">
        <color auto="1"/>
      </bottom>
      <diagonal/>
    </border>
    <border>
      <left style="thin">
        <color theme="0" tint="-0.3499862666707358"/>
      </left>
      <right style="medium">
        <color auto="1"/>
      </right>
      <top style="thin">
        <color auto="1"/>
      </top>
      <bottom style="thin">
        <color theme="4" tint="0.3999450666829432"/>
      </bottom>
      <diagonal/>
    </border>
    <border>
      <left style="thin">
        <color theme="0" tint="-0.3499862666707358"/>
      </left>
      <right style="medium">
        <color auto="1"/>
      </right>
      <top style="thin">
        <color theme="4" tint="0.3999450666829432"/>
      </top>
      <bottom style="thin">
        <color theme="4" tint="0.3999450666829432"/>
      </bottom>
      <diagonal/>
    </border>
    <border>
      <left style="thin">
        <color theme="0" tint="-0.3499862666707358"/>
      </left>
      <right style="medium">
        <color auto="1"/>
      </right>
      <top style="thin">
        <color theme="4" tint="0.3999450666829432"/>
      </top>
      <bottom style="thin">
        <color auto="1"/>
      </bottom>
      <diagonal/>
    </border>
    <border>
      <left style="thin">
        <color theme="0" tint="-0.3499862666707358"/>
      </left>
      <right/>
      <top style="thin">
        <color auto="1"/>
      </top>
      <bottom style="thin">
        <color auto="1"/>
      </bottom>
      <diagonal/>
    </border>
    <border>
      <left style="thin">
        <color theme="0" tint="-0.3499862666707358"/>
      </left>
      <right style="thin">
        <color auto="1"/>
      </right>
      <top style="thin">
        <color auto="1"/>
      </top>
      <bottom style="thin">
        <color auto="1"/>
      </bottom>
      <diagonal/>
    </border>
    <border>
      <left/>
      <right style="thin">
        <color theme="0" tint="-0.3499862666707358"/>
      </right>
      <top/>
      <bottom/>
      <diagonal/>
    </border>
    <border>
      <left style="thin">
        <color theme="0" tint="-0.3499862666707358"/>
      </left>
      <right/>
      <top/>
      <bottom/>
      <diagonal/>
    </border>
    <border>
      <left style="thin">
        <color theme="0" tint="-0.3499862666707358"/>
      </left>
      <right/>
      <top/>
      <bottom style="thin">
        <color theme="0" tint="-0.1498764000366222"/>
      </bottom>
      <diagonal/>
    </border>
    <border>
      <left style="thin">
        <color theme="0" tint="-0.3499862666707358"/>
      </left>
      <right/>
      <top/>
      <bottom style="thin">
        <color auto="1"/>
      </bottom>
      <diagonal/>
    </border>
    <border>
      <left style="thin">
        <color theme="0" tint="-0.3499862666707358"/>
      </left>
      <right/>
      <top style="thin">
        <color auto="1"/>
      </top>
      <bottom style="thin">
        <color theme="0" tint="-0.3499862666707358"/>
      </bottom>
      <diagonal/>
    </border>
    <border>
      <left/>
      <right style="thin">
        <color theme="0" tint="-0.3499862666707358"/>
      </right>
      <top style="thin">
        <color auto="1"/>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style="thin">
        <color theme="0" tint="-0.3499862666707358"/>
      </right>
      <top/>
      <bottom style="thin">
        <color rgb="FFB7C3D0"/>
      </bottom>
      <diagonal/>
    </border>
    <border>
      <left/>
      <right style="thin">
        <color theme="0" tint="-0.3499862666707358"/>
      </right>
      <top style="thin">
        <color rgb="FFB7C3D0"/>
      </top>
      <bottom style="thin">
        <color rgb="FFB7C3D0"/>
      </bottom>
      <diagonal/>
    </border>
    <border>
      <left style="thin">
        <color theme="0" tint="-0.3499862666707358"/>
      </left>
      <right/>
      <top/>
      <bottom style="thin">
        <color theme="0" tint="-0.3499862666707358"/>
      </bottom>
      <diagonal/>
    </border>
    <border>
      <left/>
      <right style="thin">
        <color theme="0" tint="-0.3499862666707358"/>
      </right>
      <top style="thin">
        <color rgb="FFB7C3D0"/>
      </top>
      <bottom/>
      <diagonal/>
    </border>
    <border>
      <left style="thin">
        <color theme="0" tint="-0.3499862666707358"/>
      </left>
      <right/>
      <top/>
      <bottom style="thin">
        <color theme="0"/>
      </bottom>
      <diagonal/>
    </border>
    <border>
      <left/>
      <right style="thin">
        <color theme="0" tint="-0.3499862666707358"/>
      </right>
      <top/>
      <bottom style="thin">
        <color theme="4" tint="0.5999633777886288"/>
      </bottom>
      <diagonal/>
    </border>
    <border>
      <left style="thin">
        <color theme="0" tint="-0.3499862666707358"/>
      </left>
      <right/>
      <top/>
      <bottom style="thin">
        <color rgb="FFBFBFBF"/>
      </bottom>
      <diagonal/>
    </border>
    <border>
      <left style="thin">
        <color theme="0" tint="-0.3499862666707358"/>
      </left>
      <right/>
      <top style="thin">
        <color rgb="FFBFBFBF"/>
      </top>
      <bottom style="thin">
        <color rgb="FFBFBFBF"/>
      </bottom>
      <diagonal/>
    </border>
    <border>
      <left style="thin">
        <color theme="0" tint="-0.3499862666707358"/>
      </left>
      <right/>
      <top style="thin">
        <color rgb="FFBFBFBF"/>
      </top>
      <bottom style="thin">
        <color theme="0" tint="-0.3499862666707358"/>
      </bottom>
      <diagonal/>
    </border>
    <border>
      <left/>
      <right/>
      <top style="thin">
        <color theme="4" tint="0.5999633777886288"/>
      </top>
      <bottom style="thin">
        <color theme="0" tint="-0.3499862666707358"/>
      </bottom>
      <diagonal/>
    </border>
    <border>
      <left/>
      <right style="thin">
        <color theme="0" tint="-0.3499862666707358"/>
      </right>
      <top style="thin">
        <color theme="4" tint="0.5999633777886288"/>
      </top>
      <bottom style="thin">
        <color theme="0" tint="-0.3499862666707358"/>
      </bottom>
      <diagonal/>
    </border>
    <border>
      <left/>
      <right style="thin">
        <color theme="0" tint="-0.3499862666707358"/>
      </right>
      <top/>
      <bottom style="thin">
        <color theme="3" tint="-0.499984740745262"/>
      </bottom>
      <diagonal/>
    </border>
    <border>
      <left/>
      <right style="thin">
        <color theme="0" tint="-0.3499862666707358"/>
      </right>
      <top style="thin">
        <color rgb="FFEAF0F6"/>
      </top>
      <bottom/>
      <diagonal/>
    </border>
    <border>
      <left style="thin">
        <color theme="0" tint="-0.3499862666707358"/>
      </left>
      <right/>
      <top/>
      <bottom style="thin">
        <color theme="4" tint="0.5999633777886288"/>
      </bottom>
      <diagonal/>
    </border>
    <border>
      <left/>
      <right style="thin">
        <color theme="0" tint="-0.3499862666707358"/>
      </right>
      <top style="thin">
        <color theme="4" tint="0.5999633777886288"/>
      </top>
      <bottom/>
      <diagonal/>
    </border>
    <border>
      <left style="thin">
        <color theme="4" tint="0.5999633777886288"/>
      </left>
      <right/>
      <top/>
      <bottom style="thin">
        <color theme="0" tint="-0.3499862666707358"/>
      </bottom>
      <diagonal/>
    </border>
    <border>
      <left/>
      <right style="thin">
        <color theme="0" tint="-0.3499862666707358"/>
      </right>
      <top/>
      <bottom style="thin">
        <color theme="0" tint="-0.3499862666707358"/>
      </bottom>
      <diagonal/>
    </border>
    <border>
      <left style="thin">
        <color theme="0" tint="-0.3499862666707358"/>
      </left>
      <right style="thin">
        <color rgb="FFB7C3D0"/>
      </right>
      <top style="thin">
        <color rgb="FFB7C3D0"/>
      </top>
      <bottom style="thin">
        <color rgb="FFB7C3D0"/>
      </bottom>
      <diagonal/>
    </border>
    <border>
      <left style="thin">
        <color theme="0" tint="-0.3499862666707358"/>
      </left>
      <right/>
      <top style="thin">
        <color rgb="FFB7C3D0"/>
      </top>
      <bottom/>
      <diagonal/>
    </border>
    <border>
      <left style="thin">
        <color theme="0" tint="-0.3499862666707358"/>
      </left>
      <right/>
      <top/>
      <bottom style="thin">
        <color rgb="FFB7C3D0"/>
      </bottom>
      <diagonal/>
    </border>
    <border>
      <left style="thin">
        <color theme="0" tint="-0.3499862666707358"/>
      </left>
      <right style="thin">
        <color rgb="FFB7C3D0"/>
      </right>
      <top/>
      <bottom/>
      <diagonal/>
    </border>
    <border>
      <left style="thin">
        <color theme="0" tint="-0.3499862666707358"/>
      </left>
      <right/>
      <top style="medium">
        <color rgb="FF17365D"/>
      </top>
      <bottom style="medium">
        <color rgb="FF17365D"/>
      </bottom>
      <diagonal/>
    </border>
    <border>
      <left style="thin">
        <color theme="0" tint="-0.3499862666707358"/>
      </left>
      <right style="thin">
        <color rgb="FFB7C3D0"/>
      </right>
      <top/>
      <bottom style="thin">
        <color rgb="FFB7C3D0"/>
      </bottom>
      <diagonal/>
    </border>
    <border>
      <left style="thin">
        <color theme="0" tint="-0.3499862666707358"/>
      </left>
      <right/>
      <top style="thin">
        <color theme="4" tint="0.5999633777886288"/>
      </top>
      <bottom style="thin">
        <color theme="0" tint="-0.3499862666707358"/>
      </bottom>
      <diagonal/>
    </border>
    <border>
      <left style="thin">
        <color theme="4" tint="0.5999633777886288"/>
      </left>
      <right style="thin">
        <color theme="4" tint="0.5999633777886288"/>
      </right>
      <top/>
      <bottom style="thin">
        <color theme="4" tint="0.5999633777886288"/>
      </bottom>
      <diagonal/>
    </border>
    <border>
      <left style="hair">
        <color theme="0" tint="-0.3499862666707358"/>
      </left>
      <right/>
      <top/>
      <bottom style="thin">
        <color theme="0" tint="-0.3499862666707358"/>
      </bottom>
      <diagonal/>
    </border>
    <border>
      <left/>
      <right style="medium">
        <color theme="4" tint="0.5999633777886288"/>
      </right>
      <top style="medium">
        <color rgb="FF17365D"/>
      </top>
      <bottom style="thin">
        <color theme="4" tint="0.5999633777886288"/>
      </bottom>
      <diagonal/>
    </border>
    <border>
      <left/>
      <right style="medium">
        <color theme="4" tint="0.5999633777886288"/>
      </right>
      <top style="thin">
        <color theme="4" tint="0.5999633777886288"/>
      </top>
      <bottom style="thin">
        <color theme="4" tint="0.5999633777886288"/>
      </bottom>
      <diagonal/>
    </border>
    <border>
      <left style="thin">
        <color theme="4" tint="0.5999633777886288"/>
      </left>
      <right style="thin">
        <color theme="4" tint="0.5999633777886288"/>
      </right>
      <top style="thin">
        <color rgb="FF17365D"/>
      </top>
      <bottom style="thin">
        <color rgb="FF17365D"/>
      </bottom>
      <diagonal/>
    </border>
    <border>
      <left/>
      <right style="thin">
        <color theme="4" tint="0.5999633777886288"/>
      </right>
      <top/>
      <bottom style="thin">
        <color theme="0" tint="-0.3499862666707358"/>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theme="0" tint="-0.3499862666707358"/>
      </top>
      <bottom style="thin">
        <color rgb="FFB7C3D0"/>
      </bottom>
      <diagonal/>
    </border>
    <border>
      <left/>
      <right/>
      <top style="thin">
        <color theme="0" tint="-0.3499862666707358"/>
      </top>
      <bottom style="thin">
        <color theme="0" tint="-0.249946592608417"/>
      </bottom>
      <diagonal/>
    </border>
    <border>
      <left/>
      <right style="thin">
        <color theme="0" tint="-0.3499862666707358"/>
      </right>
      <top style="thin">
        <color theme="0" tint="-0.3499862666707358"/>
      </top>
      <bottom style="thin">
        <color theme="0" tint="-0.249946592608417"/>
      </bottom>
      <diagonal/>
    </border>
    <border>
      <left/>
      <right style="thin">
        <color theme="0" tint="-0.3499862666707358"/>
      </right>
      <top style="thin">
        <color theme="0" tint="-0.249946592608417"/>
      </top>
      <bottom style="thin">
        <color theme="0" tint="-0.249946592608417"/>
      </bottom>
      <diagonal/>
    </border>
    <border>
      <left/>
      <right style="thin">
        <color theme="0" tint="-0.3499862666707358"/>
      </right>
      <top style="thin">
        <color theme="0" tint="-0.249946592608417"/>
      </top>
      <bottom/>
      <diagonal/>
    </border>
    <border>
      <left/>
      <right style="thin">
        <color theme="0" tint="-0.249946592608417"/>
      </right>
      <top/>
      <bottom/>
      <diagonal/>
    </border>
    <border>
      <left style="thin">
        <color theme="0" tint="-0.3499862666707358"/>
      </left>
      <right/>
      <top style="thin">
        <color rgb="FFBFBFBF"/>
      </top>
      <bottom/>
      <diagonal/>
    </border>
    <border>
      <left style="thin">
        <color theme="0" tint="-0.249946592608417"/>
      </left>
      <right/>
      <top style="thin">
        <color theme="0" tint="-0.249946592608417"/>
      </top>
      <bottom style="thin">
        <color rgb="FFBFBFBF"/>
      </bottom>
      <diagonal/>
    </border>
    <border>
      <left/>
      <right/>
      <top style="thin">
        <color theme="0" tint="-0.249946592608417"/>
      </top>
      <bottom style="thin">
        <color theme="4" tint="0.5999633777886288"/>
      </bottom>
      <diagonal/>
    </border>
    <border>
      <left/>
      <right style="thin">
        <color theme="0" tint="-0.249946592608417"/>
      </right>
      <top style="thin">
        <color theme="0" tint="-0.249946592608417"/>
      </top>
      <bottom/>
      <diagonal/>
    </border>
    <border>
      <left style="thin">
        <color theme="0" tint="-0.249946592608417"/>
      </left>
      <right/>
      <top style="thin">
        <color rgb="FFBFBFBF"/>
      </top>
      <bottom style="thin">
        <color rgb="FFBFBFBF"/>
      </bottom>
      <diagonal/>
    </border>
    <border>
      <left style="thin">
        <color theme="0" tint="-0.249946592608417"/>
      </left>
      <right/>
      <top style="thin">
        <color rgb="FFBFBFBF"/>
      </top>
      <bottom style="thin">
        <color theme="0" tint="-0.249946592608417"/>
      </bottom>
      <diagonal/>
    </border>
    <border>
      <left/>
      <right/>
      <top style="thin">
        <color theme="4" tint="0.5999633777886288"/>
      </top>
      <bottom style="thin">
        <color theme="0" tint="-0.249946592608417"/>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style="thin">
        <color theme="0" tint="-0.249946592608417"/>
      </bottom>
      <diagonal/>
    </border>
    <border>
      <left style="thin">
        <color rgb="FFBFBFBF"/>
      </left>
      <right style="thin">
        <color rgb="FFBFBFBF"/>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diagonal/>
    </border>
    <border>
      <left style="thin">
        <color rgb="FFBFBFBF"/>
      </left>
      <right style="thin">
        <color rgb="FFBFBFBF"/>
      </right>
      <top style="thin">
        <color theme="0" tint="-0.249946592608417"/>
      </top>
      <bottom/>
      <diagonal/>
    </border>
    <border>
      <left style="thin">
        <color theme="3" tint="0.5999633777886288"/>
      </left>
      <right style="thin">
        <color theme="3" tint="0.5999633777886288"/>
      </right>
      <top style="thin">
        <color theme="3" tint="0.5999633777886288"/>
      </top>
      <bottom style="thin">
        <color theme="3" tint="0.5999633777886288"/>
      </bottom>
      <diagonal/>
    </border>
    <border>
      <left style="thin">
        <color theme="3" tint="0.5999633777886288"/>
      </left>
      <right/>
      <top style="thin">
        <color theme="3" tint="0.5999633777886288"/>
      </top>
      <bottom style="thin">
        <color theme="3" tint="0.5999633777886288"/>
      </bottom>
      <diagonal/>
    </border>
    <border>
      <left/>
      <right/>
      <top style="thin">
        <color theme="3" tint="0.5999633777886288"/>
      </top>
      <bottom style="thin">
        <color theme="3" tint="0.5999633777886288"/>
      </bottom>
      <diagonal/>
    </border>
    <border>
      <left/>
      <right style="thin">
        <color theme="3" tint="0.5999633777886288"/>
      </right>
      <top style="thin">
        <color theme="3" tint="0.5999633777886288"/>
      </top>
      <bottom style="thin">
        <color theme="3" tint="0.5999633777886288"/>
      </bottom>
      <diagonal/>
    </border>
    <border>
      <left/>
      <right/>
      <top style="thin">
        <color theme="3" tint="0.5999633777886288"/>
      </top>
      <bottom/>
      <diagonal/>
    </border>
    <border>
      <left style="thin">
        <color theme="0" tint="-0.249946592608417"/>
      </left>
      <right/>
      <top style="thin">
        <color theme="4" tint="0.5999633777886288"/>
      </top>
      <bottom style="thin">
        <color theme="4" tint="0.5999633777886288"/>
      </bottom>
      <diagonal/>
    </border>
    <border>
      <left/>
      <right style="thin">
        <color theme="0" tint="-0.249946592608417"/>
      </right>
      <top style="thin">
        <color theme="4" tint="0.5999633777886288"/>
      </top>
      <bottom style="thin">
        <color theme="4" tint="0.5999633777886288"/>
      </bottom>
      <diagonal/>
    </border>
    <border>
      <left style="thin">
        <color theme="0" tint="-0.249946592608417"/>
      </left>
      <right/>
      <top style="thin">
        <color theme="4" tint="0.5999633777886288"/>
      </top>
      <bottom style="thin">
        <color theme="0" tint="-0.249946592608417"/>
      </bottom>
      <diagonal/>
    </border>
    <border>
      <left/>
      <right style="thin">
        <color theme="0" tint="-0.249946592608417"/>
      </right>
      <top style="thin">
        <color theme="4" tint="0.5999633777886288"/>
      </top>
      <bottom style="thin">
        <color theme="0" tint="-0.249946592608417"/>
      </bottom>
      <diagonal/>
    </border>
    <border>
      <left/>
      <right/>
      <top style="thin">
        <color theme="0" tint="-0.3499862666707358"/>
      </top>
      <bottom style="medium">
        <color rgb="FF142B44"/>
      </bottom>
      <diagonal/>
    </border>
    <border>
      <left/>
      <right style="thin">
        <color theme="0" tint="-0.3499862666707358"/>
      </right>
      <top style="thin">
        <color theme="0" tint="-0.3499862666707358"/>
      </top>
      <bottom style="medium">
        <color rgb="FF142B44"/>
      </bottom>
      <diagonal/>
    </border>
    <border>
      <left style="thin">
        <color theme="0" tint="-0.3499862666707358"/>
      </left>
      <right style="thin">
        <color rgb="FFB8C2CC"/>
      </right>
      <top style="thin">
        <color rgb="FFB8C2CC"/>
      </top>
      <bottom style="thin">
        <color rgb="FFB8C2CC"/>
      </bottom>
      <diagonal/>
    </border>
    <border>
      <left style="thin">
        <color rgb="FFB8C2CC"/>
      </left>
      <right/>
      <top style="medium">
        <color rgb="FF142B44"/>
      </top>
      <bottom style="thin">
        <color rgb="FFB8C2CC"/>
      </bottom>
      <diagonal/>
    </border>
    <border>
      <left/>
      <right style="thin">
        <color theme="0" tint="-0.3499862666707358"/>
      </right>
      <top style="medium">
        <color rgb="FF142B44"/>
      </top>
      <bottom style="thin">
        <color rgb="FFB8C2CC"/>
      </bottom>
      <diagonal/>
    </border>
    <border>
      <left style="thin">
        <color rgb="FFB8C2CC"/>
      </left>
      <right/>
      <top style="thin">
        <color rgb="FFB8C2CC"/>
      </top>
      <bottom style="thin">
        <color rgb="FFB8C2CC"/>
      </bottom>
      <diagonal/>
    </border>
    <border>
      <left/>
      <right style="thin">
        <color theme="0" tint="-0.3499862666707358"/>
      </right>
      <top style="thin">
        <color rgb="FFB8C2CC"/>
      </top>
      <bottom style="thin">
        <color rgb="FFB8C2CC"/>
      </bottom>
      <diagonal/>
    </border>
    <border>
      <left/>
      <right/>
      <top/>
      <bottom style="medium">
        <color rgb="FF142B44"/>
      </bottom>
      <diagonal/>
    </border>
    <border>
      <left style="thin">
        <color theme="0" tint="-0.3499862666707358"/>
      </left>
      <right style="thin">
        <color rgb="FFB8C2CC"/>
      </right>
      <top style="thin">
        <color rgb="FFB8C2CC"/>
      </top>
      <bottom style="thin">
        <color theme="0" tint="-0.3499862666707358"/>
      </bottom>
      <diagonal/>
    </border>
    <border>
      <left/>
      <right style="thin">
        <color theme="0" tint="-0.3499862666707358"/>
      </right>
      <top style="thin">
        <color rgb="FFB8C2CC"/>
      </top>
      <bottom style="thin">
        <color theme="0" tint="-0.3499862666707358"/>
      </bottom>
      <diagonal/>
    </border>
    <border>
      <left/>
      <right/>
      <top style="medium">
        <color rgb="FF142B44"/>
      </top>
      <bottom style="medium">
        <color rgb="FF142B44"/>
      </bottom>
      <diagonal/>
    </border>
    <border>
      <left/>
      <right/>
      <top style="medium">
        <color rgb="FF142B44"/>
      </top>
      <bottom style="thin">
        <color rgb="FFB8C2CC"/>
      </bottom>
      <diagonal/>
    </border>
    <border>
      <left/>
      <right style="thin">
        <color rgb="FFB8C2CC"/>
      </right>
      <top style="medium">
        <color rgb="FF142B44"/>
      </top>
      <bottom style="thin">
        <color rgb="FFB8C2CC"/>
      </bottom>
      <diagonal/>
    </border>
    <border>
      <left style="thin">
        <color rgb="FFB8C2CC"/>
      </left>
      <right style="thin">
        <color rgb="FFB8C2CC"/>
      </right>
      <top style="thin">
        <color rgb="FFB8C2CC"/>
      </top>
      <bottom style="thin">
        <color rgb="FFB8C2CC"/>
      </bottom>
      <diagonal/>
    </border>
    <border>
      <left/>
      <right/>
      <top style="thin">
        <color rgb="FFB8C2CC"/>
      </top>
      <bottom style="thin">
        <color rgb="FFB8C2CC"/>
      </bottom>
      <diagonal/>
    </border>
    <border>
      <left/>
      <right style="thin">
        <color rgb="FFB8C2CC"/>
      </right>
      <top style="thin">
        <color rgb="FFB8C2CC"/>
      </top>
      <bottom style="thin">
        <color rgb="FFB8C2CC"/>
      </bottom>
      <diagonal/>
    </border>
    <border>
      <left/>
      <right/>
      <top style="thin">
        <color rgb="FFB8C2CC"/>
      </top>
      <bottom/>
      <diagonal/>
    </border>
    <border>
      <left/>
      <right style="thin">
        <color rgb="FFB8C2CC"/>
      </right>
      <top style="thin">
        <color rgb="FFB8C2CC"/>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right/>
      <top style="medium">
        <color rgb="FF142B44"/>
      </top>
      <bottom style="medium">
        <color theme="4" tint="0.5999633777886288"/>
      </bottom>
      <diagonal/>
    </border>
    <border>
      <left style="thin">
        <color rgb="FFB8C2CC"/>
      </left>
      <right style="thin">
        <color rgb="FFB8C2CC"/>
      </right>
      <top style="medium">
        <color theme="4" tint="0.5999633777886288"/>
      </top>
      <bottom style="thin">
        <color rgb="FFB8C2CC"/>
      </bottom>
      <diagonal/>
    </border>
    <border>
      <left/>
      <right/>
      <top style="medium">
        <color rgb="FF142B44"/>
      </top>
      <bottom/>
      <diagonal/>
    </border>
    <border>
      <left/>
      <right/>
      <top style="thin">
        <color rgb="FFB8C2CC"/>
      </top>
      <bottom style="medium">
        <color rgb="FF142B44"/>
      </bottom>
      <diagonal/>
    </border>
    <border>
      <left style="thin">
        <color rgb="FFB8C2CC"/>
      </left>
      <right/>
      <top/>
      <bottom/>
      <diagonal/>
    </border>
    <border>
      <left/>
      <right style="thin">
        <color rgb="FFB8C2CC"/>
      </right>
      <top/>
      <bottom/>
      <diagonal/>
    </border>
    <border>
      <left/>
      <right style="thin">
        <color theme="3" tint="0.5999633777886288"/>
      </right>
      <top style="thin">
        <color theme="3" tint="0.5999633777886288"/>
      </top>
      <bottom/>
      <diagonal/>
    </border>
    <border>
      <left style="thin">
        <color theme="0" tint="-0.3499862666707358"/>
      </left>
      <right style="thin">
        <color theme="0" tint="-0.3499862666707358"/>
      </right>
      <top style="thin">
        <color theme="0" tint="-0.3499862666707358"/>
      </top>
      <bottom/>
      <diagonal/>
    </border>
    <border>
      <left style="thin">
        <color theme="0" tint="-0.249946592608417"/>
      </left>
      <right style="thin">
        <color theme="0" tint="-0.249946592608417"/>
      </right>
      <top/>
      <bottom style="thin">
        <color theme="0" tint="-0.249946592608417"/>
      </bottom>
      <diagonal/>
    </border>
    <border>
      <left style="thin">
        <color rgb="FFBFBFBF"/>
      </left>
      <right style="thin">
        <color theme="0" tint="-0.249946592608417"/>
      </right>
      <top style="thin">
        <color theme="0" tint="-0.249946592608417"/>
      </top>
      <bottom style="thin">
        <color theme="0" tint="-0.249946592608417"/>
      </bottom>
      <diagonal/>
    </border>
    <border>
      <left/>
      <right/>
      <top style="thin">
        <color theme="4" tint="0.5998718222602009"/>
      </top>
      <bottom/>
      <diagonal/>
    </border>
    <border>
      <left/>
      <right style="thin">
        <color auto="1"/>
      </right>
      <top style="thin">
        <color theme="4" tint="0.5998718222602009"/>
      </top>
      <bottom/>
      <diagonal/>
    </border>
    <border>
      <left/>
      <right style="thin">
        <color auto="1"/>
      </right>
      <top/>
      <bottom/>
      <diagonal/>
    </border>
    <border>
      <left style="thin">
        <color theme="4" tint="0.5998718222602009"/>
      </left>
      <right/>
      <top/>
      <bottom style="thin">
        <color theme="4" tint="0.5998718222602009"/>
      </bottom>
      <diagonal/>
    </border>
    <border>
      <left/>
      <right/>
      <top/>
      <bottom style="thin">
        <color theme="4" tint="0.5998718222602009"/>
      </bottom>
      <diagonal/>
    </border>
    <border>
      <left/>
      <right style="thin">
        <color auto="1"/>
      </right>
      <top/>
      <bottom style="thin">
        <color theme="4" tint="0.5998718222602009"/>
      </bottom>
      <diagonal/>
    </border>
    <border>
      <left style="thin">
        <color theme="0" tint="-0.3499862666707358"/>
      </left>
      <right style="thin">
        <color theme="0" tint="-0.3499862666707358"/>
      </right>
      <top/>
      <bottom/>
      <diagonal/>
    </border>
    <border>
      <left/>
      <right style="thin">
        <color auto="1"/>
      </right>
      <top style="thin">
        <color theme="4" tint="0.5998718222602009"/>
      </top>
      <bottom style="thin">
        <color theme="4" tint="0.5998718222602009"/>
      </bottom>
      <diagonal/>
    </border>
    <border>
      <left/>
      <right style="thin">
        <color theme="4" tint="0.5998718222602009"/>
      </right>
      <top style="thin">
        <color rgb="FFB7C3D0"/>
      </top>
      <bottom/>
      <diagonal/>
    </border>
    <border>
      <left/>
      <right style="thin">
        <color theme="4" tint="0.5998718222602009"/>
      </right>
      <top/>
      <bottom style="thin">
        <color rgb="FFB7C3D0"/>
      </bottom>
      <diagonal/>
    </border>
    <border>
      <left style="thin">
        <color theme="0" tint="-0.3499862666707358"/>
      </left>
      <right style="thin">
        <color rgb="FFB7C3D0"/>
      </right>
      <top style="thin">
        <color rgb="FFB7C3D0"/>
      </top>
      <bottom/>
      <diagonal/>
    </border>
    <border>
      <left style="thin">
        <color rgb="FFB7C3D0"/>
      </left>
      <right style="thin">
        <color rgb="FFB7C3D0"/>
      </right>
      <top style="thin">
        <color rgb="FFB7C3D0"/>
      </top>
      <bottom/>
      <diagonal/>
    </border>
    <border>
      <left/>
      <right/>
      <top style="medium">
        <color rgb="FF17365D"/>
      </top>
      <bottom style="thin">
        <color theme="4" tint="0.5999633777886288"/>
      </bottom>
      <diagonal/>
    </border>
    <border>
      <left style="thin">
        <color rgb="FFB8C2CC"/>
      </left>
      <right style="thin">
        <color rgb="FFB8C2CC"/>
      </right>
      <top style="medium">
        <color rgb="FF142B44"/>
      </top>
      <bottom style="thin">
        <color rgb="FFB8C2CC"/>
      </bottom>
      <diagonal/>
    </border>
    <border>
      <left style="thin">
        <color theme="0" tint="-0.3499862666707358"/>
      </left>
      <right style="thin">
        <color theme="0" tint="-0.3499862666707358"/>
      </right>
      <top style="thin">
        <color theme="0" tint="-0.3499862666707358"/>
      </top>
      <bottom style="medium">
        <color rgb="FF142B44"/>
      </bottom>
      <diagonal/>
    </border>
    <border>
      <left style="thin">
        <color rgb="FFB8C2CC"/>
      </left>
      <right style="thin">
        <color theme="0" tint="-0.3499862666707358"/>
      </right>
      <top style="medium">
        <color rgb="FF142B44"/>
      </top>
      <bottom style="thin">
        <color rgb="FFB8C2CC"/>
      </bottom>
      <diagonal/>
    </border>
    <border>
      <left style="thin">
        <color rgb="FFB8C2CC"/>
      </left>
      <right style="thin">
        <color theme="0" tint="-0.3499862666707358"/>
      </right>
      <top style="thin">
        <color rgb="FFB8C2CC"/>
      </top>
      <bottom style="thin">
        <color rgb="FFB8C2CC"/>
      </bottom>
      <diagonal/>
    </border>
    <border>
      <left style="thin">
        <color rgb="FFB8C2CC"/>
      </left>
      <right style="thin">
        <color theme="0" tint="-0.3499862666707358"/>
      </right>
      <top style="thin">
        <color rgb="FFB8C2CC"/>
      </top>
      <bottom style="thin">
        <color theme="0" tint="-0.3499862666707358"/>
      </bottom>
      <diagonal/>
    </border>
    <border>
      <left/>
      <right/>
      <top style="medium">
        <color theme="4" tint="0.5999633777886288"/>
      </top>
      <bottom style="thin">
        <color rgb="FFB8C2CC"/>
      </bottom>
      <diagonal/>
    </border>
    <border>
      <left/>
      <right style="thin">
        <color rgb="FFB8C2CC"/>
      </right>
      <top style="medium">
        <color theme="4" tint="0.5999633777886288"/>
      </top>
      <bottom style="thin">
        <color rgb="FFB8C2CC"/>
      </bottom>
      <diagonal/>
    </border>
    <border>
      <left style="thin">
        <color theme="0" tint="-0.3499862666707358"/>
      </left>
      <right style="thin">
        <color theme="0" tint="-0.1498764000366222"/>
      </right>
      <top style="thin">
        <color theme="0" tint="-0.1498764000366222"/>
      </top>
      <bottom style="thin">
        <color theme="0" tint="-0.1498764000366222"/>
      </bottom>
      <diagonal/>
    </border>
    <border>
      <left/>
      <right style="thin">
        <color theme="0" tint="-0.3499862666707358"/>
      </right>
      <top style="thin">
        <color auto="1"/>
      </top>
      <bottom style="medium">
        <color theme="4" tint="0.5999633777886288"/>
      </bottom>
      <diagonal/>
    </border>
    <border>
      <left/>
      <right/>
      <top style="thin">
        <color auto="1"/>
      </top>
      <bottom style="medium">
        <color theme="4" tint="0.5999633777886288"/>
      </bottom>
      <diagonal/>
    </border>
    <border>
      <left style="thin">
        <color theme="0" tint="-0.3499862666707358"/>
      </left>
      <right/>
      <top style="thin">
        <color auto="1"/>
      </top>
      <bottom style="medium">
        <color theme="4" tint="0.5999633777886288"/>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8764000366222"/>
      </left>
      <right style="thin">
        <color theme="0" tint="-0.3499862666707358"/>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theme="4" tint="0.3999450666829432"/>
      </bottom>
      <diagonal/>
    </border>
    <border>
      <left/>
      <right style="medium">
        <color auto="1"/>
      </right>
      <top style="thin">
        <color auto="1"/>
      </top>
      <bottom style="thin">
        <color theme="4" tint="0.3999450666829432"/>
      </bottom>
      <diagonal/>
    </border>
    <border>
      <left/>
      <right/>
      <top style="thin">
        <color theme="4" tint="0.3999450666829432"/>
      </top>
      <bottom style="thin">
        <color theme="4" tint="0.3999450666829432"/>
      </bottom>
      <diagonal/>
    </border>
    <border>
      <left/>
      <right style="medium">
        <color auto="1"/>
      </right>
      <top style="thin">
        <color theme="4" tint="0.3999450666829432"/>
      </top>
      <bottom style="thin">
        <color theme="4" tint="0.3999450666829432"/>
      </bottom>
      <diagonal/>
    </border>
    <border>
      <left/>
      <right/>
      <top style="thin">
        <color theme="4" tint="0.3999450666829432"/>
      </top>
      <bottom style="thin">
        <color auto="1"/>
      </bottom>
      <diagonal/>
    </border>
    <border>
      <left/>
      <right style="medium">
        <color auto="1"/>
      </right>
      <top style="thin">
        <color theme="4" tint="0.3999450666829432"/>
      </top>
      <bottom style="thin">
        <color auto="1"/>
      </bottom>
      <diagonal/>
    </border>
    <border>
      <left/>
      <right/>
      <top style="medium">
        <color theme="4" tint="0.5999633777886288"/>
      </top>
      <bottom style="thin">
        <color theme="0"/>
      </bottom>
      <diagonal/>
    </border>
    <border>
      <left/>
      <right style="medium">
        <color auto="1"/>
      </right>
      <top style="medium">
        <color theme="4" tint="0.5999633777886288"/>
      </top>
      <bottom style="thin">
        <color theme="0"/>
      </bottom>
      <diagonal/>
    </border>
    <border>
      <left/>
      <right style="thin">
        <color theme="0"/>
      </right>
      <top/>
      <bottom/>
      <diagonal/>
    </border>
    <border>
      <left/>
      <right style="thin">
        <color theme="0"/>
      </right>
      <top/>
      <bottom style="thin">
        <color theme="0"/>
      </bottom>
      <diagonal/>
    </border>
    <border>
      <left style="thin">
        <color rgb="FFD9E1F2"/>
      </left>
      <right style="thin">
        <color rgb="FFD9E1F2"/>
      </right>
      <top style="thin">
        <color rgb="FFD9E1F2"/>
      </top>
      <bottom style="thin">
        <color rgb="FFD9E1F2"/>
      </bottom>
      <diagonal/>
    </border>
    <border>
      <left/>
      <right style="thin">
        <color rgb="FFD9E1F2"/>
      </right>
      <top/>
      <bottom style="thin">
        <color rgb="FFD9E1F2"/>
      </bottom>
      <diagonal/>
    </border>
    <border>
      <left/>
      <right/>
      <top/>
      <bottom style="thin">
        <color rgb="FFD9E1F2"/>
      </bottom>
      <diagonal/>
    </border>
    <border>
      <left/>
      <right style="thin">
        <color rgb="FFD9E1F2"/>
      </right>
      <top/>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bottom style="dotted">
        <color rgb="FF9AA0A8"/>
      </bottom>
      <diagonal/>
    </border>
    <border>
      <left/>
      <right/>
      <top/>
      <bottom style="thin">
        <color theme="3" tint="0.5999633777886288"/>
      </bottom>
      <diagonal/>
    </border>
    <border>
      <left/>
      <right style="thin">
        <color theme="0" tint="-0.3499862666707358"/>
      </right>
      <top/>
      <bottom style="thin">
        <color theme="3" tint="0.5999633777886288"/>
      </bottom>
      <diagonal/>
    </border>
    <border>
      <left/>
      <right/>
      <top style="thin">
        <color rgb="FFEAF0F6"/>
      </top>
      <bottom style="thin">
        <color theme="3" tint="0.5999633777886288"/>
      </bottom>
      <diagonal/>
    </border>
    <border>
      <left/>
      <right style="thin">
        <color theme="0" tint="-0.3499862666707358"/>
      </right>
      <top style="thin">
        <color rgb="FFEAF0F6"/>
      </top>
      <bottom style="thin">
        <color theme="3" tint="0.5999633777886288"/>
      </bottom>
      <diagonal/>
    </border>
    <border>
      <left style="thin">
        <color theme="0"/>
      </left>
      <right style="thin">
        <color theme="0" tint="-0.3499862666707358"/>
      </right>
      <top/>
      <bottom/>
      <diagonal/>
    </border>
    <border>
      <left/>
      <right style="thin">
        <color theme="0" tint="-0.3499862666707358"/>
      </right>
      <top style="thin">
        <color theme="3" tint="0.5999633777886288"/>
      </top>
      <bottom style="thin">
        <color theme="3" tint="0.5999633777886288"/>
      </bottom>
      <diagonal/>
    </border>
    <border>
      <left/>
      <right/>
      <top style="thin">
        <color theme="4" tint="0.5999633777886288"/>
      </top>
      <bottom style="thin">
        <color theme="3" tint="0.5999633777886288"/>
      </bottom>
      <diagonal/>
    </border>
    <border>
      <left/>
      <right/>
      <top/>
      <bottom style="thin">
        <color rgb="FF17365D"/>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3" tint="0.5999633777886288"/>
      </left>
      <right style="thin">
        <color rgb="FFD9E1F2"/>
      </right>
      <top style="thin">
        <color theme="3" tint="0.5999633777886288"/>
      </top>
      <bottom style="thin">
        <color rgb="FFD9E1F2"/>
      </bottom>
      <diagonal/>
    </border>
    <border>
      <left/>
      <right/>
      <top style="thin">
        <color theme="3" tint="0.5999633777886288"/>
      </top>
      <bottom style="thin">
        <color rgb="FFD9E1F2"/>
      </bottom>
      <diagonal/>
    </border>
    <border>
      <left style="thin">
        <color theme="3" tint="0.5999633777886288"/>
      </left>
      <right style="thin">
        <color rgb="FFD9E1F2"/>
      </right>
      <top style="thin">
        <color rgb="FFD9E1F2"/>
      </top>
      <bottom style="thin">
        <color rgb="FFD9E1F2"/>
      </bottom>
      <diagonal/>
    </border>
    <border>
      <left style="thin">
        <color theme="3" tint="0.5999633777886288"/>
      </left>
      <right style="thin">
        <color rgb="FFD9E1F2"/>
      </right>
      <top style="thin">
        <color rgb="FFD9E1F2"/>
      </top>
      <bottom style="thin">
        <color theme="3" tint="0.5999633777886288"/>
      </bottom>
      <diagonal/>
    </border>
    <border>
      <left/>
      <right/>
      <top style="thin">
        <color rgb="FFD9E1F2"/>
      </top>
      <bottom style="thin">
        <color theme="3" tint="0.5999633777886288"/>
      </bottom>
      <diagonal/>
    </border>
    <border>
      <left style="thin">
        <color theme="3" tint="0.5999633777886288"/>
      </left>
      <right/>
      <top/>
      <bottom/>
      <diagonal/>
    </border>
    <border>
      <left/>
      <right style="thin">
        <color theme="3" tint="0.5999633777886288"/>
      </right>
      <top/>
      <bottom/>
      <diagonal/>
    </border>
    <border>
      <left style="thin">
        <color theme="3" tint="0.5999633777886288"/>
      </left>
      <right/>
      <top/>
      <bottom style="thin">
        <color theme="3" tint="0.5999633777886288"/>
      </bottom>
      <diagonal/>
    </border>
    <border>
      <left/>
      <right style="thin">
        <color theme="3" tint="0.5999633777886288"/>
      </right>
      <top/>
      <bottom style="thin">
        <color theme="3" tint="0.5999633777886288"/>
      </bottom>
      <diagonal/>
    </border>
    <border>
      <left style="thin">
        <color theme="0"/>
      </left>
      <right/>
      <top style="thin">
        <color theme="0"/>
      </top>
      <bottom style="thin">
        <color theme="0"/>
      </bottom>
      <diagonal/>
    </border>
    <border>
      <left style="thin">
        <color rgb="FFD9E1F2"/>
      </left>
      <right style="thin">
        <color rgb="FFD9E1F2"/>
      </right>
      <top/>
      <bottom/>
      <diagonal/>
    </border>
    <border>
      <left style="thin">
        <color rgb="FFD9E1F2"/>
      </left>
      <right style="thin">
        <color rgb="FFD9E1F2"/>
      </right>
      <top style="thin">
        <color rgb="FFD9E1F2"/>
      </top>
      <bottom/>
      <diagonal/>
    </border>
    <border>
      <left/>
      <right style="thin">
        <color theme="0" tint="-0.249946592608417"/>
      </right>
      <top style="thin">
        <color theme="0"/>
      </top>
      <bottom style="thin">
        <color theme="0" tint="-0.249946592608417"/>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4" tint="0.5999633777886288"/>
      </top>
      <bottom style="thin">
        <color theme="3" tint="-0.499984740745262"/>
      </bottom>
      <diagonal/>
    </border>
    <border>
      <left/>
      <right style="thin">
        <color theme="0" tint="-0.3499862666707358"/>
      </right>
      <top style="thin">
        <color theme="4" tint="0.5999633777886288"/>
      </top>
      <bottom style="thin">
        <color theme="3" tint="0.5999633777886288"/>
      </bottom>
      <diagonal/>
    </border>
    <border>
      <left/>
      <right/>
      <top style="thin">
        <color theme="3" tint="0.5999633777886288"/>
      </top>
      <bottom style="thin">
        <color theme="4" tint="0.5999633777886288"/>
      </bottom>
      <diagonal/>
    </border>
    <border>
      <left/>
      <right style="thin">
        <color theme="0" tint="-0.3499862666707358"/>
      </right>
      <top style="thin">
        <color theme="3" tint="0.5999633777886288"/>
      </top>
      <bottom style="thin">
        <color theme="4" tint="0.5999633777886288"/>
      </bottom>
      <diagonal/>
    </border>
    <border>
      <left/>
      <right style="thin">
        <color theme="4" tint="0.5999633777886288"/>
      </right>
      <top style="thin">
        <color theme="3" tint="0.5999633777886288"/>
      </top>
      <bottom style="thin">
        <color theme="4" tint="0.5999633777886288"/>
      </bottom>
      <diagonal/>
    </border>
    <border>
      <left style="thin">
        <color rgb="FF17365D"/>
      </left>
      <right style="thin">
        <color theme="0"/>
      </right>
      <top style="thin">
        <color rgb="FF17365D"/>
      </top>
      <bottom style="thin">
        <color rgb="FF17365D"/>
      </bottom>
      <diagonal/>
    </border>
    <border>
      <left style="thin">
        <color rgb="FFD9E1F2"/>
      </left>
      <right style="thin">
        <color rgb="FFD9E1F2"/>
      </right>
      <top/>
      <bottom style="thin">
        <color rgb="FFD9E1F2"/>
      </bottom>
      <diagonal/>
    </border>
    <border>
      <left style="thin">
        <color rgb="FF17365D"/>
      </left>
      <right style="thin">
        <color rgb="FFD9E1F2"/>
      </right>
      <top style="thin">
        <color rgb="FF17365D"/>
      </top>
      <bottom style="thin">
        <color rgb="FF17365D"/>
      </bottom>
      <diagonal/>
    </border>
    <border>
      <left/>
      <right style="thin">
        <color rgb="FF17365D"/>
      </right>
      <top style="thin">
        <color rgb="FF17365D"/>
      </top>
      <bottom style="thin">
        <color rgb="FF17365D"/>
      </bottom>
      <diagonal/>
    </border>
    <border>
      <left style="thin">
        <color rgb="FFBFBFBF"/>
      </left>
      <right/>
      <top/>
      <bottom style="thin">
        <color theme="0" tint="-0.249946592608417"/>
      </bottom>
      <diagonal/>
    </border>
    <border>
      <left/>
      <right/>
      <top style="thin">
        <color theme="0"/>
      </top>
      <bottom/>
      <diagonal/>
    </border>
    <border>
      <left style="thin">
        <color rgb="FFD9E1F2"/>
      </left>
      <right style="thin">
        <color rgb="FFD9E1F2"/>
      </right>
      <top style="thin">
        <color theme="4" tint="0.5999633777886288"/>
      </top>
      <bottom style="thin">
        <color theme="4" tint="0.5999633777886288"/>
      </bottom>
      <diagonal/>
    </border>
    <border>
      <left style="thin">
        <color rgb="FFD9E1F2"/>
      </left>
      <right style="thin">
        <color rgb="FFD9E1F2"/>
      </right>
      <top/>
      <bottom style="thin">
        <color theme="4" tint="0.5999633777886288"/>
      </bottom>
      <diagonal/>
    </border>
    <border>
      <left style="thin">
        <color rgb="FFD9E1F2"/>
      </left>
      <right style="thin">
        <color rgb="FFD9E1F2"/>
      </right>
      <top style="thin">
        <color rgb="FF17365D"/>
      </top>
      <bottom style="thin">
        <color rgb="FF17365D"/>
      </bottom>
      <diagonal/>
    </border>
    <border>
      <left style="thin">
        <color rgb="FFD9E1F2"/>
      </left>
      <right style="thin">
        <color rgb="FF17365D"/>
      </right>
      <top style="thin">
        <color rgb="FF17365D"/>
      </top>
      <bottom style="thin">
        <color rgb="FF17365D"/>
      </bottom>
      <diagonal/>
    </border>
    <border>
      <left/>
      <right style="thin">
        <color theme="0"/>
      </right>
      <top style="thin">
        <color theme="0"/>
      </top>
      <bottom/>
      <diagonal/>
    </border>
    <border>
      <left/>
      <right style="thin">
        <color rgb="FFD9E1F2"/>
      </right>
      <top style="thin">
        <color rgb="FFD9E1F2"/>
      </top>
      <bottom style="thin">
        <color theme="3" tint="0.5999633777886288"/>
      </bottom>
      <diagonal/>
    </border>
    <border>
      <left/>
      <right style="thin">
        <color rgb="FFD9E1F2"/>
      </right>
      <top style="thin">
        <color theme="3" tint="0.5999633777886288"/>
      </top>
      <bottom style="thin">
        <color rgb="FFD9E1F2"/>
      </bottom>
      <diagonal/>
    </border>
    <border>
      <left/>
      <right/>
      <top style="thin">
        <color rgb="FF17365D"/>
      </top>
      <bottom/>
      <diagonal/>
    </border>
    <border>
      <left/>
      <right style="thin">
        <color theme="0"/>
      </right>
      <top style="thin">
        <color rgb="FF17365D"/>
      </top>
      <bottom style="thin">
        <color rgb="FF17365D"/>
      </bottom>
      <diagonal/>
    </border>
    <border>
      <left/>
      <right style="thin">
        <color rgb="FFD9E1F2"/>
      </right>
      <top style="thin">
        <color rgb="FF17365D"/>
      </top>
      <bottom style="thin">
        <color rgb="FF17365D"/>
      </bottom>
      <diagonal/>
    </border>
    <border>
      <left style="thin">
        <color rgb="FFBFBFBF"/>
      </left>
      <right style="thin">
        <color theme="0" tint="-0.249946592608417"/>
      </right>
      <top style="thin">
        <color theme="0" tint="-0.249946592608417"/>
      </top>
      <bottom/>
      <diagonal/>
    </border>
    <border>
      <left/>
      <right style="thin">
        <color theme="0" tint="-0.3499862666707358"/>
      </right>
      <top/>
      <bottom style="thin">
        <color auto="1"/>
      </bottom>
      <diagonal/>
    </border>
    <border>
      <left style="thin">
        <color theme="4" tint="0.5999633777886288"/>
      </left>
      <right style="thin">
        <color theme="4" tint="0.5999633777886288"/>
      </right>
      <top style="thin">
        <color theme="3"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diagonal/>
    </border>
    <border>
      <left style="thin">
        <color theme="4" tint="0.5999633777886288"/>
      </left>
      <right style="thin">
        <color theme="0" tint="-0.3499862666707358"/>
      </right>
      <top/>
      <bottom/>
      <diagonal/>
    </border>
    <border>
      <left style="thin">
        <color theme="4" tint="0.5999633777886288"/>
      </left>
      <right style="thin">
        <color theme="0" tint="-0.349986266670735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4" tint="0.5999633777886288"/>
      </bottom>
      <diagonal/>
    </border>
    <border>
      <left style="thin">
        <color theme="3" tint="-0.499984740745262"/>
      </left>
      <right style="thin">
        <color theme="0" tint="-0.3499862666707358"/>
      </right>
      <top/>
      <bottom/>
      <diagonal/>
    </border>
    <border>
      <left style="thin">
        <color theme="4" tint="0.5999633777886288"/>
      </left>
      <right style="thin">
        <color theme="0" tint="-0.3499862666707358"/>
      </right>
      <top/>
      <bottom style="thin">
        <color theme="0" tint="-0.3499862666707358"/>
      </bottom>
      <diagonal/>
    </border>
    <border>
      <left style="thin">
        <color rgb="FFB7C3D0"/>
      </left>
      <right style="thin">
        <color rgb="FFB7C3D0"/>
      </right>
      <top/>
      <bottom/>
      <diagonal/>
    </border>
    <border>
      <left/>
      <right style="thin">
        <color theme="3" tint="-0.499984740745262"/>
      </right>
      <top/>
      <bottom/>
      <diagonal/>
    </border>
    <border>
      <left style="thin">
        <color theme="3" tint="-0.499984740745262"/>
      </left>
      <right style="thin">
        <color theme="3" tint="-0.499984740745262"/>
      </right>
      <top/>
      <bottom/>
      <diagonal/>
    </border>
    <border>
      <left/>
      <right style="thin">
        <color theme="4" tint="0.5999633777886288"/>
      </right>
      <top style="thin">
        <color theme="4" tint="0.5999633777886288"/>
      </top>
      <bottom style="thin">
        <color theme="0"/>
      </bottom>
      <diagonal/>
    </border>
    <border>
      <left style="thin">
        <color theme="4" tint="0.5999633777886288"/>
      </left>
      <right/>
      <top/>
      <bottom style="thin">
        <color theme="0" tint="-0.249946592608417"/>
      </bottom>
      <diagonal/>
    </border>
    <border>
      <left/>
      <right style="thin">
        <color theme="4" tint="0.5999633777886288"/>
      </right>
      <top style="thin">
        <color theme="0"/>
      </top>
      <bottom style="thin">
        <color theme="0" tint="-0.249946592608417"/>
      </bottom>
      <diagonal/>
    </border>
    <border>
      <left style="thin">
        <color theme="4" tint="0.5999633777886288"/>
      </left>
      <right/>
      <top style="thin">
        <color theme="0" tint="-0.249946592608417"/>
      </top>
      <bottom style="thin">
        <color theme="0" tint="-0.249946592608417"/>
      </bottom>
      <diagonal/>
    </border>
    <border>
      <left/>
      <right style="thin">
        <color theme="4" tint="0.5999633777886288"/>
      </right>
      <top style="thin">
        <color theme="0" tint="-0.249946592608417"/>
      </top>
      <bottom style="thin">
        <color theme="0" tint="-0.249946592608417"/>
      </bottom>
      <diagonal/>
    </border>
    <border>
      <left style="thin">
        <color theme="4" tint="0.5999633777886288"/>
      </left>
      <right/>
      <top style="thin">
        <color theme="0" tint="-0.249946592608417"/>
      </top>
      <bottom style="thin">
        <color theme="4" tint="0.5999633777886288"/>
      </bottom>
      <diagonal/>
    </border>
    <border>
      <left/>
      <right style="thin">
        <color theme="4" tint="0.5999633777886288"/>
      </right>
      <top style="thin">
        <color theme="0" tint="-0.249946592608417"/>
      </top>
      <bottom style="thin">
        <color theme="4" tint="0.5999633777886288"/>
      </bottom>
      <diagonal/>
    </border>
    <border>
      <left style="dotted">
        <color theme="0"/>
      </left>
      <right style="dotted">
        <color theme="0"/>
      </right>
      <top style="dotted">
        <color theme="0"/>
      </top>
      <bottom style="dotted">
        <color theme="0"/>
      </bottom>
      <diagonal/>
    </border>
    <border>
      <left style="dotted">
        <color theme="0"/>
      </left>
      <right/>
      <top/>
      <bottom/>
      <diagonal/>
    </border>
    <border>
      <left style="dotted">
        <color theme="0"/>
      </left>
      <right style="dotted">
        <color theme="0"/>
      </right>
      <top style="dotted">
        <color theme="0"/>
      </top>
      <bottom/>
      <diagonal/>
    </border>
    <border>
      <left style="thin">
        <color theme="4" tint="0.5999633777886288"/>
      </left>
      <right/>
      <top style="thin">
        <color theme="0" tint="-0.249946592608417"/>
      </top>
      <bottom/>
      <diagonal/>
    </border>
    <border>
      <left/>
      <right style="thin">
        <color theme="4" tint="0.5999633777886288"/>
      </right>
      <top style="thin">
        <color theme="0" tint="-0.249946592608417"/>
      </top>
      <bottom/>
      <diagonal/>
    </border>
    <border>
      <left style="thin">
        <color rgb="FF17365D"/>
      </left>
      <right/>
      <top style="thin">
        <color rgb="FF17365D"/>
      </top>
      <bottom style="thin">
        <color rgb="FF17365D"/>
      </bottom>
      <diagonal/>
    </border>
    <border>
      <left style="thin">
        <color rgb="FF17365D"/>
      </left>
      <right/>
      <top/>
      <bottom/>
      <diagonal/>
    </border>
    <border>
      <left/>
      <right style="thin">
        <color rgb="FF17365D"/>
      </right>
      <top style="thin">
        <color rgb="FF17365D"/>
      </top>
      <bottom/>
      <diagonal/>
    </border>
    <border>
      <left style="thin">
        <color theme="4" tint="0.5999633777886288"/>
      </left>
      <right style="thin">
        <color theme="0" tint="-0.3499862666707358"/>
      </right>
      <top style="thin">
        <color theme="4" tint="0.5999633777886288"/>
      </top>
      <bottom/>
      <diagonal/>
    </border>
    <border>
      <left style="thin">
        <color theme="4" tint="0.5999633777886288"/>
      </left>
      <right/>
      <top style="thin">
        <color auto="1"/>
      </top>
      <bottom/>
      <diagonal/>
    </border>
    <border>
      <left style="thin">
        <color theme="4" tint="0.5999633777886288"/>
      </left>
      <right/>
      <top style="thin">
        <color rgb="FFEAF0F6"/>
      </top>
      <bottom/>
      <diagonal/>
    </border>
    <border>
      <left style="thin">
        <color theme="4" tint="0.5999633777886288"/>
      </left>
      <right/>
      <top/>
      <bottom style="thin">
        <color theme="0"/>
      </bottom>
      <diagonal/>
    </border>
    <border>
      <left/>
      <right style="thin">
        <color theme="4" tint="0.5999633777886288"/>
      </right>
      <top style="thin">
        <color theme="3" tint="0.5999633777886288"/>
      </top>
      <bottom/>
      <diagonal/>
    </border>
    <border>
      <left style="thin">
        <color theme="4" tint="0.5999633777886288"/>
      </left>
      <right/>
      <top style="thin">
        <color theme="4" tint="0.5999633777886288"/>
      </top>
      <bottom/>
      <diagonal/>
    </border>
    <border>
      <left style="thin">
        <color theme="4" tint="0.5999633777886288"/>
      </left>
      <right/>
      <top style="thin">
        <color theme="4" tint="0.5999633777886288"/>
      </top>
      <bottom style="thin">
        <color theme="3" tint="-0.499984740745262"/>
      </bottom>
      <diagonal/>
    </border>
    <border>
      <left style="thin">
        <color theme="4" tint="0.5999633777886288"/>
      </left>
      <right/>
      <top style="thin">
        <color theme="4" tint="0.5999633777886288"/>
      </top>
      <bottom style="thin">
        <color theme="3" tint="0.5999633777886288"/>
      </bottom>
      <diagonal/>
    </border>
    <border>
      <left style="thin">
        <color theme="4" tint="0.5999633777886288"/>
      </left>
      <right/>
      <top style="thin">
        <color theme="3" tint="0.5999633777886288"/>
      </top>
      <bottom style="thin">
        <color theme="4" tint="0.5999633777886288"/>
      </bottom>
      <diagonal/>
    </border>
    <border>
      <left style="thin">
        <color theme="4" tint="0.5999633777886288"/>
      </left>
      <right style="thin">
        <color rgb="FFB7C3D0"/>
      </right>
      <top style="thin">
        <color rgb="FFB7C3D0"/>
      </top>
      <bottom style="thin">
        <color rgb="FFB7C3D0"/>
      </bottom>
      <diagonal/>
    </border>
    <border>
      <left style="thin">
        <color theme="4" tint="0.5999633777886288"/>
      </left>
      <right/>
      <top/>
      <bottom style="thin">
        <color rgb="FFB7C3D0"/>
      </bottom>
      <diagonal/>
    </border>
    <border>
      <left style="thin">
        <color theme="4" tint="0.5999633777886288"/>
      </left>
      <right style="thin">
        <color rgb="FFB7C3D0"/>
      </right>
      <top/>
      <bottom/>
      <diagonal/>
    </border>
    <border>
      <left style="thin">
        <color theme="4" tint="0.5999633777886288"/>
      </left>
      <right/>
      <top style="thin">
        <color theme="4" tint="0.5999633777886288"/>
      </top>
      <bottom style="thin">
        <color theme="0" tint="-0.3499862666707358"/>
      </bottom>
      <diagonal/>
    </border>
    <border>
      <left style="thin">
        <color theme="4" tint="0.5999633777886288"/>
      </left>
      <right/>
      <top style="thin">
        <color theme="0" tint="-0.3499862666707358"/>
      </top>
      <bottom style="thin">
        <color theme="4" tint="0.5999633777886288"/>
      </bottom>
      <diagonal/>
    </border>
    <border>
      <left/>
      <right style="thin">
        <color theme="4" tint="0.599963377788628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diagonal/>
    </border>
    <border>
      <left style="thin">
        <color theme="4" tint="0.5999633777886288"/>
      </left>
      <right/>
      <top style="thin">
        <color rgb="FFEAF0F6"/>
      </top>
      <bottom style="thin">
        <color theme="3" tint="0.5999633777886288"/>
      </bottom>
      <diagonal/>
    </border>
    <border>
      <left style="thin">
        <color theme="4" tint="0.5999633777886288"/>
      </left>
      <right/>
      <top style="thin">
        <color theme="3" tint="0.5999633777886288"/>
      </top>
      <bottom style="thin">
        <color theme="3" tint="0.5999633777886288"/>
      </bottom>
      <diagonal/>
    </border>
    <border>
      <left style="thin">
        <color theme="4" tint="0.5999633777886288"/>
      </left>
      <right style="thin">
        <color theme="0"/>
      </right>
      <top/>
      <bottom style="thin">
        <color theme="0"/>
      </bottom>
      <diagonal/>
    </border>
    <border>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3" tint="0.5999633777886288"/>
      </bottom>
      <diagonal/>
    </border>
    <border>
      <left style="thin">
        <color theme="4" tint="0.5999633777886288"/>
      </left>
      <right style="thin">
        <color theme="0" tint="-0.349986266670735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rgb="FF17365D"/>
      </top>
      <bottom style="thin">
        <color rgb="FF17365D"/>
      </bottom>
      <diagonal/>
    </border>
    <border>
      <left style="thin">
        <color theme="4" tint="0.5999633777886288"/>
      </left>
      <right style="thin">
        <color theme="3" tint="-0.499984740745262"/>
      </right>
      <top/>
      <bottom/>
      <diagonal/>
    </border>
    <border>
      <left style="thin">
        <color theme="0" tint="-0.3499862666707358"/>
      </left>
      <right/>
      <top style="thin">
        <color theme="0" tint="-0.3499862666707358"/>
      </top>
      <bottom/>
      <diagonal/>
    </border>
    <border>
      <left style="thin">
        <color theme="0" tint="-0.249946592608417"/>
      </left>
      <right/>
      <top/>
      <bottom style="thin">
        <color theme="4" tint="0.5999633777886288"/>
      </bottom>
      <diagonal/>
    </border>
    <border>
      <left style="thin">
        <color theme="3" tint="0.5999633777886288"/>
      </left>
      <right/>
      <top style="thin">
        <color theme="0" tint="-0.249946592608417"/>
      </top>
      <bottom style="thin">
        <color theme="3" tint="0.5999633777886288"/>
      </bottom>
      <diagonal/>
    </border>
    <border>
      <left style="thin">
        <color theme="0"/>
      </left>
      <right style="thin">
        <color theme="0" tint="-0.249946592608417"/>
      </right>
      <top style="thin">
        <color theme="0" tint="-0.249946592608417"/>
      </top>
      <bottom style="thin">
        <color theme="3" tint="0.5999633777886288"/>
      </bottom>
      <diagonal/>
    </border>
    <border>
      <left/>
      <right/>
      <top style="thin">
        <color theme="0" tint="-0.249946592608417"/>
      </top>
      <bottom style="thin">
        <color theme="3" tint="0.5999633777886288"/>
      </bottom>
      <diagonal/>
    </border>
    <border>
      <left style="thick">
        <color rgb="FF17365D"/>
      </left>
      <right style="thick">
        <color rgb="FF17365D"/>
      </right>
      <top style="thick">
        <color rgb="FF17365D"/>
      </top>
      <bottom/>
      <diagonal/>
    </border>
    <border>
      <left style="thick">
        <color rgb="FF17365D"/>
      </left>
      <right style="thick">
        <color rgb="FF17365D"/>
      </right>
      <top/>
      <bottom style="thick">
        <color rgb="FF17365D"/>
      </bottom>
      <diagonal/>
    </border>
    <border>
      <left style="thick">
        <color rgb="FF17365D"/>
      </left>
      <right style="thick">
        <color rgb="FF17365D"/>
      </right>
      <top/>
      <bottom/>
      <diagonal/>
    </border>
    <border>
      <left style="thin">
        <color theme="0"/>
      </left>
      <right/>
      <top style="thin">
        <color theme="0" tint="-0.249946592608417"/>
      </top>
      <bottom style="thin">
        <color theme="3" tint="0.5999633777886288"/>
      </bottom>
      <diagonal/>
    </border>
    <border>
      <left/>
      <right style="thick">
        <color rgb="FF17365D"/>
      </right>
      <top style="thick">
        <color rgb="FF17365D"/>
      </top>
      <bottom/>
      <diagonal/>
    </border>
    <border>
      <left/>
      <right style="thick">
        <color rgb="FF17365D"/>
      </right>
      <top/>
      <bottom style="thick">
        <color rgb="FF17365D"/>
      </bottom>
      <diagonal/>
    </border>
    <border>
      <left style="thin">
        <color theme="4" tint="0.5999633777886288"/>
      </left>
      <right style="thin">
        <color theme="4" tint="0.5999633777886288"/>
      </right>
      <top style="thin">
        <color theme="4" tint="0.5999633777886288"/>
      </top>
      <bottom style="thin">
        <color theme="0"/>
      </bottom>
      <diagonal/>
    </border>
    <border>
      <left style="thin">
        <color theme="0" tint="-0.249946592608417"/>
      </left>
      <right style="thin">
        <color theme="0" tint="-0.249946592608417"/>
      </right>
      <top style="thin">
        <color theme="0" tint="-0.249946592608417"/>
      </top>
      <bottom style="thin">
        <color rgb="FFB8C2CC"/>
      </bottom>
      <diagonal/>
    </border>
    <border>
      <left/>
      <right style="thin">
        <color theme="0" tint="-0.249946592608417"/>
      </right>
      <top style="medium">
        <color rgb="FF142B44"/>
      </top>
      <bottom/>
      <diagonal/>
    </border>
    <border>
      <left/>
      <right style="thin">
        <color theme="0" tint="-0.249946592608417"/>
      </right>
      <top/>
      <bottom style="thin">
        <color rgb="FFB8C2CC"/>
      </bottom>
      <diagonal/>
    </border>
    <border>
      <left/>
      <right style="thin">
        <color theme="0" tint="-0.3499862666707358"/>
      </right>
      <top/>
      <bottom style="medium">
        <color rgb="FF142B44"/>
      </bottom>
      <diagonal/>
    </border>
    <border>
      <left/>
      <right style="thin">
        <color theme="0" tint="-0.249946592608417"/>
      </right>
      <top style="thin">
        <color theme="0" tint="-0.249946592608417"/>
      </top>
      <bottom style="thin">
        <color theme="3" tint="0.5999633777886288"/>
      </bottom>
      <diagonal/>
    </border>
    <border>
      <left style="thin">
        <color theme="0" tint="-0.249946592608417"/>
      </left>
      <right/>
      <top/>
      <bottom/>
      <diagonal/>
    </border>
    <border>
      <left style="thin">
        <color theme="0" tint="-0.249946592608417"/>
      </left>
      <right/>
      <top/>
      <bottom style="thin">
        <color theme="0" tint="-0.249946592608417"/>
      </bottom>
      <diagonal/>
    </border>
    <border>
      <left style="thin">
        <color rgb="FFB8C2CC"/>
      </left>
      <right style="thin">
        <color theme="0" tint="-0.249946592608417"/>
      </right>
      <top style="medium">
        <color rgb="FF142B44"/>
      </top>
      <bottom style="thin">
        <color rgb="FFB8C2CC"/>
      </bottom>
      <diagonal/>
    </border>
    <border>
      <left style="thin">
        <color theme="0" tint="-0.249946592608417"/>
      </left>
      <right/>
      <top/>
      <bottom style="thin">
        <color rgb="FFB8C2CC"/>
      </bottom>
      <diagonal/>
    </border>
    <border>
      <left/>
      <right style="thin">
        <color theme="0" tint="-0.3499862666707358"/>
      </right>
      <top style="thin">
        <color rgb="FF17365D"/>
      </top>
      <bottom style="thin">
        <color rgb="FF17365D"/>
      </bottom>
      <diagonal/>
    </border>
    <border>
      <left style="thin">
        <color theme="4" tint="0.5999633777886288"/>
      </left>
      <right style="thin">
        <color theme="4" tint="0.5999633777886288"/>
      </right>
      <top/>
      <bottom/>
      <diagonal/>
    </border>
    <border>
      <left style="thin">
        <color theme="4" tint="0.5999633777886288"/>
      </left>
      <right style="thin">
        <color theme="4" tint="0.5999633777886288"/>
      </right>
      <top style="thin">
        <color theme="0" tint="-0.3499862666707358"/>
      </top>
      <bottom style="thin">
        <color theme="0" tint="-0.3499862666707358"/>
      </bottom>
      <diagonal/>
    </border>
    <border>
      <left style="thin">
        <color theme="0" tint="-0.3499862666707358"/>
      </left>
      <right style="thin">
        <color theme="0" tint="-0.3499862666707358"/>
      </right>
      <top style="thin">
        <color theme="4" tint="0.5999633777886288"/>
      </top>
      <bottom/>
      <diagonal/>
    </border>
    <border>
      <left style="thin">
        <color theme="0" tint="-0.3499862666707358"/>
      </left>
      <right/>
      <top style="thin">
        <color theme="4" tint="0.5999633777886288"/>
      </top>
      <bottom style="thin">
        <color theme="3" tint="-0.499984740745262"/>
      </bottom>
      <diagonal/>
    </border>
    <border>
      <left style="thin">
        <color rgb="FF17365D"/>
      </left>
      <right style="thin">
        <color rgb="FFD9E1F2"/>
      </right>
      <top/>
      <bottom style="thin">
        <color rgb="FF17365D"/>
      </bottom>
      <diagonal/>
    </border>
    <border>
      <left style="thin">
        <color rgb="FFD9E1F2"/>
      </left>
      <right style="thin">
        <color rgb="FFD9E1F2"/>
      </right>
      <top/>
      <bottom style="thin">
        <color rgb="FF17365D"/>
      </bottom>
      <diagonal/>
    </border>
    <border>
      <left style="thin">
        <color rgb="FF002060"/>
      </left>
      <right style="thin">
        <color rgb="FFB7C3D0"/>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right style="thin">
        <color rgb="FFB7C3D0"/>
      </right>
      <top style="thin">
        <color rgb="FF002060"/>
      </top>
      <bottom style="thin">
        <color rgb="FF002060"/>
      </bottom>
      <diagonal/>
    </border>
    <border>
      <left style="thin">
        <color rgb="FFB8C2CC"/>
      </left>
      <right style="thin">
        <color rgb="FFB8C2CC"/>
      </right>
      <top style="thin">
        <color rgb="FFB8C2CC"/>
      </top>
      <bottom style="thin">
        <color rgb="FFB8C2CC"/>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C9A227"/>
      </left>
      <right/>
      <top/>
      <bottom style="thin">
        <color rgb="FFC9A227"/>
      </bottom>
      <diagonal/>
    </border>
    <border>
      <left/>
      <right/>
      <top/>
      <bottom style="thin">
        <color rgb="FFC9A227"/>
      </bottom>
      <diagonal/>
    </border>
    <border>
      <left/>
      <right style="thin">
        <color rgb="FFC9A227"/>
      </right>
      <top/>
      <bottom style="thin">
        <color rgb="FFC9A227"/>
      </bottom>
      <diagonal/>
    </border>
    <border>
      <left/>
      <right style="thin">
        <color theme="0"/>
      </right>
      <top style="thin">
        <color theme="0" tint="-0.249946592608417"/>
      </top>
      <bottom style="thin">
        <color theme="3" tint="0.5999633777886288"/>
      </bottom>
      <diagonal/>
    </border>
    <border>
      <left/>
      <right style="thick">
        <color rgb="FF17365D"/>
      </right>
      <top/>
      <bottom/>
      <diagonal/>
    </border>
    <border>
      <left style="thin">
        <color theme="0"/>
      </left>
      <right style="thin">
        <color theme="0"/>
      </right>
      <top style="thin">
        <color theme="0" tint="-0.249946592608417"/>
      </top>
      <bottom style="thin">
        <color theme="3" tint="0.5999633777886288"/>
      </bottom>
      <diagonal/>
    </border>
    <border>
      <left/>
      <right style="thin">
        <color theme="0"/>
      </right>
      <top style="thin">
        <color theme="0" tint="-0.249946592608417"/>
      </top>
      <bottom/>
      <diagonal/>
    </border>
    <border>
      <left style="thick">
        <color rgb="FF17365D"/>
      </left>
      <right/>
      <top/>
      <bottom/>
      <diagonal/>
    </border>
    <border>
      <left/>
      <right/>
      <top style="thick">
        <color rgb="FF17365D"/>
      </top>
      <bottom/>
      <diagonal/>
    </border>
    <border>
      <left/>
      <right style="thin">
        <color theme="0" tint="-0.249946592608417"/>
      </right>
      <top style="thin">
        <color theme="0"/>
      </top>
      <bottom/>
      <diagonal/>
    </border>
    <border>
      <left/>
      <right/>
      <top style="thin">
        <color rgb="FFD9E1F2"/>
      </top>
      <bottom/>
      <diagonal/>
    </border>
    <border>
      <left/>
      <right style="thin">
        <color rgb="FFD9E1F2"/>
      </right>
      <top style="thin">
        <color rgb="FFD9E1F2"/>
      </top>
      <bottom/>
      <diagonal/>
    </border>
    <border>
      <left/>
      <right style="thin">
        <color rgb="FFD9E1F2"/>
      </right>
      <top style="thin">
        <color theme="3" tint="0.5999633777886288"/>
      </top>
      <bottom/>
      <diagonal/>
    </border>
    <border>
      <left/>
      <right style="thin">
        <color theme="0"/>
      </right>
      <top style="thin">
        <color rgb="FF17365D"/>
      </top>
      <bottom/>
      <diagonal/>
    </border>
    <border>
      <left/>
      <right style="thin">
        <color rgb="FFD9E1F2"/>
      </right>
      <top style="thin">
        <color rgb="FF17365D"/>
      </top>
      <bottom/>
      <diagonal/>
    </border>
    <border>
      <left/>
      <right/>
      <top style="thin">
        <color rgb="FF002060"/>
      </top>
      <bottom/>
      <diagonal/>
    </border>
    <border>
      <left/>
      <right style="thin">
        <color rgb="FF002060"/>
      </right>
      <top style="thin">
        <color rgb="FF002060"/>
      </top>
      <bottom/>
      <diagonal/>
    </border>
    <border>
      <left style="hair">
        <color theme="0" tint="-0.3499862666707358"/>
      </left>
      <right/>
      <top/>
      <bottom/>
      <diagonal/>
    </border>
    <border>
      <left/>
      <right style="thin">
        <color rgb="FFB7C3D0"/>
      </right>
      <top style="medium">
        <color rgb="FF17365D"/>
      </top>
      <bottom/>
      <diagonal/>
    </border>
    <border>
      <left/>
      <right style="medium">
        <color theme="4" tint="0.5999633777886288"/>
      </right>
      <top style="medium">
        <color rgb="FF17365D"/>
      </top>
      <bottom/>
      <diagonal/>
    </border>
    <border>
      <left/>
      <right style="medium">
        <color theme="4" tint="0.5999633777886288"/>
      </right>
      <top style="thin">
        <color theme="4" tint="0.5999633777886288"/>
      </top>
      <bottom/>
      <diagonal/>
    </border>
    <border>
      <left/>
      <right style="thin">
        <color rgb="FFB7C3D0"/>
      </right>
      <top style="thin">
        <color rgb="FF002060"/>
      </top>
      <bottom/>
      <diagonal/>
    </border>
    <border>
      <left style="thin">
        <color theme="4" tint="0.5998718222602009"/>
      </left>
      <right/>
      <top/>
      <bottom/>
      <diagonal/>
    </border>
    <border>
      <left/>
      <right style="thin">
        <color theme="4" tint="0.5998718222602009"/>
      </right>
      <top/>
      <bottom/>
      <diagonal/>
    </border>
    <border>
      <left style="thin">
        <color rgb="FFC9A227"/>
      </left>
      <right/>
      <top/>
      <bottom/>
      <diagonal/>
    </border>
    <border>
      <left/>
      <right style="thin">
        <color rgb="FFC9A227"/>
      </right>
      <top/>
      <bottom/>
      <diagonal/>
    </border>
    <border>
      <left/>
      <right style="thin">
        <color rgb="FFB8C2CC"/>
      </right>
      <top style="medium">
        <color rgb="FF142B44"/>
      </top>
      <bottom/>
      <diagonal/>
    </border>
    <border>
      <left/>
      <right style="thin">
        <color theme="0" tint="-0.3499862666707358"/>
      </right>
      <top style="medium">
        <color rgb="FF142B44"/>
      </top>
      <bottom/>
      <diagonal/>
    </border>
    <border>
      <left/>
      <right style="thin">
        <color theme="0" tint="-0.3499862666707358"/>
      </right>
      <top style="thin">
        <color rgb="FFB8C2CC"/>
      </top>
      <bottom/>
      <diagonal/>
    </border>
    <border>
      <left/>
      <right/>
      <top style="medium">
        <color theme="4" tint="0.5999633777886288"/>
      </top>
      <bottom/>
      <diagonal/>
    </border>
    <border>
      <left/>
      <right style="thin">
        <color rgb="FFB8C2CC"/>
      </right>
      <top style="medium">
        <color theme="4" tint="0.5999633777886288"/>
      </top>
      <bottom/>
      <diagonal/>
    </border>
    <border>
      <left/>
      <right style="thin">
        <color theme="0" tint="-0.3499862666707358"/>
      </right>
      <top style="thin">
        <color theme="0"/>
      </top>
      <bottom/>
      <diagonal/>
    </border>
    <border>
      <left/>
      <right style="medium">
        <color auto="1"/>
      </right>
      <top style="thin">
        <color auto="1"/>
      </top>
      <bottom/>
      <diagonal/>
    </border>
    <border>
      <left/>
      <right/>
      <top style="thin">
        <color theme="4" tint="0.3999450666829432"/>
      </top>
      <bottom/>
      <diagonal/>
    </border>
    <border>
      <left/>
      <right style="medium">
        <color auto="1"/>
      </right>
      <top style="thin">
        <color theme="4" tint="0.3999450666829432"/>
      </top>
      <bottom/>
      <diagonal/>
    </border>
    <border>
      <left/>
      <right style="thin">
        <color theme="0" tint="-0.3499862666707358"/>
      </right>
      <top style="medium">
        <color theme="4" tint="0.5999633777886288"/>
      </top>
      <bottom/>
      <diagonal/>
    </border>
    <border>
      <left/>
      <right style="medium">
        <color auto="1"/>
      </right>
      <top style="medium">
        <color theme="4" tint="0.5999633777886288"/>
      </top>
      <bottom/>
      <diagonal/>
    </border>
    <border>
      <left/>
      <right style="thin">
        <color auto="1"/>
      </right>
      <top style="thin">
        <color auto="1"/>
      </top>
      <bottom/>
      <diagonal/>
    </border>
    <border>
      <left/>
      <right style="thin">
        <color theme="0" tint="-0.3499862666707358"/>
      </right>
      <top style="thin">
        <color theme="3" tint="0.5999633777886288"/>
      </top>
      <bottom/>
      <diagonal/>
    </border>
    <border>
      <left style="thin">
        <color theme="0"/>
      </left>
      <right style="thin">
        <color theme="0"/>
      </right>
      <top/>
      <bottom/>
      <diagonal/>
    </border>
    <border>
      <left/>
      <right style="thin">
        <color theme="4" tint="0.5999633777886288"/>
      </right>
      <top style="thin">
        <color theme="0" tint="-0.3499862666707358"/>
      </top>
      <bottom/>
      <diagonal/>
    </border>
    <border>
      <left/>
      <right style="thin">
        <color theme="0" tint="-0.3499862666707358"/>
      </right>
      <top style="thin">
        <color rgb="FF17365D"/>
      </top>
      <bottom/>
      <diagonal/>
    </border>
    <border>
      <left/>
      <right style="thin">
        <color theme="0" tint="-0.3499862666707358"/>
      </right>
      <top/>
      <bottom style="thin">
        <color theme="4" tint="0.5999633777886288"/>
      </bottom>
    </border>
    <border>
      <left/>
      <right style="thin">
        <color theme="0" tint="-0.3499862666707358"/>
      </right>
      <top style="thin">
        <color theme="4" tint="0.5999633777886288"/>
      </top>
      <bottom style="thin">
        <color theme="4" tint="0.5999633777886288"/>
      </bottom>
    </border>
  </borders>
  <cellStyleXfs count="5">
    <xf numFmtId="0" fontId="28" fillId="0" borderId="0"/>
    <xf numFmtId="0" fontId="28" fillId="0" borderId="0"/>
    <xf numFmtId="0" fontId="28" fillId="0" borderId="0"/>
    <xf numFmtId="0" fontId="28" fillId="0" borderId="0"/>
    <xf numFmtId="0" fontId="6" fillId="0" borderId="0"/>
  </cellStyleXfs>
  <cellXfs count="1447">
    <xf numFmtId="0" fontId="0" fillId="0" borderId="0" pivotButton="0" quotePrefix="0" xfId="0"/>
    <xf numFmtId="0" fontId="0" fillId="4" borderId="0" applyAlignment="1" pivotButton="0" quotePrefix="0" xfId="0">
      <alignment horizontal="center"/>
    </xf>
    <xf numFmtId="0" fontId="0" fillId="4" borderId="0" pivotButton="0" quotePrefix="0" xfId="0"/>
    <xf numFmtId="0" fontId="10" fillId="4" borderId="0" applyAlignment="1" pivotButton="0" quotePrefix="0" xfId="0">
      <alignment vertical="center"/>
    </xf>
    <xf numFmtId="0" fontId="11" fillId="4" borderId="0" applyAlignment="1" pivotButton="0" quotePrefix="0" xfId="0">
      <alignment vertical="center"/>
    </xf>
    <xf numFmtId="0" fontId="8" fillId="0" borderId="0" pivotButton="0" quotePrefix="0" xfId="0"/>
    <xf numFmtId="0" fontId="9" fillId="0" borderId="0" applyAlignment="1" pivotButton="0" quotePrefix="0" xfId="1">
      <alignment vertical="center" wrapText="1"/>
    </xf>
    <xf numFmtId="0" fontId="18" fillId="0" borderId="0" pivotButton="0" quotePrefix="0" xfId="0"/>
    <xf numFmtId="0" fontId="0" fillId="0" borderId="9" pivotButton="0" quotePrefix="0" xfId="3"/>
    <xf numFmtId="0" fontId="20" fillId="10" borderId="12" applyAlignment="1" pivotButton="0" quotePrefix="0" xfId="3">
      <alignment vertical="center"/>
    </xf>
    <xf numFmtId="0" fontId="0" fillId="0" borderId="12" applyAlignment="1" pivotButton="0" quotePrefix="0" xfId="3">
      <alignment vertical="center" wrapText="1"/>
    </xf>
    <xf numFmtId="0" fontId="19" fillId="13" borderId="20" applyAlignment="1" pivotButton="0" quotePrefix="0" xfId="3">
      <alignment vertical="center"/>
    </xf>
    <xf numFmtId="0" fontId="0" fillId="0" borderId="0" applyAlignment="1" pivotButton="0" quotePrefix="0" xfId="3">
      <alignment vertical="center"/>
    </xf>
    <xf numFmtId="0" fontId="32" fillId="0" borderId="0" pivotButton="0" quotePrefix="0" xfId="2"/>
    <xf numFmtId="0" fontId="19" fillId="13" borderId="26" applyAlignment="1" pivotButton="0" quotePrefix="0" xfId="3">
      <alignment horizontal="center" vertical="center"/>
    </xf>
    <xf numFmtId="0" fontId="36" fillId="17" borderId="28" pivotButton="0" quotePrefix="0" xfId="2"/>
    <xf numFmtId="0" fontId="0" fillId="0" borderId="0" applyAlignment="1" pivotButton="0" quotePrefix="0" xfId="1">
      <alignment vertical="center"/>
    </xf>
    <xf numFmtId="0" fontId="53" fillId="27" borderId="29" applyAlignment="1" pivotButton="0" quotePrefix="0" xfId="1">
      <alignment horizontal="center" vertical="center" wrapText="1"/>
    </xf>
    <xf numFmtId="0" fontId="53" fillId="27" borderId="29" applyAlignment="1" pivotButton="0" quotePrefix="0" xfId="1">
      <alignment vertical="center" wrapText="1"/>
    </xf>
    <xf numFmtId="0" fontId="38" fillId="17" borderId="29" applyAlignment="1" pivotButton="0" quotePrefix="0" xfId="1">
      <alignment horizontal="center" vertical="center" wrapText="1"/>
    </xf>
    <xf numFmtId="0" fontId="38" fillId="32" borderId="29" applyAlignment="1" pivotButton="0" quotePrefix="0" xfId="1">
      <alignment horizontal="center" vertical="center" wrapText="1"/>
    </xf>
    <xf numFmtId="0" fontId="38" fillId="32" borderId="29" applyAlignment="1" pivotButton="0" quotePrefix="0" xfId="1">
      <alignment vertical="center" wrapText="1"/>
    </xf>
    <xf numFmtId="0" fontId="60" fillId="0" borderId="58" applyAlignment="1" pivotButton="0" quotePrefix="0" xfId="1">
      <alignment vertical="center"/>
    </xf>
    <xf numFmtId="0" fontId="38" fillId="0" borderId="29" applyAlignment="1" pivotButton="0" quotePrefix="0" xfId="1">
      <alignment vertical="center" wrapText="1"/>
    </xf>
    <xf numFmtId="0" fontId="21" fillId="4" borderId="42" applyAlignment="1" pivotButton="0" quotePrefix="0" xfId="3">
      <alignment vertical="center"/>
    </xf>
    <xf numFmtId="0" fontId="21" fillId="4" borderId="0" applyAlignment="1" pivotButton="0" quotePrefix="0" xfId="3">
      <alignment vertical="center"/>
    </xf>
    <xf numFmtId="0" fontId="74" fillId="0" borderId="0" pivotButton="0" quotePrefix="0" xfId="0"/>
    <xf numFmtId="0" fontId="46" fillId="0" borderId="0" applyAlignment="1" pivotButton="0" quotePrefix="0" xfId="0">
      <alignment horizontal="center" vertical="center"/>
    </xf>
    <xf numFmtId="0" fontId="46" fillId="0" borderId="29" applyAlignment="1" pivotButton="0" quotePrefix="0" xfId="0">
      <alignment vertical="center"/>
    </xf>
    <xf numFmtId="0" fontId="47" fillId="3" borderId="29" applyAlignment="1" pivotButton="0" quotePrefix="0" xfId="0">
      <alignment vertical="center"/>
    </xf>
    <xf numFmtId="0" fontId="65" fillId="3" borderId="29" applyAlignment="1" pivotButton="0" quotePrefix="0" xfId="0">
      <alignment vertical="center"/>
    </xf>
    <xf numFmtId="0" fontId="32" fillId="11" borderId="12" applyAlignment="1" pivotButton="0" quotePrefix="0" xfId="3">
      <alignment vertical="center" wrapText="1"/>
    </xf>
    <xf numFmtId="0" fontId="32" fillId="11" borderId="16" applyAlignment="1" pivotButton="0" quotePrefix="0" xfId="3">
      <alignment vertical="center" wrapText="1"/>
    </xf>
    <xf numFmtId="0" fontId="49" fillId="34" borderId="29" applyAlignment="1" pivotButton="0" quotePrefix="0" xfId="0">
      <alignment horizontal="left"/>
    </xf>
    <xf numFmtId="0" fontId="49" fillId="34" borderId="29" applyAlignment="1" pivotButton="0" quotePrefix="0" xfId="0">
      <alignment horizontal="center"/>
    </xf>
    <xf numFmtId="0" fontId="55" fillId="20" borderId="29" applyAlignment="1" pivotButton="0" quotePrefix="0" xfId="0">
      <alignment horizontal="left" vertical="center"/>
    </xf>
    <xf numFmtId="0" fontId="55" fillId="20" borderId="29" applyAlignment="1" pivotButton="0" quotePrefix="0" xfId="0">
      <alignment horizontal="center" vertical="center"/>
    </xf>
    <xf numFmtId="0" fontId="70" fillId="36" borderId="29" applyAlignment="1" pivotButton="0" quotePrefix="0" xfId="0">
      <alignment horizontal="left" indent="2"/>
    </xf>
    <xf numFmtId="0" fontId="70" fillId="36" borderId="29" applyAlignment="1" pivotButton="0" quotePrefix="0" xfId="0">
      <alignment horizontal="center"/>
    </xf>
    <xf numFmtId="0" fontId="43" fillId="7" borderId="29" applyAlignment="1" pivotButton="0" quotePrefix="0" xfId="0">
      <alignment horizontal="left" indent="3"/>
    </xf>
    <xf numFmtId="0" fontId="43" fillId="6" borderId="29" applyAlignment="1" pivotButton="0" quotePrefix="0" xfId="0">
      <alignment horizontal="left" indent="3"/>
    </xf>
    <xf numFmtId="0" fontId="43" fillId="0" borderId="29" applyAlignment="1" pivotButton="0" quotePrefix="0" xfId="0">
      <alignment horizontal="left" indent="3"/>
    </xf>
    <xf numFmtId="0" fontId="66" fillId="20" borderId="29" applyAlignment="1" pivotButton="0" quotePrefix="0" xfId="0">
      <alignment horizontal="center"/>
    </xf>
    <xf numFmtId="0" fontId="44" fillId="20" borderId="29" applyAlignment="1" pivotButton="0" quotePrefix="0" xfId="0">
      <alignment horizontal="center" vertical="center"/>
    </xf>
    <xf numFmtId="0" fontId="80" fillId="20" borderId="29" applyAlignment="1" pivotButton="0" quotePrefix="0" xfId="0">
      <alignment horizontal="center"/>
    </xf>
    <xf numFmtId="0" fontId="45" fillId="20" borderId="29" applyAlignment="1" pivotButton="0" quotePrefix="0" xfId="0">
      <alignment horizontal="center" vertical="center"/>
    </xf>
    <xf numFmtId="0" fontId="62" fillId="26" borderId="29" applyAlignment="1" pivotButton="0" quotePrefix="0" xfId="0">
      <alignment vertical="center"/>
    </xf>
    <xf numFmtId="0" fontId="64" fillId="26" borderId="29" applyAlignment="1" pivotButton="0" quotePrefix="0" xfId="0">
      <alignment vertical="center"/>
    </xf>
    <xf numFmtId="0" fontId="29" fillId="39" borderId="29" applyAlignment="1" pivotButton="0" quotePrefix="0" xfId="0">
      <alignment horizontal="center" vertical="center"/>
    </xf>
    <xf numFmtId="0" fontId="38" fillId="0" borderId="74" applyAlignment="1" pivotButton="0" quotePrefix="0" xfId="1">
      <alignment horizontal="center" vertical="center" wrapText="1"/>
    </xf>
    <xf numFmtId="0" fontId="38" fillId="0" borderId="76" applyAlignment="1" pivotButton="0" quotePrefix="0" xfId="1">
      <alignment horizontal="center" vertical="center" wrapText="1"/>
    </xf>
    <xf numFmtId="0" fontId="58" fillId="3" borderId="81" applyAlignment="1" pivotButton="0" quotePrefix="0" xfId="1">
      <alignment horizontal="center" vertical="center"/>
    </xf>
    <xf numFmtId="0" fontId="38" fillId="0" borderId="83" applyAlignment="1" pivotButton="0" quotePrefix="0" xfId="1">
      <alignment horizontal="center" vertical="center"/>
    </xf>
    <xf numFmtId="0" fontId="38" fillId="0" borderId="65" applyAlignment="1" pivotButton="0" quotePrefix="0" xfId="1">
      <alignment horizontal="center" vertical="center"/>
    </xf>
    <xf numFmtId="0" fontId="38" fillId="0" borderId="85" applyAlignment="1" pivotButton="0" quotePrefix="0" xfId="1">
      <alignment horizontal="center" vertical="center"/>
    </xf>
    <xf numFmtId="0" fontId="60" fillId="0" borderId="97" applyAlignment="1" pivotButton="0" quotePrefix="0" xfId="1">
      <alignment horizontal="left" vertical="center"/>
    </xf>
    <xf numFmtId="0" fontId="14" fillId="34" borderId="107" applyAlignment="1" pivotButton="0" quotePrefix="0" xfId="0">
      <alignment horizontal="center"/>
    </xf>
    <xf numFmtId="0" fontId="15" fillId="2" borderId="108" applyAlignment="1" pivotButton="0" quotePrefix="0" xfId="0">
      <alignment horizontal="center"/>
    </xf>
    <xf numFmtId="0" fontId="16" fillId="36" borderId="108" applyAlignment="1" pivotButton="0" quotePrefix="0" xfId="0">
      <alignment horizontal="center"/>
    </xf>
    <xf numFmtId="0" fontId="17" fillId="7" borderId="108" applyAlignment="1" pivotButton="0" quotePrefix="0" xfId="0">
      <alignment horizontal="center"/>
    </xf>
    <xf numFmtId="0" fontId="17" fillId="6" borderId="108" applyAlignment="1" pivotButton="0" quotePrefix="0" xfId="0">
      <alignment horizontal="center"/>
    </xf>
    <xf numFmtId="0" fontId="17" fillId="0" borderId="108" applyAlignment="1" pivotButton="0" quotePrefix="0" xfId="0">
      <alignment horizontal="center"/>
    </xf>
    <xf numFmtId="0" fontId="13" fillId="2" borderId="108" applyAlignment="1" pivotButton="0" quotePrefix="0" xfId="0">
      <alignment horizontal="center"/>
    </xf>
    <xf numFmtId="0" fontId="85" fillId="5" borderId="64" applyAlignment="1" pivotButton="0" quotePrefix="0" xfId="0">
      <alignment horizontal="center" vertical="center"/>
    </xf>
    <xf numFmtId="0" fontId="31" fillId="20" borderId="64" applyAlignment="1" pivotButton="0" quotePrefix="0" xfId="0">
      <alignment vertical="center"/>
    </xf>
    <xf numFmtId="0" fontId="29" fillId="39" borderId="65" applyAlignment="1" pivotButton="0" quotePrefix="0" xfId="0">
      <alignment horizontal="center" vertical="center"/>
    </xf>
    <xf numFmtId="0" fontId="29" fillId="20" borderId="64" applyAlignment="1" pivotButton="0" quotePrefix="0" xfId="0">
      <alignment vertical="center"/>
    </xf>
    <xf numFmtId="0" fontId="6" fillId="0" borderId="92" pivotButton="0" quotePrefix="0" xfId="0"/>
    <xf numFmtId="0" fontId="6" fillId="0" borderId="91" pivotButton="0" quotePrefix="0" xfId="0"/>
    <xf numFmtId="0" fontId="32" fillId="11" borderId="101" applyAlignment="1" pivotButton="0" quotePrefix="0" xfId="3">
      <alignment vertical="center" wrapText="1"/>
    </xf>
    <xf numFmtId="0" fontId="0" fillId="0" borderId="92" pivotButton="0" quotePrefix="0" xfId="3"/>
    <xf numFmtId="0" fontId="0" fillId="0" borderId="91" pivotButton="0" quotePrefix="0" xfId="3"/>
    <xf numFmtId="0" fontId="0" fillId="0" borderId="120" applyAlignment="1" pivotButton="0" quotePrefix="0" xfId="3">
      <alignment vertical="center"/>
    </xf>
    <xf numFmtId="0" fontId="0" fillId="0" borderId="119" pivotButton="0" quotePrefix="0" xfId="3"/>
    <xf numFmtId="0" fontId="0" fillId="0" borderId="104" pivotButton="0" quotePrefix="0" xfId="3"/>
    <xf numFmtId="0" fontId="23" fillId="10" borderId="119" applyAlignment="1" pivotButton="0" quotePrefix="0" xfId="3">
      <alignment horizontal="center"/>
    </xf>
    <xf numFmtId="0" fontId="77" fillId="40" borderId="122" applyAlignment="1" pivotButton="0" quotePrefix="0" xfId="3">
      <alignment horizontal="center" vertical="center" wrapText="1"/>
    </xf>
    <xf numFmtId="0" fontId="77" fillId="40" borderId="20" applyAlignment="1" pivotButton="0" quotePrefix="0" xfId="3">
      <alignment horizontal="center" vertical="center" wrapText="1"/>
    </xf>
    <xf numFmtId="0" fontId="77" fillId="40" borderId="27" applyAlignment="1" pivotButton="0" quotePrefix="0" xfId="3">
      <alignment horizontal="center" vertical="center" wrapText="1"/>
    </xf>
    <xf numFmtId="0" fontId="21" fillId="4" borderId="101" applyAlignment="1" pivotButton="0" quotePrefix="0" xfId="3">
      <alignment horizontal="center" vertical="center"/>
    </xf>
    <xf numFmtId="0" fontId="62" fillId="0" borderId="64" applyAlignment="1" pivotButton="0" quotePrefix="0" xfId="0">
      <alignment horizontal="center" vertical="center"/>
    </xf>
    <xf numFmtId="0" fontId="47" fillId="3" borderId="64" applyAlignment="1" pivotButton="0" quotePrefix="0" xfId="0">
      <alignment horizontal="center" vertical="center"/>
    </xf>
    <xf numFmtId="0" fontId="46" fillId="26" borderId="64" applyAlignment="1" pivotButton="0" quotePrefix="0" xfId="0">
      <alignment horizontal="center" vertical="center"/>
    </xf>
    <xf numFmtId="0" fontId="55" fillId="35" borderId="64" applyAlignment="1" pivotButton="0" quotePrefix="0" xfId="0">
      <alignment horizontal="center" vertical="center"/>
    </xf>
    <xf numFmtId="0" fontId="46" fillId="0" borderId="64" applyAlignment="1" pivotButton="0" quotePrefix="0" xfId="0">
      <alignment horizontal="center" vertical="center"/>
    </xf>
    <xf numFmtId="0" fontId="46" fillId="0" borderId="65" applyAlignment="1" pivotButton="0" quotePrefix="0" xfId="0">
      <alignment vertical="center"/>
    </xf>
    <xf numFmtId="0" fontId="50" fillId="20" borderId="64" applyAlignment="1" pivotButton="0" quotePrefix="0" xfId="0">
      <alignment horizontal="center" vertical="center"/>
    </xf>
    <xf numFmtId="0" fontId="46" fillId="0" borderId="92" applyAlignment="1" pivotButton="0" quotePrefix="0" xfId="0">
      <alignment horizontal="center" vertical="center"/>
    </xf>
    <xf numFmtId="0" fontId="46" fillId="0" borderId="103" applyAlignment="1" pivotButton="0" quotePrefix="0" xfId="0">
      <alignment horizontal="center" vertical="center"/>
    </xf>
    <xf numFmtId="0" fontId="87" fillId="0" borderId="0" pivotButton="0" quotePrefix="0" xfId="0"/>
    <xf numFmtId="0" fontId="89" fillId="0" borderId="0" pivotButton="0" quotePrefix="0" xfId="0"/>
    <xf numFmtId="0" fontId="87" fillId="0" borderId="60" pivotButton="0" quotePrefix="0" xfId="0"/>
    <xf numFmtId="0" fontId="89" fillId="0" borderId="60" pivotButton="0" quotePrefix="0" xfId="0"/>
    <xf numFmtId="0" fontId="77" fillId="10" borderId="60" applyAlignment="1" pivotButton="0" quotePrefix="0" xfId="3">
      <alignment vertical="center"/>
    </xf>
    <xf numFmtId="0" fontId="77" fillId="10" borderId="12" applyAlignment="1" pivotButton="0" quotePrefix="0" xfId="3">
      <alignment horizontal="left" vertical="center"/>
    </xf>
    <xf numFmtId="0" fontId="77" fillId="10" borderId="0" applyAlignment="1" pivotButton="0" quotePrefix="0" xfId="3">
      <alignment horizontal="left" vertical="center"/>
    </xf>
    <xf numFmtId="0" fontId="87" fillId="0" borderId="0" applyAlignment="1" pivotButton="0" quotePrefix="0" xfId="0">
      <alignment vertical="center"/>
    </xf>
    <xf numFmtId="0" fontId="62" fillId="6" borderId="0" applyAlignment="1" pivotButton="0" quotePrefix="0" xfId="0">
      <alignment vertical="center"/>
    </xf>
    <xf numFmtId="4" fontId="75" fillId="6" borderId="0" applyAlignment="1" pivotButton="0" quotePrefix="0" xfId="0">
      <alignment vertical="center"/>
    </xf>
    <xf numFmtId="0" fontId="62" fillId="0" borderId="0" applyAlignment="1" pivotButton="0" quotePrefix="0" xfId="0">
      <alignment vertical="center"/>
    </xf>
    <xf numFmtId="4" fontId="75" fillId="0" borderId="0" applyAlignment="1" pivotButton="0" quotePrefix="0" xfId="0">
      <alignment vertical="center"/>
    </xf>
    <xf numFmtId="0" fontId="63" fillId="6" borderId="0" applyAlignment="1" pivotButton="0" quotePrefix="0" xfId="0">
      <alignment vertical="center"/>
    </xf>
    <xf numFmtId="4" fontId="49" fillId="3" borderId="0" applyAlignment="1" pivotButton="0" quotePrefix="0" xfId="0">
      <alignment vertical="center"/>
    </xf>
    <xf numFmtId="0" fontId="63" fillId="0" borderId="0" applyAlignment="1" pivotButton="0" quotePrefix="0" xfId="0">
      <alignment vertical="center"/>
    </xf>
    <xf numFmtId="0" fontId="73" fillId="23" borderId="29" applyAlignment="1" pivotButton="0" quotePrefix="0" xfId="1">
      <alignment vertical="center"/>
    </xf>
    <xf numFmtId="0" fontId="53" fillId="23" borderId="29" applyAlignment="1" pivotButton="0" quotePrefix="0" xfId="1">
      <alignment vertical="center" wrapText="1"/>
    </xf>
    <xf numFmtId="0" fontId="53" fillId="23" borderId="65" applyAlignment="1" pivotButton="0" quotePrefix="0" xfId="1">
      <alignment horizontal="center" vertical="center" wrapText="1"/>
    </xf>
    <xf numFmtId="0" fontId="31" fillId="18" borderId="29" applyAlignment="1" pivotButton="0" quotePrefix="0" xfId="1">
      <alignment horizontal="center" vertical="center" wrapText="1"/>
    </xf>
    <xf numFmtId="0" fontId="31" fillId="33" borderId="29" applyAlignment="1" pivotButton="0" quotePrefix="0" xfId="1">
      <alignment horizontal="center" vertical="center" wrapText="1"/>
    </xf>
    <xf numFmtId="0" fontId="31" fillId="33" borderId="29" applyAlignment="1" pivotButton="0" quotePrefix="0" xfId="1">
      <alignment vertical="center" wrapText="1"/>
    </xf>
    <xf numFmtId="0" fontId="38" fillId="0" borderId="77" applyAlignment="1" pivotButton="0" quotePrefix="0" xfId="1">
      <alignment horizontal="center" vertical="center" wrapText="1"/>
    </xf>
    <xf numFmtId="0" fontId="96" fillId="0" borderId="29" applyAlignment="1" pivotButton="0" quotePrefix="0" xfId="0">
      <alignment horizontal="center" vertical="center"/>
    </xf>
    <xf numFmtId="0" fontId="96" fillId="17" borderId="29" applyAlignment="1" pivotButton="0" quotePrefix="0" xfId="0">
      <alignment horizontal="center" vertical="center"/>
    </xf>
    <xf numFmtId="0" fontId="7" fillId="0" borderId="0" pivotButton="0" quotePrefix="0" xfId="0"/>
    <xf numFmtId="0" fontId="98" fillId="0" borderId="0" pivotButton="0" quotePrefix="0" xfId="0"/>
    <xf numFmtId="0" fontId="95" fillId="0" borderId="0" pivotButton="0" quotePrefix="0" xfId="0"/>
    <xf numFmtId="0" fontId="73" fillId="27" borderId="62" applyAlignment="1" pivotButton="0" quotePrefix="0" xfId="0">
      <alignment vertical="center"/>
    </xf>
    <xf numFmtId="0" fontId="77" fillId="10" borderId="58" applyAlignment="1" pivotButton="0" quotePrefix="0" xfId="3">
      <alignment vertical="center"/>
    </xf>
    <xf numFmtId="0" fontId="77" fillId="10" borderId="23" applyAlignment="1" pivotButton="0" quotePrefix="0" xfId="3">
      <alignment vertical="center"/>
    </xf>
    <xf numFmtId="0" fontId="73" fillId="27" borderId="61" applyAlignment="1" pivotButton="0" quotePrefix="0" xfId="1">
      <alignment vertical="center" wrapText="1"/>
    </xf>
    <xf numFmtId="0" fontId="73" fillId="27" borderId="64" applyAlignment="1" pivotButton="0" quotePrefix="0" xfId="1">
      <alignment vertical="center"/>
    </xf>
    <xf numFmtId="0" fontId="43" fillId="7" borderId="29" applyAlignment="1" pivotButton="0" quotePrefix="0" xfId="0">
      <alignment horizontal="center"/>
    </xf>
    <xf numFmtId="0" fontId="43" fillId="6" borderId="29" applyAlignment="1" pivotButton="0" quotePrefix="0" xfId="0">
      <alignment horizontal="center"/>
    </xf>
    <xf numFmtId="0" fontId="43" fillId="0" borderId="29" applyAlignment="1" pivotButton="0" quotePrefix="0" xfId="0">
      <alignment horizontal="center"/>
    </xf>
    <xf numFmtId="0" fontId="81" fillId="20" borderId="29" applyAlignment="1" pivotButton="0" quotePrefix="0" xfId="0">
      <alignment horizontal="center"/>
    </xf>
    <xf numFmtId="0" fontId="12" fillId="45" borderId="91" applyAlignment="1" pivotButton="0" quotePrefix="0" xfId="3">
      <alignment horizontal="center" wrapText="1"/>
    </xf>
    <xf numFmtId="0" fontId="9" fillId="28" borderId="0" applyAlignment="1" pivotButton="0" quotePrefix="0" xfId="1">
      <alignment vertical="center"/>
    </xf>
    <xf numFmtId="0" fontId="9" fillId="43" borderId="60" applyAlignment="1" pivotButton="0" quotePrefix="0" xfId="1">
      <alignment vertical="center"/>
    </xf>
    <xf numFmtId="0" fontId="9" fillId="43" borderId="117" applyAlignment="1" pivotButton="0" quotePrefix="0" xfId="1">
      <alignment vertical="center"/>
    </xf>
    <xf numFmtId="0" fontId="0" fillId="43" borderId="60" pivotButton="0" quotePrefix="0" xfId="0"/>
    <xf numFmtId="0" fontId="0" fillId="43" borderId="117" pivotButton="0" quotePrefix="0" xfId="0"/>
    <xf numFmtId="0" fontId="54" fillId="48" borderId="99" applyAlignment="1" pivotButton="0" quotePrefix="0" xfId="0">
      <alignment vertical="center" wrapText="1"/>
    </xf>
    <xf numFmtId="0" fontId="54" fillId="48" borderId="0" applyAlignment="1" pivotButton="0" quotePrefix="0" xfId="0">
      <alignment vertical="center" wrapText="1"/>
    </xf>
    <xf numFmtId="0" fontId="103" fillId="28" borderId="33" applyAlignment="1" pivotButton="0" quotePrefix="0" xfId="1">
      <alignment vertical="top"/>
    </xf>
    <xf numFmtId="0" fontId="103" fillId="28" borderId="32" applyAlignment="1" pivotButton="0" quotePrefix="0" xfId="1">
      <alignment vertical="top"/>
    </xf>
    <xf numFmtId="0" fontId="0" fillId="43" borderId="0" pivotButton="0" quotePrefix="0" xfId="2"/>
    <xf numFmtId="0" fontId="23" fillId="46" borderId="12" applyAlignment="1" pivotButton="0" quotePrefix="0" xfId="3">
      <alignment horizontal="center" vertical="center"/>
    </xf>
    <xf numFmtId="0" fontId="21" fillId="47" borderId="0" applyAlignment="1" pivotButton="0" quotePrefix="0" xfId="3">
      <alignment vertical="center"/>
    </xf>
    <xf numFmtId="0" fontId="21" fillId="47" borderId="91" applyAlignment="1" pivotButton="0" quotePrefix="0" xfId="3">
      <alignment vertical="center"/>
    </xf>
    <xf numFmtId="0" fontId="23" fillId="10" borderId="134" applyAlignment="1" pivotButton="0" quotePrefix="0" xfId="3">
      <alignment horizontal="center" vertical="center"/>
    </xf>
    <xf numFmtId="0" fontId="16" fillId="36" borderId="107" applyAlignment="1" pivotButton="0" quotePrefix="0" xfId="0">
      <alignment horizontal="center"/>
    </xf>
    <xf numFmtId="0" fontId="70" fillId="36" borderId="32" applyAlignment="1" pivotButton="0" quotePrefix="0" xfId="0">
      <alignment horizontal="left" indent="2"/>
    </xf>
    <xf numFmtId="0" fontId="70" fillId="36" borderId="32" applyAlignment="1" pivotButton="0" quotePrefix="0" xfId="0">
      <alignment horizontal="center"/>
    </xf>
    <xf numFmtId="0" fontId="15" fillId="2" borderId="109" applyAlignment="1" pivotButton="0" quotePrefix="0" xfId="0">
      <alignment horizontal="center"/>
    </xf>
    <xf numFmtId="0" fontId="55" fillId="20" borderId="110" applyAlignment="1" pivotButton="0" quotePrefix="0" xfId="0">
      <alignment horizontal="left" vertical="center"/>
    </xf>
    <xf numFmtId="0" fontId="55" fillId="20" borderId="110" applyAlignment="1" pivotButton="0" quotePrefix="0" xfId="0">
      <alignment horizontal="center" vertical="center"/>
    </xf>
    <xf numFmtId="0" fontId="83" fillId="4" borderId="0" applyAlignment="1" pivotButton="0" quotePrefix="0" xfId="3">
      <alignment vertical="center"/>
    </xf>
    <xf numFmtId="0" fontId="17" fillId="7" borderId="141" applyAlignment="1" pivotButton="0" quotePrefix="0" xfId="0">
      <alignment horizontal="center"/>
    </xf>
    <xf numFmtId="0" fontId="43" fillId="7" borderId="33" applyAlignment="1" pivotButton="0" quotePrefix="0" xfId="0">
      <alignment horizontal="left" indent="3"/>
    </xf>
    <xf numFmtId="0" fontId="43" fillId="7" borderId="33" applyAlignment="1" pivotButton="0" quotePrefix="0" xfId="0">
      <alignment horizontal="center"/>
    </xf>
    <xf numFmtId="0" fontId="17" fillId="7" borderId="142" applyAlignment="1" pivotButton="0" quotePrefix="0" xfId="0">
      <alignment horizontal="center"/>
    </xf>
    <xf numFmtId="0" fontId="43" fillId="7" borderId="143" applyAlignment="1" pivotButton="0" quotePrefix="0" xfId="0">
      <alignment horizontal="left" indent="3"/>
    </xf>
    <xf numFmtId="0" fontId="43" fillId="7" borderId="143" applyAlignment="1" pivotButton="0" quotePrefix="0" xfId="0">
      <alignment horizontal="center"/>
    </xf>
    <xf numFmtId="0" fontId="17" fillId="6" borderId="145" applyAlignment="1" pivotButton="0" quotePrefix="0" xfId="0">
      <alignment horizontal="center"/>
    </xf>
    <xf numFmtId="0" fontId="17" fillId="7" borderId="145" applyAlignment="1" pivotButton="0" quotePrefix="0" xfId="0">
      <alignment horizontal="center"/>
    </xf>
    <xf numFmtId="0" fontId="15" fillId="2" borderId="145" applyAlignment="1" pivotButton="0" quotePrefix="0" xfId="0">
      <alignment horizontal="center"/>
    </xf>
    <xf numFmtId="0" fontId="17" fillId="0" borderId="145" applyAlignment="1" pivotButton="0" quotePrefix="0" xfId="0">
      <alignment horizontal="center"/>
    </xf>
    <xf numFmtId="0" fontId="17" fillId="7" borderId="146" applyAlignment="1" pivotButton="0" quotePrefix="0" xfId="0">
      <alignment horizontal="center"/>
    </xf>
    <xf numFmtId="0" fontId="43" fillId="7" borderId="147" applyAlignment="1" pivotButton="0" quotePrefix="0" xfId="0">
      <alignment horizontal="left" indent="3"/>
    </xf>
    <xf numFmtId="0" fontId="43" fillId="7" borderId="147" applyAlignment="1" pivotButton="0" quotePrefix="0" xfId="0">
      <alignment horizontal="center"/>
    </xf>
    <xf numFmtId="0" fontId="23" fillId="10" borderId="135" applyAlignment="1" pivotButton="0" quotePrefix="0" xfId="3">
      <alignment horizontal="right" vertical="center"/>
    </xf>
    <xf numFmtId="0" fontId="23" fillId="10" borderId="12" applyAlignment="1" pivotButton="0" quotePrefix="0" xfId="3">
      <alignment horizontal="right" vertical="center"/>
    </xf>
    <xf numFmtId="0" fontId="23" fillId="10" borderId="60" applyAlignment="1" pivotButton="0" quotePrefix="0" xfId="3">
      <alignment horizontal="right" vertical="center"/>
    </xf>
    <xf numFmtId="0" fontId="109" fillId="28" borderId="0" pivotButton="0" quotePrefix="0" xfId="2"/>
    <xf numFmtId="0" fontId="110" fillId="28" borderId="0" pivotButton="0" quotePrefix="0" xfId="2"/>
    <xf numFmtId="0" fontId="111" fillId="42" borderId="101" applyAlignment="1" pivotButton="0" quotePrefix="0" xfId="3">
      <alignment horizontal="center" vertical="center"/>
    </xf>
    <xf numFmtId="0" fontId="77" fillId="10" borderId="134" applyAlignment="1" pivotButton="0" quotePrefix="0" xfId="3">
      <alignment horizontal="left" vertical="center"/>
    </xf>
    <xf numFmtId="0" fontId="77" fillId="10" borderId="149" applyAlignment="1" pivotButton="0" quotePrefix="0" xfId="3">
      <alignment horizontal="left" vertical="center"/>
    </xf>
    <xf numFmtId="0" fontId="91" fillId="20" borderId="152" applyAlignment="1" pivotButton="0" quotePrefix="0" xfId="0">
      <alignment horizontal="center" vertical="center" wrapText="1"/>
    </xf>
    <xf numFmtId="0" fontId="91" fillId="20" borderId="153" applyAlignment="1" pivotButton="0" quotePrefix="0" xfId="0">
      <alignment horizontal="center" vertical="center" wrapText="1"/>
    </xf>
    <xf numFmtId="0" fontId="62" fillId="0" borderId="152" pivotButton="0" quotePrefix="0" xfId="0"/>
    <xf numFmtId="0" fontId="62" fillId="0" borderId="153" pivotButton="0" quotePrefix="0" xfId="0"/>
    <xf numFmtId="0" fontId="47" fillId="3" borderId="152" pivotButton="0" quotePrefix="0" xfId="0"/>
    <xf numFmtId="0" fontId="49" fillId="3" borderId="153" pivotButton="0" quotePrefix="0" xfId="0"/>
    <xf numFmtId="0" fontId="46" fillId="0" borderId="150" pivotButton="0" quotePrefix="0" xfId="0"/>
    <xf numFmtId="0" fontId="46" fillId="0" borderId="152" pivotButton="0" quotePrefix="0" xfId="0"/>
    <xf numFmtId="0" fontId="46" fillId="0" borderId="153" pivotButton="0" quotePrefix="0" xfId="0"/>
    <xf numFmtId="0" fontId="46" fillId="20" borderId="154" applyAlignment="1" pivotButton="0" quotePrefix="0" xfId="0">
      <alignment vertical="center"/>
    </xf>
    <xf numFmtId="0" fontId="55" fillId="20" borderId="155" applyAlignment="1" pivotButton="0" quotePrefix="0" xfId="0">
      <alignment vertical="center"/>
    </xf>
    <xf numFmtId="0" fontId="64" fillId="20" borderId="155" applyAlignment="1" pivotButton="0" quotePrefix="0" xfId="0">
      <alignment vertical="center"/>
    </xf>
    <xf numFmtId="0" fontId="0" fillId="43" borderId="0" applyAlignment="1" pivotButton="0" quotePrefix="0" xfId="0">
      <alignment vertical="center"/>
    </xf>
    <xf numFmtId="0" fontId="77" fillId="10" borderId="120" applyAlignment="1" pivotButton="0" quotePrefix="0" xfId="3">
      <alignment horizontal="left" vertical="center"/>
    </xf>
    <xf numFmtId="0" fontId="66" fillId="20" borderId="114" applyAlignment="1" pivotButton="0" quotePrefix="0" xfId="0">
      <alignment horizontal="center" vertical="center"/>
    </xf>
    <xf numFmtId="0" fontId="66" fillId="28" borderId="99" applyAlignment="1" pivotButton="0" quotePrefix="0" xfId="2">
      <alignment vertical="center"/>
    </xf>
    <xf numFmtId="0" fontId="66" fillId="28" borderId="100" applyAlignment="1" pivotButton="0" quotePrefix="0" xfId="2">
      <alignment vertical="center"/>
    </xf>
    <xf numFmtId="0" fontId="66" fillId="28" borderId="0" applyAlignment="1" pivotButton="0" quotePrefix="0" xfId="2">
      <alignment vertical="center"/>
    </xf>
    <xf numFmtId="0" fontId="66" fillId="28" borderId="91" applyAlignment="1" pivotButton="0" quotePrefix="0" xfId="2">
      <alignment vertical="center"/>
    </xf>
    <xf numFmtId="0" fontId="85" fillId="5" borderId="114" applyAlignment="1" pivotButton="0" quotePrefix="0" xfId="0">
      <alignment horizontal="center" vertical="center"/>
    </xf>
    <xf numFmtId="0" fontId="110" fillId="28" borderId="0" applyAlignment="1" pivotButton="0" quotePrefix="0" xfId="2">
      <alignment horizontal="left" vertical="center"/>
    </xf>
    <xf numFmtId="0" fontId="5" fillId="4" borderId="18" applyAlignment="1" pivotButton="0" quotePrefix="0" xfId="3">
      <alignment horizontal="center" vertical="center"/>
    </xf>
    <xf numFmtId="0" fontId="54" fillId="57" borderId="124" applyAlignment="1" pivotButton="0" quotePrefix="0" xfId="0">
      <alignment horizontal="center" vertical="center" wrapText="1"/>
    </xf>
    <xf numFmtId="0" fontId="54" fillId="57" borderId="110" applyAlignment="1" pivotButton="0" quotePrefix="0" xfId="0">
      <alignment horizontal="center" vertical="center" wrapText="1"/>
    </xf>
    <xf numFmtId="0" fontId="54" fillId="57" borderId="111" applyAlignment="1" pivotButton="0" quotePrefix="0" xfId="0">
      <alignment horizontal="center" vertical="center" wrapText="1"/>
    </xf>
    <xf numFmtId="0" fontId="84" fillId="58" borderId="105" applyAlignment="1" pivotButton="0" quotePrefix="0" xfId="0">
      <alignment horizontal="center" vertical="center" wrapText="1"/>
    </xf>
    <xf numFmtId="0" fontId="82" fillId="58" borderId="32" applyAlignment="1" pivotButton="0" quotePrefix="0" xfId="0">
      <alignment horizontal="center" vertical="center" wrapText="1"/>
    </xf>
    <xf numFmtId="0" fontId="77" fillId="10" borderId="14" applyAlignment="1" pivotButton="0" quotePrefix="0" xfId="3">
      <alignment vertical="center"/>
    </xf>
    <xf numFmtId="0" fontId="46" fillId="4" borderId="58" applyAlignment="1" pivotButton="0" quotePrefix="0" xfId="3">
      <alignment horizontal="center" vertical="center"/>
    </xf>
    <xf numFmtId="0" fontId="58" fillId="34" borderId="56" applyAlignment="1" pivotButton="0" quotePrefix="0" xfId="1">
      <alignment horizontal="center" vertical="center" wrapText="1"/>
    </xf>
    <xf numFmtId="0" fontId="55" fillId="59" borderId="0" applyAlignment="1" pivotButton="0" quotePrefix="0" xfId="0">
      <alignment horizontal="center" vertical="center"/>
    </xf>
    <xf numFmtId="0" fontId="0" fillId="28" borderId="0" pivotButton="0" quotePrefix="0" xfId="0"/>
    <xf numFmtId="0" fontId="122" fillId="59" borderId="0" applyAlignment="1" pivotButton="0" quotePrefix="0" xfId="0">
      <alignment horizontal="left" vertical="center"/>
    </xf>
    <xf numFmtId="0" fontId="122" fillId="0" borderId="91" applyAlignment="1" pivotButton="0" quotePrefix="0" xfId="0">
      <alignment horizontal="center"/>
    </xf>
    <xf numFmtId="0" fontId="122" fillId="0" borderId="0" applyAlignment="1" pivotButton="0" quotePrefix="0" xfId="0">
      <alignment horizontal="center"/>
    </xf>
    <xf numFmtId="0" fontId="122" fillId="0" borderId="0" pivotButton="0" quotePrefix="0" xfId="0"/>
    <xf numFmtId="0" fontId="119" fillId="0" borderId="92" applyAlignment="1" pivotButton="0" quotePrefix="0" xfId="1">
      <alignment horizontal="left" vertical="center"/>
    </xf>
    <xf numFmtId="0" fontId="122" fillId="0" borderId="0" applyAlignment="1" pivotButton="0" quotePrefix="0" xfId="1">
      <alignment horizontal="left" vertical="center"/>
    </xf>
    <xf numFmtId="0" fontId="122" fillId="0" borderId="92" applyAlignment="1" pivotButton="0" quotePrefix="0" xfId="1">
      <alignment horizontal="left" vertical="center"/>
    </xf>
    <xf numFmtId="0" fontId="122" fillId="4" borderId="100" applyAlignment="1" pivotButton="0" quotePrefix="0" xfId="3">
      <alignment horizontal="center" vertical="center"/>
    </xf>
    <xf numFmtId="0" fontId="118" fillId="53" borderId="167" applyAlignment="1" pivotButton="0" quotePrefix="0" xfId="4">
      <alignment vertical="center" wrapText="1"/>
    </xf>
    <xf numFmtId="0" fontId="118" fillId="53" borderId="173" applyAlignment="1" pivotButton="0" quotePrefix="0" xfId="4">
      <alignment vertical="center" wrapText="1"/>
    </xf>
    <xf numFmtId="0" fontId="30" fillId="0" borderId="178" applyAlignment="1" pivotButton="0" quotePrefix="0" xfId="4">
      <alignment vertical="center"/>
    </xf>
    <xf numFmtId="0" fontId="4" fillId="0" borderId="0" pivotButton="0" quotePrefix="0" xfId="4"/>
    <xf numFmtId="2" fontId="126" fillId="55" borderId="187" applyAlignment="1" pivotButton="0" quotePrefix="0" xfId="4">
      <alignment vertical="center" wrapText="1"/>
    </xf>
    <xf numFmtId="2" fontId="126" fillId="55" borderId="178" applyAlignment="1" pivotButton="0" quotePrefix="0" xfId="4">
      <alignment vertical="center" wrapText="1"/>
    </xf>
    <xf numFmtId="0" fontId="119" fillId="0" borderId="0" applyAlignment="1" pivotButton="0" quotePrefix="0" xfId="4">
      <alignment horizontal="left" vertical="center"/>
    </xf>
    <xf numFmtId="0" fontId="122" fillId="4" borderId="12" applyAlignment="1" pivotButton="0" quotePrefix="0" xfId="3">
      <alignment horizontal="center" vertical="center"/>
    </xf>
    <xf numFmtId="0" fontId="122" fillId="0" borderId="0" applyAlignment="1" pivotButton="0" quotePrefix="0" xfId="2">
      <alignment horizontal="center"/>
    </xf>
    <xf numFmtId="0" fontId="130" fillId="0" borderId="0" pivotButton="0" quotePrefix="0" xfId="0"/>
    <xf numFmtId="0" fontId="36" fillId="0" borderId="157" pivotButton="0" quotePrefix="0" xfId="0"/>
    <xf numFmtId="0" fontId="3" fillId="0" borderId="158" pivotButton="0" quotePrefix="0" xfId="0"/>
    <xf numFmtId="0" fontId="3" fillId="0" borderId="159" pivotButton="0" quotePrefix="0" xfId="0"/>
    <xf numFmtId="0" fontId="53" fillId="68" borderId="0" applyAlignment="1" pivotButton="0" quotePrefix="0" xfId="0">
      <alignment horizontal="center" vertical="center"/>
    </xf>
    <xf numFmtId="0" fontId="36" fillId="69" borderId="158" pivotButton="0" quotePrefix="0" xfId="0"/>
    <xf numFmtId="0" fontId="36" fillId="16" borderId="158" pivotButton="0" quotePrefix="0" xfId="0"/>
    <xf numFmtId="0" fontId="36" fillId="17" borderId="158" pivotButton="0" quotePrefix="0" xfId="0"/>
    <xf numFmtId="0" fontId="38" fillId="17" borderId="32" applyAlignment="1" pivotButton="0" quotePrefix="0" xfId="1">
      <alignment horizontal="center" vertical="center" wrapText="1"/>
    </xf>
    <xf numFmtId="0" fontId="31" fillId="18" borderId="32" applyAlignment="1" pivotButton="0" quotePrefix="0" xfId="1">
      <alignment horizontal="center" vertical="center" wrapText="1"/>
    </xf>
    <xf numFmtId="0" fontId="38" fillId="0" borderId="114" applyAlignment="1" pivotButton="0" quotePrefix="0" xfId="1">
      <alignment horizontal="center" vertical="center" wrapText="1"/>
    </xf>
    <xf numFmtId="0" fontId="38" fillId="0" borderId="32" applyAlignment="1" pivotButton="0" quotePrefix="0" xfId="1">
      <alignment horizontal="center" vertical="center" wrapText="1"/>
    </xf>
    <xf numFmtId="0" fontId="38" fillId="0" borderId="106" applyAlignment="1" pivotButton="0" quotePrefix="0" xfId="1">
      <alignment horizontal="center" vertical="center" wrapText="1"/>
    </xf>
    <xf numFmtId="0" fontId="77" fillId="10" borderId="132" applyAlignment="1" pivotButton="0" quotePrefix="0" xfId="3">
      <alignment horizontal="left" vertical="center"/>
    </xf>
    <xf numFmtId="0" fontId="77" fillId="10" borderId="133" applyAlignment="1" pivotButton="0" quotePrefix="0" xfId="3">
      <alignment horizontal="left" vertical="center"/>
    </xf>
    <xf numFmtId="0" fontId="77" fillId="10" borderId="131" applyAlignment="1" pivotButton="0" quotePrefix="0" xfId="3">
      <alignment horizontal="left" vertical="center"/>
    </xf>
    <xf numFmtId="0" fontId="137" fillId="0" borderId="0" pivotButton="0" quotePrefix="0" xfId="0"/>
    <xf numFmtId="0" fontId="138" fillId="0" borderId="241" pivotButton="0" quotePrefix="0" xfId="0"/>
    <xf numFmtId="0" fontId="138" fillId="0" borderId="241" applyAlignment="1" pivotButton="0" quotePrefix="0" xfId="0">
      <alignment horizontal="center"/>
    </xf>
    <xf numFmtId="0" fontId="136" fillId="0" borderId="0" applyAlignment="1" pivotButton="0" quotePrefix="0" xfId="0">
      <alignment vertical="center"/>
    </xf>
    <xf numFmtId="0" fontId="35" fillId="0" borderId="157" pivotButton="0" quotePrefix="0" xfId="0"/>
    <xf numFmtId="0" fontId="144" fillId="0" borderId="0" applyAlignment="1" pivotButton="0" quotePrefix="0" xfId="0">
      <alignment vertical="center"/>
    </xf>
    <xf numFmtId="0" fontId="146" fillId="0" borderId="235" applyAlignment="1" pivotButton="0" quotePrefix="0" xfId="0">
      <alignment horizontal="center" vertical="center"/>
    </xf>
    <xf numFmtId="0" fontId="54" fillId="26" borderId="262" applyAlignment="1" pivotButton="0" quotePrefix="0" xfId="0">
      <alignment vertical="center"/>
    </xf>
    <xf numFmtId="0" fontId="146" fillId="0" borderId="0" applyAlignment="1" pivotButton="0" quotePrefix="0" xfId="0">
      <alignment horizontal="center" vertical="center"/>
    </xf>
    <xf numFmtId="0" fontId="54" fillId="26" borderId="240" applyAlignment="1" pivotButton="0" quotePrefix="0" xfId="0">
      <alignment vertical="center"/>
    </xf>
    <xf numFmtId="0" fontId="48" fillId="0" borderId="0" pivotButton="0" quotePrefix="0" xfId="0"/>
    <xf numFmtId="0" fontId="147" fillId="0" borderId="0" pivotButton="0" quotePrefix="0" xfId="0"/>
    <xf numFmtId="0" fontId="55" fillId="60" borderId="263" applyAlignment="1" pivotButton="0" quotePrefix="0" xfId="0">
      <alignment horizontal="center"/>
    </xf>
    <xf numFmtId="0" fontId="48" fillId="0" borderId="29" applyAlignment="1" pivotButton="0" quotePrefix="0" xfId="0">
      <alignment vertical="center"/>
    </xf>
    <xf numFmtId="0" fontId="48" fillId="0" borderId="29" applyAlignment="1" pivotButton="0" quotePrefix="0" xfId="0">
      <alignment horizontal="center" vertical="center"/>
    </xf>
    <xf numFmtId="0" fontId="48" fillId="0" borderId="39" applyAlignment="1" pivotButton="0" quotePrefix="0" xfId="0">
      <alignment vertical="center"/>
    </xf>
    <xf numFmtId="0" fontId="59" fillId="74" borderId="38" applyAlignment="1" pivotButton="0" quotePrefix="0" xfId="0">
      <alignment horizontal="center" vertical="center"/>
    </xf>
    <xf numFmtId="0" fontId="59" fillId="18" borderId="29" applyAlignment="1" pivotButton="0" quotePrefix="0" xfId="0">
      <alignment horizontal="center" vertical="center"/>
    </xf>
    <xf numFmtId="0" fontId="149" fillId="69" borderId="0" pivotButton="0" quotePrefix="0" xfId="0"/>
    <xf numFmtId="0" fontId="113" fillId="28" borderId="0" applyAlignment="1" pivotButton="0" quotePrefix="0" xfId="2">
      <alignment vertical="center"/>
    </xf>
    <xf numFmtId="0" fontId="0" fillId="43" borderId="0" pivotButton="0" quotePrefix="0" xfId="0"/>
    <xf numFmtId="0" fontId="150" fillId="0" borderId="265" applyAlignment="1" pivotButton="0" quotePrefix="0" xfId="0">
      <alignment horizontal="center"/>
    </xf>
    <xf numFmtId="0" fontId="151" fillId="0" borderId="265" applyAlignment="1" pivotButton="0" quotePrefix="0" xfId="0">
      <alignment horizontal="center"/>
    </xf>
    <xf numFmtId="0" fontId="36" fillId="69" borderId="0" pivotButton="0" quotePrefix="0" xfId="0"/>
    <xf numFmtId="0" fontId="62" fillId="0" borderId="29" applyAlignment="1" pivotButton="0" quotePrefix="0" xfId="0">
      <alignment horizontal="center" vertical="center"/>
    </xf>
    <xf numFmtId="4" fontId="75" fillId="0" borderId="29" applyAlignment="1" pivotButton="0" quotePrefix="0" xfId="0">
      <alignment vertical="center"/>
    </xf>
    <xf numFmtId="0" fontId="123" fillId="54" borderId="187" applyAlignment="1" pivotButton="0" quotePrefix="0" xfId="4">
      <alignment vertical="center" wrapText="1"/>
    </xf>
    <xf numFmtId="0" fontId="64" fillId="0" borderId="29" pivotButton="0" quotePrefix="0" xfId="0"/>
    <xf numFmtId="0" fontId="48" fillId="0" borderId="30" pivotButton="0" quotePrefix="0" xfId="0"/>
    <xf numFmtId="0" fontId="48" fillId="17" borderId="30" pivotButton="0" quotePrefix="0" xfId="0"/>
    <xf numFmtId="0" fontId="46" fillId="0" borderId="30" pivotButton="0" quotePrefix="0" xfId="0"/>
    <xf numFmtId="0" fontId="46" fillId="0" borderId="125" applyAlignment="1" pivotButton="0" quotePrefix="0" xfId="0">
      <alignment vertical="center" wrapText="1"/>
    </xf>
    <xf numFmtId="0" fontId="46" fillId="0" borderId="125" pivotButton="0" quotePrefix="0" xfId="0"/>
    <xf numFmtId="0" fontId="63" fillId="22" borderId="248" applyAlignment="1" pivotButton="0" quotePrefix="0" xfId="0">
      <alignment vertical="center" wrapText="1"/>
    </xf>
    <xf numFmtId="0" fontId="64" fillId="0" borderId="248" pivotButton="0" quotePrefix="0" xfId="0"/>
    <xf numFmtId="0" fontId="46" fillId="0" borderId="29" pivotButton="0" quotePrefix="0" xfId="0"/>
    <xf numFmtId="0" fontId="0" fillId="41" borderId="267" pivotButton="0" quotePrefix="0" xfId="0"/>
    <xf numFmtId="0" fontId="54" fillId="26" borderId="236" applyAlignment="1" pivotButton="0" quotePrefix="0" xfId="0">
      <alignment vertical="center"/>
    </xf>
    <xf numFmtId="0" fontId="146" fillId="0" borderId="273" applyAlignment="1" pivotButton="0" quotePrefix="0" xfId="0">
      <alignment horizontal="center" vertical="center"/>
    </xf>
    <xf numFmtId="0" fontId="35" fillId="0" borderId="257" pivotButton="0" quotePrefix="0" xfId="0"/>
    <xf numFmtId="0" fontId="100" fillId="37" borderId="63" applyAlignment="1" pivotButton="0" quotePrefix="0" xfId="0">
      <alignment horizontal="center" vertical="center"/>
    </xf>
    <xf numFmtId="0" fontId="46" fillId="0" borderId="132" pivotButton="0" quotePrefix="0" xfId="0"/>
    <xf numFmtId="0" fontId="29" fillId="20" borderId="32" applyAlignment="1" pivotButton="0" quotePrefix="0" xfId="0">
      <alignment vertical="center"/>
    </xf>
    <xf numFmtId="0" fontId="29" fillId="20" borderId="29" applyAlignment="1" pivotButton="0" quotePrefix="0" xfId="0">
      <alignment vertical="center"/>
    </xf>
    <xf numFmtId="0" fontId="46" fillId="0" borderId="0" pivotButton="0" quotePrefix="0" xfId="0"/>
    <xf numFmtId="0" fontId="153" fillId="28" borderId="0" applyAlignment="1" pivotButton="0" quotePrefix="0" xfId="2">
      <alignment horizontal="left" vertical="center"/>
    </xf>
    <xf numFmtId="0" fontId="135" fillId="25" borderId="263" applyAlignment="1" pivotButton="0" quotePrefix="0" xfId="0">
      <alignment horizontal="center" vertical="center" wrapText="1"/>
    </xf>
    <xf numFmtId="0" fontId="140" fillId="73" borderId="278" applyAlignment="1" pivotButton="0" quotePrefix="0" xfId="0">
      <alignment horizontal="center" vertical="center" wrapText="1"/>
    </xf>
    <xf numFmtId="0" fontId="139" fillId="17" borderId="278" applyAlignment="1" pivotButton="0" quotePrefix="0" xfId="0">
      <alignment vertical="center" wrapText="1"/>
    </xf>
    <xf numFmtId="0" fontId="139" fillId="16" borderId="278" applyAlignment="1" pivotButton="0" quotePrefix="0" xfId="0">
      <alignment vertical="center" wrapText="1"/>
    </xf>
    <xf numFmtId="0" fontId="136" fillId="0" borderId="278" applyAlignment="1" pivotButton="0" quotePrefix="0" xfId="0">
      <alignment horizontal="center" vertical="center" wrapText="1"/>
    </xf>
    <xf numFmtId="0" fontId="138" fillId="28" borderId="278" applyAlignment="1" pivotButton="0" quotePrefix="0" xfId="0">
      <alignment vertical="center" wrapText="1"/>
    </xf>
    <xf numFmtId="0" fontId="136" fillId="0" borderId="278" applyAlignment="1" pivotButton="0" quotePrefix="0" xfId="0">
      <alignment vertical="center" wrapText="1"/>
    </xf>
    <xf numFmtId="0" fontId="80" fillId="74" borderId="278" applyAlignment="1" pivotButton="0" quotePrefix="0" xfId="0">
      <alignment horizontal="center" vertical="center" wrapText="1"/>
    </xf>
    <xf numFmtId="0" fontId="141" fillId="17" borderId="278" applyAlignment="1" pivotButton="0" quotePrefix="0" xfId="0">
      <alignment horizontal="center" vertical="center" wrapText="1"/>
    </xf>
    <xf numFmtId="0" fontId="141" fillId="16" borderId="278" applyAlignment="1" pivotButton="0" quotePrefix="0" xfId="0">
      <alignment horizontal="center" vertical="center" wrapText="1"/>
    </xf>
    <xf numFmtId="0" fontId="137" fillId="0" borderId="278" applyAlignment="1" pivotButton="0" quotePrefix="0" xfId="0">
      <alignment vertical="center" wrapText="1"/>
    </xf>
    <xf numFmtId="0" fontId="137" fillId="0" borderId="278" applyAlignment="1" pivotButton="0" quotePrefix="0" xfId="0">
      <alignment horizontal="center" vertical="center" wrapText="1"/>
    </xf>
    <xf numFmtId="0" fontId="80" fillId="74" borderId="279" applyAlignment="1" pivotButton="0" quotePrefix="0" xfId="0">
      <alignment horizontal="center" vertical="center" wrapText="1"/>
    </xf>
    <xf numFmtId="0" fontId="141" fillId="17" borderId="279" applyAlignment="1" pivotButton="0" quotePrefix="0" xfId="0">
      <alignment horizontal="center" vertical="center" wrapText="1"/>
    </xf>
    <xf numFmtId="0" fontId="141" fillId="16" borderId="279" applyAlignment="1" pivotButton="0" quotePrefix="0" xfId="0">
      <alignment horizontal="center" vertical="center" wrapText="1"/>
    </xf>
    <xf numFmtId="0" fontId="137" fillId="0" borderId="279" applyAlignment="1" pivotButton="0" quotePrefix="0" xfId="0">
      <alignment vertical="center" wrapText="1"/>
    </xf>
    <xf numFmtId="0" fontId="137" fillId="0" borderId="279" applyAlignment="1" pivotButton="0" quotePrefix="0" xfId="0">
      <alignment horizontal="center" vertical="center" wrapText="1"/>
    </xf>
    <xf numFmtId="0" fontId="143" fillId="25" borderId="280" applyAlignment="1" pivotButton="0" quotePrefix="0" xfId="0">
      <alignment horizontal="center" vertical="center" wrapText="1"/>
    </xf>
    <xf numFmtId="0" fontId="143" fillId="25" borderId="281" applyAlignment="1" pivotButton="0" quotePrefix="0" xfId="0">
      <alignment horizontal="center" vertical="center" wrapText="1"/>
    </xf>
    <xf numFmtId="0" fontId="53" fillId="0" borderId="97" applyAlignment="1" pivotButton="0" quotePrefix="0" xfId="1">
      <alignment horizontal="left" vertical="center"/>
    </xf>
    <xf numFmtId="0" fontId="53" fillId="0" borderId="58" applyAlignment="1" pivotButton="0" quotePrefix="0" xfId="1">
      <alignment vertical="center"/>
    </xf>
    <xf numFmtId="0" fontId="55" fillId="25" borderId="33" applyAlignment="1" pivotButton="0" quotePrefix="0" xfId="0">
      <alignment horizontal="center" vertical="center"/>
    </xf>
    <xf numFmtId="0" fontId="55" fillId="25" borderId="35" applyAlignment="1" pivotButton="0" quotePrefix="0" xfId="0">
      <alignment horizontal="center" vertical="center"/>
    </xf>
    <xf numFmtId="0" fontId="46" fillId="4" borderId="302" applyAlignment="1" pivotButton="0" quotePrefix="0" xfId="3">
      <alignment horizontal="center" vertical="center"/>
    </xf>
    <xf numFmtId="0" fontId="46" fillId="4" borderId="304" applyAlignment="1" pivotButton="0" quotePrefix="0" xfId="3">
      <alignment horizontal="center" vertical="center"/>
    </xf>
    <xf numFmtId="0" fontId="111" fillId="42" borderId="304" applyAlignment="1" pivotButton="0" quotePrefix="0" xfId="3">
      <alignment horizontal="center" vertical="center"/>
    </xf>
    <xf numFmtId="0" fontId="46" fillId="4" borderId="306" applyAlignment="1" pivotButton="0" quotePrefix="0" xfId="3">
      <alignment horizontal="center" vertical="center"/>
    </xf>
    <xf numFmtId="0" fontId="66" fillId="25" borderId="40" applyAlignment="1" pivotButton="0" quotePrefix="0" xfId="0">
      <alignment horizontal="center" vertical="center"/>
    </xf>
    <xf numFmtId="0" fontId="56" fillId="18" borderId="38" applyAlignment="1" pivotButton="0" quotePrefix="0" xfId="0">
      <alignment horizontal="center" vertical="center"/>
    </xf>
    <xf numFmtId="0" fontId="38" fillId="0" borderId="29" pivotButton="0" quotePrefix="0" xfId="0"/>
    <xf numFmtId="0" fontId="38" fillId="16" borderId="29" applyAlignment="1" pivotButton="0" quotePrefix="0" xfId="0">
      <alignment horizontal="center" vertical="center"/>
    </xf>
    <xf numFmtId="0" fontId="0" fillId="0" borderId="307" pivotButton="0" quotePrefix="0" xfId="0"/>
    <xf numFmtId="0" fontId="21" fillId="0" borderId="0" applyAlignment="1" pivotButton="0" quotePrefix="0" xfId="0">
      <alignment horizontal="center" vertical="center"/>
    </xf>
    <xf numFmtId="0" fontId="23" fillId="10" borderId="301" applyAlignment="1" pivotButton="0" quotePrefix="0" xfId="3">
      <alignment horizontal="left" vertical="center"/>
    </xf>
    <xf numFmtId="0" fontId="23" fillId="10" borderId="303" applyAlignment="1" pivotButton="0" quotePrefix="0" xfId="3">
      <alignment horizontal="left" vertical="center"/>
    </xf>
    <xf numFmtId="0" fontId="82" fillId="10" borderId="301" applyAlignment="1" pivotButton="0" quotePrefix="0" xfId="3">
      <alignment horizontal="left" vertical="center"/>
    </xf>
    <xf numFmtId="0" fontId="82" fillId="10" borderId="303" applyAlignment="1" pivotButton="0" quotePrefix="0" xfId="3">
      <alignment horizontal="left" vertical="center"/>
    </xf>
    <xf numFmtId="0" fontId="146" fillId="42" borderId="304" applyAlignment="1" pivotButton="0" quotePrefix="0" xfId="3">
      <alignment horizontal="center" vertical="center"/>
    </xf>
    <xf numFmtId="0" fontId="82" fillId="10" borderId="305" applyAlignment="1" pivotButton="0" quotePrefix="0" xfId="3">
      <alignment horizontal="left" vertical="center"/>
    </xf>
    <xf numFmtId="0" fontId="0" fillId="0" borderId="309" pivotButton="0" quotePrefix="0" xfId="0"/>
    <xf numFmtId="0" fontId="23" fillId="10" borderId="310" applyAlignment="1" pivotButton="0" quotePrefix="0" xfId="3">
      <alignment horizontal="left" vertical="center"/>
    </xf>
    <xf numFmtId="0" fontId="46" fillId="4" borderId="311" applyAlignment="1" pivotButton="0" quotePrefix="0" xfId="3">
      <alignment horizontal="center" vertical="center"/>
    </xf>
    <xf numFmtId="0" fontId="56" fillId="18" borderId="30" applyAlignment="1" pivotButton="0" quotePrefix="0" xfId="0">
      <alignment horizontal="center"/>
    </xf>
    <xf numFmtId="0" fontId="38" fillId="0" borderId="30" pivotButton="0" quotePrefix="0" xfId="0"/>
    <xf numFmtId="0" fontId="38" fillId="16" borderId="30" applyAlignment="1" pivotButton="0" quotePrefix="0" xfId="0">
      <alignment horizontal="center"/>
    </xf>
    <xf numFmtId="0" fontId="56" fillId="18" borderId="125" applyAlignment="1" pivotButton="0" quotePrefix="0" xfId="0">
      <alignment horizontal="center"/>
    </xf>
    <xf numFmtId="0" fontId="38" fillId="0" borderId="125" pivotButton="0" quotePrefix="0" xfId="0"/>
    <xf numFmtId="0" fontId="38" fillId="16" borderId="125" applyAlignment="1" pivotButton="0" quotePrefix="0" xfId="0">
      <alignment horizontal="center"/>
    </xf>
    <xf numFmtId="0" fontId="29" fillId="25" borderId="312" applyAlignment="1" pivotButton="0" quotePrefix="0" xfId="0">
      <alignment horizontal="center" vertical="center"/>
    </xf>
    <xf numFmtId="0" fontId="42" fillId="25" borderId="26" applyAlignment="1" pivotButton="0" quotePrefix="0" xfId="0">
      <alignment horizontal="center" vertical="center"/>
    </xf>
    <xf numFmtId="0" fontId="42" fillId="25" borderId="275" applyAlignment="1" pivotButton="0" quotePrefix="0" xfId="0">
      <alignment horizontal="center" vertical="center"/>
    </xf>
    <xf numFmtId="0" fontId="21" fillId="0" borderId="250" applyAlignment="1" pivotButton="0" quotePrefix="0" xfId="0">
      <alignment horizontal="center" vertical="center"/>
    </xf>
    <xf numFmtId="0" fontId="41" fillId="25" borderId="313" applyAlignment="1" pivotButton="0" quotePrefix="0" xfId="0">
      <alignment horizontal="center" vertical="center"/>
    </xf>
    <xf numFmtId="0" fontId="41" fillId="25" borderId="285" applyAlignment="1" pivotButton="0" quotePrefix="0" xfId="0">
      <alignment horizontal="center" vertical="center"/>
    </xf>
    <xf numFmtId="0" fontId="41" fillId="25" borderId="314" applyAlignment="1" pivotButton="0" quotePrefix="0" xfId="0">
      <alignment horizontal="center" vertical="center"/>
    </xf>
    <xf numFmtId="0" fontId="56" fillId="18" borderId="30" applyAlignment="1" pivotButton="0" quotePrefix="0" xfId="0">
      <alignment horizontal="center" vertical="center"/>
    </xf>
    <xf numFmtId="0" fontId="122" fillId="0" borderId="0" applyAlignment="1" pivotButton="0" quotePrefix="0" xfId="0">
      <alignment horizontal="right" vertical="center"/>
    </xf>
    <xf numFmtId="0" fontId="122" fillId="0" borderId="0" applyAlignment="1" pivotButton="0" quotePrefix="0" xfId="0">
      <alignment horizontal="right"/>
    </xf>
    <xf numFmtId="0" fontId="122" fillId="59" borderId="0" applyAlignment="1" pivotButton="0" quotePrefix="0" xfId="0">
      <alignment horizontal="right" vertical="center"/>
    </xf>
    <xf numFmtId="0" fontId="119" fillId="0" borderId="0" applyAlignment="1" pivotButton="0" quotePrefix="0" xfId="0">
      <alignment horizontal="right"/>
    </xf>
    <xf numFmtId="0" fontId="138" fillId="0" borderId="38" applyAlignment="1" pivotButton="0" quotePrefix="0" xfId="0">
      <alignment vertical="center"/>
    </xf>
    <xf numFmtId="0" fontId="138" fillId="0" borderId="29" applyAlignment="1" pivotButton="0" quotePrefix="0" xfId="0">
      <alignment vertical="center"/>
    </xf>
    <xf numFmtId="0" fontId="138" fillId="0" borderId="29" applyAlignment="1" pivotButton="0" quotePrefix="0" xfId="0">
      <alignment horizontal="center" vertical="center"/>
    </xf>
    <xf numFmtId="0" fontId="136" fillId="25" borderId="29" applyAlignment="1" pivotButton="0" quotePrefix="0" xfId="0">
      <alignment vertical="center"/>
    </xf>
    <xf numFmtId="0" fontId="136" fillId="25" borderId="39" applyAlignment="1" pivotButton="0" quotePrefix="0" xfId="0">
      <alignment vertical="center"/>
    </xf>
    <xf numFmtId="0" fontId="156" fillId="0" borderId="0" applyAlignment="1" pivotButton="0" quotePrefix="0" xfId="0">
      <alignment horizontal="right"/>
    </xf>
    <xf numFmtId="0" fontId="122" fillId="0" borderId="91" applyAlignment="1" pivotButton="0" quotePrefix="0" xfId="0">
      <alignment horizontal="right"/>
    </xf>
    <xf numFmtId="0" fontId="122" fillId="0" borderId="277" applyAlignment="1" pivotButton="0" quotePrefix="0" xfId="0">
      <alignment horizontal="right"/>
    </xf>
    <xf numFmtId="0" fontId="122" fillId="4" borderId="0" applyAlignment="1" pivotButton="0" quotePrefix="0" xfId="3">
      <alignment horizontal="right" vertical="center"/>
    </xf>
    <xf numFmtId="0" fontId="119" fillId="0" borderId="0" applyAlignment="1" pivotButton="0" quotePrefix="0" xfId="4">
      <alignment horizontal="right" vertical="center"/>
    </xf>
    <xf numFmtId="0" fontId="122" fillId="4" borderId="12" applyAlignment="1" pivotButton="0" quotePrefix="0" xfId="3">
      <alignment horizontal="right" vertical="center"/>
    </xf>
    <xf numFmtId="0" fontId="77" fillId="10" borderId="103" applyAlignment="1" pivotButton="0" quotePrefix="0" xfId="3">
      <alignment vertical="center"/>
    </xf>
    <xf numFmtId="0" fontId="77" fillId="10" borderId="97" applyAlignment="1" pivotButton="0" quotePrefix="0" xfId="3">
      <alignment vertical="center"/>
    </xf>
    <xf numFmtId="0" fontId="77" fillId="10" borderId="341" applyAlignment="1" pivotButton="0" quotePrefix="0" xfId="3">
      <alignment vertical="center"/>
    </xf>
    <xf numFmtId="0" fontId="82" fillId="0" borderId="0" applyAlignment="1" pivotButton="0" quotePrefix="0" xfId="0">
      <alignment vertical="center"/>
    </xf>
    <xf numFmtId="0" fontId="73" fillId="26" borderId="158" applyAlignment="1" pivotButton="0" quotePrefix="0" xfId="0">
      <alignment vertical="center"/>
    </xf>
    <xf numFmtId="0" fontId="5" fillId="16" borderId="158" applyAlignment="1" pivotButton="0" quotePrefix="0" xfId="0">
      <alignment vertical="center"/>
    </xf>
    <xf numFmtId="0" fontId="31" fillId="20" borderId="342" applyAlignment="1" pivotButton="0" quotePrefix="0" xfId="0">
      <alignment vertical="center"/>
    </xf>
    <xf numFmtId="0" fontId="29" fillId="39" borderId="32" applyAlignment="1" pivotButton="0" quotePrefix="0" xfId="0">
      <alignment horizontal="center" vertical="center"/>
    </xf>
    <xf numFmtId="0" fontId="29" fillId="39" borderId="0" applyAlignment="1" pivotButton="0" quotePrefix="0" xfId="0">
      <alignment horizontal="center" vertical="center"/>
    </xf>
    <xf numFmtId="0" fontId="29" fillId="39" borderId="140" applyAlignment="1" pivotButton="0" quotePrefix="0" xfId="0">
      <alignment horizontal="center" vertical="center"/>
    </xf>
    <xf numFmtId="0" fontId="73" fillId="26" borderId="157" applyAlignment="1" pivotButton="0" quotePrefix="0" xfId="0">
      <alignment vertical="center"/>
    </xf>
    <xf numFmtId="0" fontId="86" fillId="5" borderId="343" applyAlignment="1" pivotButton="0" quotePrefix="0" xfId="0">
      <alignment horizontal="center" vertical="center"/>
    </xf>
    <xf numFmtId="0" fontId="136" fillId="0" borderId="29" applyAlignment="1" pivotButton="0" quotePrefix="0" xfId="0">
      <alignment vertical="center"/>
    </xf>
    <xf numFmtId="0" fontId="136" fillId="0" borderId="39" applyAlignment="1" pivotButton="0" quotePrefix="0" xfId="0">
      <alignment vertical="center"/>
    </xf>
    <xf numFmtId="0" fontId="62" fillId="0" borderId="29" applyAlignment="1" pivotButton="0" quotePrefix="0" xfId="0">
      <alignment vertical="center"/>
    </xf>
    <xf numFmtId="0" fontId="62" fillId="0" borderId="65" applyAlignment="1" pivotButton="0" quotePrefix="0" xfId="0">
      <alignment vertical="center"/>
    </xf>
    <xf numFmtId="0" fontId="86" fillId="5" borderId="345" applyAlignment="1" pivotButton="0" quotePrefix="0" xfId="0">
      <alignment horizontal="center" vertical="center"/>
    </xf>
    <xf numFmtId="0" fontId="31" fillId="20" borderId="32" applyAlignment="1" pivotButton="0" quotePrefix="0" xfId="0">
      <alignment vertical="center"/>
    </xf>
    <xf numFmtId="0" fontId="85" fillId="5" borderId="32" applyAlignment="1" pivotButton="0" quotePrefix="0" xfId="0">
      <alignment horizontal="center" vertical="center"/>
    </xf>
    <xf numFmtId="0" fontId="31" fillId="20" borderId="29" applyAlignment="1" pivotButton="0" quotePrefix="0" xfId="0">
      <alignment vertical="center"/>
    </xf>
    <xf numFmtId="0" fontId="85" fillId="5" borderId="29" applyAlignment="1" pivotButton="0" quotePrefix="0" xfId="0">
      <alignment horizontal="center" vertical="center"/>
    </xf>
    <xf numFmtId="0" fontId="6" fillId="0" borderId="0" pivotButton="0" quotePrefix="0" xfId="0"/>
    <xf numFmtId="0" fontId="53" fillId="27" borderId="1" applyAlignment="1" pivotButton="0" quotePrefix="0" xfId="1">
      <alignment horizontal="center" vertical="center"/>
    </xf>
    <xf numFmtId="0" fontId="0" fillId="16" borderId="30" applyAlignment="1" pivotButton="0" quotePrefix="0" xfId="0">
      <alignment horizontal="center" vertical="center"/>
    </xf>
    <xf numFmtId="0" fontId="0" fillId="0" borderId="30" pivotButton="0" quotePrefix="0" xfId="0"/>
    <xf numFmtId="0" fontId="64" fillId="18" borderId="30" applyAlignment="1" pivotButton="0" quotePrefix="0" xfId="0">
      <alignment horizontal="center" vertical="center"/>
    </xf>
    <xf numFmtId="0" fontId="97" fillId="28" borderId="0" applyAlignment="1" pivotButton="0" quotePrefix="0" xfId="0">
      <alignment vertical="center"/>
    </xf>
    <xf numFmtId="0" fontId="160" fillId="28" borderId="347" applyAlignment="1" pivotButton="0" quotePrefix="0" xfId="0">
      <alignment vertical="center"/>
    </xf>
    <xf numFmtId="0" fontId="116" fillId="28" borderId="172" applyAlignment="1" pivotButton="0" quotePrefix="0" xfId="4">
      <alignment vertical="center"/>
    </xf>
    <xf numFmtId="0" fontId="123" fillId="17" borderId="187" applyAlignment="1" pivotButton="0" quotePrefix="0" xfId="4">
      <alignment vertical="center" wrapText="1"/>
    </xf>
    <xf numFmtId="2" fontId="123" fillId="17" borderId="187" applyAlignment="1" pivotButton="0" quotePrefix="0" xfId="4">
      <alignment vertical="center" wrapText="1"/>
    </xf>
    <xf numFmtId="2" fontId="123" fillId="17" borderId="178" applyAlignment="1" pivotButton="0" quotePrefix="0" xfId="4">
      <alignment vertical="center" wrapText="1"/>
    </xf>
    <xf numFmtId="0" fontId="9" fillId="0" borderId="0" applyAlignment="1" pivotButton="0" quotePrefix="0" xfId="1">
      <alignment horizontal="left" vertical="center"/>
    </xf>
    <xf numFmtId="0" fontId="1" fillId="0" borderId="29" pivotButton="0" quotePrefix="0" xfId="2"/>
    <xf numFmtId="0" fontId="60" fillId="22" borderId="33" applyAlignment="1" pivotButton="0" quotePrefix="0" xfId="2">
      <alignment horizontal="center" vertical="center" wrapText="1"/>
    </xf>
    <xf numFmtId="0" fontId="162" fillId="0" borderId="33" pivotButton="0" quotePrefix="0" xfId="2"/>
    <xf numFmtId="0" fontId="30" fillId="0" borderId="28" pivotButton="0" quotePrefix="0" xfId="2"/>
    <xf numFmtId="164" fontId="75" fillId="6" borderId="0" applyAlignment="1" pivotButton="0" quotePrefix="0" xfId="0">
      <alignment vertical="center"/>
    </xf>
    <xf numFmtId="164" fontId="75" fillId="0" borderId="0" applyAlignment="1" pivotButton="0" quotePrefix="0" xfId="0">
      <alignment vertical="center"/>
    </xf>
    <xf numFmtId="164" fontId="49" fillId="3" borderId="0" applyAlignment="1" pivotButton="0" quotePrefix="0" xfId="0">
      <alignment vertical="center"/>
    </xf>
    <xf numFmtId="164" fontId="136" fillId="0" borderId="278" applyAlignment="1" pivotButton="0" quotePrefix="0" xfId="0">
      <alignment vertical="center" wrapText="1"/>
    </xf>
    <xf numFmtId="165" fontId="136" fillId="0" borderId="278" applyAlignment="1" pivotButton="0" quotePrefix="0" xfId="0">
      <alignment vertical="center" wrapText="1"/>
    </xf>
    <xf numFmtId="164" fontId="137" fillId="0" borderId="279" applyAlignment="1" pivotButton="0" quotePrefix="0" xfId="0">
      <alignment vertical="center" wrapText="1"/>
    </xf>
    <xf numFmtId="164" fontId="137" fillId="0" borderId="278" applyAlignment="1" pivotButton="0" quotePrefix="0" xfId="0">
      <alignment vertical="center" wrapText="1"/>
    </xf>
    <xf numFmtId="165" fontId="48" fillId="0" borderId="29" applyAlignment="1" pivotButton="0" quotePrefix="0" xfId="0">
      <alignment horizontal="center" vertical="center"/>
    </xf>
    <xf numFmtId="166" fontId="75" fillId="0" borderId="29" applyAlignment="1" pivotButton="0" quotePrefix="0" xfId="0">
      <alignment vertical="center"/>
    </xf>
    <xf numFmtId="166" fontId="62" fillId="0" borderId="65" applyAlignment="1" pivotButton="0" quotePrefix="0" xfId="0">
      <alignment vertical="center"/>
    </xf>
    <xf numFmtId="166" fontId="49" fillId="3" borderId="65" applyAlignment="1" pivotButton="0" quotePrefix="0" xfId="0">
      <alignment vertical="center"/>
    </xf>
    <xf numFmtId="166" fontId="55" fillId="35" borderId="65" applyAlignment="1" pivotButton="0" quotePrefix="0" xfId="0">
      <alignment vertical="center"/>
    </xf>
    <xf numFmtId="164" fontId="63" fillId="26" borderId="29" applyAlignment="1" pivotButton="0" quotePrefix="0" xfId="0">
      <alignment vertical="center"/>
    </xf>
    <xf numFmtId="166" fontId="63" fillId="26" borderId="65" applyAlignment="1" pivotButton="0" quotePrefix="0" xfId="0">
      <alignment vertical="center"/>
    </xf>
    <xf numFmtId="166" fontId="66" fillId="20" borderId="65" applyAlignment="1" pivotButton="0" quotePrefix="0" xfId="0">
      <alignment vertical="center"/>
    </xf>
    <xf numFmtId="166" fontId="87" fillId="0" borderId="91" pivotButton="0" quotePrefix="0" xfId="0"/>
    <xf numFmtId="166" fontId="87" fillId="0" borderId="117" pivotButton="0" quotePrefix="0" xfId="0"/>
    <xf numFmtId="166" fontId="62" fillId="0" borderId="153" pivotButton="0" quotePrefix="0" xfId="0"/>
    <xf numFmtId="164" fontId="62" fillId="0" borderId="153" pivotButton="0" quotePrefix="0" xfId="0"/>
    <xf numFmtId="166" fontId="49" fillId="3" borderId="153" pivotButton="0" quotePrefix="0" xfId="0"/>
    <xf numFmtId="164" fontId="49" fillId="3" borderId="153" pivotButton="0" quotePrefix="0" xfId="0"/>
    <xf numFmtId="166" fontId="55" fillId="20" borderId="155" applyAlignment="1" pivotButton="0" quotePrefix="0" xfId="0">
      <alignment vertical="center"/>
    </xf>
    <xf numFmtId="166" fontId="87" fillId="0" borderId="0" applyAlignment="1" pivotButton="0" quotePrefix="0" xfId="0">
      <alignment vertical="center"/>
    </xf>
    <xf numFmtId="165" fontId="49" fillId="34" borderId="29" applyAlignment="1" pivotButton="0" quotePrefix="0" xfId="0">
      <alignment horizontal="center"/>
    </xf>
    <xf numFmtId="165" fontId="55" fillId="20" borderId="110" applyAlignment="1" pivotButton="0" quotePrefix="0" xfId="0">
      <alignment horizontal="center" vertical="center"/>
    </xf>
    <xf numFmtId="165" fontId="70" fillId="36" borderId="32" applyAlignment="1" pivotButton="0" quotePrefix="0" xfId="0">
      <alignment horizontal="center"/>
    </xf>
    <xf numFmtId="165" fontId="43" fillId="7" borderId="29" applyAlignment="1" pivotButton="0" quotePrefix="0" xfId="0">
      <alignment horizontal="center"/>
    </xf>
    <xf numFmtId="165" fontId="43" fillId="6" borderId="29" applyAlignment="1" pivotButton="0" quotePrefix="0" xfId="0">
      <alignment horizontal="center"/>
    </xf>
    <xf numFmtId="165" fontId="70" fillId="36" borderId="29" applyAlignment="1" pivotButton="0" quotePrefix="0" xfId="0">
      <alignment horizontal="center"/>
    </xf>
    <xf numFmtId="165" fontId="55" fillId="20" borderId="29" applyAlignment="1" pivotButton="0" quotePrefix="0" xfId="0">
      <alignment horizontal="center" vertical="center"/>
    </xf>
    <xf numFmtId="165" fontId="43" fillId="0" borderId="29" applyAlignment="1" pivotButton="0" quotePrefix="0" xfId="0">
      <alignment horizontal="center"/>
    </xf>
    <xf numFmtId="165" fontId="44" fillId="20" borderId="29" applyAlignment="1" pivotButton="0" quotePrefix="0" xfId="0">
      <alignment horizontal="center" vertical="center"/>
    </xf>
    <xf numFmtId="165" fontId="45" fillId="20" borderId="29" applyAlignment="1" pivotButton="0" quotePrefix="0" xfId="0">
      <alignment horizontal="center" vertical="center"/>
    </xf>
    <xf numFmtId="165" fontId="43" fillId="7" borderId="33" applyAlignment="1" pivotButton="0" quotePrefix="0" xfId="0">
      <alignment horizontal="center"/>
    </xf>
    <xf numFmtId="165" fontId="43" fillId="7" borderId="143" applyAlignment="1" pivotButton="0" quotePrefix="0" xfId="0">
      <alignment horizontal="center"/>
    </xf>
    <xf numFmtId="165" fontId="43" fillId="7" borderId="147" applyAlignment="1" pivotButton="0" quotePrefix="0" xfId="0">
      <alignment horizontal="center"/>
    </xf>
    <xf numFmtId="164" fontId="126" fillId="55" borderId="187" applyAlignment="1" pivotButton="0" quotePrefix="0" xfId="4">
      <alignment vertical="center" wrapText="1"/>
    </xf>
    <xf numFmtId="164" fontId="126" fillId="55" borderId="178" applyAlignment="1" pivotButton="0" quotePrefix="0" xfId="4">
      <alignment vertical="center" wrapText="1"/>
    </xf>
    <xf numFmtId="167" fontId="123" fillId="54" borderId="180" applyAlignment="1" pivotButton="0" quotePrefix="0" xfId="4">
      <alignment vertical="center" wrapText="1"/>
    </xf>
    <xf numFmtId="167" fontId="123" fillId="54" borderId="178" applyAlignment="1" pivotButton="0" quotePrefix="0" xfId="4">
      <alignment vertical="center" wrapText="1"/>
    </xf>
    <xf numFmtId="164" fontId="48" fillId="16" borderId="30" applyAlignment="1" pivotButton="0" quotePrefix="0" xfId="0">
      <alignment horizontal="center"/>
    </xf>
    <xf numFmtId="164" fontId="48" fillId="17" borderId="30" applyAlignment="1" pivotButton="0" quotePrefix="0" xfId="0">
      <alignment horizontal="center"/>
    </xf>
    <xf numFmtId="164" fontId="44" fillId="18" borderId="129" applyAlignment="1" pivotButton="0" quotePrefix="0" xfId="0">
      <alignment horizontal="center"/>
    </xf>
    <xf numFmtId="164" fontId="48" fillId="16" borderId="30" pivotButton="0" quotePrefix="0" xfId="0"/>
    <xf numFmtId="164" fontId="44" fillId="18" borderId="129" pivotButton="0" quotePrefix="0" xfId="0"/>
    <xf numFmtId="164" fontId="49" fillId="3" borderId="30" pivotButton="0" quotePrefix="0" xfId="0"/>
    <xf numFmtId="164" fontId="59" fillId="19" borderId="129" pivotButton="0" quotePrefix="0" xfId="0"/>
    <xf numFmtId="164" fontId="36" fillId="16" borderId="32" applyAlignment="1" pivotButton="0" quotePrefix="0" xfId="2">
      <alignment horizontal="center" vertical="center"/>
    </xf>
    <xf numFmtId="164" fontId="36" fillId="17" borderId="32" applyAlignment="1" pivotButton="0" quotePrefix="0" xfId="2">
      <alignment horizontal="center" vertical="center"/>
    </xf>
    <xf numFmtId="164" fontId="34" fillId="18" borderId="249" applyAlignment="1" pivotButton="0" quotePrefix="0" xfId="2">
      <alignment horizontal="center" vertical="center"/>
    </xf>
    <xf numFmtId="164" fontId="36" fillId="17" borderId="0" applyAlignment="1" pivotButton="0" quotePrefix="0" xfId="2">
      <alignment horizontal="center" vertical="center"/>
    </xf>
    <xf numFmtId="164" fontId="57" fillId="19" borderId="28" applyAlignment="1" pivotButton="0" quotePrefix="0" xfId="2">
      <alignment horizontal="center"/>
    </xf>
    <xf numFmtId="0" fontId="113" fillId="28" borderId="0" applyAlignment="1" pivotButton="0" quotePrefix="0" xfId="2">
      <alignment horizontal="center" vertical="center"/>
    </xf>
    <xf numFmtId="0" fontId="158" fillId="25" borderId="346" applyAlignment="1" pivotButton="0" quotePrefix="0" xfId="0">
      <alignment horizontal="center" vertical="center"/>
    </xf>
    <xf numFmtId="0" fontId="146" fillId="0" borderId="0" applyAlignment="1" pivotButton="0" quotePrefix="0" xfId="0">
      <alignment vertical="center"/>
    </xf>
    <xf numFmtId="0" fontId="0" fillId="0" borderId="1" pivotButton="0" quotePrefix="0" xfId="0"/>
    <xf numFmtId="0" fontId="0" fillId="0" borderId="159" pivotButton="0" quotePrefix="0" xfId="0"/>
    <xf numFmtId="0" fontId="159" fillId="28" borderId="347"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46" fillId="0" borderId="0" applyAlignment="1" pivotButton="0" quotePrefix="0" xfId="0">
      <alignment vertical="center"/>
    </xf>
    <xf numFmtId="0" fontId="92" fillId="20" borderId="0" applyAlignment="1" pivotButton="0" quotePrefix="0" xfId="0">
      <alignment horizontal="center" vertical="center"/>
    </xf>
    <xf numFmtId="0" fontId="0" fillId="0" borderId="0" applyAlignment="1" pivotButton="0" quotePrefix="0" xfId="0">
      <alignment vertical="center"/>
    </xf>
    <xf numFmtId="0" fontId="136" fillId="0" borderId="0" pivotButton="0" quotePrefix="0" xfId="0"/>
    <xf numFmtId="0" fontId="3" fillId="0" borderId="0" pivotButton="0" quotePrefix="0" xfId="0"/>
    <xf numFmtId="0" fontId="73" fillId="72" borderId="0" applyAlignment="1" pivotButton="0" quotePrefix="0" xfId="0">
      <alignment horizontal="center" vertical="center"/>
    </xf>
    <xf numFmtId="0" fontId="33" fillId="18" borderId="0" applyAlignment="1" pivotButton="0" quotePrefix="0" xfId="0">
      <alignment horizontal="center" vertical="center"/>
    </xf>
    <xf numFmtId="0" fontId="49" fillId="3" borderId="29" applyAlignment="1" pivotButton="0" quotePrefix="0" xfId="0">
      <alignment vertical="center"/>
    </xf>
    <xf numFmtId="0" fontId="46" fillId="26" borderId="65" applyAlignment="1" pivotButton="0" quotePrefix="0" xfId="0">
      <alignment vertical="center"/>
    </xf>
    <xf numFmtId="0" fontId="46" fillId="26" borderId="29" applyAlignment="1" pivotButton="0" quotePrefix="0" xfId="0">
      <alignment vertical="center"/>
    </xf>
    <xf numFmtId="0" fontId="66" fillId="20" borderId="29" applyAlignment="1" pivotButton="0" quotePrefix="0" xfId="0">
      <alignment horizontal="left" vertical="center"/>
    </xf>
    <xf numFmtId="0" fontId="0" fillId="0" borderId="0" pivotButton="0" quotePrefix="0" xfId="3"/>
    <xf numFmtId="0" fontId="77" fillId="10" borderId="12" applyAlignment="1" pivotButton="0" quotePrefix="0" xfId="3">
      <alignment vertical="center"/>
    </xf>
    <xf numFmtId="0" fontId="77" fillId="10" borderId="16" applyAlignment="1" pivotButton="0" quotePrefix="0" xfId="3">
      <alignment vertical="center"/>
    </xf>
    <xf numFmtId="0" fontId="124" fillId="53" borderId="178" applyAlignment="1" pivotButton="0" quotePrefix="0" xfId="4">
      <alignment vertical="center" wrapText="1"/>
    </xf>
    <xf numFmtId="0" fontId="123" fillId="54" borderId="178" applyAlignment="1" pivotButton="0" quotePrefix="0" xfId="4">
      <alignment vertical="center" wrapText="1"/>
    </xf>
    <xf numFmtId="0" fontId="125" fillId="41" borderId="186" applyAlignment="1" pivotButton="0" quotePrefix="0" xfId="4">
      <alignment horizontal="center" vertical="center" wrapText="1"/>
    </xf>
    <xf numFmtId="0" fontId="5" fillId="0" borderId="0" pivotButton="0" quotePrefix="0" xfId="4"/>
    <xf numFmtId="0" fontId="123" fillId="17" borderId="178" applyAlignment="1" pivotButton="0" quotePrefix="0" xfId="4">
      <alignment vertical="center" wrapText="1"/>
    </xf>
    <xf numFmtId="0" fontId="123" fillId="28" borderId="187" applyAlignment="1" pivotButton="0" quotePrefix="0" xfId="4">
      <alignment vertical="center" wrapText="1"/>
    </xf>
    <xf numFmtId="165" fontId="123" fillId="54" borderId="178" applyAlignment="1" pivotButton="0" quotePrefix="0" xfId="4">
      <alignment vertical="center" wrapText="1"/>
    </xf>
    <xf numFmtId="0" fontId="73" fillId="41" borderId="178" applyAlignment="1" pivotButton="0" quotePrefix="0" xfId="4">
      <alignment horizontal="center" vertical="center" wrapText="1"/>
    </xf>
    <xf numFmtId="0" fontId="0" fillId="0" borderId="172" pivotButton="0" quotePrefix="0" xfId="0"/>
    <xf numFmtId="0" fontId="38" fillId="0" borderId="29" applyAlignment="1" pivotButton="0" quotePrefix="0" xfId="1">
      <alignment horizontal="center" vertical="center" wrapText="1"/>
    </xf>
    <xf numFmtId="0" fontId="9" fillId="0" borderId="0" applyAlignment="1" pivotButton="0" quotePrefix="0" xfId="1">
      <alignment horizontal="center" vertical="center"/>
    </xf>
    <xf numFmtId="0" fontId="9" fillId="0" borderId="0" applyAlignment="1" pivotButton="0" quotePrefix="0" xfId="1">
      <alignment vertical="center"/>
    </xf>
    <xf numFmtId="0" fontId="38" fillId="0" borderId="65" applyAlignment="1" pivotButton="0" quotePrefix="0" xfId="1">
      <alignment horizontal="center" vertical="center" wrapText="1"/>
    </xf>
    <xf numFmtId="0" fontId="53" fillId="27" borderId="29" applyAlignment="1" pivotButton="0" quotePrefix="0" xfId="1">
      <alignment horizontal="right" vertical="center" wrapText="1"/>
    </xf>
    <xf numFmtId="0" fontId="38" fillId="0" borderId="56" applyAlignment="1" pivotButton="0" quotePrefix="0" xfId="1">
      <alignment horizontal="center" vertical="center"/>
    </xf>
    <xf numFmtId="0" fontId="38" fillId="0" borderId="29" applyAlignment="1" pivotButton="0" quotePrefix="0" xfId="1">
      <alignment horizontal="center" vertical="center"/>
    </xf>
    <xf numFmtId="0" fontId="38" fillId="0" borderId="55" applyAlignment="1" pivotButton="0" quotePrefix="0" xfId="1">
      <alignment horizontal="center" vertical="center" wrapText="1"/>
    </xf>
    <xf numFmtId="0" fontId="46" fillId="4" borderId="98" applyAlignment="1" pivotButton="0" quotePrefix="0" xfId="3">
      <alignment horizontal="center" vertical="center"/>
    </xf>
    <xf numFmtId="0" fontId="58" fillId="3" borderId="5" applyAlignment="1" pivotButton="0" quotePrefix="0" xfId="1">
      <alignment horizontal="center" vertical="center"/>
    </xf>
    <xf numFmtId="0" fontId="38" fillId="0" borderId="57" applyAlignment="1" pivotButton="0" quotePrefix="0" xfId="1">
      <alignment horizontal="center" vertical="center"/>
    </xf>
    <xf numFmtId="0" fontId="38" fillId="0" borderId="64" applyAlignment="1" pivotButton="0" quotePrefix="0" xfId="1">
      <alignment horizontal="center" vertical="center" wrapText="1"/>
    </xf>
    <xf numFmtId="0" fontId="38" fillId="0" borderId="54" applyAlignment="1" pivotButton="0" quotePrefix="0" xfId="1">
      <alignment horizontal="center" vertical="center" wrapText="1"/>
    </xf>
    <xf numFmtId="0" fontId="46" fillId="0" borderId="30" applyAlignment="1" pivotButton="0" quotePrefix="0" xfId="0">
      <alignment vertical="center" wrapText="1"/>
    </xf>
    <xf numFmtId="0" fontId="0" fillId="0" borderId="0" pivotButton="0" quotePrefix="0" xfId="2"/>
    <xf numFmtId="0" fontId="46" fillId="4" borderId="102" applyAlignment="1" pivotButton="0" quotePrefix="0" xfId="3">
      <alignment horizontal="center" vertical="center"/>
    </xf>
    <xf numFmtId="0" fontId="46" fillId="4" borderId="101" applyAlignment="1" pivotButton="0" quotePrefix="0" xfId="3">
      <alignment horizontal="center" vertical="center"/>
    </xf>
    <xf numFmtId="0" fontId="0" fillId="0" borderId="267" pivotButton="0" quotePrefix="0" xfId="0"/>
    <xf numFmtId="0" fontId="1" fillId="0" borderId="29" applyAlignment="1" pivotButton="0" quotePrefix="0" xfId="2">
      <alignment horizontal="center" vertical="center" wrapText="1"/>
    </xf>
    <xf numFmtId="0" fontId="46" fillId="4" borderId="104" applyAlignment="1" pivotButton="0" quotePrefix="0" xfId="3">
      <alignment horizontal="center" vertical="center"/>
    </xf>
    <xf numFmtId="0" fontId="143" fillId="25" borderId="367" applyAlignment="1" pivotButton="0" quotePrefix="0" xfId="0">
      <alignment horizontal="center" vertical="center" wrapText="1"/>
    </xf>
    <xf numFmtId="0" fontId="143" fillId="25" borderId="368" applyAlignment="1" pivotButton="0" quotePrefix="0" xfId="0">
      <alignment horizontal="center" vertical="center" wrapText="1"/>
    </xf>
    <xf numFmtId="0" fontId="0" fillId="0" borderId="0" pivotButton="0" quotePrefix="0" xfId="0"/>
    <xf numFmtId="0" fontId="33" fillId="50" borderId="250" applyAlignment="1" pivotButton="0" quotePrefix="0" xfId="2">
      <alignment vertical="center" wrapText="1"/>
    </xf>
    <xf numFmtId="0" fontId="0" fillId="0" borderId="250" pivotButton="0" quotePrefix="0" xfId="2"/>
    <xf numFmtId="0" fontId="0" fillId="28" borderId="250" pivotButton="0" quotePrefix="0" xfId="0"/>
    <xf numFmtId="0" fontId="9" fillId="0" borderId="250" applyAlignment="1" pivotButton="0" quotePrefix="0" xfId="1">
      <alignment vertical="center"/>
    </xf>
    <xf numFmtId="0" fontId="12" fillId="45" borderId="0" applyAlignment="1" pivotButton="0" quotePrefix="0" xfId="3">
      <alignment horizontal="center" wrapText="1"/>
    </xf>
    <xf numFmtId="0" fontId="0" fillId="0" borderId="250" pivotButton="0" quotePrefix="0" xfId="3"/>
    <xf numFmtId="0" fontId="0" fillId="0" borderId="251" pivotButton="0" quotePrefix="0" xfId="0"/>
    <xf numFmtId="0" fontId="104" fillId="44" borderId="0" applyAlignment="1" pivotButton="0" quotePrefix="0" xfId="3">
      <alignment vertical="center" wrapText="1"/>
    </xf>
    <xf numFmtId="0" fontId="77" fillId="10" borderId="0" applyAlignment="1" pivotButton="0" quotePrefix="0" xfId="3">
      <alignment vertical="center"/>
    </xf>
    <xf numFmtId="0" fontId="0" fillId="0" borderId="250" applyAlignment="1" pivotButton="0" quotePrefix="0" xfId="0">
      <alignment vertical="center"/>
    </xf>
    <xf numFmtId="0" fontId="0" fillId="0" borderId="251" applyAlignment="1" pivotButton="0" quotePrefix="0" xfId="0">
      <alignment vertical="center"/>
    </xf>
    <xf numFmtId="0" fontId="77" fillId="10" borderId="92" applyAlignment="1" pivotButton="0" quotePrefix="0" xfId="3">
      <alignment horizontal="left" vertical="center"/>
    </xf>
    <xf numFmtId="0" fontId="148" fillId="70" borderId="250" applyAlignment="1" pivotButton="0" quotePrefix="0" xfId="0">
      <alignment vertical="center"/>
    </xf>
    <xf numFmtId="0" fontId="33" fillId="28" borderId="250" applyAlignment="1" pivotButton="0" quotePrefix="0" xfId="0">
      <alignment vertical="center"/>
    </xf>
    <xf numFmtId="0" fontId="55" fillId="60" borderId="262" applyAlignment="1" pivotButton="0" quotePrefix="0" xfId="0">
      <alignment horizontal="center"/>
    </xf>
    <xf numFmtId="0" fontId="128" fillId="70" borderId="250" pivotButton="0" quotePrefix="0" xfId="0"/>
    <xf numFmtId="0" fontId="129" fillId="0" borderId="250" applyAlignment="1" pivotButton="0" quotePrefix="0" xfId="0">
      <alignment vertical="center"/>
    </xf>
    <xf numFmtId="0" fontId="3" fillId="0" borderId="250" pivotButton="0" quotePrefix="0" xfId="0"/>
    <xf numFmtId="0" fontId="0" fillId="0" borderId="250" pivotButton="0" quotePrefix="0" xfId="0"/>
    <xf numFmtId="0" fontId="3" fillId="0" borderId="251" pivotButton="0" quotePrefix="0" xfId="0"/>
    <xf numFmtId="0" fontId="0" fillId="0" borderId="282" pivotButton="0" quotePrefix="0" xfId="0"/>
    <xf numFmtId="0" fontId="135" fillId="25" borderId="262" applyAlignment="1" pivotButton="0" quotePrefix="0" xfId="0">
      <alignment horizontal="center" vertical="center" wrapText="1"/>
    </xf>
    <xf numFmtId="0" fontId="113" fillId="28" borderId="250" applyAlignment="1" pivotButton="0" quotePrefix="0" xfId="2">
      <alignment vertical="center"/>
    </xf>
    <xf numFmtId="0" fontId="0" fillId="0" borderId="261" pivotButton="0" quotePrefix="0" xfId="0"/>
    <xf numFmtId="0" fontId="0" fillId="0" borderId="266" pivotButton="0" quotePrefix="0" xfId="0"/>
    <xf numFmtId="168" fontId="96" fillId="26" borderId="29" applyAlignment="1" pivotButton="0" quotePrefix="0" xfId="0">
      <alignment vertical="center"/>
    </xf>
    <xf numFmtId="168" fontId="38" fillId="28" borderId="162" applyAlignment="1" pivotButton="0" quotePrefix="0" xfId="0">
      <alignment vertical="center"/>
    </xf>
    <xf numFmtId="168" fontId="97" fillId="26" borderId="29" applyAlignment="1" pivotButton="0" quotePrefix="0" xfId="0">
      <alignment vertical="center"/>
    </xf>
    <xf numFmtId="168" fontId="155" fillId="3" borderId="164" applyAlignment="1" pivotButton="0" quotePrefix="0" xfId="0">
      <alignment vertical="center"/>
    </xf>
    <xf numFmtId="169" fontId="96" fillId="17" borderId="29" applyAlignment="1" pivotButton="0" quotePrefix="0" xfId="0">
      <alignment horizontal="center" vertical="center"/>
    </xf>
    <xf numFmtId="168" fontId="38" fillId="28" borderId="65" applyAlignment="1" pivotButton="0" quotePrefix="0" xfId="0">
      <alignment vertical="center"/>
    </xf>
    <xf numFmtId="168" fontId="155" fillId="3" borderId="65" applyAlignment="1" pivotButton="0" quotePrefix="0" xfId="0">
      <alignment vertical="center"/>
    </xf>
    <xf numFmtId="168" fontId="154" fillId="16" borderId="65" applyAlignment="1" pivotButton="0" quotePrefix="0" xfId="0">
      <alignment vertical="center"/>
    </xf>
    <xf numFmtId="168" fontId="86" fillId="49" borderId="112" applyAlignment="1" pivotButton="0" quotePrefix="0" xfId="0">
      <alignment vertical="center"/>
    </xf>
    <xf numFmtId="170" fontId="38" fillId="17" borderId="39" pivotButton="0" quotePrefix="0" xfId="0"/>
    <xf numFmtId="170" fontId="38" fillId="17" borderId="125" pivotButton="0" quotePrefix="0" xfId="0"/>
    <xf numFmtId="170" fontId="38" fillId="17" borderId="30" pivotButton="0" quotePrefix="0" xfId="0"/>
    <xf numFmtId="170" fontId="0" fillId="17" borderId="30" pivotButton="0" quotePrefix="0" xfId="0"/>
    <xf numFmtId="169" fontId="136" fillId="0" borderId="278" applyAlignment="1" pivotButton="0" quotePrefix="0" xfId="0">
      <alignment vertical="center" wrapText="1"/>
    </xf>
    <xf numFmtId="169" fontId="137" fillId="0" borderId="279" applyAlignment="1" pivotButton="0" quotePrefix="0" xfId="0">
      <alignment vertical="center" wrapText="1"/>
    </xf>
    <xf numFmtId="169" fontId="137" fillId="0" borderId="278" applyAlignment="1" pivotButton="0" quotePrefix="0" xfId="0">
      <alignment vertical="center" wrapText="1"/>
    </xf>
    <xf numFmtId="169" fontId="0" fillId="11" borderId="12" applyAlignment="1" pivotButton="0" quotePrefix="0" xfId="3">
      <alignment horizontal="center" vertical="center"/>
    </xf>
    <xf numFmtId="169" fontId="23" fillId="12" borderId="12" applyAlignment="1" pivotButton="0" quotePrefix="0" xfId="3">
      <alignment vertical="center"/>
    </xf>
    <xf numFmtId="167" fontId="123" fillId="54" borderId="177" applyAlignment="1" pivotButton="0" quotePrefix="0" xfId="4">
      <alignment vertical="center" wrapText="1"/>
    </xf>
    <xf numFmtId="164" fontId="123" fillId="54" borderId="180" applyAlignment="1" pivotButton="0" quotePrefix="0" xfId="4">
      <alignment vertical="center" wrapText="1"/>
    </xf>
    <xf numFmtId="4" fontId="163" fillId="6" borderId="0" applyAlignment="1" pivotButton="0" quotePrefix="0" xfId="0">
      <alignment vertical="center"/>
    </xf>
    <xf numFmtId="0" fontId="164" fillId="0" borderId="0" pivotButton="0" quotePrefix="0" xfId="0"/>
    <xf numFmtId="171" fontId="123" fillId="17" borderId="187" applyAlignment="1" pivotButton="0" quotePrefix="0" xfId="4">
      <alignment vertical="center" wrapText="1"/>
    </xf>
    <xf numFmtId="171" fontId="123" fillId="17" borderId="374" applyAlignment="1" pivotButton="0" quotePrefix="0" xfId="4">
      <alignment vertical="center" wrapText="1"/>
    </xf>
    <xf numFmtId="0" fontId="123" fillId="28" borderId="374" applyAlignment="1" pivotButton="0" quotePrefix="0" xfId="4">
      <alignment vertical="center" wrapText="1"/>
    </xf>
    <xf numFmtId="164" fontId="48" fillId="0" borderId="30" applyAlignment="1" pivotButton="0" quotePrefix="0" xfId="0">
      <alignment horizontal="center"/>
    </xf>
    <xf numFmtId="164" fontId="48" fillId="0" borderId="30" pivotButton="0" quotePrefix="0" xfId="0"/>
    <xf numFmtId="164" fontId="36" fillId="0" borderId="32" applyAlignment="1" pivotButton="0" quotePrefix="0" xfId="2">
      <alignment horizontal="center" vertical="center"/>
    </xf>
    <xf numFmtId="164" fontId="0" fillId="0" borderId="33" pivotButton="0" quotePrefix="0" xfId="0"/>
    <xf numFmtId="164" fontId="0" fillId="0" borderId="32" pivotButton="0" quotePrefix="0" xfId="0"/>
    <xf numFmtId="164" fontId="0" fillId="0" borderId="29" pivotButton="0" quotePrefix="0" xfId="0"/>
    <xf numFmtId="0" fontId="76" fillId="6" borderId="0" applyAlignment="1" pivotButton="0" quotePrefix="0" xfId="0">
      <alignment vertical="center"/>
    </xf>
    <xf numFmtId="0" fontId="0" fillId="0" borderId="0" pivotButton="0" quotePrefix="0" xfId="0"/>
    <xf numFmtId="0" fontId="76" fillId="0" borderId="0" applyAlignment="1" pivotButton="0" quotePrefix="0" xfId="0">
      <alignment vertical="center" wrapText="1"/>
    </xf>
    <xf numFmtId="4" fontId="163" fillId="6" borderId="0" applyAlignment="1" pivotButton="0" quotePrefix="0" xfId="0">
      <alignment vertical="center"/>
    </xf>
    <xf numFmtId="0" fontId="55" fillId="20" borderId="0" applyAlignment="1" pivotButton="0" quotePrefix="0" xfId="0">
      <alignment horizontal="center" vertical="center"/>
    </xf>
    <xf numFmtId="0" fontId="76" fillId="0" borderId="0" applyAlignment="1" pivotButton="0" quotePrefix="0" xfId="0">
      <alignment vertical="center"/>
    </xf>
    <xf numFmtId="0" fontId="46" fillId="0" borderId="0" applyAlignment="1" pivotButton="0" quotePrefix="0" xfId="0">
      <alignment vertical="center"/>
    </xf>
    <xf numFmtId="0" fontId="93" fillId="52" borderId="60" applyAlignment="1" pivotButton="0" quotePrefix="0" xfId="0">
      <alignment horizontal="center" vertical="center" wrapText="1"/>
    </xf>
    <xf numFmtId="0" fontId="0" fillId="0" borderId="60" pivotButton="0" quotePrefix="0" xfId="0"/>
    <xf numFmtId="0" fontId="66" fillId="25" borderId="100" applyAlignment="1" pivotButton="0" quotePrefix="0" xfId="2">
      <alignment horizontal="center" vertical="center"/>
    </xf>
    <xf numFmtId="0" fontId="0" fillId="0" borderId="100" pivotButton="0" quotePrefix="0" xfId="0"/>
    <xf numFmtId="0" fontId="101" fillId="20" borderId="0" applyAlignment="1" pivotButton="0" quotePrefix="0" xfId="0">
      <alignment horizontal="center" vertical="center"/>
    </xf>
    <xf numFmtId="0" fontId="112" fillId="28" borderId="91" applyAlignment="1" pivotButton="0" quotePrefix="0" xfId="2">
      <alignment horizontal="center" vertical="center"/>
    </xf>
    <xf numFmtId="0" fontId="0" fillId="0" borderId="91" pivotButton="0" quotePrefix="0" xfId="0"/>
    <xf numFmtId="0" fontId="92" fillId="20" borderId="0" applyAlignment="1" pivotButton="0" quotePrefix="0" xfId="0">
      <alignment horizontal="center" vertical="center"/>
    </xf>
    <xf numFmtId="0" fontId="113" fillId="28" borderId="91" applyAlignment="1" pivotButton="0" quotePrefix="0" xfId="2">
      <alignment horizontal="center" vertical="center"/>
    </xf>
    <xf numFmtId="0" fontId="0" fillId="0" borderId="58" pivotButton="0" quotePrefix="0" xfId="0"/>
    <xf numFmtId="0" fontId="96" fillId="16" borderId="161" applyAlignment="1" pivotButton="0" quotePrefix="0" xfId="0">
      <alignment vertical="center"/>
    </xf>
    <xf numFmtId="0" fontId="0" fillId="0" borderId="29" pivotButton="0" quotePrefix="0" xfId="0"/>
    <xf numFmtId="0" fontId="154" fillId="26" borderId="64" applyAlignment="1" pivotButton="0" quotePrefix="0" xfId="0">
      <alignment horizontal="left" vertical="center"/>
    </xf>
    <xf numFmtId="0" fontId="33" fillId="20" borderId="0" applyAlignment="1" pivotButton="0" quotePrefix="0" xfId="0">
      <alignment horizontal="center" vertical="center"/>
    </xf>
    <xf numFmtId="0" fontId="97" fillId="28" borderId="348" applyAlignment="1" pivotButton="0" quotePrefix="0" xfId="0">
      <alignment horizontal="center" vertical="center"/>
    </xf>
    <xf numFmtId="0" fontId="0" fillId="0" borderId="348" pivotButton="0" quotePrefix="0" xfId="0"/>
    <xf numFmtId="0" fontId="6" fillId="16" borderId="64" applyAlignment="1" pivotButton="0" quotePrefix="0" xfId="0">
      <alignment vertical="center"/>
    </xf>
    <xf numFmtId="0" fontId="113" fillId="28" borderId="0" applyAlignment="1" pivotButton="0" quotePrefix="0" xfId="2">
      <alignment horizontal="center" vertical="center"/>
    </xf>
    <xf numFmtId="0" fontId="158" fillId="25" borderId="346" applyAlignment="1" pivotButton="0" quotePrefix="0" xfId="0">
      <alignment horizontal="center" vertical="center"/>
    </xf>
    <xf numFmtId="0" fontId="0" fillId="0" borderId="350" pivotButton="0" quotePrefix="0" xfId="0"/>
    <xf numFmtId="0" fontId="115" fillId="41" borderId="0" applyAlignment="1" pivotButton="0" quotePrefix="0" xfId="0">
      <alignment horizontal="center" vertical="center"/>
    </xf>
    <xf numFmtId="0" fontId="39" fillId="3" borderId="29" applyAlignment="1" pivotButton="0" quotePrefix="0" xfId="0">
      <alignment horizontal="center" vertical="center"/>
    </xf>
    <xf numFmtId="0" fontId="157" fillId="28" borderId="131" applyAlignment="1" pivotButton="0" quotePrefix="0" xfId="0">
      <alignment horizontal="center" vertical="center"/>
    </xf>
    <xf numFmtId="0" fontId="0" fillId="0" borderId="131" pivotButton="0" quotePrefix="0" xfId="0"/>
    <xf numFmtId="0" fontId="96" fillId="16" borderId="64" applyAlignment="1" pivotButton="0" quotePrefix="0" xfId="0">
      <alignment vertical="center"/>
    </xf>
    <xf numFmtId="0" fontId="158" fillId="28" borderId="0" applyAlignment="1" pivotButton="0" quotePrefix="0" xfId="0">
      <alignment horizontal="center" vertical="center"/>
    </xf>
    <xf numFmtId="0" fontId="146" fillId="0" borderId="0" applyAlignment="1" pivotButton="0" quotePrefix="0" xfId="0">
      <alignment vertical="center"/>
    </xf>
    <xf numFmtId="0" fontId="0" fillId="0" borderId="99" pivotButton="0" quotePrefix="0" xfId="0"/>
    <xf numFmtId="0" fontId="53" fillId="27" borderId="70" applyAlignment="1" pivotButton="0" quotePrefix="0" xfId="1">
      <alignment horizontal="center" vertical="center"/>
    </xf>
    <xf numFmtId="0" fontId="0" fillId="0" borderId="1" pivotButton="0" quotePrefix="0" xfId="0"/>
    <xf numFmtId="0" fontId="114" fillId="28" borderId="0" applyAlignment="1" pivotButton="0" quotePrefix="0" xfId="0">
      <alignment horizontal="center" vertical="center"/>
    </xf>
    <xf numFmtId="0" fontId="6" fillId="16" borderId="163" applyAlignment="1" pivotButton="0" quotePrefix="0" xfId="0">
      <alignment horizontal="center" vertical="center"/>
    </xf>
    <xf numFmtId="0" fontId="6" fillId="16" borderId="344" applyAlignment="1" pivotButton="0" quotePrefix="0" xfId="0">
      <alignment horizontal="center"/>
    </xf>
    <xf numFmtId="0" fontId="0" fillId="0" borderId="345" pivotButton="0" quotePrefix="0" xfId="0"/>
    <xf numFmtId="0" fontId="0" fillId="0" borderId="357" pivotButton="0" quotePrefix="0" xfId="0"/>
    <xf numFmtId="0" fontId="73" fillId="28" borderId="160" applyAlignment="1" pivotButton="0" quotePrefix="0" xfId="0">
      <alignment horizontal="center" vertical="center"/>
    </xf>
    <xf numFmtId="0" fontId="0" fillId="0" borderId="160" pivotButton="0" quotePrefix="0" xfId="0"/>
    <xf numFmtId="0" fontId="0" fillId="0" borderId="98" pivotButton="0" quotePrefix="0" xfId="0"/>
    <xf numFmtId="0" fontId="53" fillId="41" borderId="158" applyAlignment="1" pivotButton="0" quotePrefix="0" xfId="0">
      <alignment horizontal="center" vertical="center"/>
    </xf>
    <xf numFmtId="0" fontId="0" fillId="0" borderId="158" pivotButton="0" quotePrefix="0" xfId="0"/>
    <xf numFmtId="0" fontId="39" fillId="3" borderId="147" applyAlignment="1" pivotButton="0" quotePrefix="0" xfId="0">
      <alignment horizontal="center" vertical="center"/>
    </xf>
    <xf numFmtId="0" fontId="53" fillId="27" borderId="71" applyAlignment="1" pivotButton="0" quotePrefix="0" xfId="1">
      <alignment horizontal="center" vertical="center"/>
    </xf>
    <xf numFmtId="0" fontId="0" fillId="0" borderId="71" pivotButton="0" quotePrefix="0" xfId="0"/>
    <xf numFmtId="0" fontId="73" fillId="41" borderId="158" applyAlignment="1" pivotButton="0" quotePrefix="0" xfId="0">
      <alignment horizontal="center" vertical="center"/>
    </xf>
    <xf numFmtId="0" fontId="73" fillId="26" borderId="159" applyAlignment="1" pivotButton="0" quotePrefix="0" xfId="0">
      <alignment vertical="center"/>
    </xf>
    <xf numFmtId="0" fontId="0" fillId="0" borderId="159" pivotButton="0" quotePrefix="0" xfId="0"/>
    <xf numFmtId="0" fontId="29" fillId="25" borderId="0" applyAlignment="1" pivotButton="0" quotePrefix="0" xfId="0">
      <alignment horizontal="center"/>
    </xf>
    <xf numFmtId="0" fontId="30" fillId="16" borderId="159" applyAlignment="1" pivotButton="0" quotePrefix="0" xfId="0">
      <alignment horizontal="center" vertical="center"/>
    </xf>
    <xf numFmtId="0" fontId="159" fillId="28" borderId="347" applyAlignment="1" pivotButton="0" quotePrefix="0" xfId="0">
      <alignment horizontal="center" vertical="center"/>
    </xf>
    <xf numFmtId="0" fontId="0" fillId="0" borderId="351" pivotButton="0" quotePrefix="0" xfId="0"/>
    <xf numFmtId="0" fontId="2" fillId="16" borderId="65" applyAlignment="1" pivotButton="0" quotePrefix="0" xfId="0">
      <alignment horizontal="center" vertical="center"/>
    </xf>
    <xf numFmtId="0" fontId="0" fillId="0" borderId="65" pivotButton="0" quotePrefix="0" xfId="0"/>
    <xf numFmtId="0" fontId="6" fillId="16" borderId="106" applyAlignment="1" pivotButton="0" quotePrefix="0" xfId="0">
      <alignment horizontal="center" vertical="center"/>
    </xf>
    <xf numFmtId="0" fontId="0" fillId="0" borderId="32" pivotButton="0" quotePrefix="0" xfId="0"/>
    <xf numFmtId="0" fontId="0" fillId="0" borderId="106" pivotButton="0" quotePrefix="0" xfId="0"/>
    <xf numFmtId="0" fontId="66" fillId="25" borderId="352" applyAlignment="1" pivotButton="0" quotePrefix="0" xfId="2">
      <alignment horizontal="center"/>
    </xf>
    <xf numFmtId="0" fontId="0" fillId="0" borderId="300" pivotButton="0" quotePrefix="0" xfId="0"/>
    <xf numFmtId="0" fontId="33" fillId="25"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43" borderId="308" applyAlignment="1" pivotButton="0" quotePrefix="0" xfId="0">
      <alignment horizontal="center"/>
    </xf>
    <xf numFmtId="0" fontId="0" fillId="43" borderId="0" applyAlignment="1" pivotButton="0" quotePrefix="0" xfId="0">
      <alignment horizontal="center"/>
    </xf>
    <xf numFmtId="0" fontId="0" fillId="0" borderId="250" pivotButton="0" quotePrefix="0" xfId="0"/>
    <xf numFmtId="0" fontId="0" fillId="0" borderId="265" pivotButton="0" quotePrefix="0" xfId="0"/>
    <xf numFmtId="0" fontId="0" fillId="0" borderId="266" pivotButton="0" quotePrefix="0" xfId="0"/>
    <xf numFmtId="0" fontId="150" fillId="0" borderId="250" applyAlignment="1" pivotButton="0" quotePrefix="0" xfId="0">
      <alignment horizontal="center" vertical="center"/>
    </xf>
    <xf numFmtId="0" fontId="46" fillId="4" borderId="264" applyAlignment="1" pivotButton="0" quotePrefix="0" xfId="3">
      <alignment horizontal="center" vertical="center"/>
    </xf>
    <xf numFmtId="0" fontId="0" fillId="0" borderId="264" pivotButton="0" quotePrefix="0" xfId="0"/>
    <xf numFmtId="0" fontId="111" fillId="42" borderId="151" applyAlignment="1" pivotButton="0" quotePrefix="0" xfId="3">
      <alignment horizontal="center" vertical="center"/>
    </xf>
    <xf numFmtId="0" fontId="0" fillId="0" borderId="151" pivotButton="0" quotePrefix="0" xfId="0"/>
    <xf numFmtId="0" fontId="33" fillId="25" borderId="34" applyAlignment="1" pivotButton="0" quotePrefix="0" xfId="0">
      <alignment horizontal="center" vertical="center"/>
    </xf>
    <xf numFmtId="0" fontId="46" fillId="4" borderId="144" applyAlignment="1" pivotButton="0" quotePrefix="0" xfId="3">
      <alignment horizontal="center" vertical="center"/>
    </xf>
    <xf numFmtId="0" fontId="0" fillId="0" borderId="144" pivotButton="0" quotePrefix="0" xfId="0"/>
    <xf numFmtId="0" fontId="0" fillId="43" borderId="34" applyAlignment="1" pivotButton="0" quotePrefix="0" xfId="0">
      <alignment horizontal="center"/>
    </xf>
    <xf numFmtId="0" fontId="151" fillId="0" borderId="250" applyAlignment="1" pivotButton="0" quotePrefix="0" xfId="0">
      <alignment horizontal="center" vertical="center"/>
    </xf>
    <xf numFmtId="0" fontId="46" fillId="4" borderId="151" applyAlignment="1" pivotButton="0" quotePrefix="0" xfId="3">
      <alignment horizontal="center" vertical="center"/>
    </xf>
    <xf numFmtId="0" fontId="0" fillId="0" borderId="237" applyAlignment="1" pivotButton="0" quotePrefix="0" xfId="0">
      <alignment horizontal="center"/>
    </xf>
    <xf numFmtId="0" fontId="0" fillId="0" borderId="237" pivotButton="0" quotePrefix="0" xfId="0"/>
    <xf numFmtId="0" fontId="66" fillId="25" borderId="234" applyAlignment="1" pivotButton="0" quotePrefix="0" xfId="2">
      <alignment horizontal="center"/>
    </xf>
    <xf numFmtId="0" fontId="0" fillId="0" borderId="31" pivotButton="0" quotePrefix="0" xfId="0"/>
    <xf numFmtId="0" fontId="0" fillId="0" borderId="234" pivotButton="0" quotePrefix="0" xfId="0"/>
    <xf numFmtId="0" fontId="42" fillId="64" borderId="0" applyAlignment="1" pivotButton="0" quotePrefix="0" xfId="0">
      <alignment horizontal="center" vertical="center"/>
    </xf>
    <xf numFmtId="0" fontId="134" fillId="0" borderId="255" pivotButton="0" quotePrefix="0" xfId="0"/>
    <xf numFmtId="0" fontId="0" fillId="0" borderId="256" pivotButton="0" quotePrefix="0" xfId="0"/>
    <xf numFmtId="0" fontId="0" fillId="0" borderId="283" pivotButton="0" quotePrefix="0" xfId="0"/>
    <xf numFmtId="0" fontId="134" fillId="0" borderId="254" pivotButton="0" quotePrefix="0" xfId="0"/>
    <xf numFmtId="0" fontId="0" fillId="0" borderId="239" pivotButton="0" quotePrefix="0" xfId="0"/>
    <xf numFmtId="0" fontId="0" fillId="0" borderId="240" pivotButton="0" quotePrefix="0" xfId="0"/>
    <xf numFmtId="0" fontId="132" fillId="64" borderId="0" applyAlignment="1" pivotButton="0" quotePrefix="0" xfId="0">
      <alignment horizontal="center" vertical="center"/>
    </xf>
    <xf numFmtId="0" fontId="132" fillId="61" borderId="238" applyAlignment="1" pivotButton="0" quotePrefix="0" xfId="0">
      <alignment horizontal="center" vertical="center"/>
    </xf>
    <xf numFmtId="0" fontId="0" fillId="0" borderId="238" pivotButton="0" quotePrefix="0" xfId="0"/>
    <xf numFmtId="0" fontId="133" fillId="71" borderId="156" applyAlignment="1" pivotButton="0" quotePrefix="0" xfId="0">
      <alignment vertical="center" wrapText="1"/>
    </xf>
    <xf numFmtId="0" fontId="0" fillId="0" borderId="192" pivotButton="0" quotePrefix="0" xfId="0"/>
    <xf numFmtId="0" fontId="0" fillId="0" borderId="257" pivotButton="0" quotePrefix="0" xfId="0"/>
    <xf numFmtId="0" fontId="0" fillId="0" borderId="258" pivotButton="0" quotePrefix="0" xfId="0"/>
    <xf numFmtId="0" fontId="0" fillId="0" borderId="259" pivotButton="0" quotePrefix="0" xfId="0"/>
    <xf numFmtId="0" fontId="0" fillId="0" borderId="242" pivotButton="0" quotePrefix="0" xfId="0"/>
    <xf numFmtId="0" fontId="0" fillId="0" borderId="260" pivotButton="0" quotePrefix="0" xfId="0"/>
    <xf numFmtId="0" fontId="3" fillId="43" borderId="233" applyAlignment="1" pivotButton="0" quotePrefix="0" xfId="0">
      <alignment horizontal="center"/>
    </xf>
    <xf numFmtId="0" fontId="0" fillId="0" borderId="233" pivotButton="0" quotePrefix="0" xfId="0"/>
    <xf numFmtId="0" fontId="41" fillId="66" borderId="250" applyAlignment="1" pivotButton="0" quotePrefix="0" xfId="0">
      <alignment horizontal="center" vertical="center"/>
    </xf>
    <xf numFmtId="0" fontId="41" fillId="60" borderId="262" applyAlignment="1" pivotButton="0" quotePrefix="0" xfId="0">
      <alignment horizontal="center" vertical="center"/>
    </xf>
    <xf numFmtId="0" fontId="131" fillId="60" borderId="282" applyAlignment="1" pivotButton="0" quotePrefix="0" xfId="0">
      <alignment horizontal="center" vertical="center"/>
    </xf>
    <xf numFmtId="0" fontId="0" fillId="0" borderId="277" pivotButton="0" quotePrefix="0" xfId="0"/>
    <xf numFmtId="0" fontId="0" fillId="0" borderId="282" pivotButton="0" quotePrefix="0" xfId="0"/>
    <xf numFmtId="0" fontId="42" fillId="61" borderId="238" applyAlignment="1" pivotButton="0" quotePrefix="0" xfId="0">
      <alignment horizontal="center" vertical="center"/>
    </xf>
    <xf numFmtId="0" fontId="132" fillId="63" borderId="0" applyAlignment="1" pivotButton="0" quotePrefix="0" xfId="0">
      <alignment horizontal="center" vertical="center"/>
    </xf>
    <xf numFmtId="0" fontId="132" fillId="65" borderId="0" applyAlignment="1" pivotButton="0" quotePrefix="0" xfId="0">
      <alignment horizontal="center" vertical="center"/>
    </xf>
    <xf numFmtId="0" fontId="41" fillId="60" borderId="0" applyAlignment="1" pivotButton="0" quotePrefix="0" xfId="0">
      <alignment horizontal="center" vertical="center"/>
    </xf>
    <xf numFmtId="0" fontId="100" fillId="67" borderId="0" applyAlignment="1" pivotButton="0" quotePrefix="0" xfId="0">
      <alignment horizontal="center" vertical="center"/>
    </xf>
    <xf numFmtId="0" fontId="42" fillId="63" borderId="0" applyAlignment="1" pivotButton="0" quotePrefix="0" xfId="0">
      <alignment horizontal="center" vertical="center"/>
    </xf>
    <xf numFmtId="0" fontId="42" fillId="65" borderId="0" applyAlignment="1" pivotButton="0" quotePrefix="0" xfId="0">
      <alignment horizontal="center" vertical="center"/>
    </xf>
    <xf numFmtId="0" fontId="134" fillId="0" borderId="252" pivotButton="0" quotePrefix="0" xfId="0"/>
    <xf numFmtId="0" fontId="0" fillId="0" borderId="253" pivotButton="0" quotePrefix="0" xfId="0"/>
    <xf numFmtId="0" fontId="0" fillId="0" borderId="284" pivotButton="0" quotePrefix="0" xfId="0"/>
    <xf numFmtId="0" fontId="112" fillId="28" borderId="266" applyAlignment="1" pivotButton="0" quotePrefix="0" xfId="2">
      <alignment horizontal="center" vertical="center"/>
    </xf>
    <xf numFmtId="0" fontId="46" fillId="4" borderId="148" applyAlignment="1" pivotButton="0" quotePrefix="0" xfId="3">
      <alignment horizontal="center" vertical="center"/>
    </xf>
    <xf numFmtId="0" fontId="0" fillId="0" borderId="148" pivotButton="0" quotePrefix="0" xfId="0"/>
    <xf numFmtId="0" fontId="113" fillId="28" borderId="266" applyAlignment="1" pivotButton="0" quotePrefix="0" xfId="2">
      <alignment horizontal="center" vertical="center"/>
    </xf>
    <xf numFmtId="0" fontId="151" fillId="0" borderId="266" applyAlignment="1" pivotButton="0" quotePrefix="0" xfId="0">
      <alignment horizontal="center"/>
    </xf>
    <xf numFmtId="0" fontId="66" fillId="25" borderId="272" applyAlignment="1" pivotButton="0" quotePrefix="0" xfId="2">
      <alignment horizontal="center"/>
    </xf>
    <xf numFmtId="0" fontId="0" fillId="0" borderId="26" pivotButton="0" quotePrefix="0" xfId="0"/>
    <xf numFmtId="0" fontId="0" fillId="0" borderId="286" pivotButton="0" quotePrefix="0" xfId="0"/>
    <xf numFmtId="0" fontId="150" fillId="0" borderId="266" applyAlignment="1" pivotButton="0" quotePrefix="0" xfId="0">
      <alignment horizontal="center" vertical="center"/>
    </xf>
    <xf numFmtId="0" fontId="135" fillId="35" borderId="38" applyAlignment="1" pivotButton="0" quotePrefix="0" xfId="0">
      <alignment vertical="center"/>
    </xf>
    <xf numFmtId="0" fontId="135" fillId="35" borderId="30" applyAlignment="1" pivotButton="0" quotePrefix="0" xfId="0">
      <alignment vertical="center"/>
    </xf>
    <xf numFmtId="0" fontId="0" fillId="0" borderId="39" pivotButton="0" quotePrefix="0" xfId="0"/>
    <xf numFmtId="0" fontId="142" fillId="28" borderId="91" applyAlignment="1" pivotButton="0" quotePrefix="0" xfId="2">
      <alignment horizontal="center" vertical="center"/>
    </xf>
    <xf numFmtId="0" fontId="3" fillId="0" borderId="0" applyAlignment="1" pivotButton="0" quotePrefix="0" xfId="0">
      <alignment horizontal="center"/>
    </xf>
    <xf numFmtId="0" fontId="136" fillId="0" borderId="0" pivotButton="0" quotePrefix="0" xfId="0"/>
    <xf numFmtId="0" fontId="29" fillId="25" borderId="0" applyAlignment="1" pivotButton="0" quotePrefix="0" xfId="0">
      <alignment horizontal="center" vertical="center"/>
    </xf>
    <xf numFmtId="0" fontId="3" fillId="0" borderId="0" pivotButton="0" quotePrefix="0" xfId="0"/>
    <xf numFmtId="0" fontId="73" fillId="72" borderId="0" applyAlignment="1" pivotButton="0" quotePrefix="0" xfId="0">
      <alignment horizontal="center" vertical="center"/>
    </xf>
    <xf numFmtId="0" fontId="66" fillId="25" borderId="0" applyAlignment="1" pivotButton="0" quotePrefix="0" xfId="2">
      <alignment horizontal="center"/>
    </xf>
    <xf numFmtId="0" fontId="0" fillId="0" borderId="0" applyAlignment="1" pivotButton="0" quotePrefix="0" xfId="0">
      <alignment vertical="center"/>
    </xf>
    <xf numFmtId="0" fontId="91" fillId="25" borderId="274" applyAlignment="1" pivotButton="0" quotePrefix="0" xfId="0">
      <alignment horizontal="center"/>
    </xf>
    <xf numFmtId="0" fontId="0" fillId="0" borderId="287" pivotButton="0" quotePrefix="0" xfId="0"/>
    <xf numFmtId="0" fontId="33" fillId="75" borderId="0" applyAlignment="1" pivotButton="0" quotePrefix="0" xfId="0">
      <alignment horizontal="center" vertical="center"/>
    </xf>
    <xf numFmtId="0" fontId="28" fillId="0" borderId="0" applyAlignment="1" pivotButton="0" quotePrefix="0" xfId="0">
      <alignment horizontal="center"/>
    </xf>
    <xf numFmtId="0" fontId="28" fillId="0" borderId="237" applyAlignment="1" pivotButton="0" quotePrefix="0" xfId="0">
      <alignment horizontal="center"/>
    </xf>
    <xf numFmtId="0" fontId="33" fillId="60" borderId="0" applyAlignment="1" pivotButton="0" quotePrefix="0" xfId="0">
      <alignment horizontal="center" vertical="center"/>
    </xf>
    <xf numFmtId="0" fontId="145" fillId="0" borderId="0" applyAlignment="1" pivotButton="0" quotePrefix="0" xfId="0">
      <alignment horizontal="center" vertical="center"/>
    </xf>
    <xf numFmtId="0" fontId="108" fillId="60" borderId="0" applyAlignment="1" pivotButton="0" quotePrefix="0" xfId="0">
      <alignment horizontal="center" vertical="center"/>
    </xf>
    <xf numFmtId="0" fontId="28" fillId="62" borderId="0" applyAlignment="1" pivotButton="0" quotePrefix="0" xfId="0">
      <alignment vertical="center" wrapText="1"/>
    </xf>
    <xf numFmtId="0" fontId="33" fillId="18" borderId="0" applyAlignment="1" pivotButton="0" quotePrefix="0" xfId="0">
      <alignment horizontal="center" vertical="center"/>
    </xf>
    <xf numFmtId="0" fontId="128" fillId="61" borderId="0" pivotButton="0" quotePrefix="0" xfId="0"/>
    <xf numFmtId="0" fontId="127" fillId="25" borderId="0" applyAlignment="1" pivotButton="0" quotePrefix="0" xfId="0">
      <alignment horizontal="center"/>
    </xf>
    <xf numFmtId="0" fontId="66" fillId="20" borderId="29" applyAlignment="1" pivotButton="0" quotePrefix="0" xfId="0">
      <alignment vertical="center"/>
    </xf>
    <xf numFmtId="0" fontId="49" fillId="3" borderId="29" applyAlignment="1" pivotButton="0" quotePrefix="0" xfId="0">
      <alignment vertical="center"/>
    </xf>
    <xf numFmtId="0" fontId="109" fillId="28" borderId="91" applyAlignment="1" pivotButton="0" quotePrefix="0" xfId="2">
      <alignment vertical="center"/>
    </xf>
    <xf numFmtId="0" fontId="66" fillId="25" borderId="193" applyAlignment="1" pivotButton="0" quotePrefix="0" xfId="2">
      <alignment horizontal="center"/>
    </xf>
    <xf numFmtId="0" fontId="66" fillId="20" borderId="106" applyAlignment="1" pivotButton="0" quotePrefix="0" xfId="0">
      <alignment vertical="center"/>
    </xf>
    <xf numFmtId="0" fontId="46" fillId="26" borderId="65" applyAlignment="1" pivotButton="0" quotePrefix="0" xfId="0">
      <alignment vertical="center"/>
    </xf>
    <xf numFmtId="0" fontId="73" fillId="27" borderId="61" applyAlignment="1" pivotButton="0" quotePrefix="0" xfId="0">
      <alignment horizontal="left" vertical="center"/>
    </xf>
    <xf numFmtId="0" fontId="0" fillId="0" borderId="62" pivotButton="0" quotePrefix="0" xfId="0"/>
    <xf numFmtId="0" fontId="100" fillId="37" borderId="62" applyAlignment="1" pivotButton="0" quotePrefix="0" xfId="0">
      <alignment horizontal="center" vertical="center"/>
    </xf>
    <xf numFmtId="0" fontId="59" fillId="49" borderId="372" applyAlignment="1" pivotButton="0" quotePrefix="0" xfId="0">
      <alignment horizontal="center" vertical="center" wrapText="1"/>
    </xf>
    <xf numFmtId="0" fontId="0" fillId="0" borderId="370" pivotButton="0" quotePrefix="0" xfId="0"/>
    <xf numFmtId="0" fontId="0" fillId="0" borderId="371" pivotButton="0" quotePrefix="0" xfId="0"/>
    <xf numFmtId="0" fontId="55" fillId="35" borderId="29" applyAlignment="1" pivotButton="0" quotePrefix="0" xfId="0">
      <alignment vertical="center"/>
    </xf>
    <xf numFmtId="0" fontId="46" fillId="26" borderId="29" applyAlignment="1" pivotButton="0" quotePrefix="0" xfId="0">
      <alignment vertical="center"/>
    </xf>
    <xf numFmtId="0" fontId="66" fillId="20" borderId="29" applyAlignment="1" pivotButton="0" quotePrefix="0" xfId="0">
      <alignment horizontal="left" vertical="center"/>
    </xf>
    <xf numFmtId="0" fontId="152" fillId="3" borderId="202" applyAlignment="1" pivotButton="0" quotePrefix="0" xfId="0">
      <alignment horizontal="center" vertical="center" wrapText="1"/>
    </xf>
    <xf numFmtId="166" fontId="62" fillId="0" borderId="195" pivotButton="0" quotePrefix="0" xfId="0"/>
    <xf numFmtId="166" fontId="62" fillId="0" borderId="276" pivotButton="0" quotePrefix="0" xfId="0"/>
    <xf numFmtId="0" fontId="46" fillId="4" borderId="134" applyAlignment="1" pivotButton="0" quotePrefix="0" xfId="3">
      <alignment horizontal="center" vertical="center"/>
    </xf>
    <xf numFmtId="0" fontId="46" fillId="0" borderId="151" pivotButton="0" quotePrefix="0" xfId="0"/>
    <xf numFmtId="0" fontId="46" fillId="4" borderId="149" applyAlignment="1" pivotButton="0" quotePrefix="0" xfId="3">
      <alignment horizontal="center" vertical="center"/>
    </xf>
    <xf numFmtId="166" fontId="46" fillId="0" borderId="151" pivotButton="0" quotePrefix="0" xfId="0"/>
    <xf numFmtId="0" fontId="46" fillId="0" borderId="195" pivotButton="0" quotePrefix="0" xfId="0"/>
    <xf numFmtId="0" fontId="99" fillId="52" borderId="0" applyAlignment="1" pivotButton="0" quotePrefix="0" xfId="0">
      <alignment horizontal="center" vertical="center" wrapText="1"/>
    </xf>
    <xf numFmtId="0" fontId="64" fillId="20" borderId="288" applyAlignment="1" pivotButton="0" quotePrefix="0" xfId="0">
      <alignment vertical="center"/>
    </xf>
    <xf numFmtId="166" fontId="49" fillId="3" borderId="195" pivotButton="0" quotePrefix="0" xfId="0"/>
    <xf numFmtId="0" fontId="94" fillId="34" borderId="134" applyAlignment="1" pivotButton="0" quotePrefix="0" xfId="0">
      <alignment horizontal="center" vertical="center"/>
    </xf>
    <xf numFmtId="0" fontId="0" fillId="0" borderId="132" pivotButton="0" quotePrefix="0" xfId="0"/>
    <xf numFmtId="0" fontId="108" fillId="20" borderId="194" applyAlignment="1" pivotButton="0" quotePrefix="0" xfId="0">
      <alignment horizontal="center" vertical="center"/>
    </xf>
    <xf numFmtId="0" fontId="91" fillId="20" borderId="195" applyAlignment="1" pivotButton="0" quotePrefix="0" xfId="0">
      <alignment horizontal="center" vertical="center" wrapText="1"/>
    </xf>
    <xf numFmtId="0" fontId="111" fillId="42" borderId="134" applyAlignment="1" pivotButton="0" quotePrefix="0" xfId="3">
      <alignment horizontal="center" vertical="center"/>
    </xf>
    <xf numFmtId="0" fontId="43" fillId="7" borderId="140" applyAlignment="1" pivotButton="0" quotePrefix="0" xfId="0">
      <alignment horizontal="center"/>
    </xf>
    <xf numFmtId="0" fontId="0" fillId="0" borderId="140" pivotButton="0" quotePrefix="0" xfId="0"/>
    <xf numFmtId="0" fontId="0" fillId="0" borderId="140" applyAlignment="1" pivotButton="0" quotePrefix="0" xfId="0">
      <alignment horizontal="center"/>
    </xf>
    <xf numFmtId="0" fontId="43" fillId="0" borderId="0" applyAlignment="1" pivotButton="0" quotePrefix="0" xfId="0">
      <alignment horizontal="center"/>
    </xf>
    <xf numFmtId="0" fontId="43" fillId="7" borderId="0" applyAlignment="1" pivotButton="0" quotePrefix="0" xfId="0">
      <alignment horizontal="center"/>
    </xf>
    <xf numFmtId="0" fontId="43" fillId="6" borderId="0" applyAlignment="1" pivotButton="0" quotePrefix="0" xfId="0">
      <alignment horizontal="center"/>
    </xf>
    <xf numFmtId="0" fontId="79" fillId="3" borderId="126" applyAlignment="1" pivotButton="0" quotePrefix="0" xfId="0">
      <alignment horizontal="center" vertical="center" wrapText="1"/>
    </xf>
    <xf numFmtId="0" fontId="0" fillId="0" borderId="126" pivotButton="0" quotePrefix="0" xfId="0"/>
    <xf numFmtId="0" fontId="80" fillId="20" borderId="0" applyAlignment="1" pivotButton="0" quotePrefix="0" xfId="0">
      <alignment horizontal="center"/>
    </xf>
    <xf numFmtId="0" fontId="103" fillId="28" borderId="140" applyAlignment="1" pivotButton="0" quotePrefix="0" xfId="1">
      <alignment horizontal="center" vertical="top"/>
    </xf>
    <xf numFmtId="0" fontId="43" fillId="6" borderId="140" applyAlignment="1" pivotButton="0" quotePrefix="0" xfId="0">
      <alignment horizontal="center"/>
    </xf>
    <xf numFmtId="0" fontId="81" fillId="20" borderId="0" applyAlignment="1" pivotButton="0" quotePrefix="0" xfId="0">
      <alignment horizontal="center"/>
    </xf>
    <xf numFmtId="0" fontId="70" fillId="36" borderId="0" applyAlignment="1" pivotButton="0" quotePrefix="0" xfId="0">
      <alignment horizontal="center"/>
    </xf>
    <xf numFmtId="0" fontId="73" fillId="38" borderId="29" applyAlignment="1" pivotButton="0" quotePrefix="0" xfId="1">
      <alignment vertical="center"/>
    </xf>
    <xf numFmtId="0" fontId="21" fillId="51" borderId="138" applyAlignment="1" pivotButton="0" quotePrefix="0" xfId="3">
      <alignment horizontal="center" vertical="center"/>
    </xf>
    <xf numFmtId="0" fontId="0" fillId="0" borderId="138" pivotButton="0" quotePrefix="0" xfId="0"/>
    <xf numFmtId="0" fontId="73" fillId="3" borderId="29" applyAlignment="1" pivotButton="0" quotePrefix="0" xfId="1">
      <alignment horizontal="center" vertical="center" wrapText="1"/>
    </xf>
    <xf numFmtId="0" fontId="61" fillId="34" borderId="91" applyAlignment="1" pivotButton="0" quotePrefix="0" xfId="0">
      <alignment horizontal="center"/>
    </xf>
    <xf numFmtId="0" fontId="43" fillId="0" borderId="140" applyAlignment="1" pivotButton="0" quotePrefix="0" xfId="0">
      <alignment horizontal="center"/>
    </xf>
    <xf numFmtId="0" fontId="29" fillId="25" borderId="60" applyAlignment="1" pivotButton="0" quotePrefix="0" xfId="1">
      <alignment horizontal="center" vertical="center"/>
    </xf>
    <xf numFmtId="0" fontId="73" fillId="37" borderId="62" applyAlignment="1" pivotButton="0" quotePrefix="0" xfId="1">
      <alignment vertical="center" wrapText="1"/>
    </xf>
    <xf numFmtId="0" fontId="82" fillId="58" borderId="91" applyAlignment="1" pivotButton="0" quotePrefix="0" xfId="0">
      <alignment horizontal="center" vertical="center" wrapText="1"/>
    </xf>
    <xf numFmtId="0" fontId="66" fillId="25" borderId="134" applyAlignment="1" pivotButton="0" quotePrefix="0" xfId="0">
      <alignment horizontal="center"/>
    </xf>
    <xf numFmtId="0" fontId="107" fillId="28" borderId="140" applyAlignment="1" pivotButton="0" quotePrefix="0" xfId="1">
      <alignment horizontal="center" vertical="center"/>
    </xf>
    <xf numFmtId="0" fontId="21" fillId="51" borderId="139" applyAlignment="1" pivotButton="0" quotePrefix="0" xfId="3">
      <alignment horizontal="center" vertical="center"/>
    </xf>
    <xf numFmtId="0" fontId="0" fillId="0" borderId="133" pivotButton="0" quotePrefix="0" xfId="0"/>
    <xf numFmtId="0" fontId="0" fillId="0" borderId="139" pivotButton="0" quotePrefix="0" xfId="0"/>
    <xf numFmtId="0" fontId="81" fillId="20" borderId="140" applyAlignment="1" pivotButton="0" quotePrefix="0" xfId="0">
      <alignment horizontal="center"/>
    </xf>
    <xf numFmtId="0" fontId="55" fillId="20" borderId="117" applyAlignment="1" pivotButton="0" quotePrefix="0" xfId="0">
      <alignment horizontal="center" vertical="center"/>
    </xf>
    <xf numFmtId="0" fontId="0" fillId="0" borderId="117" pivotButton="0" quotePrefix="0" xfId="0"/>
    <xf numFmtId="0" fontId="43" fillId="7" borderId="148" applyAlignment="1" pivotButton="0" quotePrefix="0" xfId="0">
      <alignment horizontal="center"/>
    </xf>
    <xf numFmtId="0" fontId="43" fillId="7" borderId="144" applyAlignment="1" pivotButton="0" quotePrefix="0" xfId="0">
      <alignment horizontal="center"/>
    </xf>
    <xf numFmtId="0" fontId="21" fillId="51" borderId="137" applyAlignment="1" pivotButton="0" quotePrefix="0" xfId="3">
      <alignment horizontal="center" vertical="center"/>
    </xf>
    <xf numFmtId="0" fontId="0" fillId="0" borderId="136" pivotButton="0" quotePrefix="0" xfId="0"/>
    <xf numFmtId="0" fontId="0" fillId="0" borderId="137" pivotButton="0" quotePrefix="0" xfId="0"/>
    <xf numFmtId="0" fontId="0" fillId="0" borderId="24" applyAlignment="1" pivotButton="0" quotePrefix="0" xfId="3">
      <alignment horizontal="center" vertical="center"/>
    </xf>
    <xf numFmtId="0" fontId="0" fillId="0" borderId="196" pivotButton="0" quotePrefix="0" xfId="0"/>
    <xf numFmtId="0" fontId="0" fillId="0" borderId="197" pivotButton="0" quotePrefix="0" xfId="0"/>
    <xf numFmtId="0" fontId="0" fillId="0" borderId="199" pivotButton="0" quotePrefix="0" xfId="0"/>
    <xf numFmtId="0" fontId="0" fillId="0" borderId="200" pivotButton="0" quotePrefix="0" xfId="0"/>
    <xf numFmtId="0" fontId="0" fillId="0" borderId="201" pivotButton="0" quotePrefix="0" xfId="0"/>
    <xf numFmtId="0" fontId="25" fillId="14" borderId="22" applyAlignment="1" pivotButton="0" quotePrefix="0" xfId="3">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0" fillId="0" borderId="0" pivotButton="0" quotePrefix="0" xfId="3"/>
    <xf numFmtId="0" fontId="0" fillId="0" borderId="19" pivotButton="0" quotePrefix="0" xfId="0"/>
    <xf numFmtId="0" fontId="0" fillId="0" borderId="14" pivotButton="0" quotePrefix="0" xfId="0"/>
    <xf numFmtId="0" fontId="0" fillId="0" borderId="12" pivotButton="0" quotePrefix="0" xfId="0"/>
    <xf numFmtId="0" fontId="0" fillId="0" borderId="13" pivotButton="0" quotePrefix="0" xfId="0"/>
    <xf numFmtId="0" fontId="77" fillId="10" borderId="12" applyAlignment="1" pivotButton="0" quotePrefix="0" xfId="3">
      <alignment vertical="center"/>
    </xf>
    <xf numFmtId="0" fontId="46" fillId="10" borderId="206" applyAlignment="1" pivotButton="0" quotePrefix="0" xfId="3">
      <alignment horizontal="left" vertical="top" wrapText="1"/>
    </xf>
    <xf numFmtId="0" fontId="0" fillId="0" borderId="92" pivotButton="0" quotePrefix="0" xfId="0"/>
    <xf numFmtId="0" fontId="0" fillId="0" borderId="128" applyAlignment="1" pivotButton="0" quotePrefix="0" xfId="3">
      <alignment vertical="center" wrapText="1"/>
    </xf>
    <xf numFmtId="0" fontId="0" fillId="0" borderId="128" pivotButton="0" quotePrefix="0" xfId="0"/>
    <xf numFmtId="0" fontId="46" fillId="4" borderId="13" applyAlignment="1" pivotButton="0" quotePrefix="0" xfId="3">
      <alignment horizontal="center" vertical="center"/>
    </xf>
    <xf numFmtId="0" fontId="24" fillId="12" borderId="12" applyAlignment="1" pivotButton="0" quotePrefix="0" xfId="3">
      <alignment vertical="center"/>
    </xf>
    <xf numFmtId="0" fontId="104" fillId="44" borderId="0" applyAlignment="1" pivotButton="0" quotePrefix="0" xfId="3">
      <alignment horizontal="center" vertical="center" wrapText="1"/>
    </xf>
    <xf numFmtId="0" fontId="19" fillId="9" borderId="122" applyAlignment="1" pivotButton="0" quotePrefix="0" xfId="3">
      <alignment vertical="center"/>
    </xf>
    <xf numFmtId="0" fontId="0" fillId="0" borderId="20" pivotButton="0" quotePrefix="0" xfId="0"/>
    <xf numFmtId="0" fontId="77" fillId="10" borderId="120" applyAlignment="1" pivotButton="0" quotePrefix="0" xfId="3">
      <alignment vertical="center"/>
    </xf>
    <xf numFmtId="0" fontId="19" fillId="9" borderId="123" applyAlignment="1" pivotButton="0" quotePrefix="0" xfId="3">
      <alignment vertical="center"/>
    </xf>
    <xf numFmtId="0" fontId="24" fillId="11" borderId="0" applyAlignment="1" pivotButton="0" quotePrefix="0" xfId="3">
      <alignment vertical="center"/>
    </xf>
    <xf numFmtId="0" fontId="19" fillId="9" borderId="118" applyAlignment="1" pivotButton="0" quotePrefix="0" xfId="3">
      <alignment vertical="center"/>
    </xf>
    <xf numFmtId="0" fontId="0" fillId="0" borderId="16" pivotButton="0" quotePrefix="0" xfId="0"/>
    <xf numFmtId="0" fontId="0" fillId="0" borderId="18" pivotButton="0" quotePrefix="0" xfId="0"/>
    <xf numFmtId="0" fontId="46" fillId="10" borderId="207" applyAlignment="1" pivotButton="0" quotePrefix="0" xfId="3">
      <alignment vertical="top" wrapText="1"/>
    </xf>
    <xf numFmtId="0" fontId="77" fillId="10" borderId="16" applyAlignment="1" pivotButton="0" quotePrefix="0" xfId="3">
      <alignment vertical="center"/>
    </xf>
    <xf numFmtId="0" fontId="0" fillId="0" borderId="375" pivotButton="0" quotePrefix="0" xfId="0"/>
    <xf numFmtId="0" fontId="0" fillId="0" borderId="376" pivotButton="0" quotePrefix="0" xfId="0"/>
    <xf numFmtId="0" fontId="0" fillId="0" borderId="377" pivotButton="0" quotePrefix="0" xfId="0"/>
    <xf numFmtId="0" fontId="0" fillId="0" borderId="378" pivotButton="0" quotePrefix="0" xfId="0"/>
    <xf numFmtId="0" fontId="0" fillId="0" borderId="379" pivotButton="0" quotePrefix="0" xfId="0"/>
    <xf numFmtId="0" fontId="0" fillId="0" borderId="380" pivotButton="0" quotePrefix="0" xfId="0"/>
    <xf numFmtId="0" fontId="26" fillId="0" borderId="118" pivotButton="0" quotePrefix="0" xfId="3"/>
    <xf numFmtId="0" fontId="0" fillId="0" borderId="101" applyAlignment="1" pivotButton="0" quotePrefix="0" xfId="3">
      <alignment horizontal="center"/>
    </xf>
    <xf numFmtId="0" fontId="0" fillId="0" borderId="101" pivotButton="0" quotePrefix="0" xfId="0"/>
    <xf numFmtId="0" fontId="77" fillId="10" borderId="16" applyAlignment="1" pivotButton="0" quotePrefix="0" xfId="3">
      <alignment horizontal="left" vertical="center"/>
    </xf>
    <xf numFmtId="0" fontId="19" fillId="9" borderId="202" applyAlignment="1" pivotButton="0" quotePrefix="0" xfId="3">
      <alignment vertical="center"/>
    </xf>
    <xf numFmtId="0" fontId="25" fillId="14" borderId="118" applyAlignment="1" pivotButton="0" quotePrefix="0" xfId="3">
      <alignment horizontal="center" vertical="center" wrapText="1"/>
    </xf>
    <xf numFmtId="0" fontId="0" fillId="0" borderId="120" pivotButton="0" quotePrefix="0" xfId="0"/>
    <xf numFmtId="0" fontId="78" fillId="11" borderId="18" applyAlignment="1" pivotButton="0" quotePrefix="0" xfId="3">
      <alignment horizontal="center" vertical="center" wrapText="1"/>
    </xf>
    <xf numFmtId="0" fontId="23" fillId="4" borderId="25" applyAlignment="1" pivotButton="0" quotePrefix="0" xfId="3">
      <alignment horizontal="center" vertical="center" wrapText="1"/>
    </xf>
    <xf numFmtId="0" fontId="0" fillId="0" borderId="204" pivotButton="0" quotePrefix="0" xfId="0"/>
    <xf numFmtId="0" fontId="0" fillId="0" borderId="205" pivotButton="0" quotePrefix="0" xfId="0"/>
    <xf numFmtId="0" fontId="0" fillId="10" borderId="12" applyAlignment="1" pivotButton="0" quotePrefix="0" xfId="3">
      <alignment horizontal="left" vertical="center"/>
    </xf>
    <xf numFmtId="0" fontId="22" fillId="9" borderId="118" applyAlignment="1" pivotButton="0" quotePrefix="0" xfId="3">
      <alignment horizontal="center" vertical="center"/>
    </xf>
    <xf numFmtId="0" fontId="23" fillId="4" borderId="24" applyAlignment="1" pivotButton="0" quotePrefix="0" xfId="3">
      <alignment horizontal="center" vertical="center" wrapText="1"/>
    </xf>
    <xf numFmtId="0" fontId="26" fillId="0" borderId="22" pivotButton="0" quotePrefix="0" xfId="3"/>
    <xf numFmtId="0" fontId="32" fillId="11" borderId="0" applyAlignment="1" pivotButton="0" quotePrefix="0" xfId="3">
      <alignment horizontal="center" vertical="center" wrapText="1"/>
    </xf>
    <xf numFmtId="0" fontId="19" fillId="9" borderId="369" applyAlignment="1" pivotButton="0" quotePrefix="0" xfId="3">
      <alignment vertical="center"/>
    </xf>
    <xf numFmtId="0" fontId="0" fillId="0" borderId="373" pivotButton="0" quotePrefix="0" xfId="0"/>
    <xf numFmtId="0" fontId="19" fillId="9" borderId="121" applyAlignment="1" pivotButton="0" quotePrefix="0" xfId="3">
      <alignment vertical="center"/>
    </xf>
    <xf numFmtId="0" fontId="46" fillId="4" borderId="19" applyAlignment="1" pivotButton="0" quotePrefix="0" xfId="3">
      <alignment horizontal="center" vertical="center"/>
    </xf>
    <xf numFmtId="0" fontId="32" fillId="11" borderId="12" applyAlignment="1" pivotButton="0" quotePrefix="0" xfId="3">
      <alignment horizontal="center" vertical="center" wrapText="1"/>
    </xf>
    <xf numFmtId="0" fontId="0" fillId="0" borderId="118" applyAlignment="1" pivotButton="0" quotePrefix="0" xfId="3">
      <alignment horizontal="center" vertical="center"/>
    </xf>
    <xf numFmtId="0" fontId="32" fillId="11" borderId="15" applyAlignment="1" pivotButton="0" quotePrefix="0" xfId="3">
      <alignment horizontal="center" vertical="center" wrapText="1"/>
    </xf>
    <xf numFmtId="0" fontId="0" fillId="0" borderId="15" pivotButton="0" quotePrefix="0" xfId="0"/>
    <xf numFmtId="0" fontId="23" fillId="4" borderId="18" applyAlignment="1" pivotButton="0" quotePrefix="0" xfId="3">
      <alignment horizontal="center" vertical="center" wrapText="1"/>
    </xf>
    <xf numFmtId="0" fontId="0" fillId="0" borderId="23" applyAlignment="1" pivotButton="0" quotePrefix="0" xfId="3">
      <alignment horizontal="center" vertical="center"/>
    </xf>
    <xf numFmtId="0" fontId="107" fillId="44" borderId="0" applyAlignment="1" pivotButton="0" quotePrefix="0" xfId="3">
      <alignment horizontal="center" vertical="center" wrapText="1"/>
    </xf>
    <xf numFmtId="0" fontId="22" fillId="9" borderId="22" applyAlignment="1" pivotButton="0" quotePrefix="0" xfId="3">
      <alignment horizontal="center" vertical="center"/>
    </xf>
    <xf numFmtId="0" fontId="25" fillId="14" borderId="118" applyAlignment="1" pivotButton="0" quotePrefix="0" xfId="3">
      <alignment horizontal="center" vertical="center"/>
    </xf>
    <xf numFmtId="0" fontId="0" fillId="0" borderId="127" applyAlignment="1" pivotButton="0" quotePrefix="0" xfId="3">
      <alignment vertical="center" wrapText="1"/>
    </xf>
    <xf numFmtId="0" fontId="0" fillId="0" borderId="208" pivotButton="0" quotePrefix="0" xfId="0"/>
    <xf numFmtId="0" fontId="0" fillId="0" borderId="127" pivotButton="0" quotePrefix="0" xfId="0"/>
    <xf numFmtId="0" fontId="77" fillId="10" borderId="23" applyAlignment="1" pivotButton="0" quotePrefix="0" xfId="3">
      <alignment horizontal="center" vertical="center"/>
    </xf>
    <xf numFmtId="0" fontId="77" fillId="10" borderId="24" applyAlignment="1" pivotButton="0" quotePrefix="0" xfId="3">
      <alignment horizontal="center" vertical="center"/>
    </xf>
    <xf numFmtId="0" fontId="0" fillId="0" borderId="203" pivotButton="0" quotePrefix="0" xfId="0"/>
    <xf numFmtId="0" fontId="24" fillId="11" borderId="12" applyAlignment="1" pivotButton="0" quotePrefix="0" xfId="3">
      <alignment vertical="center"/>
    </xf>
    <xf numFmtId="0" fontId="78" fillId="11" borderId="17" applyAlignment="1" pivotButton="0" quotePrefix="0" xfId="3">
      <alignment horizontal="center" vertical="center" wrapText="1"/>
    </xf>
    <xf numFmtId="0" fontId="0" fillId="0" borderId="17" pivotButton="0" quotePrefix="0" xfId="0"/>
    <xf numFmtId="0" fontId="77" fillId="10" borderId="92" applyAlignment="1" pivotButton="0" quotePrefix="0" xfId="3">
      <alignment vertical="center"/>
    </xf>
    <xf numFmtId="0" fontId="12" fillId="9" borderId="100" applyAlignment="1" pivotButton="0" quotePrefix="0" xfId="3">
      <alignment horizontal="center" wrapText="1"/>
    </xf>
    <xf numFmtId="0" fontId="46" fillId="10" borderId="104" applyAlignment="1" pivotButton="0" quotePrefix="0" xfId="3">
      <alignment horizontal="left" vertical="top" wrapText="1"/>
    </xf>
    <xf numFmtId="0" fontId="0" fillId="0" borderId="104" pivotButton="0" quotePrefix="0" xfId="0"/>
    <xf numFmtId="0" fontId="77" fillId="40" borderId="21" applyAlignment="1" pivotButton="0" quotePrefix="0" xfId="3">
      <alignment horizontal="center" vertical="center" wrapText="1"/>
    </xf>
    <xf numFmtId="0" fontId="0" fillId="0" borderId="21" pivotButton="0" quotePrefix="0" xfId="0"/>
    <xf numFmtId="10" fontId="24" fillId="11" borderId="12" applyAlignment="1" pivotButton="0" quotePrefix="0" xfId="3">
      <alignment vertical="center"/>
    </xf>
    <xf numFmtId="0" fontId="0" fillId="10" borderId="0" applyAlignment="1" pivotButton="0" quotePrefix="0" xfId="3">
      <alignment horizontal="left" vertical="center"/>
    </xf>
    <xf numFmtId="0" fontId="77" fillId="10" borderId="118" applyAlignment="1" pivotButton="0" quotePrefix="0" xfId="3">
      <alignment horizontal="center" vertical="center"/>
    </xf>
    <xf numFmtId="0" fontId="27" fillId="10" borderId="22" applyAlignment="1" pivotButton="0" quotePrefix="0" xfId="3">
      <alignment horizontal="left" vertical="top" wrapText="1"/>
    </xf>
    <xf numFmtId="0" fontId="124" fillId="53" borderId="178" applyAlignment="1" pivotButton="0" quotePrefix="0" xfId="4">
      <alignment vertical="center" wrapText="1"/>
    </xf>
    <xf numFmtId="0" fontId="0" fillId="0" borderId="180" pivotButton="0" quotePrefix="0" xfId="0"/>
    <xf numFmtId="0" fontId="123" fillId="26" borderId="178" applyAlignment="1" pivotButton="0" quotePrefix="0" xfId="4">
      <alignment vertical="center" wrapText="1"/>
    </xf>
    <xf numFmtId="0" fontId="124" fillId="54" borderId="178" applyAlignment="1" pivotButton="0" quotePrefix="0" xfId="4">
      <alignment horizontal="center" wrapText="1"/>
    </xf>
    <xf numFmtId="0" fontId="0" fillId="0" borderId="182" pivotButton="0" quotePrefix="0" xfId="0"/>
    <xf numFmtId="0" fontId="0" fillId="0" borderId="190" pivotButton="0" quotePrefix="0" xfId="0"/>
    <xf numFmtId="0" fontId="0" fillId="0" borderId="191" pivotButton="0" quotePrefix="0" xfId="0"/>
    <xf numFmtId="0" fontId="0" fillId="0" borderId="183" pivotButton="0" quotePrefix="0" xfId="0"/>
    <xf numFmtId="0" fontId="0" fillId="0" borderId="185" pivotButton="0" quotePrefix="0" xfId="0"/>
    <xf numFmtId="0" fontId="124" fillId="53" borderId="170" applyAlignment="1" pivotButton="0" quotePrefix="0" xfId="4">
      <alignment horizontal="left" vertical="center" wrapText="1"/>
    </xf>
    <xf numFmtId="0" fontId="0" fillId="0" borderId="179" pivotButton="0" quotePrefix="0" xfId="0"/>
    <xf numFmtId="0" fontId="123" fillId="54" borderId="178" applyAlignment="1" pivotButton="0" quotePrefix="0" xfId="4">
      <alignment vertical="center" wrapText="1"/>
    </xf>
    <xf numFmtId="0" fontId="41" fillId="25" borderId="175" applyAlignment="1" pivotButton="0" quotePrefix="0" xfId="4">
      <alignment horizontal="left" vertical="center"/>
    </xf>
    <xf numFmtId="0" fontId="0" fillId="0" borderId="175" pivotButton="0" quotePrefix="0" xfId="0"/>
    <xf numFmtId="165" fontId="123" fillId="54" borderId="180" applyAlignment="1" pivotButton="0" quotePrefix="0" xfId="4">
      <alignment horizontal="center" vertical="center" wrapText="1"/>
    </xf>
    <xf numFmtId="0" fontId="123" fillId="54" borderId="209" applyAlignment="1" pivotButton="0" quotePrefix="0" xfId="4">
      <alignment horizontal="center" vertical="center" wrapText="1"/>
    </xf>
    <xf numFmtId="0" fontId="0" fillId="0" borderId="176" pivotButton="0" quotePrefix="0" xfId="0"/>
    <xf numFmtId="0" fontId="0" fillId="0" borderId="177" pivotButton="0" quotePrefix="0" xfId="0"/>
    <xf numFmtId="0" fontId="123" fillId="28" borderId="178" applyAlignment="1" pivotButton="0" quotePrefix="0" xfId="4">
      <alignment vertical="center" wrapText="1"/>
    </xf>
    <xf numFmtId="0" fontId="0" fillId="0" borderId="181" pivotButton="0" quotePrefix="0" xfId="0"/>
    <xf numFmtId="0" fontId="5" fillId="0" borderId="0" pivotButton="0" quotePrefix="0" xfId="4"/>
    <xf numFmtId="0" fontId="0" fillId="0" borderId="184" pivotButton="0" quotePrefix="0" xfId="0"/>
    <xf numFmtId="0" fontId="124" fillId="53" borderId="178" applyAlignment="1" pivotButton="0" quotePrefix="0" xfId="4">
      <alignment horizontal="left" vertical="center" wrapText="1"/>
    </xf>
    <xf numFmtId="0" fontId="121" fillId="56" borderId="178" applyAlignment="1" pivotButton="0" quotePrefix="0" xfId="4">
      <alignment horizontal="center" vertical="center" wrapText="1"/>
    </xf>
    <xf numFmtId="0" fontId="123" fillId="54" borderId="209" applyAlignment="1" pivotButton="0" quotePrefix="0" xfId="4">
      <alignment vertical="center" wrapText="1"/>
    </xf>
    <xf numFmtId="0" fontId="123" fillId="54" borderId="180" applyAlignment="1" pivotButton="0" quotePrefix="0" xfId="4">
      <alignment vertical="center" wrapText="1"/>
    </xf>
    <xf numFmtId="0" fontId="123" fillId="54" borderId="212" applyAlignment="1" pivotButton="0" quotePrefix="0" xfId="4">
      <alignment horizontal="center" vertical="center"/>
    </xf>
    <xf numFmtId="0" fontId="0" fillId="0" borderId="171" pivotButton="0" quotePrefix="0" xfId="0"/>
    <xf numFmtId="0" fontId="123" fillId="54" borderId="178" applyAlignment="1" pivotButton="0" quotePrefix="0" xfId="4">
      <alignment horizontal="center" vertical="center" wrapText="1"/>
    </xf>
    <xf numFmtId="0" fontId="124" fillId="53" borderId="168" applyAlignment="1" pivotButton="0" quotePrefix="0" xfId="4">
      <alignment vertical="center" wrapText="1"/>
    </xf>
    <xf numFmtId="0" fontId="0" fillId="16" borderId="177" pivotButton="0" quotePrefix="0" xfId="0"/>
    <xf numFmtId="0" fontId="120" fillId="28" borderId="353" applyAlignment="1" pivotButton="0" quotePrefix="0" xfId="4">
      <alignment horizontal="center" vertical="center"/>
    </xf>
    <xf numFmtId="0" fontId="0" fillId="0" borderId="358" pivotButton="0" quotePrefix="0" xfId="0"/>
    <xf numFmtId="0" fontId="0" fillId="0" borderId="361" pivotButton="0" quotePrefix="0" xfId="0"/>
    <xf numFmtId="0" fontId="0" fillId="0" borderId="355" pivotButton="0" quotePrefix="0" xfId="0"/>
    <xf numFmtId="0" fontId="123" fillId="17" borderId="178" applyAlignment="1" pivotButton="0" quotePrefix="0" xfId="4">
      <alignment vertical="center" wrapText="1"/>
    </xf>
    <xf numFmtId="0" fontId="124" fillId="53" borderId="168" applyAlignment="1" pivotButton="0" quotePrefix="0" xfId="4">
      <alignment horizontal="left" vertical="center" wrapText="1"/>
    </xf>
    <xf numFmtId="0" fontId="161" fillId="54" borderId="0" applyAlignment="1" pivotButton="0" quotePrefix="0" xfId="4">
      <alignment horizontal="center" vertical="center" wrapText="1"/>
    </xf>
    <xf numFmtId="165" fontId="123" fillId="54" borderId="178" applyAlignment="1" pivotButton="0" quotePrefix="0" xfId="4">
      <alignment vertical="center" wrapText="1"/>
    </xf>
    <xf numFmtId="0" fontId="123" fillId="53" borderId="178" applyAlignment="1" pivotButton="0" quotePrefix="0" xfId="4">
      <alignment vertical="center" wrapText="1"/>
    </xf>
    <xf numFmtId="0" fontId="119" fillId="28" borderId="134" applyAlignment="1" pivotButton="0" quotePrefix="0" xfId="4">
      <alignment horizontal="center" vertical="center" wrapText="1"/>
    </xf>
    <xf numFmtId="0" fontId="0" fillId="0" borderId="359" pivotButton="0" quotePrefix="0" xfId="0"/>
    <xf numFmtId="0" fontId="119" fillId="28" borderId="360" applyAlignment="1" pivotButton="0" quotePrefix="0" xfId="4">
      <alignment horizontal="center" vertical="center" wrapText="1"/>
    </xf>
    <xf numFmtId="0" fontId="0" fillId="0" borderId="188" pivotButton="0" quotePrefix="0" xfId="0"/>
    <xf numFmtId="0" fontId="0" fillId="0" borderId="354" pivotButton="0" quotePrefix="0" xfId="0"/>
    <xf numFmtId="0" fontId="123" fillId="54" borderId="211" applyAlignment="1" pivotButton="0" quotePrefix="0" xfId="4">
      <alignment horizontal="center" vertical="center"/>
    </xf>
    <xf numFmtId="0" fontId="0" fillId="0" borderId="169" pivotButton="0" quotePrefix="0" xfId="0"/>
    <xf numFmtId="0" fontId="0" fillId="16" borderId="178" pivotButton="0" quotePrefix="0" xfId="0"/>
    <xf numFmtId="0" fontId="117" fillId="0" borderId="91" applyAlignment="1" pivotButton="0" quotePrefix="0" xfId="4">
      <alignment horizontal="center" vertical="center"/>
    </xf>
    <xf numFmtId="0" fontId="73" fillId="41" borderId="178" applyAlignment="1" pivotButton="0" quotePrefix="0" xfId="4">
      <alignment horizontal="center" vertical="center" wrapText="1"/>
    </xf>
    <xf numFmtId="0" fontId="105" fillId="0" borderId="91" applyAlignment="1" pivotButton="0" quotePrefix="0" xfId="4">
      <alignment horizontal="center" vertical="center"/>
    </xf>
    <xf numFmtId="0" fontId="123" fillId="28" borderId="178" applyAlignment="1" pivotButton="0" quotePrefix="0" xfId="4">
      <alignment horizontal="center" vertical="center" wrapText="1"/>
    </xf>
    <xf numFmtId="0" fontId="4" fillId="0" borderId="178" applyAlignment="1" pivotButton="0" quotePrefix="0" xfId="4">
      <alignment horizontal="center"/>
    </xf>
    <xf numFmtId="0" fontId="123" fillId="54" borderId="213" applyAlignment="1" pivotButton="0" quotePrefix="0" xfId="4">
      <alignment horizontal="center" vertical="center"/>
    </xf>
    <xf numFmtId="0" fontId="0" fillId="0" borderId="174" pivotButton="0" quotePrefix="0" xfId="0"/>
    <xf numFmtId="0" fontId="5" fillId="0" borderId="91" applyAlignment="1" pivotButton="0" quotePrefix="0" xfId="4">
      <alignment horizontal="center"/>
    </xf>
    <xf numFmtId="0" fontId="124" fillId="53" borderId="170" applyAlignment="1" pivotButton="0" quotePrefix="0" xfId="4">
      <alignment vertical="center" wrapText="1"/>
    </xf>
    <xf numFmtId="0" fontId="41" fillId="25" borderId="0" applyAlignment="1" pivotButton="0" quotePrefix="0" xfId="4">
      <alignment horizontal="center" vertical="center"/>
    </xf>
    <xf numFmtId="0" fontId="0" fillId="16" borderId="177" applyAlignment="1" pivotButton="0" quotePrefix="0" xfId="0">
      <alignment horizontal="center"/>
    </xf>
    <xf numFmtId="0" fontId="125" fillId="41" borderId="186" applyAlignment="1" pivotButton="0" quotePrefix="0" xfId="4">
      <alignment horizontal="center" vertical="center" wrapText="1"/>
    </xf>
    <xf numFmtId="0" fontId="0" fillId="0" borderId="186" pivotButton="0" quotePrefix="0" xfId="0"/>
    <xf numFmtId="0" fontId="5" fillId="18" borderId="0" applyAlignment="1" pivotButton="0" quotePrefix="0" xfId="4">
      <alignment horizontal="center"/>
    </xf>
    <xf numFmtId="0" fontId="124" fillId="53" borderId="209" applyAlignment="1" pivotButton="0" quotePrefix="0" xfId="4">
      <alignment horizontal="left" vertical="center" wrapText="1"/>
    </xf>
    <xf numFmtId="0" fontId="123" fillId="54" borderId="178" applyAlignment="1" pivotButton="0" quotePrefix="0" xfId="4">
      <alignment horizontal="left" vertical="center" wrapText="1"/>
    </xf>
    <xf numFmtId="0" fontId="123" fillId="54" borderId="180" applyAlignment="1" pivotButton="0" quotePrefix="0" xfId="4">
      <alignment horizontal="center" vertical="center" wrapText="1"/>
    </xf>
    <xf numFmtId="0" fontId="41" fillId="25" borderId="210" applyAlignment="1" pivotButton="0" quotePrefix="0" xfId="4">
      <alignment horizontal="center" vertical="center"/>
    </xf>
    <xf numFmtId="0" fontId="0" fillId="0" borderId="165" pivotButton="0" quotePrefix="0" xfId="0"/>
    <xf numFmtId="0" fontId="0" fillId="0" borderId="166" pivotButton="0" quotePrefix="0" xfId="0"/>
    <xf numFmtId="0" fontId="123" fillId="54" borderId="177" applyAlignment="1" pivotButton="0" quotePrefix="0" xfId="4">
      <alignment horizontal="center" vertical="center" wrapText="1"/>
    </xf>
    <xf numFmtId="0" fontId="123" fillId="28" borderId="187" applyAlignment="1" pivotButton="0" quotePrefix="0" xfId="4">
      <alignment vertical="center" wrapText="1"/>
    </xf>
    <xf numFmtId="0" fontId="0" fillId="0" borderId="214" pivotButton="0" quotePrefix="0" xfId="0"/>
    <xf numFmtId="0" fontId="0" fillId="0" borderId="215" pivotButton="0" quotePrefix="0" xfId="0"/>
    <xf numFmtId="0" fontId="116" fillId="25" borderId="0" applyAlignment="1" pivotButton="0" quotePrefix="0" xfId="4">
      <alignment horizontal="center" vertical="center"/>
    </xf>
    <xf numFmtId="0" fontId="0" fillId="0" borderId="356" applyAlignment="1" pivotButton="0" quotePrefix="0" xfId="0">
      <alignment horizontal="center"/>
    </xf>
    <xf numFmtId="0" fontId="0" fillId="0" borderId="172" pivotButton="0" quotePrefix="0" xfId="0"/>
    <xf numFmtId="0" fontId="0" fillId="0" borderId="356" pivotButton="0" quotePrefix="0" xfId="0"/>
    <xf numFmtId="0" fontId="4" fillId="0" borderId="189" pivotButton="0" quotePrefix="0" xfId="4"/>
    <xf numFmtId="0" fontId="0" fillId="0" borderId="189" pivotButton="0" quotePrefix="0" xfId="0"/>
    <xf numFmtId="0" fontId="124" fillId="53" borderId="209" applyAlignment="1" pivotButton="0" quotePrefix="0" xfId="4">
      <alignment vertical="center" wrapText="1"/>
    </xf>
    <xf numFmtId="0" fontId="58" fillId="34" borderId="83" applyAlignment="1" pivotButton="0" quotePrefix="0" xfId="1">
      <alignment horizontal="center" vertical="center" wrapText="1"/>
    </xf>
    <xf numFmtId="0" fontId="0" fillId="0" borderId="56" pivotButton="0" quotePrefix="0" xfId="0"/>
    <xf numFmtId="0" fontId="0" fillId="0" borderId="83" pivotButton="0" quotePrefix="0" xfId="0"/>
    <xf numFmtId="0" fontId="38" fillId="16" borderId="29" applyAlignment="1" pivotButton="0" quotePrefix="0" xfId="1">
      <alignment horizontal="left" vertical="center" wrapText="1"/>
    </xf>
    <xf numFmtId="0" fontId="38" fillId="0" borderId="64" applyAlignment="1" pivotButton="0" quotePrefix="0" xfId="1">
      <alignment horizontal="left" vertical="center"/>
    </xf>
    <xf numFmtId="0" fontId="38" fillId="0" borderId="29" applyAlignment="1" pivotButton="0" quotePrefix="0" xfId="1">
      <alignment horizontal="center" vertical="center" wrapText="1"/>
    </xf>
    <xf numFmtId="0" fontId="57" fillId="20" borderId="69" applyAlignment="1" pivotButton="0" quotePrefix="0" xfId="1">
      <alignment horizontal="center" vertical="center"/>
    </xf>
    <xf numFmtId="0" fontId="0" fillId="0" borderId="3" pivotButton="0" quotePrefix="0" xfId="0"/>
    <xf numFmtId="0" fontId="0" fillId="0" borderId="8" pivotButton="0" quotePrefix="0" xfId="0"/>
    <xf numFmtId="0" fontId="38" fillId="0" borderId="83" applyAlignment="1" pivotButton="0" quotePrefix="0" xfId="1">
      <alignment horizontal="center" vertical="center" wrapText="1"/>
    </xf>
    <xf numFmtId="169" fontId="38" fillId="4" borderId="77" applyAlignment="1" pivotButton="0" quotePrefix="0" xfId="1">
      <alignment vertical="center" wrapText="1"/>
    </xf>
    <xf numFmtId="0" fontId="0" fillId="0" borderId="55" pivotButton="0" quotePrefix="0" xfId="0"/>
    <xf numFmtId="0" fontId="0" fillId="0" borderId="77" pivotButton="0" quotePrefix="0" xfId="0"/>
    <xf numFmtId="0" fontId="38" fillId="0" borderId="98" applyAlignment="1" pivotButton="0" quotePrefix="0" xfId="1">
      <alignment horizontal="center" vertical="center"/>
    </xf>
    <xf numFmtId="0" fontId="69" fillId="20" borderId="0" applyAlignment="1" pivotButton="0" quotePrefix="0" xfId="1">
      <alignment horizontal="center" vertical="center" wrapText="1"/>
    </xf>
    <xf numFmtId="0" fontId="9" fillId="0" borderId="0" applyAlignment="1" pivotButton="0" quotePrefix="0" xfId="1">
      <alignment horizontal="center" vertical="center"/>
    </xf>
    <xf numFmtId="0" fontId="38" fillId="0" borderId="84" applyAlignment="1" pivotButton="0" quotePrefix="0" xfId="1">
      <alignment horizontal="center" vertical="center" wrapText="1"/>
    </xf>
    <xf numFmtId="0" fontId="0" fillId="0" borderId="57" pivotButton="0" quotePrefix="0" xfId="0"/>
    <xf numFmtId="0" fontId="53" fillId="3" borderId="29" applyAlignment="1" pivotButton="0" quotePrefix="0" xfId="1">
      <alignment horizontal="center" vertical="center" wrapText="1"/>
    </xf>
    <xf numFmtId="0" fontId="73" fillId="27" borderId="61" applyAlignment="1" pivotButton="0" quotePrefix="0" xfId="1">
      <alignment horizontal="left" vertical="center" wrapText="1"/>
    </xf>
    <xf numFmtId="0" fontId="60" fillId="3" borderId="6" applyAlignment="1" pivotButton="0" quotePrefix="0" xfId="1">
      <alignment horizontal="center" vertical="center" wrapText="1"/>
    </xf>
    <xf numFmtId="0" fontId="38" fillId="0" borderId="88" applyAlignment="1" pivotButton="0" quotePrefix="0" xfId="1">
      <alignment horizontal="center" vertical="center" wrapText="1"/>
    </xf>
    <xf numFmtId="0" fontId="0" fillId="0" borderId="229" pivotButton="0" quotePrefix="0" xfId="0"/>
    <xf numFmtId="0" fontId="0" fillId="0" borderId="230" pivotButton="0" quotePrefix="0" xfId="0"/>
    <xf numFmtId="0" fontId="58" fillId="34" borderId="82" applyAlignment="1" pivotButton="0" quotePrefix="0" xfId="1">
      <alignment horizontal="center" vertical="center" wrapText="1"/>
    </xf>
    <xf numFmtId="0" fontId="73" fillId="27" borderId="64" applyAlignment="1" pivotButton="0" quotePrefix="0" xfId="1">
      <alignment horizontal="left" vertical="center"/>
    </xf>
    <xf numFmtId="0" fontId="42" fillId="21" borderId="89" applyAlignment="1" pivotButton="0" quotePrefix="0" xfId="1">
      <alignment horizontal="center" vertical="center"/>
    </xf>
    <xf numFmtId="0" fontId="0" fillId="0" borderId="222" pivotButton="0" quotePrefix="0" xfId="0"/>
    <xf numFmtId="0" fontId="58" fillId="3" borderId="218" applyAlignment="1" pivotButton="0" quotePrefix="0" xfId="1">
      <alignment horizontal="center" vertical="center"/>
    </xf>
    <xf numFmtId="0" fontId="0" fillId="0" borderId="44" pivotButton="0" quotePrefix="0" xfId="0"/>
    <xf numFmtId="0" fontId="38" fillId="0" borderId="29" applyAlignment="1" pivotButton="0" quotePrefix="0" xfId="1">
      <alignment horizontal="left" vertical="center"/>
    </xf>
    <xf numFmtId="0" fontId="71" fillId="31" borderId="220" applyAlignment="1" pivotButton="0" quotePrefix="0" xfId="1">
      <alignment horizontal="center" vertical="center"/>
    </xf>
    <xf numFmtId="0" fontId="0" fillId="0" borderId="45" pivotButton="0" quotePrefix="0" xfId="0"/>
    <xf numFmtId="0" fontId="0" fillId="0" borderId="46" pivotButton="0" quotePrefix="0" xfId="0"/>
    <xf numFmtId="0" fontId="0" fillId="0" borderId="47" pivotButton="0" quotePrefix="0" xfId="0"/>
    <xf numFmtId="0" fontId="9" fillId="0" borderId="0" applyAlignment="1" pivotButton="0" quotePrefix="0" xfId="1">
      <alignment vertical="center"/>
    </xf>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58" fillId="3" borderId="219" applyAlignment="1" pivotButton="0" quotePrefix="0" xfId="1">
      <alignment horizontal="center" vertical="center"/>
    </xf>
    <xf numFmtId="0" fontId="0" fillId="0" borderId="72" pivotButton="0" quotePrefix="0" xfId="0"/>
    <xf numFmtId="0" fontId="60" fillId="3" borderId="68" applyAlignment="1" pivotButton="0" quotePrefix="0" xfId="1">
      <alignment horizontal="center" vertical="center" wrapText="1"/>
    </xf>
    <xf numFmtId="0" fontId="0" fillId="0" borderId="289" pivotButton="0" quotePrefix="0" xfId="0"/>
    <xf numFmtId="0" fontId="72" fillId="0" borderId="94" applyAlignment="1" pivotButton="0" quotePrefix="0" xfId="1">
      <alignment horizontal="center" vertical="center"/>
    </xf>
    <xf numFmtId="0" fontId="57" fillId="20" borderId="78" applyAlignment="1" pivotButton="0" quotePrefix="0" xfId="1">
      <alignment horizontal="center" vertical="center"/>
    </xf>
    <xf numFmtId="0" fontId="0" fillId="0" borderId="231" pivotButton="0" quotePrefix="0" xfId="0"/>
    <xf numFmtId="0" fontId="0" fillId="0" borderId="232" pivotButton="0" quotePrefix="0" xfId="0"/>
    <xf numFmtId="0" fontId="38" fillId="0" borderId="65" applyAlignment="1" pivotButton="0" quotePrefix="0" xfId="1">
      <alignment horizontal="center" vertical="center" wrapText="1"/>
    </xf>
    <xf numFmtId="0" fontId="58" fillId="3" borderId="69" applyAlignment="1" pivotButton="0" quotePrefix="0" xfId="1">
      <alignment horizontal="center" vertical="center"/>
    </xf>
    <xf numFmtId="169" fontId="38" fillId="4" borderId="65" applyAlignment="1" pivotButton="0" quotePrefix="0" xfId="1">
      <alignment vertical="center" wrapText="1"/>
    </xf>
    <xf numFmtId="0" fontId="53" fillId="27" borderId="29" applyAlignment="1" pivotButton="0" quotePrefix="0" xfId="1">
      <alignment horizontal="right" vertical="center" wrapText="1"/>
    </xf>
    <xf numFmtId="0" fontId="38" fillId="0" borderId="56" applyAlignment="1" pivotButton="0" quotePrefix="0" xfId="1">
      <alignment horizontal="center" vertical="center"/>
    </xf>
    <xf numFmtId="0" fontId="35" fillId="0" borderId="58" applyAlignment="1" pivotButton="0" quotePrefix="0" xfId="1">
      <alignment horizontal="left" vertical="center"/>
    </xf>
    <xf numFmtId="0" fontId="42" fillId="21" borderId="2" applyAlignment="1" pivotButton="0" quotePrefix="0" xfId="1">
      <alignment horizontal="center" vertical="center"/>
    </xf>
    <xf numFmtId="0" fontId="0" fillId="0" borderId="223" pivotButton="0" quotePrefix="0" xfId="0"/>
    <xf numFmtId="0" fontId="106" fillId="28" borderId="0" applyAlignment="1" pivotButton="0" quotePrefix="0" xfId="1">
      <alignment horizontal="center" vertical="center"/>
    </xf>
    <xf numFmtId="0" fontId="102" fillId="3" borderId="218" applyAlignment="1" pivotButton="0" quotePrefix="0" xfId="1">
      <alignment horizontal="center" vertical="center"/>
    </xf>
    <xf numFmtId="0" fontId="42" fillId="21" borderId="90" applyAlignment="1" pivotButton="0" quotePrefix="0" xfId="1">
      <alignment horizontal="center" vertical="center"/>
    </xf>
    <xf numFmtId="0" fontId="38" fillId="0" borderId="29" applyAlignment="1" pivotButton="0" quotePrefix="0" xfId="1">
      <alignment horizontal="center" vertical="center"/>
    </xf>
    <xf numFmtId="0" fontId="60" fillId="3" borderId="6" applyAlignment="1" pivotButton="0" quotePrefix="0" xfId="1">
      <alignment horizontal="center" vertical="center"/>
    </xf>
    <xf numFmtId="0" fontId="0" fillId="0" borderId="52" pivotButton="0" quotePrefix="0" xfId="0"/>
    <xf numFmtId="0" fontId="71" fillId="31" borderId="216" applyAlignment="1" pivotButton="0" quotePrefix="0" xfId="1">
      <alignment horizontal="center" vertical="center"/>
    </xf>
    <xf numFmtId="0" fontId="0" fillId="0" borderId="93" pivotButton="0" quotePrefix="0" xfId="0"/>
    <xf numFmtId="0" fontId="72" fillId="0" borderId="3" applyAlignment="1" pivotButton="0" quotePrefix="0" xfId="1">
      <alignment horizontal="center" vertical="center"/>
    </xf>
    <xf numFmtId="0" fontId="58" fillId="3" borderId="218" applyAlignment="1" pivotButton="0" quotePrefix="0" xfId="1">
      <alignment horizontal="center" vertical="center" wrapText="1"/>
    </xf>
    <xf numFmtId="0" fontId="66" fillId="25" borderId="100" applyAlignment="1" pivotButton="0" quotePrefix="0" xfId="2">
      <alignment horizontal="center"/>
    </xf>
    <xf numFmtId="0" fontId="58" fillId="34" borderId="79" applyAlignment="1" pivotButton="0" quotePrefix="0" xfId="1">
      <alignment horizontal="center" vertical="center"/>
    </xf>
    <xf numFmtId="0" fontId="0" fillId="0" borderId="53" pivotButton="0" quotePrefix="0" xfId="0"/>
    <xf numFmtId="0" fontId="42" fillId="21" borderId="69" applyAlignment="1" pivotButton="0" quotePrefix="0" xfId="1">
      <alignment horizontal="center" vertical="center"/>
    </xf>
    <xf numFmtId="0" fontId="72" fillId="0" borderId="8" applyAlignment="1" pivotButton="0" quotePrefix="0" xfId="1">
      <alignment horizontal="center" vertical="center"/>
    </xf>
    <xf numFmtId="0" fontId="38" fillId="0" borderId="55" applyAlignment="1" pivotButton="0" quotePrefix="0" xfId="1">
      <alignment horizontal="center" vertical="center" wrapText="1"/>
    </xf>
    <xf numFmtId="0" fontId="42" fillId="21" borderId="4" applyAlignment="1" pivotButton="0" quotePrefix="0" xfId="1">
      <alignment horizontal="center" vertical="center"/>
    </xf>
    <xf numFmtId="0" fontId="0" fillId="0" borderId="224" pivotButton="0" quotePrefix="0" xfId="0"/>
    <xf numFmtId="0" fontId="38" fillId="0" borderId="87" applyAlignment="1" pivotButton="0" quotePrefix="0" xfId="1">
      <alignment horizontal="center" vertical="center" wrapText="1"/>
    </xf>
    <xf numFmtId="0" fontId="0" fillId="0" borderId="227" pivotButton="0" quotePrefix="0" xfId="0"/>
    <xf numFmtId="0" fontId="0" fillId="0" borderId="228" pivotButton="0" quotePrefix="0" xfId="0"/>
    <xf numFmtId="169" fontId="38" fillId="4" borderId="75" applyAlignment="1" pivotButton="0" quotePrefix="0" xfId="1">
      <alignment vertical="center" wrapText="1"/>
    </xf>
    <xf numFmtId="0" fontId="0" fillId="0" borderId="54" pivotButton="0" quotePrefix="0" xfId="0"/>
    <xf numFmtId="0" fontId="0" fillId="0" borderId="75" pivotButton="0" quotePrefix="0" xfId="0"/>
    <xf numFmtId="0" fontId="53" fillId="27" borderId="29" applyAlignment="1" pivotButton="0" quotePrefix="0" xfId="1">
      <alignment horizontal="right" vertical="center"/>
    </xf>
    <xf numFmtId="0" fontId="77" fillId="11" borderId="100" applyAlignment="1" pivotButton="0" quotePrefix="0" xfId="3">
      <alignment horizontal="left" vertical="center"/>
    </xf>
    <xf numFmtId="0" fontId="38" fillId="0" borderId="57" applyAlignment="1" pivotButton="0" quotePrefix="0" xfId="1">
      <alignment horizontal="left" vertical="center"/>
    </xf>
    <xf numFmtId="0" fontId="42" fillId="21" borderId="66" applyAlignment="1" pivotButton="0" quotePrefix="0" xfId="1">
      <alignment horizontal="center" vertical="center"/>
    </xf>
    <xf numFmtId="0" fontId="0" fillId="0" borderId="198" pivotButton="0" quotePrefix="0" xfId="0"/>
    <xf numFmtId="0" fontId="38" fillId="0" borderId="64" applyAlignment="1" pivotButton="0" quotePrefix="0" xfId="1">
      <alignment horizontal="left" vertical="center" wrapText="1"/>
    </xf>
    <xf numFmtId="0" fontId="35" fillId="0" borderId="98" applyAlignment="1" pivotButton="0" quotePrefix="0" xfId="1">
      <alignment horizontal="center" vertical="center"/>
    </xf>
    <xf numFmtId="0" fontId="71" fillId="31" borderId="221" applyAlignment="1" pivotButton="0" quotePrefix="0" xfId="1">
      <alignment horizontal="center" vertical="center"/>
    </xf>
    <xf numFmtId="0" fontId="38" fillId="0" borderId="82" applyAlignment="1" pivotButton="0" quotePrefix="0" xfId="1">
      <alignment horizontal="center" vertical="center" wrapText="1"/>
    </xf>
    <xf numFmtId="0" fontId="46" fillId="4" borderId="117" applyAlignment="1" pivotButton="0" quotePrefix="0" xfId="3">
      <alignment horizontal="center" vertical="center"/>
    </xf>
    <xf numFmtId="0" fontId="38" fillId="0" borderId="85" applyAlignment="1" pivotButton="0" quotePrefix="0" xfId="1">
      <alignment horizontal="center" vertical="center" wrapText="1"/>
    </xf>
    <xf numFmtId="0" fontId="0" fillId="0" borderId="85" pivotButton="0" quotePrefix="0" xfId="0"/>
    <xf numFmtId="0" fontId="53" fillId="23" borderId="29" applyAlignment="1" pivotButton="0" quotePrefix="0" xfId="1">
      <alignment horizontal="center" vertical="center"/>
    </xf>
    <xf numFmtId="0" fontId="46" fillId="4" borderId="98" applyAlignment="1" pivotButton="0" quotePrefix="0" xfId="3">
      <alignment horizontal="center" vertical="center"/>
    </xf>
    <xf numFmtId="0" fontId="60" fillId="8" borderId="95" applyAlignment="1" pivotButton="0" quotePrefix="0" xfId="1">
      <alignment horizontal="center" vertical="center"/>
    </xf>
    <xf numFmtId="0" fontId="0" fillId="0" borderId="59" pivotButton="0" quotePrefix="0" xfId="0"/>
    <xf numFmtId="0" fontId="53" fillId="3" borderId="29" applyAlignment="1" pivotButton="0" quotePrefix="0" xfId="1">
      <alignment vertical="center"/>
    </xf>
    <xf numFmtId="0" fontId="57" fillId="25" borderId="117" applyAlignment="1" pivotButton="0" quotePrefix="0" xfId="1">
      <alignment horizontal="center" vertical="center"/>
    </xf>
    <xf numFmtId="0" fontId="38" fillId="16" borderId="32" applyAlignment="1" pivotButton="0" quotePrefix="0" xfId="1">
      <alignment horizontal="left" vertical="center" wrapText="1"/>
    </xf>
    <xf numFmtId="0" fontId="38" fillId="0" borderId="82" applyAlignment="1" pivotButton="0" quotePrefix="0" xfId="1">
      <alignment horizontal="left" vertical="center"/>
    </xf>
    <xf numFmtId="0" fontId="58" fillId="3" borderId="5" applyAlignment="1" pivotButton="0" quotePrefix="0" xfId="1">
      <alignment horizontal="center" vertical="center"/>
    </xf>
    <xf numFmtId="0" fontId="60" fillId="8" borderId="96" applyAlignment="1" pivotButton="0" quotePrefix="0" xfId="1">
      <alignment horizontal="center" vertical="center"/>
    </xf>
    <xf numFmtId="0" fontId="0" fillId="0" borderId="96" pivotButton="0" quotePrefix="0" xfId="0"/>
    <xf numFmtId="0" fontId="37" fillId="3" borderId="65" applyAlignment="1" pivotButton="0" quotePrefix="0" xfId="1">
      <alignment horizontal="center" vertical="center" wrapText="1"/>
    </xf>
    <xf numFmtId="0" fontId="38" fillId="0" borderId="57" applyAlignment="1" pivotButton="0" quotePrefix="0" xfId="1">
      <alignment horizontal="center" vertical="center"/>
    </xf>
    <xf numFmtId="0" fontId="58" fillId="3" borderId="217" applyAlignment="1" pivotButton="0" quotePrefix="0" xfId="1">
      <alignment horizontal="center" vertical="center" wrapText="1"/>
    </xf>
    <xf numFmtId="0" fontId="0" fillId="0" borderId="73" pivotButton="0" quotePrefix="0" xfId="0"/>
    <xf numFmtId="0" fontId="103" fillId="28" borderId="0" applyAlignment="1" pivotButton="0" quotePrefix="0" xfId="1">
      <alignment horizontal="center" vertical="top"/>
    </xf>
    <xf numFmtId="0" fontId="77" fillId="11" borderId="65" applyAlignment="1" pivotButton="0" quotePrefix="0" xfId="3">
      <alignment vertical="center"/>
    </xf>
    <xf numFmtId="0" fontId="38" fillId="0" borderId="56" applyAlignment="1" pivotButton="0" quotePrefix="0" xfId="1">
      <alignment horizontal="left" vertical="center"/>
    </xf>
    <xf numFmtId="0" fontId="60" fillId="3" borderId="67" applyAlignment="1" pivotButton="0" quotePrefix="0" xfId="1">
      <alignment horizontal="center" vertical="center"/>
    </xf>
    <xf numFmtId="0" fontId="0" fillId="0" borderId="94" pivotButton="0" quotePrefix="0" xfId="0"/>
    <xf numFmtId="0" fontId="38" fillId="0" borderId="64" applyAlignment="1" pivotButton="0" quotePrefix="0" xfId="1">
      <alignment horizontal="center" vertical="center" wrapText="1"/>
    </xf>
    <xf numFmtId="0" fontId="53" fillId="27" borderId="29" applyAlignment="1" pivotButton="0" quotePrefix="0" xfId="1">
      <alignment horizontal="left" vertical="center" wrapText="1"/>
    </xf>
    <xf numFmtId="0" fontId="38" fillId="0" borderId="54" applyAlignment="1" pivotButton="0" quotePrefix="0" xfId="1">
      <alignment horizontal="center" vertical="center" wrapText="1"/>
    </xf>
    <xf numFmtId="0" fontId="58" fillId="23" borderId="80" applyAlignment="1" pivotButton="0" quotePrefix="0" xfId="1">
      <alignment horizontal="center" vertical="center"/>
    </xf>
    <xf numFmtId="0" fontId="0" fillId="0" borderId="80" pivotButton="0" quotePrefix="0" xfId="0"/>
    <xf numFmtId="0" fontId="38" fillId="0" borderId="84" applyAlignment="1" pivotButton="0" quotePrefix="0" xfId="1">
      <alignment horizontal="left" vertical="center"/>
    </xf>
    <xf numFmtId="0" fontId="38" fillId="0" borderId="86" applyAlignment="1" pivotButton="0" quotePrefix="0" xfId="1">
      <alignment horizontal="center" vertical="center" wrapText="1"/>
    </xf>
    <xf numFmtId="0" fontId="0" fillId="0" borderId="225" pivotButton="0" quotePrefix="0" xfId="0"/>
    <xf numFmtId="0" fontId="0" fillId="0" borderId="226" pivotButton="0" quotePrefix="0" xfId="0"/>
    <xf numFmtId="0" fontId="46" fillId="16" borderId="29" applyAlignment="1" pivotButton="0" quotePrefix="0" xfId="0">
      <alignment vertical="center" wrapText="1"/>
    </xf>
    <xf numFmtId="0" fontId="54" fillId="30" borderId="106" applyAlignment="1" pivotButton="0" quotePrefix="0" xfId="0">
      <alignment horizontal="center" vertical="center" wrapText="1"/>
    </xf>
    <xf numFmtId="0" fontId="48" fillId="0" borderId="30" applyAlignment="1" pivotButton="0" quotePrefix="0" xfId="0">
      <alignment horizontal="left" vertical="center" wrapText="1"/>
    </xf>
    <xf numFmtId="0" fontId="49" fillId="3" borderId="30" applyAlignment="1" pivotButton="0" quotePrefix="0" xfId="0">
      <alignment horizontal="center" vertical="center" wrapText="1"/>
    </xf>
    <xf numFmtId="166" fontId="46" fillId="0" borderId="30" applyAlignment="1" pivotButton="0" quotePrefix="0" xfId="0">
      <alignment vertical="center" wrapText="1"/>
    </xf>
    <xf numFmtId="0" fontId="46" fillId="0" borderId="38" applyAlignment="1" pivotButton="0" quotePrefix="0" xfId="0">
      <alignment vertical="center" wrapText="1"/>
    </xf>
    <xf numFmtId="164" fontId="47" fillId="16" borderId="332" applyAlignment="1" pivotButton="0" quotePrefix="0" xfId="0">
      <alignment horizontal="center" vertical="center" wrapText="1"/>
    </xf>
    <xf numFmtId="0" fontId="87" fillId="24" borderId="293" applyAlignment="1" pivotButton="0" quotePrefix="0" xfId="0">
      <alignment horizontal="center" vertical="center" wrapText="1"/>
    </xf>
    <xf numFmtId="0" fontId="0" fillId="0" borderId="33" pivotButton="0" quotePrefix="0" xfId="0"/>
    <xf numFmtId="0" fontId="0" fillId="0" borderId="115" pivotButton="0" quotePrefix="0" xfId="0"/>
    <xf numFmtId="0" fontId="0" fillId="0" borderId="40" pivotButton="0" quotePrefix="0" xfId="0"/>
    <xf numFmtId="0" fontId="0" fillId="0" borderId="116" pivotButton="0" quotePrefix="0" xfId="0"/>
    <xf numFmtId="0" fontId="67" fillId="0" borderId="30" applyAlignment="1" pivotButton="0" quotePrefix="0" xfId="0">
      <alignment horizontal="left" vertical="center"/>
    </xf>
    <xf numFmtId="0" fontId="0" fillId="0" borderId="125" pivotButton="0" quotePrefix="0" xfId="0"/>
    <xf numFmtId="0" fontId="54" fillId="29" borderId="328" applyAlignment="1" pivotButton="0" quotePrefix="0" xfId="0">
      <alignment horizontal="left" vertical="center" wrapText="1"/>
    </xf>
    <xf numFmtId="0" fontId="46" fillId="0" borderId="294" applyAlignment="1" pivotButton="0" quotePrefix="0" xfId="0">
      <alignment horizontal="center" vertical="center" wrapText="1"/>
    </xf>
    <xf numFmtId="0" fontId="46" fillId="0" borderId="38" applyAlignment="1" pivotButton="0" quotePrefix="0" xfId="0">
      <alignment horizontal="center" vertical="center" wrapText="1"/>
    </xf>
    <xf numFmtId="0" fontId="63" fillId="22" borderId="243" applyAlignment="1" pivotButton="0" quotePrefix="0" xfId="0">
      <alignment horizontal="center" vertical="center" wrapText="1"/>
    </xf>
    <xf numFmtId="0" fontId="0" fillId="0" borderId="243" pivotButton="0" quotePrefix="0" xfId="0"/>
    <xf numFmtId="0" fontId="67" fillId="0" borderId="30" applyAlignment="1" pivotButton="0" quotePrefix="0" xfId="0">
      <alignment horizontal="center" vertical="center" wrapText="1"/>
    </xf>
    <xf numFmtId="0" fontId="0" fillId="0" borderId="35" pivotButton="0" quotePrefix="0" xfId="0"/>
    <xf numFmtId="0" fontId="0" fillId="0" borderId="36" pivotButton="0" quotePrefix="0" xfId="0"/>
    <xf numFmtId="0" fontId="0" fillId="0" borderId="37" pivotButton="0" quotePrefix="0" xfId="0"/>
    <xf numFmtId="0" fontId="49" fillId="15" borderId="340" applyAlignment="1" pivotButton="0" quotePrefix="0" xfId="0">
      <alignment horizontal="center" vertical="center" wrapText="1"/>
    </xf>
    <xf numFmtId="0" fontId="0" fillId="0" borderId="298" pivotButton="0" quotePrefix="0" xfId="0"/>
    <xf numFmtId="0" fontId="46" fillId="17" borderId="29" applyAlignment="1" pivotButton="0" quotePrefix="0" xfId="0">
      <alignment horizontal="center" vertical="center" wrapText="1"/>
    </xf>
    <xf numFmtId="0" fontId="54" fillId="29" borderId="38" applyAlignment="1" pivotButton="0" quotePrefix="0" xfId="0">
      <alignment horizontal="left" vertical="center" wrapText="1"/>
    </xf>
    <xf numFmtId="166" fontId="48" fillId="0" borderId="125" applyAlignment="1" pivotButton="0" quotePrefix="0" xfId="0">
      <alignment horizontal="center" vertical="center" wrapText="1"/>
    </xf>
    <xf numFmtId="0" fontId="46" fillId="0" borderId="30" applyAlignment="1" pivotButton="0" quotePrefix="0" xfId="0">
      <alignment vertical="center" wrapText="1"/>
    </xf>
    <xf numFmtId="0" fontId="61" fillId="3" borderId="245" applyAlignment="1" pivotButton="0" quotePrefix="0" xfId="0">
      <alignment horizontal="center" vertical="center" wrapText="1"/>
    </xf>
    <xf numFmtId="0" fontId="0" fillId="0" borderId="244" pivotButton="0" quotePrefix="0" xfId="0"/>
    <xf numFmtId="0" fontId="0" fillId="0" borderId="245" pivotButton="0" quotePrefix="0" xfId="0"/>
    <xf numFmtId="0" fontId="46" fillId="16" borderId="29" applyAlignment="1" pivotButton="0" quotePrefix="0" xfId="0">
      <alignment horizontal="center" vertical="center" wrapText="1"/>
    </xf>
    <xf numFmtId="0" fontId="46" fillId="0" borderId="292" applyAlignment="1" pivotButton="0" quotePrefix="0" xfId="0">
      <alignment horizontal="center" vertical="center" wrapText="1"/>
    </xf>
    <xf numFmtId="0" fontId="65" fillId="3" borderId="0" applyAlignment="1" pivotButton="0" quotePrefix="0" xfId="0">
      <alignment horizontal="center" vertical="center" wrapText="1"/>
    </xf>
    <xf numFmtId="0" fontId="46" fillId="0" borderId="29" applyAlignment="1" pivotButton="0" quotePrefix="0" xfId="0">
      <alignment vertical="center" wrapText="1"/>
    </xf>
    <xf numFmtId="0" fontId="63" fillId="30" borderId="7" applyAlignment="1" pivotButton="0" quotePrefix="0" xfId="0">
      <alignment horizontal="center" vertical="center" wrapText="1"/>
    </xf>
    <xf numFmtId="0" fontId="0" fillId="0" borderId="7" pivotButton="0" quotePrefix="0" xfId="0"/>
    <xf numFmtId="0" fontId="49" fillId="15" borderId="295" applyAlignment="1" pivotButton="0" quotePrefix="0" xfId="0">
      <alignment horizontal="center" vertical="center" wrapText="1"/>
    </xf>
    <xf numFmtId="166" fontId="46" fillId="0" borderId="30" applyAlignment="1" pivotButton="0" quotePrefix="0" xfId="0">
      <alignment horizontal="center" vertical="center" wrapText="1"/>
    </xf>
    <xf numFmtId="166" fontId="49" fillId="3" borderId="291" applyAlignment="1" pivotButton="0" quotePrefix="0" xfId="0">
      <alignment vertical="center" wrapText="1"/>
    </xf>
    <xf numFmtId="0" fontId="63" fillId="30" borderId="333" applyAlignment="1" pivotButton="0" quotePrefix="0" xfId="0">
      <alignment horizontal="center" vertical="center" wrapText="1"/>
    </xf>
    <xf numFmtId="0" fontId="0" fillId="0" borderId="318" pivotButton="0" quotePrefix="0" xfId="0"/>
    <xf numFmtId="166" fontId="48" fillId="0" borderId="363" applyAlignment="1" pivotButton="0" quotePrefix="0" xfId="0">
      <alignment horizontal="center" vertical="center" wrapText="1"/>
    </xf>
    <xf numFmtId="0" fontId="0" fillId="0" borderId="43" pivotButton="0" quotePrefix="0" xfId="0"/>
    <xf numFmtId="0" fontId="54" fillId="30" borderId="36" applyAlignment="1" pivotButton="0" quotePrefix="0" xfId="0">
      <alignment horizontal="center" vertical="center" wrapText="1"/>
    </xf>
    <xf numFmtId="0" fontId="53" fillId="23" borderId="65" applyAlignment="1" pivotButton="0" quotePrefix="0" xfId="2">
      <alignment horizontal="center" vertical="center" wrapText="1"/>
    </xf>
    <xf numFmtId="0" fontId="63" fillId="22" borderId="242" applyAlignment="1" pivotButton="0" quotePrefix="0" xfId="0">
      <alignment horizontal="center" vertical="center" wrapText="1"/>
    </xf>
    <xf numFmtId="0" fontId="66" fillId="20" borderId="294" applyAlignment="1" pivotButton="0" quotePrefix="0" xfId="0">
      <alignment horizontal="center" vertical="center" wrapText="1"/>
    </xf>
    <xf numFmtId="0" fontId="46" fillId="0" borderId="91" applyAlignment="1" pivotButton="0" quotePrefix="0" xfId="0">
      <alignment horizontal="center" vertical="center" wrapText="1"/>
    </xf>
    <xf numFmtId="0" fontId="54" fillId="30" borderId="32" applyAlignment="1" pivotButton="0" quotePrefix="0" xfId="0">
      <alignment horizontal="center" vertical="center" wrapText="1"/>
    </xf>
    <xf numFmtId="0" fontId="46" fillId="0" borderId="30" applyAlignment="1" pivotButton="0" quotePrefix="0" xfId="0">
      <alignment horizontal="center" vertical="center" wrapText="1"/>
    </xf>
    <xf numFmtId="0" fontId="88" fillId="14" borderId="294" applyAlignment="1" pivotButton="0" quotePrefix="0" xfId="3">
      <alignment horizontal="center" vertical="center"/>
    </xf>
    <xf numFmtId="0" fontId="67" fillId="0" borderId="296" applyAlignment="1" pivotButton="0" quotePrefix="0" xfId="0">
      <alignment horizontal="center" vertical="center" wrapText="1"/>
    </xf>
    <xf numFmtId="166" fontId="48" fillId="0" borderId="363" applyAlignment="1" pivotButton="0" quotePrefix="0" xfId="0">
      <alignment vertical="center" wrapText="1"/>
    </xf>
    <xf numFmtId="0" fontId="55" fillId="21" borderId="292" applyAlignment="1" pivotButton="0" quotePrefix="0" xfId="0">
      <alignment horizontal="center" vertical="center" wrapText="1"/>
    </xf>
    <xf numFmtId="0" fontId="53" fillId="27" borderId="29" applyAlignment="1" pivotButton="0" quotePrefix="0" xfId="2">
      <alignment vertical="center" wrapText="1"/>
    </xf>
    <xf numFmtId="0" fontId="0" fillId="17" borderId="32" pivotButton="0" quotePrefix="0" xfId="0"/>
    <xf numFmtId="0" fontId="53" fillId="3" borderId="39" applyAlignment="1" pivotButton="0" quotePrefix="0" xfId="2">
      <alignment horizontal="center" vertical="center" wrapText="1"/>
    </xf>
    <xf numFmtId="166" fontId="46" fillId="0" borderId="291" applyAlignment="1" pivotButton="0" quotePrefix="0" xfId="0">
      <alignment horizontal="center" vertical="center" wrapText="1"/>
    </xf>
    <xf numFmtId="0" fontId="49" fillId="15" borderId="299" applyAlignment="1" pivotButton="0" quotePrefix="0" xfId="0">
      <alignment horizontal="center" vertical="center" wrapText="1"/>
    </xf>
    <xf numFmtId="0" fontId="57" fillId="25" borderId="292" applyAlignment="1" pivotButton="0" quotePrefix="0" xfId="1">
      <alignment horizontal="center" vertical="center"/>
    </xf>
    <xf numFmtId="0" fontId="46" fillId="0" borderId="91" applyAlignment="1" pivotButton="0" quotePrefix="0" xfId="0">
      <alignment vertical="center" wrapText="1"/>
    </xf>
    <xf numFmtId="0" fontId="48" fillId="0" borderId="30" applyAlignment="1" pivotButton="0" quotePrefix="0" xfId="0">
      <alignment vertical="center" wrapText="1"/>
    </xf>
    <xf numFmtId="0" fontId="55" fillId="21" borderId="339" applyAlignment="1" pivotButton="0" quotePrefix="0" xfId="0">
      <alignment horizontal="center" vertical="center" wrapText="1"/>
    </xf>
    <xf numFmtId="0" fontId="0" fillId="0" borderId="362" pivotButton="0" quotePrefix="0" xfId="0"/>
    <xf numFmtId="0" fontId="66" fillId="20" borderId="36" applyAlignment="1" pivotButton="0" quotePrefix="0" xfId="0">
      <alignment horizontal="center" vertical="center" wrapText="1"/>
    </xf>
    <xf numFmtId="0" fontId="61" fillId="57" borderId="38" applyAlignment="1" pivotButton="0" quotePrefix="0" xfId="0">
      <alignment horizontal="center" vertical="center" wrapText="1"/>
    </xf>
    <xf numFmtId="0" fontId="46" fillId="0" borderId="115" applyAlignment="1" pivotButton="0" quotePrefix="0" xfId="0">
      <alignment vertical="center" wrapText="1"/>
    </xf>
    <xf numFmtId="0" fontId="63" fillId="22" borderId="322" applyAlignment="1" pivotButton="0" quotePrefix="0" xfId="0">
      <alignment horizontal="center" vertical="center" wrapText="1"/>
    </xf>
    <xf numFmtId="0" fontId="0" fillId="0" borderId="248" pivotButton="0" quotePrefix="0" xfId="0"/>
    <xf numFmtId="0" fontId="33" fillId="20" borderId="0" applyAlignment="1" pivotButton="0" quotePrefix="0" xfId="0">
      <alignment horizontal="center" vertical="center" wrapText="1"/>
    </xf>
    <xf numFmtId="166" fontId="65" fillId="3" borderId="91" applyAlignment="1" pivotButton="0" quotePrefix="0" xfId="0">
      <alignment horizontal="right" vertical="center" wrapText="1"/>
    </xf>
    <xf numFmtId="166" fontId="65" fillId="3" borderId="29" applyAlignment="1" pivotButton="0" quotePrefix="0" xfId="0">
      <alignment horizontal="right" vertical="center" wrapText="1"/>
    </xf>
    <xf numFmtId="164" fontId="47" fillId="16" borderId="158" applyAlignment="1" pivotButton="0" quotePrefix="0" xfId="0">
      <alignment horizontal="center" vertical="center" wrapText="1"/>
    </xf>
    <xf numFmtId="0" fontId="55" fillId="21" borderId="363" applyAlignment="1" pivotButton="0" quotePrefix="0" xfId="0">
      <alignment horizontal="center" vertical="center" wrapText="1"/>
    </xf>
    <xf numFmtId="164" fontId="38" fillId="16" borderId="334" applyAlignment="1" pivotButton="0" quotePrefix="0" xfId="2">
      <alignment horizontal="center" vertical="center" wrapText="1"/>
    </xf>
    <xf numFmtId="0" fontId="0" fillId="0" borderId="334" pivotButton="0" quotePrefix="0" xfId="0"/>
    <xf numFmtId="166" fontId="53" fillId="23" borderId="65" applyAlignment="1" pivotButton="0" quotePrefix="0" xfId="2">
      <alignment horizontal="center" vertical="center" wrapText="1"/>
    </xf>
    <xf numFmtId="0" fontId="46" fillId="0" borderId="290" applyAlignment="1" pivotButton="0" quotePrefix="0" xfId="0">
      <alignment vertical="center" wrapText="1"/>
    </xf>
    <xf numFmtId="0" fontId="0" fillId="0" borderId="269" pivotButton="0" quotePrefix="0" xfId="0"/>
    <xf numFmtId="0" fontId="0" fillId="0" borderId="271" pivotButton="0" quotePrefix="0" xfId="0"/>
    <xf numFmtId="166" fontId="51" fillId="16" borderId="106" applyAlignment="1" pivotButton="0" quotePrefix="0" xfId="0">
      <alignment horizontal="center" vertical="center" wrapText="1"/>
    </xf>
    <xf numFmtId="166" fontId="51" fillId="16" borderId="110" applyAlignment="1" pivotButton="0" quotePrefix="0" xfId="0">
      <alignment horizontal="center" vertical="center" wrapText="1"/>
    </xf>
    <xf numFmtId="0" fontId="0" fillId="0" borderId="110" pivotButton="0" quotePrefix="0" xfId="0"/>
    <xf numFmtId="0" fontId="67" fillId="0" borderId="292" applyAlignment="1" pivotButton="0" quotePrefix="0" xfId="0">
      <alignment horizontal="center" vertical="center" wrapText="1"/>
    </xf>
    <xf numFmtId="0" fontId="46" fillId="4" borderId="100" applyAlignment="1" pivotButton="0" quotePrefix="0" xfId="3">
      <alignment horizontal="center" vertical="center"/>
    </xf>
    <xf numFmtId="0" fontId="63" fillId="30" borderId="246" applyAlignment="1" pivotButton="0" quotePrefix="0" xfId="0">
      <alignment horizontal="center" vertical="center" wrapText="1"/>
    </xf>
    <xf numFmtId="0" fontId="0" fillId="0" borderId="34" pivotButton="0" quotePrefix="0" xfId="0"/>
    <xf numFmtId="0" fontId="61" fillId="3" borderId="244" applyAlignment="1" pivotButton="0" quotePrefix="0" xfId="0">
      <alignment horizontal="center" vertical="center" wrapText="1"/>
    </xf>
    <xf numFmtId="0" fontId="61" fillId="3" borderId="331" applyAlignment="1" pivotButton="0" quotePrefix="0" xfId="0">
      <alignment horizontal="center" vertical="center" wrapText="1"/>
    </xf>
    <xf numFmtId="0" fontId="52" fillId="0" borderId="91" applyAlignment="1" pivotButton="0" quotePrefix="0" xfId="0">
      <alignment horizontal="center" vertical="center" wrapText="1"/>
    </xf>
    <xf numFmtId="0" fontId="46" fillId="0" borderId="364" applyAlignment="1" pivotButton="0" quotePrefix="0" xfId="0">
      <alignment horizontal="center" vertical="center" wrapText="1"/>
    </xf>
    <xf numFmtId="0" fontId="0" fillId="0" borderId="329" pivotButton="0" quotePrefix="0" xfId="0"/>
    <xf numFmtId="0" fontId="49" fillId="34" borderId="327" applyAlignment="1" pivotButton="0" quotePrefix="0" xfId="0">
      <alignment horizontal="center" vertical="center" wrapText="1"/>
    </xf>
    <xf numFmtId="0" fontId="61" fillId="57" borderId="91" applyAlignment="1" pivotButton="0" quotePrefix="0" xfId="0">
      <alignment horizontal="center" vertical="center" wrapText="1"/>
    </xf>
    <xf numFmtId="166" fontId="46" fillId="0" borderId="290" applyAlignment="1" pivotButton="0" quotePrefix="0" xfId="0">
      <alignment vertical="center" wrapText="1"/>
    </xf>
    <xf numFmtId="0" fontId="46" fillId="0" borderId="291" applyAlignment="1" pivotButton="0" quotePrefix="0" xfId="0">
      <alignment horizontal="center" vertical="center" wrapText="1"/>
    </xf>
    <xf numFmtId="0" fontId="66" fillId="20" borderId="336" applyAlignment="1" pivotButton="0" quotePrefix="0" xfId="0">
      <alignment horizontal="center" vertical="center" wrapText="1"/>
    </xf>
    <xf numFmtId="0" fontId="46" fillId="17" borderId="29" applyAlignment="1" pivotButton="0" quotePrefix="0" xfId="0">
      <alignment vertical="center" wrapText="1"/>
    </xf>
    <xf numFmtId="0" fontId="49" fillId="34" borderId="111" applyAlignment="1" pivotButton="0" quotePrefix="0" xfId="0">
      <alignment horizontal="center" vertical="center" wrapText="1"/>
    </xf>
    <xf numFmtId="0" fontId="0" fillId="0" borderId="111" pivotButton="0" quotePrefix="0" xfId="0"/>
    <xf numFmtId="0" fontId="88" fillId="14" borderId="30" applyAlignment="1" pivotButton="0" quotePrefix="0" xfId="3">
      <alignment horizontal="center" vertical="center"/>
    </xf>
    <xf numFmtId="0" fontId="46" fillId="0" borderId="337" applyAlignment="1" pivotButton="0" quotePrefix="0" xfId="0">
      <alignment horizontal="center" vertical="center" wrapText="1"/>
    </xf>
    <xf numFmtId="0" fontId="0" fillId="0" borderId="63" pivotButton="0" quotePrefix="0" xfId="0"/>
    <xf numFmtId="0" fontId="52" fillId="0" borderId="40" applyAlignment="1" pivotButton="0" quotePrefix="0" xfId="0">
      <alignment horizontal="center" vertical="center" wrapText="1"/>
    </xf>
    <xf numFmtId="0" fontId="49" fillId="3" borderId="335" applyAlignment="1" pivotButton="0" quotePrefix="0" xfId="0">
      <alignment horizontal="center" vertical="center" wrapText="1"/>
    </xf>
    <xf numFmtId="0" fontId="0" fillId="0" borderId="268" pivotButton="0" quotePrefix="0" xfId="0"/>
    <xf numFmtId="0" fontId="0" fillId="16" borderId="32" pivotButton="0" quotePrefix="0" xfId="0"/>
    <xf numFmtId="0" fontId="87" fillId="24" borderId="338" applyAlignment="1" pivotButton="0" quotePrefix="0" xfId="0">
      <alignment horizontal="center" vertical="center" wrapText="1"/>
    </xf>
    <xf numFmtId="0" fontId="0" fillId="0" borderId="130" pivotButton="0" quotePrefix="0" xfId="0"/>
    <xf numFmtId="0" fontId="63" fillId="22" borderId="248" applyAlignment="1" pivotButton="0" quotePrefix="0" xfId="0">
      <alignment horizontal="center" vertical="center" wrapText="1"/>
    </xf>
    <xf numFmtId="166" fontId="48" fillId="0" borderId="125" applyAlignment="1" pivotButton="0" quotePrefix="0" xfId="0">
      <alignment vertical="center" wrapText="1"/>
    </xf>
    <xf numFmtId="0" fontId="46" fillId="0" borderId="290" applyAlignment="1" pivotButton="0" quotePrefix="0" xfId="0">
      <alignment horizontal="center" vertical="center" wrapText="1"/>
    </xf>
    <xf numFmtId="166" fontId="46" fillId="0" borderId="290" applyAlignment="1" pivotButton="0" quotePrefix="0" xfId="0">
      <alignment horizontal="center" vertical="center" wrapText="1"/>
    </xf>
    <xf numFmtId="0" fontId="65" fillId="3" borderId="38" applyAlignment="1" pivotButton="0" quotePrefix="0" xfId="0">
      <alignment horizontal="center" vertical="center" wrapText="1"/>
    </xf>
    <xf numFmtId="0" fontId="54" fillId="23" borderId="37" applyAlignment="1" pivotButton="0" quotePrefix="0" xfId="0">
      <alignment horizontal="center" vertical="center" wrapText="1"/>
    </xf>
    <xf numFmtId="0" fontId="55" fillId="21" borderId="296" applyAlignment="1" pivotButton="0" quotePrefix="0" xfId="0">
      <alignment horizontal="center" vertical="center" wrapText="1"/>
    </xf>
    <xf numFmtId="164" fontId="47" fillId="16" borderId="247" applyAlignment="1" pivotButton="0" quotePrefix="0" xfId="0">
      <alignment horizontal="center" vertical="center" wrapText="1"/>
    </xf>
    <xf numFmtId="0" fontId="0" fillId="0" borderId="247" pivotButton="0" quotePrefix="0" xfId="0"/>
    <xf numFmtId="0" fontId="55" fillId="21" borderId="330" applyAlignment="1" pivotButton="0" quotePrefix="0" xfId="0">
      <alignment horizontal="center" vertical="center" wrapText="1"/>
    </xf>
    <xf numFmtId="0" fontId="6" fillId="16" borderId="29" applyAlignment="1" pivotButton="0" quotePrefix="0" xfId="2">
      <alignment vertical="center" wrapText="1"/>
    </xf>
    <xf numFmtId="0" fontId="53" fillId="0" borderId="327" applyAlignment="1" pivotButton="0" quotePrefix="0" xfId="2">
      <alignment horizontal="left" vertical="center"/>
    </xf>
    <xf numFmtId="0" fontId="53" fillId="0" borderId="29" applyAlignment="1" pivotButton="0" quotePrefix="0" xfId="2">
      <alignment horizontal="left" vertical="center" wrapText="1"/>
    </xf>
    <xf numFmtId="0" fontId="36" fillId="0" borderId="36" applyAlignment="1" pivotButton="0" quotePrefix="0" xfId="2">
      <alignment horizontal="left" vertical="center" wrapText="1"/>
    </xf>
    <xf numFmtId="0" fontId="41" fillId="21" borderId="292" applyAlignment="1" pivotButton="0" quotePrefix="0" xfId="2">
      <alignment horizontal="center" vertical="center" wrapText="1"/>
    </xf>
    <xf numFmtId="0" fontId="0" fillId="0" borderId="0" pivotButton="0" quotePrefix="0" xfId="2"/>
    <xf numFmtId="0" fontId="36" fillId="0" borderId="38" applyAlignment="1" pivotButton="0" quotePrefix="0" xfId="2">
      <alignment horizontal="left" vertical="center" wrapText="1"/>
    </xf>
    <xf numFmtId="0" fontId="6" fillId="0" borderId="323" applyAlignment="1" pivotButton="0" quotePrefix="0" xfId="2">
      <alignment vertical="center" wrapText="1"/>
    </xf>
    <xf numFmtId="166" fontId="1" fillId="0" borderId="29" applyAlignment="1" pivotButton="0" quotePrefix="0" xfId="2">
      <alignment vertical="center" wrapText="1"/>
    </xf>
    <xf numFmtId="0" fontId="41" fillId="21" borderId="365" applyAlignment="1" pivotButton="0" quotePrefix="0" xfId="2">
      <alignment horizontal="center" vertical="center" wrapText="1"/>
    </xf>
    <xf numFmtId="0" fontId="53" fillId="30" borderId="31" applyAlignment="1" pivotButton="0" quotePrefix="0" xfId="2">
      <alignment horizontal="center" vertical="center" wrapText="1"/>
    </xf>
    <xf numFmtId="164" fontId="56" fillId="16" borderId="40" applyAlignment="1" pivotButton="0" quotePrefix="0" xfId="2">
      <alignment horizontal="center" vertical="center" wrapText="1"/>
    </xf>
    <xf numFmtId="0" fontId="90" fillId="14" borderId="22" applyAlignment="1" pivotButton="0" quotePrefix="0" xfId="3">
      <alignment horizontal="center" vertical="center"/>
    </xf>
    <xf numFmtId="0" fontId="53" fillId="27" borderId="38" applyAlignment="1" pivotButton="0" quotePrefix="0" xfId="2">
      <alignment horizontal="left" vertical="center" wrapText="1"/>
    </xf>
    <xf numFmtId="0" fontId="6" fillId="0" borderId="38" applyAlignment="1" pivotButton="0" quotePrefix="0" xfId="2">
      <alignment vertical="center" wrapText="1"/>
    </xf>
    <xf numFmtId="0" fontId="1" fillId="0" borderId="29" applyAlignment="1" pivotButton="0" quotePrefix="0" xfId="2">
      <alignment vertical="center" wrapText="1"/>
    </xf>
    <xf numFmtId="0" fontId="29" fillId="20" borderId="41" applyAlignment="1" pivotButton="0" quotePrefix="0" xfId="2">
      <alignment horizontal="left" vertical="center" wrapText="1"/>
    </xf>
    <xf numFmtId="0" fontId="0" fillId="0" borderId="41" pivotButton="0" quotePrefix="0" xfId="0"/>
    <xf numFmtId="0" fontId="46" fillId="4" borderId="102" applyAlignment="1" pivotButton="0" quotePrefix="0" xfId="3">
      <alignment horizontal="center" vertical="center"/>
    </xf>
    <xf numFmtId="0" fontId="0" fillId="0" borderId="102" pivotButton="0" quotePrefix="0" xfId="0"/>
    <xf numFmtId="0" fontId="53" fillId="30" borderId="106" applyAlignment="1" pivotButton="0" quotePrefix="0" xfId="2">
      <alignment horizontal="center" vertical="center" wrapText="1"/>
    </xf>
    <xf numFmtId="0" fontId="6" fillId="17" borderId="29" applyAlignment="1" pivotButton="0" quotePrefix="0" xfId="2">
      <alignment horizontal="center" vertical="center" wrapText="1"/>
    </xf>
    <xf numFmtId="166" fontId="36" fillId="0" borderId="91" applyAlignment="1" pivotButton="0" quotePrefix="0" xfId="2">
      <alignment horizontal="center" vertical="center" wrapText="1"/>
    </xf>
    <xf numFmtId="0" fontId="53" fillId="0" borderId="110" applyAlignment="1" pivotButton="0" quotePrefix="0" xfId="2">
      <alignment horizontal="left" vertical="center"/>
    </xf>
    <xf numFmtId="0" fontId="6" fillId="0" borderId="29" applyAlignment="1" pivotButton="0" quotePrefix="0" xfId="2">
      <alignment vertical="center" wrapText="1"/>
    </xf>
    <xf numFmtId="0" fontId="1" fillId="0" borderId="64" applyAlignment="1" pivotButton="0" quotePrefix="0" xfId="2">
      <alignment vertical="center" wrapText="1"/>
    </xf>
    <xf numFmtId="0" fontId="58" fillId="3" borderId="91" applyAlignment="1" pivotButton="0" quotePrefix="0" xfId="2">
      <alignment horizontal="center" vertical="center" wrapText="1"/>
    </xf>
    <xf numFmtId="166" fontId="36" fillId="0" borderId="319" applyAlignment="1" pivotButton="0" quotePrefix="0" xfId="2">
      <alignment horizontal="center" vertical="center" wrapText="1"/>
    </xf>
    <xf numFmtId="0" fontId="0" fillId="0" borderId="319" pivotButton="0" quotePrefix="0" xfId="0"/>
    <xf numFmtId="0" fontId="29" fillId="20" borderId="292" applyAlignment="1" pivotButton="0" quotePrefix="0" xfId="2">
      <alignment horizontal="center" vertical="center" wrapText="1"/>
    </xf>
    <xf numFmtId="0" fontId="90" fillId="14" borderId="324" applyAlignment="1" pivotButton="0" quotePrefix="0" xfId="3">
      <alignment horizontal="center" vertical="center"/>
    </xf>
    <xf numFmtId="0" fontId="0" fillId="0" borderId="325" pivotButton="0" quotePrefix="0" xfId="0"/>
    <xf numFmtId="0" fontId="46" fillId="4" borderId="101" applyAlignment="1" pivotButton="0" quotePrefix="0" xfId="3">
      <alignment horizontal="center" vertical="center"/>
    </xf>
    <xf numFmtId="0" fontId="53" fillId="15" borderId="64" applyAlignment="1" pivotButton="0" quotePrefix="0" xfId="2">
      <alignment horizontal="center" vertical="center" wrapText="1"/>
    </xf>
    <xf numFmtId="0" fontId="53" fillId="0" borderId="110" applyAlignment="1" pivotButton="0" quotePrefix="0" xfId="2">
      <alignment horizontal="left" vertical="center" wrapText="1"/>
    </xf>
    <xf numFmtId="0" fontId="6" fillId="0" borderId="65" applyAlignment="1" pivotButton="0" quotePrefix="0" xfId="2">
      <alignment vertical="center" wrapText="1"/>
    </xf>
    <xf numFmtId="166" fontId="1" fillId="0" borderId="65" applyAlignment="1" pivotButton="0" quotePrefix="0" xfId="2">
      <alignment vertical="center" wrapText="1"/>
    </xf>
    <xf numFmtId="0" fontId="68" fillId="0" borderId="91" applyAlignment="1" pivotButton="0" quotePrefix="0" xfId="2">
      <alignment horizontal="left" vertical="center" wrapText="1"/>
    </xf>
    <xf numFmtId="0" fontId="53" fillId="23" borderId="39" applyAlignment="1" pivotButton="0" quotePrefix="0" xfId="2">
      <alignment horizontal="center" vertical="center" wrapText="1"/>
    </xf>
    <xf numFmtId="0" fontId="39" fillId="3" borderId="267" applyAlignment="1" pivotButton="0" quotePrefix="0" xfId="2">
      <alignment horizontal="center" vertical="center" wrapText="1"/>
    </xf>
    <xf numFmtId="0" fontId="0" fillId="0" borderId="267" pivotButton="0" quotePrefix="0" xfId="0"/>
    <xf numFmtId="0" fontId="49" fillId="15" borderId="0" applyAlignment="1" pivotButton="0" quotePrefix="0" xfId="0">
      <alignment horizontal="center" vertical="center" wrapText="1"/>
    </xf>
    <xf numFmtId="0" fontId="1" fillId="0" borderId="29" applyAlignment="1" pivotButton="0" quotePrefix="0" xfId="2">
      <alignment horizontal="center" vertical="center" wrapText="1"/>
    </xf>
    <xf numFmtId="0" fontId="49" fillId="15" borderId="91" applyAlignment="1" pivotButton="0" quotePrefix="0" xfId="0">
      <alignment horizontal="center" vertical="center" wrapText="1"/>
    </xf>
    <xf numFmtId="0" fontId="40" fillId="3" borderId="294" applyAlignment="1" pivotButton="0" quotePrefix="0" xfId="2">
      <alignment horizontal="center" vertical="center" wrapText="1"/>
    </xf>
    <xf numFmtId="0" fontId="53" fillId="30" borderId="32" applyAlignment="1" pivotButton="0" quotePrefix="0" xfId="2">
      <alignment horizontal="center" vertical="center" wrapText="1"/>
    </xf>
    <xf numFmtId="0" fontId="57" fillId="25" borderId="202" applyAlignment="1" pivotButton="0" quotePrefix="0" xfId="1">
      <alignment horizontal="center" vertical="center"/>
    </xf>
    <xf numFmtId="0" fontId="6" fillId="0" borderId="270" applyAlignment="1" pivotButton="0" quotePrefix="0" xfId="2">
      <alignment vertical="center" wrapText="1"/>
    </xf>
    <xf numFmtId="0" fontId="0" fillId="0" borderId="270" pivotButton="0" quotePrefix="0" xfId="0"/>
    <xf numFmtId="0" fontId="0" fillId="0" borderId="297" pivotButton="0" quotePrefix="0" xfId="0"/>
    <xf numFmtId="0" fontId="53" fillId="30" borderId="243" applyAlignment="1" pivotButton="0" quotePrefix="0" xfId="2">
      <alignment horizontal="center" vertical="center" wrapText="1"/>
    </xf>
    <xf numFmtId="0" fontId="53" fillId="57" borderId="91" applyAlignment="1" pivotButton="0" quotePrefix="0" xfId="2">
      <alignment horizontal="center" vertical="center" wrapText="1"/>
    </xf>
    <xf numFmtId="0" fontId="53" fillId="0" borderId="29" applyAlignment="1" pivotButton="0" quotePrefix="0" xfId="2">
      <alignment horizontal="left" vertical="center"/>
    </xf>
    <xf numFmtId="0" fontId="0" fillId="0" borderId="268" pivotButton="0" quotePrefix="0" xfId="2"/>
    <xf numFmtId="0" fontId="68" fillId="0" borderId="117" applyAlignment="1" pivotButton="0" quotePrefix="0" xfId="2">
      <alignment horizontal="left" vertical="center" wrapText="1"/>
    </xf>
    <xf numFmtId="0" fontId="33" fillId="20" borderId="0" applyAlignment="1" pivotButton="0" quotePrefix="0" xfId="2">
      <alignment horizontal="center" vertical="center" wrapText="1"/>
    </xf>
    <xf numFmtId="164" fontId="56" fillId="16" borderId="0" applyAlignment="1" pivotButton="0" quotePrefix="0" xfId="2">
      <alignment horizontal="center" vertical="center" wrapText="1"/>
    </xf>
    <xf numFmtId="0" fontId="53" fillId="30" borderId="318" applyAlignment="1" pivotButton="0" quotePrefix="0" xfId="2">
      <alignment horizontal="center" vertical="center" wrapText="1"/>
    </xf>
    <xf numFmtId="0" fontId="39" fillId="3" borderId="33" applyAlignment="1" pivotButton="0" quotePrefix="0" xfId="2">
      <alignment horizontal="center" vertical="center" wrapText="1"/>
    </xf>
    <xf numFmtId="166" fontId="53" fillId="23" borderId="39" applyAlignment="1" pivotButton="0" quotePrefix="0" xfId="2">
      <alignment horizontal="center" vertical="center" wrapText="1"/>
    </xf>
    <xf numFmtId="0" fontId="53" fillId="30" borderId="36" applyAlignment="1" pivotButton="0" quotePrefix="0" xfId="2">
      <alignment horizontal="center" vertical="center" wrapText="1"/>
    </xf>
    <xf numFmtId="0" fontId="60" fillId="22" borderId="29" applyAlignment="1" pivotButton="0" quotePrefix="0" xfId="2">
      <alignment horizontal="center" vertical="center" wrapText="1"/>
    </xf>
    <xf numFmtId="166" fontId="39" fillId="3" borderId="115" applyAlignment="1" pivotButton="0" quotePrefix="0" xfId="2">
      <alignment horizontal="center" vertical="center" wrapText="1"/>
    </xf>
    <xf numFmtId="0" fontId="46" fillId="4" borderId="104" applyAlignment="1" pivotButton="0" quotePrefix="0" xfId="3">
      <alignment horizontal="center" vertical="center"/>
    </xf>
    <xf numFmtId="0" fontId="39" fillId="3" borderId="321" applyAlignment="1" pivotButton="0" quotePrefix="0" xfId="2">
      <alignment horizontal="center" vertical="center" wrapText="1"/>
    </xf>
    <xf numFmtId="0" fontId="58" fillId="3" borderId="1" applyAlignment="1" pivotButton="0" quotePrefix="0" xfId="2">
      <alignment horizontal="center" vertical="center" wrapText="1"/>
    </xf>
    <xf numFmtId="0" fontId="58" fillId="3" borderId="316" applyAlignment="1" pivotButton="0" quotePrefix="0" xfId="2">
      <alignment horizontal="center" vertical="center" wrapText="1"/>
    </xf>
    <xf numFmtId="0" fontId="6" fillId="0" borderId="202" applyAlignment="1" pivotButton="0" quotePrefix="0" xfId="2">
      <alignment horizontal="center" vertical="center" wrapText="1"/>
    </xf>
    <xf numFmtId="164" fontId="40" fillId="3" borderId="41" applyAlignment="1" pivotButton="0" quotePrefix="0" xfId="2">
      <alignment horizontal="center" vertical="center" wrapText="1"/>
    </xf>
    <xf numFmtId="0" fontId="29" fillId="20" borderId="317" applyAlignment="1" pivotButton="0" quotePrefix="0" xfId="2">
      <alignment horizontal="left" vertical="center" wrapText="1"/>
    </xf>
    <xf numFmtId="166" fontId="58" fillId="3" borderId="91" applyAlignment="1" pivotButton="0" quotePrefix="0" xfId="2">
      <alignment horizontal="center" vertical="center" wrapText="1"/>
    </xf>
    <xf numFmtId="0" fontId="6" fillId="17" borderId="29" applyAlignment="1" pivotButton="0" quotePrefix="0" xfId="2">
      <alignment vertical="center" wrapText="1"/>
    </xf>
    <xf numFmtId="0" fontId="6" fillId="0" borderId="269" applyAlignment="1" pivotButton="0" quotePrefix="0" xfId="2">
      <alignment vertical="center" wrapText="1"/>
    </xf>
    <xf numFmtId="0" fontId="41" fillId="21" borderId="363" applyAlignment="1" pivotButton="0" quotePrefix="0" xfId="2">
      <alignment horizontal="center" vertical="center" wrapText="1"/>
    </xf>
    <xf numFmtId="0" fontId="60" fillId="22" borderId="64" applyAlignment="1" pivotButton="0" quotePrefix="0" xfId="2">
      <alignment horizontal="center" vertical="center" wrapText="1"/>
    </xf>
    <xf numFmtId="0" fontId="6" fillId="0" borderId="292" applyAlignment="1" pivotButton="0" quotePrefix="0" xfId="2">
      <alignment horizontal="center" vertical="center" wrapText="1"/>
    </xf>
    <xf numFmtId="0" fontId="36" fillId="0" borderId="320" applyAlignment="1" pivotButton="0" quotePrefix="0" xfId="2">
      <alignment horizontal="left" vertical="center" wrapText="1"/>
    </xf>
    <xf numFmtId="0" fontId="0" fillId="0" borderId="326" pivotButton="0" quotePrefix="0" xfId="0"/>
    <xf numFmtId="0" fontId="53" fillId="0" borderId="38" applyAlignment="1" pivotButton="0" quotePrefix="0" xfId="2">
      <alignment horizontal="left" vertical="center"/>
    </xf>
    <xf numFmtId="0" fontId="6" fillId="0" borderId="294" applyAlignment="1" pivotButton="0" quotePrefix="0" xfId="2">
      <alignment horizontal="center" vertical="center" wrapText="1"/>
    </xf>
    <xf numFmtId="0" fontId="39" fillId="3" borderId="366" applyAlignment="1" pivotButton="0" quotePrefix="0" xfId="2">
      <alignment horizontal="center" vertical="center" wrapText="1"/>
    </xf>
    <xf numFmtId="0" fontId="49" fillId="15" borderId="40" applyAlignment="1" pivotButton="0" quotePrefix="0" xfId="0">
      <alignment horizontal="center" vertical="center" wrapText="1"/>
    </xf>
    <xf numFmtId="0" fontId="0" fillId="0" borderId="322" pivotButton="0" quotePrefix="0" xfId="0"/>
    <xf numFmtId="0" fontId="60" fillId="22" borderId="32" applyAlignment="1" pivotButton="0" quotePrefix="0" xfId="2">
      <alignment horizontal="center" vertical="center" wrapText="1"/>
    </xf>
    <xf numFmtId="0" fontId="60" fillId="22" borderId="106" applyAlignment="1" pivotButton="0" quotePrefix="0" xfId="2">
      <alignment horizontal="center" vertical="center" wrapText="1"/>
    </xf>
    <xf numFmtId="0" fontId="29" fillId="20" borderId="202" applyAlignment="1" pivotButton="0" quotePrefix="0" xfId="2">
      <alignment horizontal="center" vertical="center" wrapText="1"/>
    </xf>
    <xf numFmtId="164" fontId="40" fillId="3" borderId="113" applyAlignment="1" pivotButton="0" quotePrefix="0" xfId="2">
      <alignment horizontal="center" vertical="center" wrapText="1"/>
    </xf>
    <xf numFmtId="0" fontId="0" fillId="0" borderId="113" pivotButton="0" quotePrefix="0" xfId="0"/>
    <xf numFmtId="164" fontId="56" fillId="16" borderId="91" applyAlignment="1" pivotButton="0" quotePrefix="0" xfId="2">
      <alignment horizontal="center" vertical="center" wrapText="1"/>
    </xf>
    <xf numFmtId="0" fontId="41" fillId="21" borderId="315" applyAlignment="1" pivotButton="0" quotePrefix="0" xfId="2">
      <alignment horizontal="center" vertical="center" wrapText="1"/>
    </xf>
    <xf numFmtId="0" fontId="53" fillId="0" borderId="58" applyAlignment="1" pivotButton="0" quotePrefix="0" xfId="1">
      <alignment horizontal="left" vertical="center"/>
    </xf>
    <xf numFmtId="0" fontId="53" fillId="0" borderId="58" applyAlignment="1" pivotButton="0" quotePrefix="0" xfId="1">
      <alignment vertical="center"/>
    </xf>
    <xf numFmtId="0" fontId="53" fillId="0" borderId="98" applyAlignment="1" pivotButton="0" quotePrefix="0" xfId="1">
      <alignment vertical="center"/>
    </xf>
    <xf numFmtId="0" fontId="96" fillId="16" borderId="29" applyAlignment="1" pivotButton="0" quotePrefix="0" xfId="0">
      <alignment vertical="center"/>
    </xf>
    <xf numFmtId="0" fontId="6" fillId="16" borderId="147" applyAlignment="1" pivotButton="0" quotePrefix="0" xfId="0">
      <alignment horizontal="center" vertical="center"/>
    </xf>
    <xf numFmtId="0" fontId="6" fillId="16" borderId="29" applyAlignment="1" pivotButton="0" quotePrefix="0" xfId="0">
      <alignment vertical="center"/>
    </xf>
    <xf numFmtId="0" fontId="29" fillId="20" borderId="349" applyAlignment="1" pivotButton="0" quotePrefix="0" xfId="0">
      <alignment horizontal="center" vertical="center"/>
    </xf>
    <xf numFmtId="0" fontId="29" fillId="20" borderId="381" applyAlignment="1" pivotButton="0" quotePrefix="0" xfId="0">
      <alignment horizontal="center" vertical="center"/>
    </xf>
    <xf numFmtId="0" fontId="154" fillId="26" borderId="29" applyAlignment="1" pivotButton="0" quotePrefix="0" xfId="0">
      <alignment horizontal="left" vertical="center"/>
    </xf>
    <xf numFmtId="0" fontId="86" fillId="49" borderId="366" applyAlignment="1" pivotButton="0" quotePrefix="0" xfId="0">
      <alignment horizontal="center" vertical="center"/>
    </xf>
    <xf numFmtId="0" fontId="86" fillId="49" borderId="267" applyAlignment="1" pivotButton="0" quotePrefix="0" xfId="0">
      <alignment horizontal="center" vertical="center"/>
    </xf>
    <xf numFmtId="0" fontId="119" fillId="0" borderId="99" applyAlignment="1" pivotButton="0" quotePrefix="0" xfId="1">
      <alignment horizontal="center" vertical="center"/>
    </xf>
    <xf numFmtId="0" fontId="33" fillId="20" borderId="34" applyAlignment="1" pivotButton="0" quotePrefix="0" xfId="0">
      <alignment horizontal="center" vertical="center"/>
    </xf>
    <xf numFmtId="0" fontId="0" fillId="43" borderId="91" pivotButton="0" quotePrefix="0" xfId="0"/>
    <xf numFmtId="0" fontId="0" fillId="43" borderId="34" pivotButton="0" quotePrefix="0" xfId="0"/>
    <xf numFmtId="0" fontId="0" fillId="43" borderId="0" pivotButton="0" quotePrefix="0" xfId="0"/>
    <xf numFmtId="164" fontId="75" fillId="6" borderId="0" applyAlignment="1" pivotButton="0" quotePrefix="0" xfId="0">
      <alignment vertical="center"/>
    </xf>
    <xf numFmtId="164" fontId="75" fillId="0" borderId="0" applyAlignment="1" pivotButton="0" quotePrefix="0" xfId="0">
      <alignment vertical="center"/>
    </xf>
    <xf numFmtId="164" fontId="49" fillId="3" borderId="0" applyAlignment="1" pivotButton="0" quotePrefix="0" xfId="0">
      <alignment vertical="center"/>
    </xf>
    <xf numFmtId="0" fontId="29" fillId="20" borderId="383" applyAlignment="1" pivotButton="0" quotePrefix="0" xfId="0">
      <alignment horizontal="center" vertical="center"/>
    </xf>
    <xf numFmtId="0" fontId="0" fillId="0" borderId="381" pivotButton="0" quotePrefix="0" xfId="0"/>
    <xf numFmtId="168" fontId="96" fillId="26" borderId="29" applyAlignment="1" pivotButton="0" quotePrefix="0" xfId="0">
      <alignment vertical="center"/>
    </xf>
    <xf numFmtId="168" fontId="38" fillId="28" borderId="162" applyAlignment="1" pivotButton="0" quotePrefix="0" xfId="0">
      <alignment vertical="center"/>
    </xf>
    <xf numFmtId="168" fontId="97" fillId="26" borderId="29" applyAlignment="1" pivotButton="0" quotePrefix="0" xfId="0">
      <alignment vertical="center"/>
    </xf>
    <xf numFmtId="0" fontId="0" fillId="0" borderId="147" pivotButton="0" quotePrefix="0" xfId="0"/>
    <xf numFmtId="168" fontId="155" fillId="3" borderId="164" applyAlignment="1" pivotButton="0" quotePrefix="0" xfId="0">
      <alignment vertical="center"/>
    </xf>
    <xf numFmtId="169" fontId="96" fillId="17" borderId="29" applyAlignment="1" pivotButton="0" quotePrefix="0" xfId="0">
      <alignment horizontal="center" vertical="center"/>
    </xf>
    <xf numFmtId="168" fontId="38" fillId="28" borderId="65" applyAlignment="1" pivotButton="0" quotePrefix="0" xfId="0">
      <alignment vertical="center"/>
    </xf>
    <xf numFmtId="168" fontId="155" fillId="3" borderId="65" applyAlignment="1" pivotButton="0" quotePrefix="0" xfId="0">
      <alignment vertical="center"/>
    </xf>
    <xf numFmtId="168" fontId="154" fillId="16" borderId="65" applyAlignment="1" pivotButton="0" quotePrefix="0" xfId="0">
      <alignment vertical="center"/>
    </xf>
    <xf numFmtId="168" fontId="86" fillId="49" borderId="112" applyAlignment="1" pivotButton="0" quotePrefix="0" xfId="0">
      <alignment vertical="center"/>
    </xf>
    <xf numFmtId="170" fontId="38" fillId="17" borderId="39" pivotButton="0" quotePrefix="0" xfId="0"/>
    <xf numFmtId="170" fontId="38" fillId="17" borderId="125" pivotButton="0" quotePrefix="0" xfId="0"/>
    <xf numFmtId="170" fontId="38" fillId="17" borderId="30" pivotButton="0" quotePrefix="0" xfId="0"/>
    <xf numFmtId="170" fontId="0" fillId="17" borderId="30" pivotButton="0" quotePrefix="0" xfId="0"/>
    <xf numFmtId="169" fontId="136" fillId="0" borderId="278" applyAlignment="1" pivotButton="0" quotePrefix="0" xfId="0">
      <alignment vertical="center" wrapText="1"/>
    </xf>
    <xf numFmtId="164" fontId="136" fillId="0" borderId="278" applyAlignment="1" pivotButton="0" quotePrefix="0" xfId="0">
      <alignment vertical="center" wrapText="1"/>
    </xf>
    <xf numFmtId="165" fontId="136" fillId="0" borderId="278" applyAlignment="1" pivotButton="0" quotePrefix="0" xfId="0">
      <alignment vertical="center" wrapText="1"/>
    </xf>
    <xf numFmtId="169" fontId="137" fillId="0" borderId="279" applyAlignment="1" pivotButton="0" quotePrefix="0" xfId="0">
      <alignment vertical="center" wrapText="1"/>
    </xf>
    <xf numFmtId="164" fontId="137" fillId="0" borderId="279" applyAlignment="1" pivotButton="0" quotePrefix="0" xfId="0">
      <alignment vertical="center" wrapText="1"/>
    </xf>
    <xf numFmtId="169" fontId="137" fillId="0" borderId="278" applyAlignment="1" pivotButton="0" quotePrefix="0" xfId="0">
      <alignment vertical="center" wrapText="1"/>
    </xf>
    <xf numFmtId="164" fontId="137" fillId="0" borderId="278" applyAlignment="1" pivotButton="0" quotePrefix="0" xfId="0">
      <alignment vertical="center" wrapText="1"/>
    </xf>
    <xf numFmtId="165" fontId="48" fillId="0" borderId="29" applyAlignment="1" pivotButton="0" quotePrefix="0" xfId="0">
      <alignment horizontal="center" vertical="center"/>
    </xf>
    <xf numFmtId="166" fontId="75" fillId="0" borderId="29" applyAlignment="1" pivotButton="0" quotePrefix="0" xfId="0">
      <alignment vertical="center"/>
    </xf>
    <xf numFmtId="166" fontId="62" fillId="0" borderId="65" applyAlignment="1" pivotButton="0" quotePrefix="0" xfId="0">
      <alignment vertical="center"/>
    </xf>
    <xf numFmtId="166" fontId="49" fillId="3" borderId="65" applyAlignment="1" pivotButton="0" quotePrefix="0" xfId="0">
      <alignment vertical="center"/>
    </xf>
    <xf numFmtId="166" fontId="55" fillId="35" borderId="65" applyAlignment="1" pivotButton="0" quotePrefix="0" xfId="0">
      <alignment vertical="center"/>
    </xf>
    <xf numFmtId="164" fontId="63" fillId="26" borderId="29" applyAlignment="1" pivotButton="0" quotePrefix="0" xfId="0">
      <alignment vertical="center"/>
    </xf>
    <xf numFmtId="166" fontId="63" fillId="26" borderId="65" applyAlignment="1" pivotButton="0" quotePrefix="0" xfId="0">
      <alignment vertical="center"/>
    </xf>
    <xf numFmtId="166" fontId="66" fillId="20" borderId="65" applyAlignment="1" pivotButton="0" quotePrefix="0" xfId="0">
      <alignment vertical="center"/>
    </xf>
    <xf numFmtId="166" fontId="87" fillId="0" borderId="91" pivotButton="0" quotePrefix="0" xfId="0"/>
    <xf numFmtId="166" fontId="87" fillId="0" borderId="117" pivotButton="0" quotePrefix="0" xfId="0"/>
    <xf numFmtId="166" fontId="62" fillId="0" borderId="153" pivotButton="0" quotePrefix="0" xfId="0"/>
    <xf numFmtId="164" fontId="62" fillId="0" borderId="153" pivotButton="0" quotePrefix="0" xfId="0"/>
    <xf numFmtId="166" fontId="62" fillId="0" borderId="195" pivotButton="0" quotePrefix="0" xfId="0"/>
    <xf numFmtId="166" fontId="62" fillId="0" borderId="276" pivotButton="0" quotePrefix="0" xfId="0"/>
    <xf numFmtId="166" fontId="49" fillId="3" borderId="153" pivotButton="0" quotePrefix="0" xfId="0"/>
    <xf numFmtId="164" fontId="49" fillId="3" borderId="153" pivotButton="0" quotePrefix="0" xfId="0"/>
    <xf numFmtId="166" fontId="49" fillId="3" borderId="195" pivotButton="0" quotePrefix="0" xfId="0"/>
    <xf numFmtId="166" fontId="46" fillId="0" borderId="151" pivotButton="0" quotePrefix="0" xfId="0"/>
    <xf numFmtId="166" fontId="55" fillId="20" borderId="155" applyAlignment="1" pivotButton="0" quotePrefix="0" xfId="0">
      <alignment vertical="center"/>
    </xf>
    <xf numFmtId="166" fontId="87" fillId="0" borderId="0" applyAlignment="1" pivotButton="0" quotePrefix="0" xfId="0">
      <alignment vertical="center"/>
    </xf>
    <xf numFmtId="165" fontId="49" fillId="34" borderId="29" applyAlignment="1" pivotButton="0" quotePrefix="0" xfId="0">
      <alignment horizontal="center"/>
    </xf>
    <xf numFmtId="165" fontId="55" fillId="20" borderId="110" applyAlignment="1" pivotButton="0" quotePrefix="0" xfId="0">
      <alignment horizontal="center" vertical="center"/>
    </xf>
    <xf numFmtId="165" fontId="70" fillId="36" borderId="32" applyAlignment="1" pivotButton="0" quotePrefix="0" xfId="0">
      <alignment horizontal="center"/>
    </xf>
    <xf numFmtId="165" fontId="43" fillId="7" borderId="29" applyAlignment="1" pivotButton="0" quotePrefix="0" xfId="0">
      <alignment horizontal="center"/>
    </xf>
    <xf numFmtId="165" fontId="43" fillId="6" borderId="29" applyAlignment="1" pivotButton="0" quotePrefix="0" xfId="0">
      <alignment horizontal="center"/>
    </xf>
    <xf numFmtId="165" fontId="70" fillId="36" borderId="29" applyAlignment="1" pivotButton="0" quotePrefix="0" xfId="0">
      <alignment horizontal="center"/>
    </xf>
    <xf numFmtId="165" fontId="55" fillId="20" borderId="29" applyAlignment="1" pivotButton="0" quotePrefix="0" xfId="0">
      <alignment horizontal="center" vertical="center"/>
    </xf>
    <xf numFmtId="165" fontId="43" fillId="0" borderId="29" applyAlignment="1" pivotButton="0" quotePrefix="0" xfId="0">
      <alignment horizontal="center"/>
    </xf>
    <xf numFmtId="165" fontId="44" fillId="20" borderId="29" applyAlignment="1" pivotButton="0" quotePrefix="0" xfId="0">
      <alignment horizontal="center" vertical="center"/>
    </xf>
    <xf numFmtId="165" fontId="45" fillId="20" borderId="29" applyAlignment="1" pivotButton="0" quotePrefix="0" xfId="0">
      <alignment horizontal="center" vertical="center"/>
    </xf>
    <xf numFmtId="165" fontId="43" fillId="7" borderId="33" applyAlignment="1" pivotButton="0" quotePrefix="0" xfId="0">
      <alignment horizontal="center"/>
    </xf>
    <xf numFmtId="165" fontId="43" fillId="7" borderId="143" applyAlignment="1" pivotButton="0" quotePrefix="0" xfId="0">
      <alignment horizontal="center"/>
    </xf>
    <xf numFmtId="165" fontId="43" fillId="7" borderId="147" applyAlignment="1" pivotButton="0" quotePrefix="0" xfId="0">
      <alignment horizontal="center"/>
    </xf>
    <xf numFmtId="169" fontId="0" fillId="11" borderId="12" applyAlignment="1" pivotButton="0" quotePrefix="0" xfId="3">
      <alignment horizontal="center" vertical="center"/>
    </xf>
    <xf numFmtId="169" fontId="23" fillId="12" borderId="12" applyAlignment="1" pivotButton="0" quotePrefix="0" xfId="3">
      <alignment vertical="center"/>
    </xf>
    <xf numFmtId="0" fontId="123" fillId="54" borderId="374" applyAlignment="1" pivotButton="0" quotePrefix="0" xfId="4">
      <alignment vertical="center" wrapText="1"/>
    </xf>
    <xf numFmtId="165" fontId="123" fillId="54" borderId="180" applyAlignment="1" pivotButton="0" quotePrefix="0" xfId="4">
      <alignment horizontal="center" vertical="center" wrapText="1"/>
    </xf>
    <xf numFmtId="165" fontId="123" fillId="54" borderId="178" applyAlignment="1" pivotButton="0" quotePrefix="0" xfId="4">
      <alignment vertical="center" wrapText="1"/>
    </xf>
    <xf numFmtId="165" fontId="123" fillId="54" borderId="374" applyAlignment="1" pivotButton="0" quotePrefix="0" xfId="4">
      <alignment vertical="center" wrapText="1"/>
    </xf>
    <xf numFmtId="0" fontId="124" fillId="53" borderId="374" applyAlignment="1" pivotButton="0" quotePrefix="0" xfId="4">
      <alignment horizontal="left" vertical="center" wrapText="1"/>
    </xf>
    <xf numFmtId="0" fontId="4" fillId="0" borderId="374" applyAlignment="1" pivotButton="0" quotePrefix="0" xfId="4">
      <alignment horizontal="center"/>
    </xf>
    <xf numFmtId="0" fontId="123" fillId="54" borderId="374" applyAlignment="1" pivotButton="0" quotePrefix="0" xfId="4">
      <alignment horizontal="center" vertical="center" wrapText="1"/>
    </xf>
    <xf numFmtId="0" fontId="124" fillId="53" borderId="374" applyAlignment="1" pivotButton="0" quotePrefix="0" xfId="4">
      <alignment vertical="center" wrapText="1"/>
    </xf>
    <xf numFmtId="0" fontId="0" fillId="16" borderId="374" pivotButton="0" quotePrefix="0" xfId="0"/>
    <xf numFmtId="164" fontId="126" fillId="55" borderId="187" applyAlignment="1" pivotButton="0" quotePrefix="0" xfId="4">
      <alignment vertical="center" wrapText="1"/>
    </xf>
    <xf numFmtId="164" fontId="126" fillId="55" borderId="178" applyAlignment="1" pivotButton="0" quotePrefix="0" xfId="4">
      <alignment vertical="center" wrapText="1"/>
    </xf>
    <xf numFmtId="0" fontId="123" fillId="28" borderId="374" applyAlignment="1" pivotButton="0" quotePrefix="0" xfId="4">
      <alignment horizontal="center" vertical="center" wrapText="1"/>
    </xf>
    <xf numFmtId="167" fontId="123" fillId="54" borderId="177" applyAlignment="1" pivotButton="0" quotePrefix="0" xfId="4">
      <alignment vertical="center" wrapText="1"/>
    </xf>
    <xf numFmtId="167" fontId="123" fillId="54" borderId="180" applyAlignment="1" pivotButton="0" quotePrefix="0" xfId="4">
      <alignment vertical="center" wrapText="1"/>
    </xf>
    <xf numFmtId="167" fontId="123" fillId="54" borderId="178" applyAlignment="1" pivotButton="0" quotePrefix="0" xfId="4">
      <alignment vertical="center" wrapText="1"/>
    </xf>
    <xf numFmtId="164" fontId="123" fillId="54" borderId="180" applyAlignment="1" pivotButton="0" quotePrefix="0" xfId="4">
      <alignment vertical="center" wrapText="1"/>
    </xf>
    <xf numFmtId="0" fontId="123" fillId="54" borderId="374" applyAlignment="1" pivotButton="0" quotePrefix="0" xfId="4">
      <alignment horizontal="left" vertical="center" wrapText="1"/>
    </xf>
    <xf numFmtId="0" fontId="73" fillId="41" borderId="374" applyAlignment="1" pivotButton="0" quotePrefix="0" xfId="4">
      <alignment horizontal="center" vertical="center" wrapText="1"/>
    </xf>
    <xf numFmtId="0" fontId="123" fillId="17" borderId="374" applyAlignment="1" pivotButton="0" quotePrefix="0" xfId="4">
      <alignment vertical="center" wrapText="1"/>
    </xf>
    <xf numFmtId="0" fontId="123" fillId="26" borderId="374" applyAlignment="1" pivotButton="0" quotePrefix="0" xfId="4">
      <alignment vertical="center" wrapText="1"/>
    </xf>
    <xf numFmtId="0" fontId="123" fillId="53" borderId="374" applyAlignment="1" pivotButton="0" quotePrefix="0" xfId="4">
      <alignment vertical="center" wrapText="1"/>
    </xf>
    <xf numFmtId="0" fontId="121" fillId="56" borderId="374" applyAlignment="1" pivotButton="0" quotePrefix="0" xfId="4">
      <alignment horizontal="center" vertical="center" wrapText="1"/>
    </xf>
    <xf numFmtId="0" fontId="124" fillId="54" borderId="374" applyAlignment="1" pivotButton="0" quotePrefix="0" xfId="4">
      <alignment horizontal="center" wrapText="1"/>
    </xf>
    <xf numFmtId="169" fontId="38" fillId="4" borderId="75" applyAlignment="1" pivotButton="0" quotePrefix="0" xfId="1">
      <alignment vertical="center" wrapText="1"/>
    </xf>
    <xf numFmtId="169" fontId="38" fillId="4" borderId="65" applyAlignment="1" pivotButton="0" quotePrefix="0" xfId="1">
      <alignment vertical="center" wrapText="1"/>
    </xf>
    <xf numFmtId="169" fontId="38" fillId="4" borderId="77" applyAlignment="1" pivotButton="0" quotePrefix="0" xfId="1">
      <alignment vertical="center" wrapText="1"/>
    </xf>
    <xf numFmtId="166" fontId="53" fillId="23" borderId="65" applyAlignment="1" pivotButton="0" quotePrefix="0" xfId="2">
      <alignment horizontal="center" vertical="center" wrapText="1"/>
    </xf>
    <xf numFmtId="164" fontId="47" fillId="16" borderId="332" applyAlignment="1" pivotButton="0" quotePrefix="0" xfId="0">
      <alignment horizontal="center" vertical="center" wrapText="1"/>
    </xf>
    <xf numFmtId="164" fontId="47" fillId="16" borderId="158" applyAlignment="1" pivotButton="0" quotePrefix="0" xfId="0">
      <alignment horizontal="center" vertical="center" wrapText="1"/>
    </xf>
    <xf numFmtId="164" fontId="47" fillId="16" borderId="247" applyAlignment="1" pivotButton="0" quotePrefix="0" xfId="0">
      <alignment horizontal="center" vertical="center" wrapText="1"/>
    </xf>
    <xf numFmtId="164" fontId="48" fillId="16" borderId="30" applyAlignment="1" pivotButton="0" quotePrefix="0" xfId="0">
      <alignment horizontal="center"/>
    </xf>
    <xf numFmtId="164" fontId="48" fillId="0" borderId="30" applyAlignment="1" pivotButton="0" quotePrefix="0" xfId="0">
      <alignment horizontal="center"/>
    </xf>
    <xf numFmtId="164" fontId="48" fillId="17" borderId="30" applyAlignment="1" pivotButton="0" quotePrefix="0" xfId="0">
      <alignment horizontal="center"/>
    </xf>
    <xf numFmtId="164" fontId="44" fillId="18" borderId="129" applyAlignment="1" pivotButton="0" quotePrefix="0" xfId="0">
      <alignment horizontal="center"/>
    </xf>
    <xf numFmtId="166" fontId="48" fillId="0" borderId="125" applyAlignment="1" pivotButton="0" quotePrefix="0" xfId="0">
      <alignment horizontal="center" vertical="center" wrapText="1"/>
    </xf>
    <xf numFmtId="164" fontId="48" fillId="16" borderId="30" pivotButton="0" quotePrefix="0" xfId="0"/>
    <xf numFmtId="164" fontId="48" fillId="0" borderId="30" pivotButton="0" quotePrefix="0" xfId="0"/>
    <xf numFmtId="164" fontId="44" fillId="18" borderId="129" pivotButton="0" quotePrefix="0" xfId="0"/>
    <xf numFmtId="166" fontId="48" fillId="0" borderId="363" applyAlignment="1" pivotButton="0" quotePrefix="0" xfId="0">
      <alignment horizontal="center" vertical="center" wrapText="1"/>
    </xf>
    <xf numFmtId="166" fontId="48" fillId="0" borderId="363" applyAlignment="1" pivotButton="0" quotePrefix="0" xfId="0">
      <alignment vertical="center" wrapText="1"/>
    </xf>
    <xf numFmtId="166" fontId="48" fillId="0" borderId="125" applyAlignment="1" pivotButton="0" quotePrefix="0" xfId="0">
      <alignment vertical="center" wrapText="1"/>
    </xf>
    <xf numFmtId="164" fontId="49" fillId="3" borderId="30" pivotButton="0" quotePrefix="0" xfId="0"/>
    <xf numFmtId="164" fontId="59" fillId="19" borderId="129" pivotButton="0" quotePrefix="0" xfId="0"/>
    <xf numFmtId="166" fontId="49" fillId="3" borderId="291" applyAlignment="1" pivotButton="0" quotePrefix="0" xfId="0">
      <alignment vertical="center" wrapText="1"/>
    </xf>
    <xf numFmtId="0" fontId="0" fillId="17" borderId="32" applyAlignment="1" pivotButton="0" quotePrefix="0" xfId="0">
      <alignment horizontal="center" vertical="center" wrapText="1"/>
    </xf>
    <xf numFmtId="0" fontId="0" fillId="0" borderId="420" applyAlignment="1" pivotButton="0" quotePrefix="0" xfId="0">
      <alignment horizontal="left" vertical="center" wrapText="1"/>
    </xf>
    <xf numFmtId="0" fontId="46" fillId="0" borderId="421" applyAlignment="1" pivotButton="0" quotePrefix="0" xfId="0">
      <alignment horizontal="left" vertical="center" wrapText="1"/>
    </xf>
    <xf numFmtId="0" fontId="63" fillId="22" borderId="248" applyAlignment="1" pivotButton="0" quotePrefix="0" xfId="0">
      <alignment horizontal="center" vertical="center"/>
    </xf>
    <xf numFmtId="0" fontId="46" fillId="0" borderId="125" applyAlignment="1" pivotButton="0" quotePrefix="0" xfId="0">
      <alignment horizontal="center" vertical="center"/>
    </xf>
    <xf numFmtId="172" fontId="46" fillId="0" borderId="290" applyAlignment="1" pivotButton="0" quotePrefix="0" xfId="0">
      <alignment horizontal="right" vertical="center"/>
    </xf>
    <xf numFmtId="0" fontId="46" fillId="0" borderId="30" applyAlignment="1" pivotButton="0" quotePrefix="0" xfId="0">
      <alignment horizontal="center" vertical="center"/>
    </xf>
    <xf numFmtId="172" fontId="46" fillId="0" borderId="30" applyAlignment="1" pivotButton="0" quotePrefix="0" xfId="0">
      <alignment horizontal="right" vertical="center"/>
    </xf>
    <xf numFmtId="172" fontId="46" fillId="0" borderId="291" applyAlignment="1" pivotButton="0" quotePrefix="0" xfId="0">
      <alignment horizontal="right" vertical="center"/>
    </xf>
    <xf numFmtId="166" fontId="65" fillId="3" borderId="29" applyAlignment="1" pivotButton="0" quotePrefix="0" xfId="0">
      <alignment horizontal="right" vertical="center" wrapText="1"/>
    </xf>
    <xf numFmtId="166" fontId="65" fillId="3" borderId="91" applyAlignment="1" pivotButton="0" quotePrefix="0" xfId="0">
      <alignment horizontal="right" vertical="center" wrapText="1"/>
    </xf>
    <xf numFmtId="166" fontId="51" fillId="16" borderId="106" applyAlignment="1" pivotButton="0" quotePrefix="0" xfId="0">
      <alignment horizontal="center" vertical="center" wrapText="1"/>
    </xf>
    <xf numFmtId="166" fontId="51" fillId="16" borderId="110" applyAlignment="1" pivotButton="0" quotePrefix="0" xfId="0">
      <alignment horizontal="center" vertical="center" wrapText="1"/>
    </xf>
    <xf numFmtId="164" fontId="38" fillId="16" borderId="334" applyAlignment="1" pivotButton="0" quotePrefix="0" xfId="2">
      <alignment horizontal="center" vertical="center" wrapText="1"/>
    </xf>
    <xf numFmtId="0" fontId="46" fillId="0" borderId="337" applyAlignment="1" pivotButton="0" quotePrefix="0" xfId="0">
      <alignment horizontal="left" vertical="top" wrapText="1"/>
    </xf>
    <xf numFmtId="0" fontId="46" fillId="0" borderId="294" applyAlignment="1" pivotButton="0" quotePrefix="0" xfId="0">
      <alignment horizontal="left" vertical="top" wrapText="1"/>
    </xf>
    <xf numFmtId="0" fontId="165" fillId="0" borderId="0" applyAlignment="1" pivotButton="0" quotePrefix="0" xfId="0">
      <alignment horizontal="center" vertical="center" wrapText="1"/>
    </xf>
    <xf numFmtId="166" fontId="53" fillId="23" borderId="39" applyAlignment="1" pivotButton="0" quotePrefix="0" xfId="2">
      <alignment horizontal="center" vertical="center" wrapText="1"/>
    </xf>
    <xf numFmtId="164" fontId="56" fillId="16" borderId="40" applyAlignment="1" pivotButton="0" quotePrefix="0" xfId="2">
      <alignment horizontal="center" vertical="center" wrapText="1"/>
    </xf>
    <xf numFmtId="164" fontId="56" fillId="16" borderId="0" applyAlignment="1" pivotButton="0" quotePrefix="0" xfId="2">
      <alignment horizontal="center" vertical="center" wrapText="1"/>
    </xf>
    <xf numFmtId="164" fontId="56" fillId="16" borderId="91" applyAlignment="1" pivotButton="0" quotePrefix="0" xfId="2">
      <alignment horizontal="center" vertical="center" wrapText="1"/>
    </xf>
    <xf numFmtId="164" fontId="40" fillId="3" borderId="41" applyAlignment="1" pivotButton="0" quotePrefix="0" xfId="2">
      <alignment horizontal="center" vertical="center" wrapText="1"/>
    </xf>
    <xf numFmtId="164" fontId="40" fillId="3" borderId="113" applyAlignment="1" pivotButton="0" quotePrefix="0" xfId="2">
      <alignment horizontal="center" vertical="center" wrapText="1"/>
    </xf>
    <xf numFmtId="164" fontId="36" fillId="16" borderId="32" applyAlignment="1" pivotButton="0" quotePrefix="0" xfId="2">
      <alignment horizontal="center" vertical="center"/>
    </xf>
    <xf numFmtId="164" fontId="36" fillId="0" borderId="32" applyAlignment="1" pivotButton="0" quotePrefix="0" xfId="2">
      <alignment horizontal="center" vertical="center"/>
    </xf>
    <xf numFmtId="164" fontId="36" fillId="17" borderId="32" applyAlignment="1" pivotButton="0" quotePrefix="0" xfId="2">
      <alignment horizontal="center" vertical="center"/>
    </xf>
    <xf numFmtId="164" fontId="34" fillId="18" borderId="249" applyAlignment="1" pivotButton="0" quotePrefix="0" xfId="2">
      <alignment horizontal="center" vertical="center"/>
    </xf>
    <xf numFmtId="166" fontId="36" fillId="0" borderId="319" applyAlignment="1" pivotButton="0" quotePrefix="0" xfId="2">
      <alignment horizontal="center" vertical="center" wrapText="1"/>
    </xf>
    <xf numFmtId="166" fontId="36" fillId="0" borderId="91" applyAlignment="1" pivotButton="0" quotePrefix="0" xfId="2">
      <alignment horizontal="center" vertical="center" wrapText="1"/>
    </xf>
    <xf numFmtId="164" fontId="0" fillId="0" borderId="33" pivotButton="0" quotePrefix="0" xfId="0"/>
    <xf numFmtId="164" fontId="36" fillId="17" borderId="0" applyAlignment="1" pivotButton="0" quotePrefix="0" xfId="2">
      <alignment horizontal="center" vertical="center"/>
    </xf>
    <xf numFmtId="164" fontId="0" fillId="0" borderId="32" pivotButton="0" quotePrefix="0" xfId="0"/>
    <xf numFmtId="164" fontId="0" fillId="0" borderId="29" pivotButton="0" quotePrefix="0" xfId="0"/>
    <xf numFmtId="164" fontId="57" fillId="19" borderId="28" applyAlignment="1" pivotButton="0" quotePrefix="0" xfId="2">
      <alignment horizontal="center"/>
    </xf>
    <xf numFmtId="166" fontId="58" fillId="3" borderId="91" applyAlignment="1" pivotButton="0" quotePrefix="0" xfId="2">
      <alignment horizontal="center" vertical="center" wrapText="1"/>
    </xf>
    <xf numFmtId="0" fontId="53" fillId="30" borderId="420" applyAlignment="1" pivotButton="0" quotePrefix="0" xfId="2">
      <alignment horizontal="left" vertical="center" wrapText="1"/>
    </xf>
    <xf numFmtId="0" fontId="0" fillId="0" borderId="421" applyAlignment="1" pivotButton="0" quotePrefix="0" xfId="2">
      <alignment horizontal="left" vertical="center" wrapText="1"/>
    </xf>
    <xf numFmtId="0" fontId="6" fillId="0" borderId="421" applyAlignment="1" pivotButton="0" quotePrefix="0" xfId="2">
      <alignment horizontal="left" vertical="center" wrapText="1"/>
    </xf>
    <xf numFmtId="0" fontId="60" fillId="22" borderId="33" applyAlignment="1" pivotButton="0" quotePrefix="0" xfId="2">
      <alignment horizontal="center" vertical="center"/>
    </xf>
    <xf numFmtId="172" fontId="60" fillId="22" borderId="29" applyAlignment="1" pivotButton="0" quotePrefix="0" xfId="2">
      <alignment horizontal="right" vertical="center"/>
    </xf>
    <xf numFmtId="172" fontId="60" fillId="22" borderId="106" applyAlignment="1" pivotButton="0" quotePrefix="0" xfId="2">
      <alignment horizontal="right" vertical="center"/>
    </xf>
    <xf numFmtId="0" fontId="1" fillId="0" borderId="29" applyAlignment="1" pivotButton="0" quotePrefix="0" xfId="2">
      <alignment horizontal="center" vertical="center"/>
    </xf>
    <xf numFmtId="172" fontId="1" fillId="0" borderId="29" applyAlignment="1" pivotButton="0" quotePrefix="0" xfId="2">
      <alignment horizontal="right" vertical="center"/>
    </xf>
    <xf numFmtId="172" fontId="1" fillId="0" borderId="65" applyAlignment="1" pivotButton="0" quotePrefix="0" xfId="2">
      <alignment horizontal="right" vertical="center"/>
    </xf>
    <xf numFmtId="0" fontId="0" fillId="0" borderId="267" applyAlignment="1" pivotButton="0" quotePrefix="0" xfId="0">
      <alignment horizontal="center" vertical="center"/>
    </xf>
    <xf numFmtId="172" fontId="39" fillId="3" borderId="267" applyAlignment="1" pivotButton="0" quotePrefix="0" xfId="2">
      <alignment horizontal="right" vertical="center"/>
    </xf>
    <xf numFmtId="172" fontId="39" fillId="3" borderId="115" applyAlignment="1" pivotButton="0" quotePrefix="0" xfId="2">
      <alignment horizontal="right" vertical="center"/>
    </xf>
    <xf numFmtId="0" fontId="29" fillId="20" borderId="292" applyAlignment="1" pivotButton="0" quotePrefix="0" xfId="2">
      <alignment horizontal="left" vertical="top" wrapText="1"/>
    </xf>
    <xf numFmtId="0" fontId="6" fillId="0" borderId="292" applyAlignment="1" pivotButton="0" quotePrefix="0" xfId="2">
      <alignment horizontal="left" vertical="top" wrapText="1"/>
    </xf>
    <xf numFmtId="2" fontId="96" fillId="17" borderId="29" applyAlignment="1" pivotButton="0" quotePrefix="0" xfId="0">
      <alignment horizontal="center" vertical="center"/>
    </xf>
    <xf numFmtId="2" fontId="136" fillId="0" borderId="278" applyAlignment="1" pivotButton="0" quotePrefix="0" xfId="0">
      <alignment vertical="center" wrapText="1"/>
    </xf>
    <xf numFmtId="2" fontId="137" fillId="0" borderId="279" applyAlignment="1" pivotButton="0" quotePrefix="0" xfId="0">
      <alignment vertical="center" wrapText="1"/>
    </xf>
    <xf numFmtId="2" fontId="137" fillId="0" borderId="278" applyAlignment="1" pivotButton="0" quotePrefix="0" xfId="0">
      <alignment vertical="center" wrapText="1"/>
    </xf>
    <xf numFmtId="2" fontId="0" fillId="11" borderId="12" applyAlignment="1" pivotButton="0" quotePrefix="0" xfId="3">
      <alignment horizontal="center" vertical="center"/>
    </xf>
    <xf numFmtId="2" fontId="23" fillId="12" borderId="12" applyAlignment="1" pivotButton="0" quotePrefix="0" xfId="3">
      <alignment vertical="center"/>
    </xf>
    <xf numFmtId="2" fontId="38" fillId="4" borderId="75" applyAlignment="1" pivotButton="0" quotePrefix="0" xfId="1">
      <alignment vertical="center" wrapText="1"/>
    </xf>
    <xf numFmtId="2" fontId="38" fillId="4" borderId="65" applyAlignment="1" pivotButton="0" quotePrefix="0" xfId="1">
      <alignment vertical="center" wrapText="1"/>
    </xf>
    <xf numFmtId="2" fontId="38" fillId="4" borderId="77" applyAlignment="1" pivotButton="0" quotePrefix="0" xfId="1">
      <alignment vertical="center" wrapText="1"/>
    </xf>
    <xf numFmtId="0" fontId="166" fillId="0" borderId="0" pivotButton="0" quotePrefix="0" xfId="0"/>
  </cellXfs>
  <cellStyles count="5">
    <cellStyle name="Normal" xfId="0" builtinId="0"/>
    <cellStyle name="Normal 2" xfId="1"/>
    <cellStyle name="Normal 3" xfId="2"/>
    <cellStyle name="Normal 4" xfId="3"/>
    <cellStyle name="Normal 5" xfId="4"/>
  </cellStyles>
  <dxfs count="7">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FF2CC"/>
        </patternFill>
      </fill>
    </dxf>
    <dxf>
      <fill>
        <patternFill patternType="solid">
          <fgColor rgb="FFD9EAD3"/>
        </patternFill>
      </fill>
    </dxf>
  </dxfs>
  <tableStyles count="0" defaultTableStyle="TableStyleMedium2" defaultPivotStyle="PivotStyleLight16"/>
  <colors>
    <indexedColors>
      <rgbColor rgb="FF000000"/>
      <rgbColor rgb="FFFFFFFF"/>
      <rgbColor rgb="FFFF0000"/>
      <rgbColor rgb="FF00FF00"/>
      <rgbColor rgb="FF0000FF"/>
      <rgbColor rgb="FFF5F7FA"/>
      <rgbColor rgb="FFFF00FF"/>
      <rgbColor rgb="FF00FFFF"/>
      <rgbColor rgb="FF800000"/>
      <rgbColor rgb="FF008000"/>
      <rgbColor rgb="FF0C1F3F"/>
      <rgbColor rgb="FF878787"/>
      <rgbColor rgb="FF800080"/>
      <rgbColor rgb="FF008080"/>
      <rgbColor rgb="FFBFBFBF"/>
      <rgbColor rgb="FF7F7F7F"/>
      <rgbColor rgb="FF9AA0A8"/>
      <rgbColor rgb="FF4A4A4A"/>
      <rgbColor rgb="FFFFF2CC"/>
      <rgbColor rgb="FFEAF0F6"/>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1"/>
      <rgbColor rgb="FFE2F0D9"/>
      <rgbColor rgb="FFF2F2F2"/>
      <rgbColor rgb="FFB7C3D0"/>
      <rgbColor rgb="FFD9D9D9"/>
      <rgbColor rgb="FFB9BEC7"/>
      <rgbColor rgb="FFFCD5B5"/>
      <rgbColor rgb="FF4F81BD"/>
      <rgbColor rgb="FF33CCCC"/>
      <rgbColor rgb="FFC9A227"/>
      <rgbColor rgb="FFFCCF6A"/>
      <rgbColor rgb="FFCC9900"/>
      <rgbColor rgb="FFFF6600"/>
      <rgbColor rgb="FF666666"/>
      <rgbColor rgb="FF8A8F99"/>
      <rgbColor rgb="FF17365D"/>
      <rgbColor rgb="FF339966"/>
      <rgbColor rgb="FF10243E"/>
      <rgbColor rgb="FF1B2A45"/>
      <rgbColor rgb="FF993300"/>
      <rgbColor rgb="FF993366"/>
      <rgbColor rgb="FF1F3864"/>
      <rgbColor rgb="FF203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69253</xdr:colOff>
      <xdr:row>6</xdr:row>
      <xdr:rowOff>174506</xdr:rowOff>
    </xdr:to>
    <xdr:pic>
      <xdr:nvPicPr>
        <xdr:cNvPr id="14" name="Imagen 2"/>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0"/>
          <a:ext cx="2952000" cy="1368000"/>
        </a:xfrm>
        <a:prstGeom xmlns:a="http://schemas.openxmlformats.org/drawingml/2006/main" prst="rect">
          <avLst/>
        </a:prstGeom>
        <a:ln xmlns:a="http://schemas.openxmlformats.org/drawingml/2006/mai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2766370</xdr:colOff>
      <xdr:row>8</xdr:row>
      <xdr:rowOff>172889</xdr:rowOff>
    </xdr:to>
    <xdr:pic>
      <xdr:nvPicPr>
        <xdr:cNvPr id="3" name="Imagen 2"/>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0"/>
          <a:ext cx="3312000" cy="1584000"/>
        </a:xfrm>
        <a:prstGeom xmlns:a="http://schemas.openxmlformats.org/drawingml/2006/main" prst="rect">
          <avLst/>
        </a:prstGeom>
        <a:ln xmlns:a="http://schemas.openxmlformats.org/drawingml/2006/mai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145</xdr:row>
      <xdr:rowOff>66959</xdr:rowOff>
    </xdr:from>
    <xdr:to>
      <xdr:col>6</xdr:col>
      <xdr:colOff>725921</xdr:colOff>
      <xdr:row>150</xdr:row>
      <xdr:rowOff>28591</xdr:rowOff>
    </xdr:to>
    <xdr:pic>
      <xdr:nvPicPr>
        <xdr:cNvPr id="23" name="Image 2" descr="Picture"/>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24049906"/>
          <a:ext cx="5328000" cy="864000"/>
        </a:xfrm>
        <a:prstGeom xmlns:a="http://schemas.openxmlformats.org/drawingml/2006/main" prst="rect">
          <avLst/>
        </a:prstGeom>
        <a:ln xmlns:a="http://schemas.openxmlformats.org/drawingml/2006/main" w="0">
          <a:noFill/>
          <a:prstDash val="solid"/>
        </a:ln>
      </xdr:spPr>
    </xdr:pic>
    <xdr:clientData/>
  </xdr:twoCellAnchor>
  <xdr:twoCellAnchor editAs="oneCell">
    <xdr:from>
      <xdr:col>0</xdr:col>
      <xdr:colOff>0</xdr:colOff>
      <xdr:row>0</xdr:row>
      <xdr:rowOff>0</xdr:rowOff>
    </xdr:from>
    <xdr:to>
      <xdr:col>3</xdr:col>
      <xdr:colOff>749842</xdr:colOff>
      <xdr:row>8</xdr:row>
      <xdr:rowOff>148421</xdr:rowOff>
    </xdr:to>
    <xdr:pic>
      <xdr:nvPicPr>
        <xdr:cNvPr id="4" name="Imagen 2"/>
        <xdr:cNvPicPr/>
      </xdr:nvPicPr>
      <xdr:blipFill>
        <a:blip xmlns:a="http://schemas.openxmlformats.org/drawingml/2006/main" xmlns:r="http://schemas.openxmlformats.org/officeDocument/2006/relationships" r:embed="rId2"/>
        <a:stretch xmlns:a="http://schemas.openxmlformats.org/drawingml/2006/main">
          <a:fillRect/>
        </a:stretch>
      </xdr:blipFill>
      <xdr:spPr>
        <a:xfrm xmlns:a="http://schemas.openxmlformats.org/drawingml/2006/main">
          <a:off x="0" y="0"/>
          <a:ext cx="3096000" cy="1512000"/>
        </a:xfrm>
        <a:prstGeom xmlns:a="http://schemas.openxmlformats.org/drawingml/2006/main" prst="rect">
          <avLst/>
        </a:prstGeom>
        <a:ln xmlns:a="http://schemas.openxmlformats.org/drawingml/2006/mai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FFFF00"/>
    <pageSetUpPr/>
  </sheetPr>
  <dimension ref="A1:E47"/>
  <sheetViews>
    <sheetView zoomScale="83" zoomScaleNormal="83" workbookViewId="0">
      <pane ySplit="7" topLeftCell="A8" activePane="bottomLeft" state="frozen"/>
      <selection pane="bottomLeft" activeCell="H35" sqref="H35"/>
    </sheetView>
  </sheetViews>
  <sheetFormatPr baseColWidth="10" defaultColWidth="8.6640625" defaultRowHeight="14.4"/>
  <cols>
    <col width="42" customWidth="1" style="550" min="1" max="1"/>
    <col width="20.77734375" customWidth="1" style="550" min="2" max="2"/>
    <col width="50.77734375" customWidth="1" style="550" min="3" max="3"/>
    <col width="15.77734375" customWidth="1" style="550" min="4" max="5"/>
  </cols>
  <sheetData>
    <row r="1" ht="25.5" customHeight="1" s="550">
      <c r="A1" s="3" t="n"/>
      <c r="B1" s="560" t="inlineStr">
        <is>
          <t>FICHA TÉCNICA DEL PROYECTO</t>
        </is>
      </c>
    </row>
    <row r="2" ht="4.95" customHeight="1" s="550">
      <c r="A2" s="4" t="n"/>
      <c r="B2" s="556" t="n"/>
      <c r="C2" s="557" t="n"/>
      <c r="D2" s="557" t="n"/>
      <c r="E2" s="557" t="n"/>
    </row>
    <row r="3" ht="18" customHeight="1" s="550">
      <c r="A3" s="4" t="n"/>
      <c r="B3" s="183" t="n"/>
      <c r="C3" s="184" t="n"/>
      <c r="D3" s="558" t="inlineStr">
        <is>
          <t>CONTROL DOCUMENTAL</t>
        </is>
      </c>
      <c r="E3" s="559" t="n"/>
    </row>
    <row r="4" ht="15" customHeight="1" s="550">
      <c r="A4" s="4" t="n"/>
      <c r="B4" s="564" t="inlineStr">
        <is>
          <t>REFORMAS Y REMODELACIONES</t>
        </is>
      </c>
      <c r="C4" s="562" t="n"/>
      <c r="D4" s="94" t="inlineStr">
        <is>
          <t>Código</t>
        </is>
      </c>
      <c r="E4" s="1209" t="inlineStr">
        <is>
          <t>RYR-FT-001</t>
        </is>
      </c>
    </row>
    <row r="5" ht="15" customHeight="1" s="550">
      <c r="A5" s="4" t="n"/>
      <c r="B5" s="561" t="inlineStr">
        <is>
          <t>DISEÑAMOS, RENOVAMOS Y CONSTRUIMOS ESPACIOS QUE INSPIRAN</t>
        </is>
      </c>
      <c r="C5" s="562" t="n"/>
      <c r="D5" s="94" t="inlineStr">
        <is>
          <t>Versión</t>
        </is>
      </c>
      <c r="E5" s="1195" t="n">
        <v>1</v>
      </c>
    </row>
    <row r="6" ht="15" customHeight="1" s="550">
      <c r="A6" s="4" t="n"/>
      <c r="B6" s="185" t="n"/>
      <c r="C6" s="186" t="n"/>
      <c r="D6" s="94" t="inlineStr">
        <is>
          <t>Fecha de Emisión</t>
        </is>
      </c>
      <c r="E6" s="165" t="inlineStr">
        <is>
          <t>10/09/2026</t>
        </is>
      </c>
    </row>
    <row r="7" ht="15" customHeight="1" s="550">
      <c r="B7" s="185" t="n"/>
      <c r="C7" s="186" t="n"/>
      <c r="D7" s="95" t="inlineStr">
        <is>
          <t>Página</t>
        </is>
      </c>
      <c r="E7" s="1240" t="inlineStr">
        <is>
          <t>1 de 1</t>
        </is>
      </c>
    </row>
    <row r="8">
      <c r="A8" s="563" t="inlineStr">
        <is>
          <t>IDENTIFICACIÓN DEL PROYECTO</t>
        </is>
      </c>
    </row>
    <row r="9">
      <c r="A9" s="97" t="inlineStr">
        <is>
          <t>Proyecto</t>
        </is>
      </c>
      <c r="B9" s="552" t="n"/>
    </row>
    <row r="10">
      <c r="A10" s="97" t="inlineStr">
        <is>
          <t>No de Contrato</t>
        </is>
      </c>
      <c r="B10" s="552" t="n"/>
      <c r="C10" s="97" t="inlineStr">
        <is>
          <t>Fecha de Emisión</t>
        </is>
      </c>
      <c r="D10" s="552" t="n"/>
    </row>
    <row r="11">
      <c r="A11" s="97" t="inlineStr">
        <is>
          <t>Contratista</t>
        </is>
      </c>
      <c r="B11" s="552" t="n"/>
    </row>
    <row r="12">
      <c r="A12" s="97" t="inlineStr">
        <is>
          <t>Ubicación</t>
        </is>
      </c>
      <c r="B12" s="552" t="n"/>
    </row>
    <row r="13" ht="15" customHeight="1" s="550">
      <c r="A13" s="563" t="inlineStr">
        <is>
          <t>DATOS GENERALES DEL PROYECTO</t>
        </is>
      </c>
    </row>
    <row r="14" ht="15" customHeight="1" s="550">
      <c r="A14" s="97" t="inlineStr">
        <is>
          <t>Número de pisos (torre)</t>
        </is>
      </c>
      <c r="B14" s="98" t="n"/>
      <c r="C14" s="549" t="inlineStr">
        <is>
          <t>pisos</t>
        </is>
      </c>
    </row>
    <row r="15" ht="15" customHeight="1" s="550">
      <c r="A15" s="99" t="inlineStr">
        <is>
          <t>Número de sótanos (parqueaderos)</t>
        </is>
      </c>
      <c r="B15" s="100" t="n"/>
      <c r="C15" s="554" t="inlineStr">
        <is>
          <t>niveles</t>
        </is>
      </c>
    </row>
    <row r="16" ht="15" customHeight="1" s="550">
      <c r="A16" s="97" t="inlineStr">
        <is>
          <t>Área del lote</t>
        </is>
      </c>
      <c r="B16" s="98" t="n"/>
      <c r="C16" s="549" t="inlineStr">
        <is>
          <t>m²</t>
        </is>
      </c>
    </row>
    <row r="17" ht="15" customHeight="1" s="550">
      <c r="A17" s="99" t="inlineStr">
        <is>
          <t>Área construida típica por piso</t>
        </is>
      </c>
      <c r="B17" s="100" t="n"/>
      <c r="C17" s="554" t="inlineStr">
        <is>
          <t>m²</t>
        </is>
      </c>
    </row>
    <row r="18" ht="15" customHeight="1" s="550">
      <c r="A18" s="97" t="inlineStr">
        <is>
          <t>Área construida - torre (12 pisos)</t>
        </is>
      </c>
      <c r="B18" s="101">
        <f>B14*B17</f>
        <v/>
      </c>
      <c r="C18" s="549" t="inlineStr">
        <is>
          <t>m²</t>
        </is>
      </c>
    </row>
    <row r="19" ht="15" customHeight="1" s="550">
      <c r="A19" s="99" t="inlineStr">
        <is>
          <t>Área construida - sótanos (2 niveles)</t>
        </is>
      </c>
      <c r="B19" s="100" t="n"/>
      <c r="C19" s="554" t="inlineStr">
        <is>
          <t>m²</t>
        </is>
      </c>
    </row>
    <row r="20" ht="15" customHeight="1" s="550">
      <c r="A20" s="97" t="inlineStr">
        <is>
          <t>Área cubierta / cuarto de máquinas / tanques</t>
        </is>
      </c>
      <c r="B20" s="98" t="n"/>
      <c r="C20" s="549" t="inlineStr">
        <is>
          <t>m²</t>
        </is>
      </c>
    </row>
    <row r="21" ht="15" customHeight="1" s="550">
      <c r="A21" s="99" t="inlineStr">
        <is>
          <t>ÁREA TOTAL CONSTRUIDA</t>
        </is>
      </c>
      <c r="B21" s="102">
        <f>B18+B19+B20</f>
        <v/>
      </c>
      <c r="C21" s="554" t="inlineStr">
        <is>
          <t>m²</t>
        </is>
      </c>
    </row>
    <row r="22" ht="15" customHeight="1" s="550">
      <c r="A22" s="97" t="inlineStr">
        <is>
          <t>Número de apartamentos</t>
        </is>
      </c>
      <c r="B22" s="98" t="n"/>
      <c r="C22" s="549" t="inlineStr">
        <is>
          <t>und</t>
        </is>
      </c>
    </row>
    <row r="23" ht="15" customHeight="1" s="550">
      <c r="A23" s="99" t="inlineStr">
        <is>
          <t>Área promedio por apartamento (vendible)</t>
        </is>
      </c>
      <c r="B23" s="100" t="n"/>
      <c r="C23" s="554" t="inlineStr">
        <is>
          <t>m²</t>
        </is>
      </c>
    </row>
    <row r="24" ht="15" customHeight="1" s="550">
      <c r="A24" s="97" t="inlineStr">
        <is>
          <t>Número de parqueaderos</t>
        </is>
      </c>
      <c r="B24" s="98" t="n"/>
      <c r="C24" s="549" t="inlineStr">
        <is>
          <t>und</t>
        </is>
      </c>
    </row>
    <row r="25" ht="15" customHeight="1" s="550">
      <c r="A25" s="99" t="inlineStr">
        <is>
          <t>Número de ascensores</t>
        </is>
      </c>
      <c r="B25" s="100" t="n"/>
      <c r="C25" s="554" t="inlineStr">
        <is>
          <t>und</t>
        </is>
      </c>
    </row>
    <row r="26" ht="15" customHeight="1" s="550">
      <c r="A26" s="97" t="inlineStr">
        <is>
          <t>Altura total aproximada (sótano a cubierta)</t>
        </is>
      </c>
      <c r="B26" s="98" t="n"/>
      <c r="C26" s="549" t="inlineStr">
        <is>
          <t>m</t>
        </is>
      </c>
    </row>
    <row r="27">
      <c r="A27" s="555" t="n"/>
      <c r="B27" s="555" t="n"/>
      <c r="C27" s="555" t="n"/>
    </row>
    <row r="28" ht="15" customHeight="1" s="550">
      <c r="A28" s="553" t="inlineStr">
        <is>
          <t>PARÁMETROS ECONÓMICOS DEL PRESUPUESTO</t>
        </is>
      </c>
    </row>
    <row r="29" ht="15" customHeight="1" s="550">
      <c r="A29" s="97" t="inlineStr">
        <is>
          <t>Administración (A)</t>
        </is>
      </c>
      <c r="B29" s="1283" t="n">
        <v>0.1</v>
      </c>
      <c r="C29" s="549" t="inlineStr">
        <is>
          <t>% s/costo directo</t>
        </is>
      </c>
    </row>
    <row r="30" ht="15" customHeight="1" s="550">
      <c r="A30" s="99" t="inlineStr">
        <is>
          <t>Imprevistos (I)</t>
        </is>
      </c>
      <c r="B30" s="1284" t="n">
        <v>0.04</v>
      </c>
      <c r="C30" s="554" t="inlineStr">
        <is>
          <t>% s/costo directo</t>
        </is>
      </c>
    </row>
    <row r="31" ht="15" customHeight="1" s="550">
      <c r="A31" s="97" t="inlineStr">
        <is>
          <t>Utilidad (U)</t>
        </is>
      </c>
      <c r="B31" s="1283" t="n">
        <v>0.12</v>
      </c>
      <c r="C31" s="549" t="inlineStr">
        <is>
          <t>% s/costo directo</t>
        </is>
      </c>
    </row>
    <row r="32" ht="15" customHeight="1" s="550">
      <c r="A32" s="99" t="inlineStr">
        <is>
          <t>IVA sobre Utilidad</t>
        </is>
      </c>
      <c r="B32" s="1284" t="n">
        <v>0.19</v>
      </c>
      <c r="C32" s="554" t="inlineStr">
        <is>
          <t>% s/utilidad (Ley 1943 / práctica AIU en Colombia)</t>
        </is>
      </c>
    </row>
    <row r="33">
      <c r="A33" s="555" t="n"/>
      <c r="B33" s="555" t="n"/>
      <c r="C33" s="555" t="n"/>
    </row>
    <row r="34" ht="15" customHeight="1" s="550">
      <c r="A34" s="103" t="inlineStr">
        <is>
          <t>AIU TOTAL (A+I+U)</t>
        </is>
      </c>
      <c r="B34" s="1285">
        <f>B29+B30+B31</f>
        <v/>
      </c>
      <c r="C34" s="555" t="n"/>
    </row>
    <row r="35">
      <c r="A35" s="555" t="n"/>
      <c r="B35" s="555" t="n"/>
      <c r="C35" s="555" t="n"/>
    </row>
    <row r="36" ht="15" customHeight="1" s="550">
      <c r="A36" s="553" t="inlineStr">
        <is>
          <t>FUENTES Y NOTAS METODOLÓGICAS</t>
        </is>
      </c>
    </row>
    <row r="37" ht="15" customFormat="1" customHeight="1" s="199">
      <c r="A37" s="200" t="inlineStr">
        <is>
          <t>REV. 10/09/2026</t>
        </is>
      </c>
      <c r="B37" s="198" t="n"/>
      <c r="C37" s="198" t="n"/>
      <c r="D37" s="198" t="n"/>
      <c r="E37" s="337">
        <f>E4</f>
        <v/>
      </c>
    </row>
    <row r="38" ht="25.5" customHeight="1" s="550">
      <c r="A38" s="551" t="inlineStr">
        <is>
          <t>1. Precios de referencia investigados para Bogotá D.C., 2026 (2° semestre). Son precios promedio de mercado; cada obra requiere cotización formal con proveedores.</t>
        </is>
      </c>
    </row>
    <row r="39" ht="25.5" customHeight="1" s="550">
      <c r="A39" s="551" t="inlineStr">
        <is>
          <t>2. Rango de costo directo de construcción en Bogotá 2026 según fuentes de mercado: $2.200.000 - $3.800.000 COP/m² (Aliados de Obras, 2026); promedio de estabilización Ene-Abr 2026: ~$3.050.000 COP/m².</t>
        </is>
      </c>
    </row>
    <row r="40" ht="25.5" customHeight="1" s="550">
      <c r="A40" s="551" t="inlineStr">
        <is>
          <t>3. Concreto 3000 PSI para estructura con formaletería: referencia ~$868.306 COP/m³ (Listado de Precios Unitarios, Secretaría de Infraestructura / Fidubogotá, ajustado a 2026).</t>
        </is>
      </c>
    </row>
    <row r="41" ht="25.5" customHeight="1" s="550">
      <c r="A41" s="551" t="inlineStr">
        <is>
          <t>4. Acero de refuerzo figurado e instalado: referencia ~$6.500-7.000 COP/kg (Comando Construcciones, 2026; incremento por alza del 23,7% en el SMMLV 2026 según DANE-ICOCED).</t>
        </is>
      </c>
    </row>
    <row r="42" ht="25.5" customHeight="1" s="550">
      <c r="A42" s="551" t="inlineStr">
        <is>
          <t>5. Ascensor eléctrico para edificio de 10+ pisos, alta velocidad, instalado: $450M-$750M COP por unidad (OTA Vertical, 2026). Se tomó valor medio.</t>
        </is>
      </c>
    </row>
    <row r="43" ht="25.5" customHeight="1" s="550">
      <c r="A43" s="551" t="inlineStr">
        <is>
          <t>6. Índice de Costos de la Construcción de Edificaciones (ICOCED-DANE): variación interanual ene.2025-ene.2026 de +8,7% en Bogotá, impulsada por incremento salarial.</t>
        </is>
      </c>
    </row>
    <row r="44" ht="25.5" customHeight="1" s="550">
      <c r="A44" s="551" t="inlineStr">
        <is>
          <t>7. AIU recomendado para edificaciones en Colombia: 25%-30% sobre costos directos (Administración 10-12%, Imprevistos 3-5%, Utilidad 10-15%). Se usó 26% (10%+4%+12%).</t>
        </is>
      </c>
    </row>
    <row r="45" ht="25.5" customHeight="1" s="550">
      <c r="A45" s="551" t="inlineStr">
        <is>
          <t>8. IVA: en Colombia, para contratos de obra el IVA se causa típicamente sobre el componente de Utilidad (AIU), no sobre el costo directo de materiales de construcción de vivienda (parcialmente exentos). Verificar con contador/tributarista para el régimen aplicable a cada proyecto.</t>
        </is>
      </c>
    </row>
    <row r="46" ht="25.5" customHeight="1" s="550">
      <c r="A46" s="551" t="inlineStr">
        <is>
          <t>9. Este documento es una ESTIMACIÓN DE PRESUPUESTO (clase de precisión ±15-20%), útil para prefactibilidad y anteproyecto. No reemplaza un presupuesto detallado con cubicación (cantidades de obra) tomada de planos definitivos y cotizaciones de proveedores.</t>
        </is>
      </c>
    </row>
    <row r="47" ht="25.5" customHeight="1" s="550">
      <c r="A47" s="551" t="inlineStr">
        <is>
          <t>10. Celdas en color AZUL = dato de entrada editable. Celdas en NEGRO = fórmula (se recalculan automáticamente). Cambie cantidades y precios unitarios en la hoja 'Presupuesto' según su proyecto real.</t>
        </is>
      </c>
    </row>
  </sheetData>
  <mergeCells count="43">
    <mergeCell ref="C16:E16"/>
    <mergeCell ref="A39:E39"/>
    <mergeCell ref="B9:E9"/>
    <mergeCell ref="D10:E10"/>
    <mergeCell ref="C31:E31"/>
    <mergeCell ref="C22:E22"/>
    <mergeCell ref="A45:E45"/>
    <mergeCell ref="A36:E36"/>
    <mergeCell ref="C21:E21"/>
    <mergeCell ref="C27:E27"/>
    <mergeCell ref="C23:E23"/>
    <mergeCell ref="A41:E41"/>
    <mergeCell ref="C17:E17"/>
    <mergeCell ref="A46:E46"/>
    <mergeCell ref="C32:E32"/>
    <mergeCell ref="C19:E19"/>
    <mergeCell ref="B12:E12"/>
    <mergeCell ref="A42:E42"/>
    <mergeCell ref="C18:E18"/>
    <mergeCell ref="A47:E47"/>
    <mergeCell ref="B11:E11"/>
    <mergeCell ref="B2:E2"/>
    <mergeCell ref="C30:E30"/>
    <mergeCell ref="C34:E34"/>
    <mergeCell ref="D3:E3"/>
    <mergeCell ref="C15:E15"/>
    <mergeCell ref="C24:E24"/>
    <mergeCell ref="C33:E33"/>
    <mergeCell ref="B1:E1"/>
    <mergeCell ref="C14:E14"/>
    <mergeCell ref="A43:E43"/>
    <mergeCell ref="A38:E38"/>
    <mergeCell ref="B5:C5"/>
    <mergeCell ref="A28:E28"/>
    <mergeCell ref="A40:E40"/>
    <mergeCell ref="C26:E26"/>
    <mergeCell ref="A13:E13"/>
    <mergeCell ref="C29:E29"/>
    <mergeCell ref="A44:E44"/>
    <mergeCell ref="C20:E20"/>
    <mergeCell ref="C35:E35"/>
    <mergeCell ref="B4:C4"/>
    <mergeCell ref="C25:E25"/>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tabColor rgb="FF2E7D32"/>
    <pageSetUpPr/>
  </sheetPr>
  <dimension ref="A1:F259"/>
  <sheetViews>
    <sheetView zoomScale="81" zoomScaleNormal="81" workbookViewId="0">
      <pane ySplit="13" topLeftCell="A218" activePane="bottomLeft" state="frozen"/>
      <selection pane="bottomLeft" activeCell="B3" sqref="B3"/>
    </sheetView>
  </sheetViews>
  <sheetFormatPr baseColWidth="10" defaultColWidth="8.6640625" defaultRowHeight="14.4"/>
  <cols>
    <col width="8" customWidth="1" style="614" min="1" max="1"/>
    <col width="60.77734375" customWidth="1" style="550" min="2" max="2"/>
    <col width="50.77734375" customWidth="1" style="550" min="3" max="3"/>
    <col width="20.77734375" customWidth="1" style="550" min="4" max="6"/>
  </cols>
  <sheetData>
    <row r="1">
      <c r="A1" s="502" t="n"/>
      <c r="B1" s="502" t="n"/>
      <c r="C1" s="569" t="inlineStr">
        <is>
          <t>PRESUPUESTO DE OBRA</t>
        </is>
      </c>
    </row>
    <row r="2">
      <c r="A2" s="502" t="n"/>
      <c r="B2" s="618" t="n"/>
    </row>
    <row r="3">
      <c r="A3" s="502" t="n"/>
      <c r="B3" s="618" t="n"/>
    </row>
    <row r="4" ht="4.95" customHeight="1" s="550">
      <c r="A4" s="502" t="n"/>
      <c r="B4" s="618" t="n"/>
      <c r="C4" s="180" t="n"/>
      <c r="D4" s="180" t="n"/>
      <c r="E4" s="180" t="n"/>
      <c r="F4" s="180" t="n"/>
    </row>
    <row r="5">
      <c r="A5" s="502" t="n"/>
      <c r="B5" s="618" t="n"/>
      <c r="C5" s="705" t="n"/>
      <c r="D5" s="562" t="n"/>
      <c r="E5" s="706" t="inlineStr">
        <is>
          <t>CONTROL DOCUMENTAL</t>
        </is>
      </c>
      <c r="F5" s="559" t="n"/>
    </row>
    <row r="6" ht="21" customHeight="1" s="550">
      <c r="A6" s="502" t="n"/>
      <c r="B6" s="618" t="n"/>
      <c r="C6" s="564" t="inlineStr">
        <is>
          <t>REFORMAS Y REMODELACIONES</t>
        </is>
      </c>
      <c r="D6" s="562" t="n"/>
      <c r="E6" s="181" t="inlineStr">
        <is>
          <t>Código</t>
        </is>
      </c>
      <c r="F6" s="1209" t="inlineStr">
        <is>
          <t>RYR-PP-001</t>
        </is>
      </c>
    </row>
    <row r="7" ht="15" customHeight="1" s="550">
      <c r="A7" s="502" t="n"/>
      <c r="B7" s="618" t="n"/>
      <c r="C7" s="561" t="inlineStr">
        <is>
          <t>DISEÑAMOS, RENOVAMOS Y CONSTRUIMOS ESPACIOS QUE INSPIRAN</t>
        </is>
      </c>
      <c r="D7" s="562" t="n"/>
      <c r="E7" s="181" t="inlineStr">
        <is>
          <t>Versión</t>
        </is>
      </c>
      <c r="F7" s="1195" t="n">
        <v>1</v>
      </c>
    </row>
    <row r="8" ht="15" customHeight="1" s="550">
      <c r="A8" s="502" t="n"/>
      <c r="B8" s="618" t="n"/>
      <c r="C8" s="705" t="n"/>
      <c r="D8" s="562" t="n"/>
      <c r="E8" s="181" t="inlineStr">
        <is>
          <t>Fecha de Emisión</t>
        </is>
      </c>
      <c r="F8" s="165" t="inlineStr">
        <is>
          <t>10/09/2026</t>
        </is>
      </c>
    </row>
    <row r="9" ht="15" customHeight="1" s="550">
      <c r="A9" s="503" t="n"/>
      <c r="B9" s="499" t="n"/>
      <c r="C9" s="705" t="n"/>
      <c r="D9" s="562" t="n"/>
      <c r="E9" s="504" t="inlineStr">
        <is>
          <t>Página</t>
        </is>
      </c>
      <c r="F9" s="1240" t="inlineStr">
        <is>
          <t>1 de 1</t>
        </is>
      </c>
    </row>
    <row r="10" ht="15" customHeight="1" s="550">
      <c r="A10" s="712" t="inlineStr">
        <is>
          <t>IDENTIFICACIÓN DE PROYECTO</t>
        </is>
      </c>
      <c r="B10" s="713" t="n"/>
      <c r="C10" s="713" t="n"/>
      <c r="D10" s="713" t="n"/>
      <c r="E10" s="713" t="n"/>
      <c r="F10" s="714" t="n"/>
    </row>
    <row r="11" ht="15" customHeight="1" s="550">
      <c r="A11" s="718" t="inlineStr">
        <is>
          <t>Bogotá D.C. - Precios de referencia de mercado 2026 - Valores en pesos colombianos (COP), sin decimales</t>
        </is>
      </c>
      <c r="F11" s="562" t="n"/>
    </row>
    <row r="12">
      <c r="A12" s="709" t="inlineStr">
        <is>
          <t>Proyecto</t>
        </is>
      </c>
      <c r="B12" s="710" t="n"/>
      <c r="C12" s="711" t="n"/>
      <c r="D12" s="710" t="n"/>
      <c r="E12" s="116" t="inlineStr">
        <is>
          <t>Fecha de Emisión</t>
        </is>
      </c>
      <c r="F12" s="273" t="inlineStr">
        <is>
          <t>10/09/2026</t>
        </is>
      </c>
    </row>
    <row r="13" ht="15" customHeight="1" s="550">
      <c r="A13" s="190" t="inlineStr">
        <is>
          <t>Ítem</t>
        </is>
      </c>
      <c r="B13" s="191" t="inlineStr">
        <is>
          <t>Descripción</t>
        </is>
      </c>
      <c r="C13" s="191" t="inlineStr">
        <is>
          <t>Unidad</t>
        </is>
      </c>
      <c r="D13" s="191" t="inlineStr">
        <is>
          <t>Cantidad</t>
        </is>
      </c>
      <c r="E13" s="191" t="inlineStr">
        <is>
          <t>Precio Unitario</t>
        </is>
      </c>
      <c r="F13" s="192" t="inlineStr">
        <is>
          <t>Valor Total</t>
        </is>
      </c>
    </row>
    <row r="14">
      <c r="A14" s="182" t="inlineStr">
        <is>
          <t>1</t>
        </is>
      </c>
      <c r="B14" s="707" t="inlineStr">
        <is>
          <t>PRELIMINARES</t>
        </is>
      </c>
      <c r="C14" s="609" t="n"/>
      <c r="D14" s="609" t="n"/>
      <c r="E14" s="609" t="n"/>
      <c r="F14" s="610" t="n"/>
    </row>
    <row r="15">
      <c r="A15" s="80" t="inlineStr">
        <is>
          <t>1.1</t>
        </is>
      </c>
      <c r="B15" s="364" t="inlineStr">
        <is>
          <t>Localización y Replanteo</t>
        </is>
      </c>
      <c r="C15" s="257" t="inlineStr">
        <is>
          <t>M²</t>
        </is>
      </c>
      <c r="D15" s="258" t="n"/>
      <c r="E15" s="1310" t="n"/>
      <c r="F15" s="1311">
        <f>D15*E15</f>
        <v/>
      </c>
    </row>
    <row r="16">
      <c r="A16" s="80" t="inlineStr">
        <is>
          <t>1.2</t>
        </is>
      </c>
      <c r="B16" s="364" t="inlineStr">
        <is>
          <t>Cerramiento provisional de obra</t>
        </is>
      </c>
      <c r="C16" s="257" t="inlineStr">
        <is>
          <t>ML</t>
        </is>
      </c>
      <c r="D16" s="258" t="n"/>
      <c r="E16" s="1310" t="n"/>
      <c r="F16" s="1311">
        <f>D16*E16</f>
        <v/>
      </c>
    </row>
    <row r="17">
      <c r="A17" s="80" t="inlineStr">
        <is>
          <t>1.3</t>
        </is>
      </c>
      <c r="B17" s="364" t="inlineStr">
        <is>
          <t>Instalación de campamento y oficinas provisionales</t>
        </is>
      </c>
      <c r="C17" s="257" t="inlineStr">
        <is>
          <t>M²</t>
        </is>
      </c>
      <c r="D17" s="258" t="n"/>
      <c r="E17" s="1310" t="n"/>
      <c r="F17" s="1311">
        <f>D17*E17</f>
        <v/>
      </c>
    </row>
    <row r="18">
      <c r="A18" s="80" t="inlineStr">
        <is>
          <t>1.4</t>
        </is>
      </c>
      <c r="B18" s="364" t="inlineStr">
        <is>
          <t>Adecuación de área de almacenamiento</t>
        </is>
      </c>
      <c r="C18" s="257" t="inlineStr">
        <is>
          <t>M²</t>
        </is>
      </c>
      <c r="D18" s="258" t="n"/>
      <c r="E18" s="1310" t="n"/>
      <c r="F18" s="1311">
        <f>D18*E18</f>
        <v/>
      </c>
    </row>
    <row r="19">
      <c r="A19" s="80" t="inlineStr">
        <is>
          <t>1.5</t>
        </is>
      </c>
      <c r="B19" s="364" t="inlineStr">
        <is>
          <t>Señalización preventiva e informativa de obra</t>
        </is>
      </c>
      <c r="C19" s="257" t="inlineStr">
        <is>
          <t>UND</t>
        </is>
      </c>
      <c r="D19" s="258" t="n"/>
      <c r="E19" s="1310" t="n"/>
      <c r="F19" s="1311">
        <f>D19*E19</f>
        <v/>
      </c>
    </row>
    <row r="20">
      <c r="A20" s="80" t="inlineStr">
        <is>
          <t>1.6</t>
        </is>
      </c>
      <c r="B20" s="364" t="inlineStr">
        <is>
          <t>Instalaciones provisionales de agua y energía</t>
        </is>
      </c>
      <c r="C20" s="257" t="inlineStr">
        <is>
          <t>GL</t>
        </is>
      </c>
      <c r="D20" s="258" t="n"/>
      <c r="E20" s="1310" t="n"/>
      <c r="F20" s="1311">
        <f>D20*E20</f>
        <v/>
      </c>
    </row>
    <row r="21">
      <c r="A21" s="80" t="inlineStr">
        <is>
          <t>1.7</t>
        </is>
      </c>
      <c r="B21" s="364" t="inlineStr">
        <is>
          <t>Protección de elementos existentes</t>
        </is>
      </c>
      <c r="C21" s="257" t="inlineStr">
        <is>
          <t>M²</t>
        </is>
      </c>
      <c r="D21" s="258" t="n"/>
      <c r="E21" s="1310" t="n"/>
      <c r="F21" s="1311">
        <f>D21*E21</f>
        <v/>
      </c>
    </row>
    <row r="22">
      <c r="A22" s="80" t="inlineStr">
        <is>
          <t>1.8</t>
        </is>
      </c>
      <c r="B22" s="364" t="inlineStr">
        <is>
          <t>Desmonte y limpieza inicial</t>
        </is>
      </c>
      <c r="C22" s="257" t="inlineStr">
        <is>
          <t>M²</t>
        </is>
      </c>
      <c r="D22" s="258" t="n"/>
      <c r="E22" s="1310" t="n"/>
      <c r="F22" s="1311">
        <f>D22*E22</f>
        <v/>
      </c>
    </row>
    <row r="23">
      <c r="A23" s="80" t="inlineStr">
        <is>
          <t>1.9</t>
        </is>
      </c>
      <c r="B23" s="364" t="inlineStr">
        <is>
          <t>Demoliciones preliminares</t>
        </is>
      </c>
      <c r="C23" s="257" t="inlineStr">
        <is>
          <t>M³</t>
        </is>
      </c>
      <c r="D23" s="258" t="n"/>
      <c r="E23" s="1310" t="n"/>
      <c r="F23" s="1311">
        <f>D23*E23</f>
        <v/>
      </c>
    </row>
    <row r="24">
      <c r="A24" s="80" t="inlineStr">
        <is>
          <t>1.10</t>
        </is>
      </c>
      <c r="B24" s="364" t="inlineStr">
        <is>
          <t>Desmantelamiento de estructuras metálicas existentes</t>
        </is>
      </c>
      <c r="C24" s="257" t="inlineStr">
        <is>
          <t>KG</t>
        </is>
      </c>
      <c r="D24" s="258" t="n"/>
      <c r="E24" s="1310" t="n"/>
      <c r="F24" s="1311">
        <f>D24*E24</f>
        <v/>
      </c>
    </row>
    <row r="25">
      <c r="A25" s="81" t="n"/>
      <c r="B25" s="704" t="inlineStr">
        <is>
          <t>SUBTOTAL CAPÍTULO 1 - PRELIMINARES</t>
        </is>
      </c>
      <c r="C25" s="567" t="n"/>
      <c r="D25" s="567" t="n"/>
      <c r="E25" s="567" t="n"/>
      <c r="F25" s="1312">
        <f>SUM(F15:F24)</f>
        <v/>
      </c>
    </row>
    <row r="26">
      <c r="A26" s="82" t="n"/>
      <c r="B26" s="716" t="n"/>
      <c r="C26" s="716" t="n"/>
      <c r="D26" s="716" t="n"/>
      <c r="E26" s="716" t="n"/>
      <c r="F26" s="708" t="n"/>
    </row>
    <row r="27">
      <c r="A27" s="182" t="inlineStr">
        <is>
          <t>2</t>
        </is>
      </c>
      <c r="B27" s="707" t="inlineStr">
        <is>
          <t>MOVIMIENTO DE TIERRAS</t>
        </is>
      </c>
      <c r="C27" s="609" t="n"/>
      <c r="D27" s="609" t="n"/>
      <c r="E27" s="609" t="n"/>
      <c r="F27" s="610" t="n"/>
    </row>
    <row r="28">
      <c r="A28" s="80" t="inlineStr">
        <is>
          <t>2.1</t>
        </is>
      </c>
      <c r="B28" s="364" t="inlineStr">
        <is>
          <t>Excavación manual en material común</t>
        </is>
      </c>
      <c r="C28" s="257" t="inlineStr">
        <is>
          <t>M³</t>
        </is>
      </c>
      <c r="D28" s="258" t="n"/>
      <c r="E28" s="1310" t="n"/>
      <c r="F28" s="1311">
        <f>D28*E28</f>
        <v/>
      </c>
    </row>
    <row r="29">
      <c r="A29" s="80" t="inlineStr">
        <is>
          <t>2.2</t>
        </is>
      </c>
      <c r="B29" s="364" t="inlineStr">
        <is>
          <t>Excavación mecánica</t>
        </is>
      </c>
      <c r="C29" s="257" t="inlineStr">
        <is>
          <t>M³</t>
        </is>
      </c>
      <c r="D29" s="258" t="n"/>
      <c r="E29" s="1310" t="n"/>
      <c r="F29" s="1311">
        <f>D29*E29</f>
        <v/>
      </c>
    </row>
    <row r="30">
      <c r="A30" s="80" t="inlineStr">
        <is>
          <t>2.3</t>
        </is>
      </c>
      <c r="B30" s="364" t="inlineStr">
        <is>
          <t>Excavación en roca</t>
        </is>
      </c>
      <c r="C30" s="257" t="inlineStr">
        <is>
          <t>M³</t>
        </is>
      </c>
      <c r="D30" s="258" t="n"/>
      <c r="E30" s="1310" t="n"/>
      <c r="F30" s="1311">
        <f>D30*E30</f>
        <v/>
      </c>
    </row>
    <row r="31">
      <c r="A31" s="80" t="inlineStr">
        <is>
          <t>2.4</t>
        </is>
      </c>
      <c r="B31" s="364" t="inlineStr">
        <is>
          <t>Perfilado y conformación de excavaciones</t>
        </is>
      </c>
      <c r="C31" s="257" t="inlineStr">
        <is>
          <t>M²</t>
        </is>
      </c>
      <c r="D31" s="258" t="n"/>
      <c r="E31" s="1310" t="n"/>
      <c r="F31" s="1311">
        <f>D31*E31</f>
        <v/>
      </c>
    </row>
    <row r="32">
      <c r="A32" s="80" t="inlineStr">
        <is>
          <t>2.5</t>
        </is>
      </c>
      <c r="B32" s="364" t="inlineStr">
        <is>
          <t>Relleno con material seleccionado compactado</t>
        </is>
      </c>
      <c r="C32" s="257" t="inlineStr">
        <is>
          <t>M³</t>
        </is>
      </c>
      <c r="D32" s="258" t="n"/>
      <c r="E32" s="1310" t="n"/>
      <c r="F32" s="1311">
        <f>D32*E32</f>
        <v/>
      </c>
    </row>
    <row r="33">
      <c r="A33" s="80" t="inlineStr">
        <is>
          <t>2.6</t>
        </is>
      </c>
      <c r="B33" s="364" t="inlineStr">
        <is>
          <t>Relleno con material proveniente de excavación</t>
        </is>
      </c>
      <c r="C33" s="257" t="inlineStr">
        <is>
          <t>M³</t>
        </is>
      </c>
      <c r="D33" s="258" t="n"/>
      <c r="E33" s="1310" t="n"/>
      <c r="F33" s="1311">
        <f>D33*E33</f>
        <v/>
      </c>
    </row>
    <row r="34">
      <c r="A34" s="80" t="inlineStr">
        <is>
          <t>2.7</t>
        </is>
      </c>
      <c r="B34" s="364" t="inlineStr">
        <is>
          <t>Suministro, extendido y compactación de subbase</t>
        </is>
      </c>
      <c r="C34" s="257" t="inlineStr">
        <is>
          <t>M³</t>
        </is>
      </c>
      <c r="D34" s="258" t="n"/>
      <c r="E34" s="1310" t="n"/>
      <c r="F34" s="1311">
        <f>D34*E34</f>
        <v/>
      </c>
    </row>
    <row r="35">
      <c r="A35" s="80" t="inlineStr">
        <is>
          <t>2.8</t>
        </is>
      </c>
      <c r="B35" s="364" t="inlineStr">
        <is>
          <t>Suministro, extendido y compactación de base granular</t>
        </is>
      </c>
      <c r="C35" s="257" t="inlineStr">
        <is>
          <t>M³</t>
        </is>
      </c>
      <c r="D35" s="258" t="n"/>
      <c r="E35" s="1310" t="n"/>
      <c r="F35" s="1311">
        <f>D35*E35</f>
        <v/>
      </c>
    </row>
    <row r="36">
      <c r="A36" s="80" t="inlineStr">
        <is>
          <t>2.9</t>
        </is>
      </c>
      <c r="B36" s="364" t="inlineStr">
        <is>
          <t>Cargue de material sobrante</t>
        </is>
      </c>
      <c r="C36" s="257" t="inlineStr">
        <is>
          <t>M³</t>
        </is>
      </c>
      <c r="D36" s="258" t="n"/>
      <c r="E36" s="1310" t="n"/>
      <c r="F36" s="1311">
        <f>D36*E36</f>
        <v/>
      </c>
    </row>
    <row r="37">
      <c r="A37" s="80" t="inlineStr">
        <is>
          <t>2.10</t>
        </is>
      </c>
      <c r="B37" s="364" t="inlineStr">
        <is>
          <t>Transporte de material sobrante</t>
        </is>
      </c>
      <c r="C37" s="257" t="inlineStr">
        <is>
          <t>M³</t>
        </is>
      </c>
      <c r="D37" s="258" t="n"/>
      <c r="E37" s="1310" t="n"/>
      <c r="F37" s="1311">
        <f>D37*E37</f>
        <v/>
      </c>
    </row>
    <row r="38">
      <c r="A38" s="80" t="inlineStr">
        <is>
          <t>2.11</t>
        </is>
      </c>
      <c r="B38" s="364" t="inlineStr">
        <is>
          <t>Disposición final de sobrantes</t>
        </is>
      </c>
      <c r="C38" s="257" t="inlineStr">
        <is>
          <t>M³</t>
        </is>
      </c>
      <c r="D38" s="258" t="n"/>
      <c r="E38" s="1310" t="n"/>
      <c r="F38" s="1311">
        <f>D38*E38</f>
        <v/>
      </c>
    </row>
    <row r="39">
      <c r="A39" s="81" t="n"/>
      <c r="B39" s="704" t="inlineStr">
        <is>
          <t>SUBTOTAL CAPÍTULO 2 - MOVIMIENTO DE TIERRAS</t>
        </is>
      </c>
      <c r="C39" s="567" t="n"/>
      <c r="D39" s="567" t="n"/>
      <c r="E39" s="567" t="n"/>
      <c r="F39" s="1312">
        <f>SUM(F28:F38)</f>
        <v/>
      </c>
    </row>
    <row r="40">
      <c r="A40" s="82" t="n"/>
      <c r="B40" s="716" t="n"/>
      <c r="C40" s="716" t="n"/>
      <c r="D40" s="716" t="n"/>
      <c r="E40" s="716" t="n"/>
      <c r="F40" s="708" t="n"/>
    </row>
    <row r="41">
      <c r="A41" s="182" t="inlineStr">
        <is>
          <t>3</t>
        </is>
      </c>
      <c r="B41" s="707" t="inlineStr">
        <is>
          <t>CIMENTACIONES</t>
        </is>
      </c>
      <c r="C41" s="609" t="n"/>
      <c r="D41" s="609" t="n"/>
      <c r="E41" s="609" t="n"/>
      <c r="F41" s="610" t="n"/>
    </row>
    <row r="42">
      <c r="A42" s="80" t="inlineStr">
        <is>
          <t>3.1</t>
        </is>
      </c>
      <c r="B42" s="364" t="inlineStr">
        <is>
          <t>Concreto de limpieza / solado</t>
        </is>
      </c>
      <c r="C42" s="257" t="inlineStr">
        <is>
          <t>M³</t>
        </is>
      </c>
      <c r="D42" s="258" t="n"/>
      <c r="E42" s="1310" t="n"/>
      <c r="F42" s="1311">
        <f>D42*E42</f>
        <v/>
      </c>
    </row>
    <row r="43">
      <c r="A43" s="80" t="inlineStr">
        <is>
          <t>3.2</t>
        </is>
      </c>
      <c r="B43" s="364" t="inlineStr">
        <is>
          <t>Concreto para zapatas</t>
        </is>
      </c>
      <c r="C43" s="257" t="inlineStr">
        <is>
          <t>M³</t>
        </is>
      </c>
      <c r="D43" s="258" t="n"/>
      <c r="E43" s="1310" t="n"/>
      <c r="F43" s="1311">
        <f>D43*E43</f>
        <v/>
      </c>
    </row>
    <row r="44">
      <c r="A44" s="80" t="inlineStr">
        <is>
          <t>3.3</t>
        </is>
      </c>
      <c r="B44" s="364" t="inlineStr">
        <is>
          <t>Concreto para vigas de cimentación</t>
        </is>
      </c>
      <c r="C44" s="257" t="inlineStr">
        <is>
          <t>M³</t>
        </is>
      </c>
      <c r="D44" s="258" t="n"/>
      <c r="E44" s="1310" t="n"/>
      <c r="F44" s="1311">
        <f>D44*E44</f>
        <v/>
      </c>
    </row>
    <row r="45">
      <c r="A45" s="80" t="inlineStr">
        <is>
          <t>3.4</t>
        </is>
      </c>
      <c r="B45" s="364" t="inlineStr">
        <is>
          <t>Concreto para losas de cimentación</t>
        </is>
      </c>
      <c r="C45" s="257" t="inlineStr">
        <is>
          <t>M³</t>
        </is>
      </c>
      <c r="D45" s="258" t="n"/>
      <c r="E45" s="1310" t="n"/>
      <c r="F45" s="1311">
        <f>D45*E45</f>
        <v/>
      </c>
    </row>
    <row r="46">
      <c r="A46" s="80" t="inlineStr">
        <is>
          <t>3.5</t>
        </is>
      </c>
      <c r="B46" s="364" t="inlineStr">
        <is>
          <t>Concreto para pedestales</t>
        </is>
      </c>
      <c r="C46" s="257" t="inlineStr">
        <is>
          <t>M³</t>
        </is>
      </c>
      <c r="D46" s="258" t="n"/>
      <c r="E46" s="1310" t="n"/>
      <c r="F46" s="1311">
        <f>D46*E46</f>
        <v/>
      </c>
    </row>
    <row r="47">
      <c r="A47" s="80" t="inlineStr">
        <is>
          <t>3.6</t>
        </is>
      </c>
      <c r="B47" s="364" t="inlineStr">
        <is>
          <t>Acero de refuerzo en cimentación</t>
        </is>
      </c>
      <c r="C47" s="257" t="inlineStr">
        <is>
          <t>KG</t>
        </is>
      </c>
      <c r="D47" s="258" t="n"/>
      <c r="E47" s="1310" t="n"/>
      <c r="F47" s="1311">
        <f>D47*E47</f>
        <v/>
      </c>
    </row>
    <row r="48">
      <c r="A48" s="80" t="inlineStr">
        <is>
          <t>3.7</t>
        </is>
      </c>
      <c r="B48" s="364" t="inlineStr">
        <is>
          <t>Formaleta para elementos de cimentación</t>
        </is>
      </c>
      <c r="C48" s="257" t="inlineStr">
        <is>
          <t>M²</t>
        </is>
      </c>
      <c r="D48" s="258" t="n"/>
      <c r="E48" s="1310" t="n"/>
      <c r="F48" s="1311">
        <f>D48*E48</f>
        <v/>
      </c>
    </row>
    <row r="49">
      <c r="A49" s="81" t="n"/>
      <c r="B49" s="704" t="inlineStr">
        <is>
          <t>SUBTOTAL CAPÍTULO 3 - CIMENTACIONES</t>
        </is>
      </c>
      <c r="C49" s="567" t="n"/>
      <c r="D49" s="567" t="n"/>
      <c r="E49" s="567" t="n"/>
      <c r="F49" s="1312">
        <f>SUM(F42:F48)</f>
        <v/>
      </c>
    </row>
    <row r="50">
      <c r="A50" s="82" t="n"/>
      <c r="B50" s="716" t="n"/>
      <c r="C50" s="716" t="n"/>
      <c r="D50" s="716" t="n"/>
      <c r="E50" s="716" t="n"/>
      <c r="F50" s="708" t="n"/>
    </row>
    <row r="51">
      <c r="A51" s="182" t="inlineStr">
        <is>
          <t>4</t>
        </is>
      </c>
      <c r="B51" s="703" t="inlineStr">
        <is>
          <t>ESTRUCTURA</t>
        </is>
      </c>
      <c r="C51" s="567" t="n"/>
      <c r="D51" s="567" t="n"/>
      <c r="E51" s="567" t="n"/>
      <c r="F51" s="567" t="n"/>
    </row>
    <row r="52">
      <c r="A52" s="80" t="inlineStr">
        <is>
          <t>4.1</t>
        </is>
      </c>
      <c r="B52" s="364" t="inlineStr">
        <is>
          <t>Concreto para columnas</t>
        </is>
      </c>
      <c r="C52" s="257" t="inlineStr">
        <is>
          <t>M³</t>
        </is>
      </c>
      <c r="D52" s="258" t="n"/>
      <c r="E52" s="1310" t="n"/>
      <c r="F52" s="1311">
        <f>D52*E52</f>
        <v/>
      </c>
    </row>
    <row r="53">
      <c r="A53" s="80" t="inlineStr">
        <is>
          <t>4.2</t>
        </is>
      </c>
      <c r="B53" s="365" t="inlineStr">
        <is>
          <t>Concreto para vigas</t>
        </is>
      </c>
      <c r="C53" s="257" t="inlineStr">
        <is>
          <t>M³</t>
        </is>
      </c>
      <c r="F53">
        <f>D53*E53</f>
        <v/>
      </c>
    </row>
    <row r="54">
      <c r="A54" s="80" t="inlineStr">
        <is>
          <t>4.3</t>
        </is>
      </c>
      <c r="B54" s="364" t="inlineStr">
        <is>
          <t>Concreto para losas</t>
        </is>
      </c>
      <c r="C54" s="257" t="inlineStr">
        <is>
          <t>M³</t>
        </is>
      </c>
      <c r="D54" s="258" t="n"/>
      <c r="E54" s="1310" t="n"/>
      <c r="F54" s="1311">
        <f>D54*E54</f>
        <v/>
      </c>
    </row>
    <row r="55">
      <c r="A55" s="80" t="inlineStr">
        <is>
          <t>4.4</t>
        </is>
      </c>
      <c r="B55" s="364" t="inlineStr">
        <is>
          <t>Concreto para escaleras</t>
        </is>
      </c>
      <c r="C55" s="257" t="inlineStr">
        <is>
          <t>M³</t>
        </is>
      </c>
      <c r="D55" s="258" t="n"/>
      <c r="E55" s="1310" t="n"/>
      <c r="F55" s="1311">
        <f>D55*E55</f>
        <v/>
      </c>
    </row>
    <row r="56">
      <c r="A56" s="80" t="inlineStr">
        <is>
          <t>4.5</t>
        </is>
      </c>
      <c r="B56" s="364" t="inlineStr">
        <is>
          <t>Concreto para muros estructurales</t>
        </is>
      </c>
      <c r="C56" s="257" t="inlineStr">
        <is>
          <t>M³</t>
        </is>
      </c>
      <c r="D56" s="258" t="n"/>
      <c r="E56" s="1310" t="n"/>
      <c r="F56" s="1311">
        <f>D56*E56</f>
        <v/>
      </c>
    </row>
    <row r="57">
      <c r="A57" s="80" t="inlineStr">
        <is>
          <t>4.6</t>
        </is>
      </c>
      <c r="B57" s="364" t="inlineStr">
        <is>
          <t>Acero de refuerzo de columnas</t>
        </is>
      </c>
      <c r="C57" s="257" t="inlineStr">
        <is>
          <t>KG</t>
        </is>
      </c>
      <c r="D57" s="258" t="n"/>
      <c r="E57" s="1310" t="n"/>
      <c r="F57" s="1311">
        <f>D57*E57</f>
        <v/>
      </c>
    </row>
    <row r="58">
      <c r="A58" s="80" t="inlineStr">
        <is>
          <t>4.7</t>
        </is>
      </c>
      <c r="B58" s="364" t="inlineStr">
        <is>
          <t>Acero de refuerzo de vigas</t>
        </is>
      </c>
      <c r="C58" s="257" t="inlineStr">
        <is>
          <t>KG</t>
        </is>
      </c>
      <c r="D58" s="258" t="n"/>
      <c r="E58" s="1310" t="n"/>
      <c r="F58" s="1311">
        <f>D58*E58</f>
        <v/>
      </c>
    </row>
    <row r="59">
      <c r="A59" s="80" t="inlineStr">
        <is>
          <t>4.8</t>
        </is>
      </c>
      <c r="B59" s="364" t="inlineStr">
        <is>
          <t>Acero de refuerzo de losas</t>
        </is>
      </c>
      <c r="C59" s="257" t="inlineStr">
        <is>
          <t>KG</t>
        </is>
      </c>
      <c r="F59" s="1311">
        <f>D59*E59</f>
        <v/>
      </c>
    </row>
    <row r="60">
      <c r="A60" s="80" t="inlineStr">
        <is>
          <t>4.9</t>
        </is>
      </c>
      <c r="B60" s="364" t="inlineStr">
        <is>
          <t>Formaleta de columnas</t>
        </is>
      </c>
      <c r="C60" s="257" t="inlineStr">
        <is>
          <t>M²</t>
        </is>
      </c>
      <c r="D60" s="258" t="n"/>
      <c r="E60" s="1310" t="n"/>
      <c r="F60" s="1311">
        <f>D60*E60</f>
        <v/>
      </c>
    </row>
    <row r="61">
      <c r="A61" s="80" t="inlineStr">
        <is>
          <t>4.10</t>
        </is>
      </c>
      <c r="B61" s="365" t="inlineStr">
        <is>
          <t>Formaleta de vigas</t>
        </is>
      </c>
      <c r="C61" s="257" t="inlineStr">
        <is>
          <t>M²</t>
        </is>
      </c>
      <c r="F61">
        <f>D61*E61</f>
        <v/>
      </c>
    </row>
    <row r="62">
      <c r="A62" s="80" t="inlineStr">
        <is>
          <t>4.11</t>
        </is>
      </c>
      <c r="B62" s="364" t="inlineStr">
        <is>
          <t>Formaleta de losas</t>
        </is>
      </c>
      <c r="C62" s="257" t="inlineStr">
        <is>
          <t>M²</t>
        </is>
      </c>
      <c r="D62" s="258" t="n"/>
      <c r="E62" s="1310" t="n"/>
      <c r="F62" s="1311">
        <f>D62*E62</f>
        <v/>
      </c>
    </row>
    <row r="63">
      <c r="A63" s="80" t="inlineStr">
        <is>
          <t>4.12</t>
        </is>
      </c>
      <c r="B63" s="364" t="inlineStr">
        <is>
          <t>Formaleta de escaleras</t>
        </is>
      </c>
      <c r="C63" s="257" t="inlineStr">
        <is>
          <t>M²</t>
        </is>
      </c>
      <c r="D63" s="258" t="n"/>
      <c r="E63" s="1310" t="n"/>
      <c r="F63" s="1311">
        <f>D63*E63</f>
        <v/>
      </c>
    </row>
    <row r="64">
      <c r="A64" s="80" t="inlineStr">
        <is>
          <t>4.13</t>
        </is>
      </c>
      <c r="B64" s="364" t="inlineStr">
        <is>
          <t>Suministro y montaje de perfiles metálicos</t>
        </is>
      </c>
      <c r="C64" s="257" t="inlineStr">
        <is>
          <t>KG</t>
        </is>
      </c>
      <c r="D64" s="258" t="n"/>
      <c r="E64" s="1310" t="n"/>
      <c r="F64" s="1311">
        <f>D64*E64</f>
        <v/>
      </c>
    </row>
    <row r="65">
      <c r="A65" s="80" t="inlineStr">
        <is>
          <t>4.14</t>
        </is>
      </c>
      <c r="B65" s="364" t="inlineStr">
        <is>
          <t>Placas, pernos y conexiones metálicas</t>
        </is>
      </c>
      <c r="C65" s="257" t="inlineStr">
        <is>
          <t>KG</t>
        </is>
      </c>
      <c r="D65" s="258" t="n"/>
      <c r="E65" s="1310" t="n"/>
      <c r="F65" s="1311">
        <f>D65*E65</f>
        <v/>
      </c>
    </row>
    <row r="66">
      <c r="A66" s="80" t="inlineStr">
        <is>
          <t>4.15</t>
        </is>
      </c>
      <c r="B66" s="364" t="inlineStr">
        <is>
          <t>Grouting cementoso para reparación estructural</t>
        </is>
      </c>
      <c r="C66" s="257" t="inlineStr">
        <is>
          <t>M²</t>
        </is>
      </c>
      <c r="D66" s="258" t="n"/>
      <c r="E66" s="1310" t="n"/>
      <c r="F66" s="1311">
        <f>D66*E66</f>
        <v/>
      </c>
    </row>
    <row r="67">
      <c r="A67" s="80" t="inlineStr">
        <is>
          <t>4.16</t>
        </is>
      </c>
      <c r="B67" s="364" t="inlineStr">
        <is>
          <t>Grouting epóxico para reparación estructural</t>
        </is>
      </c>
      <c r="C67" s="257" t="inlineStr">
        <is>
          <t>M²</t>
        </is>
      </c>
      <c r="D67" s="258" t="n"/>
      <c r="E67" s="1310" t="n"/>
      <c r="F67" s="1311">
        <f>D67*E67</f>
        <v/>
      </c>
    </row>
    <row r="68">
      <c r="A68" s="80" t="inlineStr">
        <is>
          <t>4.17</t>
        </is>
      </c>
      <c r="B68" s="364" t="inlineStr">
        <is>
          <t>Concreto premezclado o de planta (suministro)</t>
        </is>
      </c>
      <c r="C68" s="257" t="inlineStr">
        <is>
          <t>M³</t>
        </is>
      </c>
      <c r="D68" s="258" t="n"/>
      <c r="E68" s="1310" t="n"/>
      <c r="F68" s="1311">
        <f>D68*E68</f>
        <v/>
      </c>
    </row>
    <row r="69">
      <c r="A69" s="81" t="n"/>
      <c r="B69" s="704" t="inlineStr">
        <is>
          <t>SUBTOTAL CAPÍTULO 4 - ESTRUCTURA</t>
        </is>
      </c>
      <c r="C69" s="567" t="n"/>
      <c r="D69" s="567" t="n"/>
      <c r="E69" s="567" t="n"/>
      <c r="F69" s="1312">
        <f>SUM(F51:F68)</f>
        <v/>
      </c>
    </row>
    <row r="70">
      <c r="A70" s="82" t="n"/>
      <c r="B70" s="716" t="n"/>
      <c r="C70" s="716" t="n"/>
      <c r="D70" s="716" t="n"/>
      <c r="E70" s="716" t="n"/>
      <c r="F70" s="708" t="n"/>
    </row>
    <row r="71">
      <c r="A71" s="182" t="inlineStr">
        <is>
          <t>5</t>
        </is>
      </c>
      <c r="B71" s="707" t="inlineStr">
        <is>
          <t>MAMPOSTERÍA</t>
        </is>
      </c>
      <c r="C71" s="609" t="n"/>
      <c r="D71" s="609" t="n"/>
      <c r="E71" s="609" t="n"/>
      <c r="F71" s="610" t="n"/>
    </row>
    <row r="72">
      <c r="A72" s="80" t="inlineStr">
        <is>
          <t>5.1</t>
        </is>
      </c>
      <c r="B72" s="364" t="inlineStr">
        <is>
          <t>Mampostería en bloque de concreto</t>
        </is>
      </c>
      <c r="C72" s="257" t="inlineStr">
        <is>
          <t>M²</t>
        </is>
      </c>
      <c r="D72" s="258" t="n"/>
      <c r="E72" s="1310" t="n"/>
      <c r="F72" s="1311">
        <f>D72*E72</f>
        <v/>
      </c>
    </row>
    <row r="73">
      <c r="A73" s="80" t="inlineStr">
        <is>
          <t>5.2</t>
        </is>
      </c>
      <c r="B73" s="364" t="inlineStr">
        <is>
          <t>Mampostería en ladrillo</t>
        </is>
      </c>
      <c r="C73" s="257" t="inlineStr">
        <is>
          <t>M²</t>
        </is>
      </c>
      <c r="D73" s="258" t="n"/>
      <c r="E73" s="1310" t="n"/>
      <c r="F73" s="1311">
        <f>D73*E73</f>
        <v/>
      </c>
    </row>
    <row r="74">
      <c r="A74" s="80" t="inlineStr">
        <is>
          <t>5.3</t>
        </is>
      </c>
      <c r="B74" s="364" t="inlineStr">
        <is>
          <t>Mampostería estructural</t>
        </is>
      </c>
      <c r="C74" s="257" t="inlineStr">
        <is>
          <t>M²</t>
        </is>
      </c>
      <c r="D74" s="258" t="n"/>
      <c r="E74" s="1310" t="n"/>
      <c r="F74" s="1311">
        <f>D74*E74</f>
        <v/>
      </c>
    </row>
    <row r="75">
      <c r="A75" s="80" t="inlineStr">
        <is>
          <t>5.4</t>
        </is>
      </c>
      <c r="B75" s="364" t="inlineStr">
        <is>
          <t>Muros en sistema liviano / drywall</t>
        </is>
      </c>
      <c r="C75" s="257" t="inlineStr">
        <is>
          <t>M²</t>
        </is>
      </c>
      <c r="D75" s="258" t="n"/>
      <c r="E75" s="1310" t="n"/>
      <c r="F75" s="1311">
        <f>D75*E75</f>
        <v/>
      </c>
    </row>
    <row r="76">
      <c r="A76" s="80" t="inlineStr">
        <is>
          <t>5.5</t>
        </is>
      </c>
      <c r="B76" s="364" t="inlineStr">
        <is>
          <t>Dinteles sobre vanos</t>
        </is>
      </c>
      <c r="C76" s="257" t="inlineStr">
        <is>
          <t>ML</t>
        </is>
      </c>
      <c r="D76" s="258" t="n"/>
      <c r="E76" s="1310" t="n"/>
      <c r="F76" s="1311">
        <f>D76*E76</f>
        <v/>
      </c>
    </row>
    <row r="77">
      <c r="A77" s="80" t="inlineStr">
        <is>
          <t>5.6</t>
        </is>
      </c>
      <c r="B77" s="364" t="inlineStr">
        <is>
          <t>Alfajías y remates</t>
        </is>
      </c>
      <c r="C77" s="257" t="inlineStr">
        <is>
          <t>ML</t>
        </is>
      </c>
      <c r="D77" s="258" t="n"/>
      <c r="E77" s="1310" t="n"/>
      <c r="F77" s="1311">
        <f>D77*E77</f>
        <v/>
      </c>
    </row>
    <row r="78">
      <c r="A78" s="80" t="inlineStr">
        <is>
          <t>5.7</t>
        </is>
      </c>
      <c r="B78" s="364" t="inlineStr">
        <is>
          <t>Anclajes y refuerzos de mampostería</t>
        </is>
      </c>
      <c r="C78" s="257" t="inlineStr">
        <is>
          <t>UND</t>
        </is>
      </c>
      <c r="D78" s="258" t="n"/>
      <c r="E78" s="1310" t="n"/>
      <c r="F78" s="1311">
        <f>D78*E78</f>
        <v/>
      </c>
    </row>
    <row r="79">
      <c r="A79" s="80" t="inlineStr">
        <is>
          <t>5.8</t>
        </is>
      </c>
      <c r="B79" s="364" t="inlineStr">
        <is>
          <t>Mampostería en ladrillo tolete a la vista (reforzada)</t>
        </is>
      </c>
      <c r="C79" s="257" t="inlineStr">
        <is>
          <t>M²</t>
        </is>
      </c>
      <c r="D79" s="258" t="n"/>
      <c r="E79" s="1310" t="n"/>
      <c r="F79" s="1311">
        <f>D79*E79</f>
        <v/>
      </c>
    </row>
    <row r="80">
      <c r="A80" s="80" t="inlineStr">
        <is>
          <t>5.9</t>
        </is>
      </c>
      <c r="B80" s="364" t="inlineStr">
        <is>
          <t>Mampostería en ladrillo a la vista (no reforzada)</t>
        </is>
      </c>
      <c r="C80" s="257" t="inlineStr">
        <is>
          <t>M²</t>
        </is>
      </c>
      <c r="D80" s="258" t="n"/>
      <c r="E80" s="1310" t="n"/>
      <c r="F80" s="1311">
        <f>D80*E80</f>
        <v/>
      </c>
    </row>
    <row r="81">
      <c r="A81" s="81" t="n"/>
      <c r="B81" s="704" t="inlineStr">
        <is>
          <t>SUBTOTAL CAPÍTULO 5 - MAMPOSTERÍA</t>
        </is>
      </c>
      <c r="C81" s="567" t="n"/>
      <c r="D81" s="567" t="n"/>
      <c r="E81" s="567" t="n"/>
      <c r="F81" s="1312">
        <f>SUM(F72:F80)</f>
        <v/>
      </c>
    </row>
    <row r="82">
      <c r="A82" s="82" t="n"/>
      <c r="B82" s="716" t="n"/>
      <c r="C82" s="567" t="n"/>
      <c r="D82" s="567" t="n"/>
      <c r="E82" s="567" t="n"/>
      <c r="F82" s="708" t="n"/>
    </row>
    <row r="83">
      <c r="A83" s="182" t="inlineStr">
        <is>
          <t>6</t>
        </is>
      </c>
      <c r="B83" s="717" t="inlineStr">
        <is>
          <t>CUBIERTAS</t>
        </is>
      </c>
      <c r="C83" s="567" t="n"/>
      <c r="D83" s="567" t="n"/>
      <c r="E83" s="567" t="n"/>
      <c r="F83" s="567" t="n"/>
    </row>
    <row r="84">
      <c r="A84" s="80" t="inlineStr">
        <is>
          <t>6.1</t>
        </is>
      </c>
      <c r="B84" s="365" t="inlineStr">
        <is>
          <t>Estructura metálica o de madera para cubierta</t>
        </is>
      </c>
      <c r="C84" s="257" t="inlineStr">
        <is>
          <t>KG</t>
        </is>
      </c>
      <c r="F84">
        <f>D84*E84</f>
        <v/>
      </c>
    </row>
    <row r="85">
      <c r="A85" s="80" t="inlineStr">
        <is>
          <t>6.2</t>
        </is>
      </c>
      <c r="B85" s="364" t="inlineStr">
        <is>
          <t>Cerchas y elementos estructurales</t>
        </is>
      </c>
      <c r="C85" s="257" t="inlineStr">
        <is>
          <t>KG</t>
        </is>
      </c>
      <c r="D85" s="258" t="n"/>
      <c r="E85" s="1310" t="n"/>
      <c r="F85" s="1311">
        <f>D85*E85</f>
        <v/>
      </c>
    </row>
    <row r="86">
      <c r="A86" s="80" t="inlineStr">
        <is>
          <t>6.3</t>
        </is>
      </c>
      <c r="B86" s="364" t="inlineStr">
        <is>
          <t>Suministro e instalación de teja</t>
        </is>
      </c>
      <c r="C86" s="257" t="inlineStr">
        <is>
          <t>M²</t>
        </is>
      </c>
      <c r="D86" s="258" t="n"/>
      <c r="E86" s="1310" t="n"/>
      <c r="F86" s="1311">
        <f>D86*E86</f>
        <v/>
      </c>
    </row>
    <row r="87">
      <c r="A87" s="80" t="inlineStr">
        <is>
          <t>6.4</t>
        </is>
      </c>
      <c r="B87" s="364" t="inlineStr">
        <is>
          <t>Impermeabilización de cubierta</t>
        </is>
      </c>
      <c r="C87" s="257" t="inlineStr">
        <is>
          <t>M²</t>
        </is>
      </c>
      <c r="D87" s="258" t="n"/>
      <c r="E87" s="1310" t="n"/>
      <c r="F87" s="1311">
        <f>D87*E87</f>
        <v/>
      </c>
    </row>
    <row r="88">
      <c r="A88" s="80" t="inlineStr">
        <is>
          <t>6.5</t>
        </is>
      </c>
      <c r="B88" s="364" t="inlineStr">
        <is>
          <t>Aislamiento térmico/acústico</t>
        </is>
      </c>
      <c r="C88" s="257" t="inlineStr">
        <is>
          <t>M²</t>
        </is>
      </c>
      <c r="D88" s="258" t="n"/>
      <c r="E88" s="1310" t="n"/>
      <c r="F88" s="1311">
        <f>D88*E88</f>
        <v/>
      </c>
    </row>
    <row r="89">
      <c r="A89" s="80" t="inlineStr">
        <is>
          <t>6.6</t>
        </is>
      </c>
      <c r="B89" s="364" t="inlineStr">
        <is>
          <t>Canales de aguas lluvias</t>
        </is>
      </c>
      <c r="C89" s="257" t="inlineStr">
        <is>
          <t>ML</t>
        </is>
      </c>
      <c r="D89" s="258" t="n"/>
      <c r="E89" s="1310" t="n"/>
      <c r="F89" s="1311">
        <f>D89*E89</f>
        <v/>
      </c>
    </row>
    <row r="90">
      <c r="A90" s="80" t="inlineStr">
        <is>
          <t>6.7</t>
        </is>
      </c>
      <c r="B90" s="364" t="inlineStr">
        <is>
          <t>Bajantes de aguas lluvias</t>
        </is>
      </c>
      <c r="C90" s="257" t="inlineStr">
        <is>
          <t>ML</t>
        </is>
      </c>
      <c r="D90" s="258" t="n"/>
      <c r="E90" s="1310" t="n"/>
      <c r="F90" s="1311">
        <f>D90*E90</f>
        <v/>
      </c>
    </row>
    <row r="91">
      <c r="A91" s="80" t="inlineStr">
        <is>
          <t>6.8</t>
        </is>
      </c>
      <c r="B91" s="364" t="inlineStr">
        <is>
          <t>Cielo raso Dry Wall</t>
        </is>
      </c>
      <c r="C91" s="257" t="inlineStr">
        <is>
          <t>M²</t>
        </is>
      </c>
      <c r="D91" s="258" t="n"/>
      <c r="E91" s="1310" t="n"/>
      <c r="F91" s="1311">
        <f>D91*E91</f>
        <v/>
      </c>
    </row>
    <row r="92">
      <c r="A92" s="80" t="inlineStr">
        <is>
          <t>6.9</t>
        </is>
      </c>
      <c r="B92" s="364" t="inlineStr">
        <is>
          <t>Cielo raso en lámina acústica de fibra mineral</t>
        </is>
      </c>
      <c r="C92" s="257" t="inlineStr">
        <is>
          <t>M²</t>
        </is>
      </c>
      <c r="D92" s="258" t="n"/>
      <c r="E92" s="1310" t="n"/>
      <c r="F92" s="1311">
        <f>D92*E92</f>
        <v/>
      </c>
    </row>
    <row r="93">
      <c r="A93" s="81" t="n"/>
      <c r="B93" s="704" t="inlineStr">
        <is>
          <t>SUBTOTAL CAPÍTULO 6 - CUBIERTAS</t>
        </is>
      </c>
      <c r="C93" s="567" t="n"/>
      <c r="D93" s="567" t="n"/>
      <c r="E93" s="567" t="n"/>
      <c r="F93" s="1312">
        <f>SUM(F84:F92)</f>
        <v/>
      </c>
    </row>
    <row r="94">
      <c r="A94" s="82" t="n"/>
      <c r="B94" s="716" t="n"/>
      <c r="C94" s="716" t="n"/>
      <c r="D94" s="716" t="n"/>
      <c r="E94" s="716" t="n"/>
      <c r="F94" s="708" t="n"/>
    </row>
    <row r="95">
      <c r="A95" s="182" t="inlineStr">
        <is>
          <t>7</t>
        </is>
      </c>
      <c r="B95" s="703" t="inlineStr">
        <is>
          <t>IMPERMEABILIZACIONES</t>
        </is>
      </c>
      <c r="C95" s="567" t="n"/>
      <c r="D95" s="567" t="n"/>
      <c r="E95" s="567" t="n"/>
      <c r="F95" s="567" t="n"/>
    </row>
    <row r="96">
      <c r="A96" s="80" t="inlineStr">
        <is>
          <t>7.1</t>
        </is>
      </c>
      <c r="B96" s="364" t="inlineStr">
        <is>
          <t>Impermeabilización de losas y terrazas</t>
        </is>
      </c>
      <c r="C96" s="257" t="inlineStr">
        <is>
          <t>M²</t>
        </is>
      </c>
      <c r="D96" s="258" t="n"/>
      <c r="E96" s="1310" t="n"/>
      <c r="F96" s="1311">
        <f>D96*E96</f>
        <v/>
      </c>
    </row>
    <row r="97">
      <c r="A97" s="80" t="inlineStr">
        <is>
          <t>7.2</t>
        </is>
      </c>
      <c r="B97" s="365" t="inlineStr">
        <is>
          <t>Impermeabilización de muros</t>
        </is>
      </c>
      <c r="C97" s="257" t="inlineStr">
        <is>
          <t>M²</t>
        </is>
      </c>
      <c r="F97">
        <f>D97*E97</f>
        <v/>
      </c>
    </row>
    <row r="98">
      <c r="A98" s="80" t="inlineStr">
        <is>
          <t>7.3</t>
        </is>
      </c>
      <c r="B98" s="364" t="inlineStr">
        <is>
          <t>Impermeabilización de zonas húmedas</t>
        </is>
      </c>
      <c r="C98" s="257" t="inlineStr">
        <is>
          <t>M²</t>
        </is>
      </c>
      <c r="D98" s="258" t="n"/>
      <c r="E98" s="1310" t="n"/>
      <c r="F98" s="1311">
        <f>D98*E98</f>
        <v/>
      </c>
    </row>
    <row r="99">
      <c r="A99" s="80" t="inlineStr">
        <is>
          <t>7.4</t>
        </is>
      </c>
      <c r="B99" s="364" t="inlineStr">
        <is>
          <t>Geomembrana HDPE para impermeabilización de terrenos</t>
        </is>
      </c>
      <c r="C99" s="257" t="inlineStr">
        <is>
          <t>M²</t>
        </is>
      </c>
      <c r="D99" s="258" t="n"/>
      <c r="E99" s="1310" t="n"/>
      <c r="F99" s="1311">
        <f>D99*E99</f>
        <v/>
      </c>
    </row>
    <row r="100">
      <c r="A100" s="81" t="n"/>
      <c r="B100" s="704" t="inlineStr">
        <is>
          <t>SUBTOTAL CAPÍTULO 7 - IMPERMEABILIZACIONES</t>
        </is>
      </c>
      <c r="C100" s="567" t="n"/>
      <c r="D100" s="567" t="n"/>
      <c r="E100" s="567" t="n"/>
      <c r="F100" s="1312">
        <f>SUM(F96:F99)</f>
        <v/>
      </c>
    </row>
    <row r="101">
      <c r="A101" s="82" t="n"/>
      <c r="B101" s="716" t="n"/>
      <c r="C101" s="567" t="n"/>
      <c r="D101" s="567" t="n"/>
      <c r="E101" s="567" t="n"/>
      <c r="F101" s="708" t="n"/>
    </row>
    <row r="102">
      <c r="A102" s="182" t="inlineStr">
        <is>
          <t>8</t>
        </is>
      </c>
      <c r="B102" s="703" t="inlineStr">
        <is>
          <t>PAÑETES Y REVOQUES</t>
        </is>
      </c>
      <c r="C102" s="567" t="n"/>
      <c r="D102" s="567" t="n"/>
      <c r="E102" s="567" t="n"/>
      <c r="F102" s="567" t="n"/>
    </row>
    <row r="103">
      <c r="A103" s="80" t="inlineStr">
        <is>
          <t>8.1</t>
        </is>
      </c>
      <c r="B103" s="365" t="inlineStr">
        <is>
          <t>Pañete / revoque interior</t>
        </is>
      </c>
      <c r="C103" s="257" t="inlineStr">
        <is>
          <t>M²</t>
        </is>
      </c>
      <c r="F103">
        <f>D103*E103</f>
        <v/>
      </c>
    </row>
    <row r="104">
      <c r="A104" s="80" t="inlineStr">
        <is>
          <t>8.2</t>
        </is>
      </c>
      <c r="B104" s="364" t="inlineStr">
        <is>
          <t>Pañete / revoque exterior</t>
        </is>
      </c>
      <c r="C104" s="257" t="inlineStr">
        <is>
          <t>M²</t>
        </is>
      </c>
      <c r="D104" s="258" t="n"/>
      <c r="E104" s="1310" t="n"/>
      <c r="F104" s="1311">
        <f>D104*E104</f>
        <v/>
      </c>
    </row>
    <row r="105">
      <c r="A105" s="80" t="inlineStr">
        <is>
          <t>8.3</t>
        </is>
      </c>
      <c r="B105" s="364" t="inlineStr">
        <is>
          <t>Pañete impermeabilizado</t>
        </is>
      </c>
      <c r="C105" s="257" t="inlineStr">
        <is>
          <t>M²</t>
        </is>
      </c>
      <c r="D105" s="258" t="n"/>
      <c r="E105" s="1310" t="n"/>
      <c r="F105" s="1311">
        <f>D105*E105</f>
        <v/>
      </c>
    </row>
    <row r="106">
      <c r="A106" s="80" t="inlineStr">
        <is>
          <t>8.4</t>
        </is>
      </c>
      <c r="B106" s="364" t="inlineStr">
        <is>
          <t>Estuco plástico o tradicional</t>
        </is>
      </c>
      <c r="C106" s="257" t="inlineStr">
        <is>
          <t>M²</t>
        </is>
      </c>
      <c r="F106" s="1311">
        <f>D106*E106</f>
        <v/>
      </c>
    </row>
    <row r="107">
      <c r="A107" s="81" t="n"/>
      <c r="B107" s="704" t="inlineStr">
        <is>
          <t>SUBTOTAL CAPÍTULO 8 - PAÑETES Y REVOQUES</t>
        </is>
      </c>
      <c r="C107" s="567" t="n"/>
      <c r="D107" s="567" t="n"/>
      <c r="E107" s="567" t="n"/>
      <c r="F107" s="1312">
        <f>SUM(F103:F106)</f>
        <v/>
      </c>
    </row>
    <row r="108">
      <c r="A108" s="82" t="n"/>
      <c r="B108" s="708" t="n"/>
      <c r="C108" s="567" t="n"/>
      <c r="D108" s="567" t="n"/>
      <c r="E108" s="567" t="n"/>
      <c r="F108" s="607" t="n"/>
    </row>
    <row r="109">
      <c r="A109" s="182" t="inlineStr">
        <is>
          <t>9</t>
        </is>
      </c>
      <c r="B109" s="703" t="inlineStr">
        <is>
          <t>PISOS Y ENCHAPES</t>
        </is>
      </c>
      <c r="C109" s="567" t="n"/>
      <c r="D109" s="567" t="n"/>
      <c r="E109" s="567" t="n"/>
      <c r="F109" s="567" t="n"/>
    </row>
    <row r="110">
      <c r="A110" s="80" t="inlineStr">
        <is>
          <t>9.1</t>
        </is>
      </c>
      <c r="B110" s="364" t="inlineStr">
        <is>
          <t>Mortero de nivelación</t>
        </is>
      </c>
      <c r="C110" s="257" t="inlineStr">
        <is>
          <t>M²</t>
        </is>
      </c>
      <c r="D110" s="258" t="n"/>
      <c r="E110" s="1310" t="n"/>
      <c r="F110" s="1311">
        <f>D110*E110</f>
        <v/>
      </c>
    </row>
    <row r="111">
      <c r="A111" s="80" t="inlineStr">
        <is>
          <t>9.2</t>
        </is>
      </c>
      <c r="B111" s="364" t="inlineStr">
        <is>
          <t>Piso cerámico</t>
        </is>
      </c>
      <c r="C111" s="257" t="inlineStr">
        <is>
          <t>M²</t>
        </is>
      </c>
      <c r="D111" s="258" t="n"/>
      <c r="E111" s="1310" t="n"/>
      <c r="F111" s="1311">
        <f>D111*E111</f>
        <v/>
      </c>
    </row>
    <row r="112">
      <c r="A112" s="80" t="inlineStr">
        <is>
          <t>9.3</t>
        </is>
      </c>
      <c r="B112" s="364" t="inlineStr">
        <is>
          <t>Piso en porcelanato</t>
        </is>
      </c>
      <c r="C112" s="257" t="inlineStr">
        <is>
          <t>M²</t>
        </is>
      </c>
      <c r="D112" s="258" t="n"/>
      <c r="E112" s="1310" t="n"/>
      <c r="F112" s="1311">
        <f>D112*E112</f>
        <v/>
      </c>
    </row>
    <row r="113">
      <c r="A113" s="80" t="inlineStr">
        <is>
          <t>9.4</t>
        </is>
      </c>
      <c r="B113" s="364" t="inlineStr">
        <is>
          <t>Piso vinílico</t>
        </is>
      </c>
      <c r="C113" s="257" t="inlineStr">
        <is>
          <t>M²</t>
        </is>
      </c>
      <c r="D113" s="258" t="n"/>
      <c r="E113" s="1310" t="n"/>
      <c r="F113" s="1311">
        <f>D113*E113</f>
        <v/>
      </c>
    </row>
    <row r="114">
      <c r="A114" s="80" t="inlineStr">
        <is>
          <t>9.5</t>
        </is>
      </c>
      <c r="B114" s="364" t="inlineStr">
        <is>
          <t>Piso laminado</t>
        </is>
      </c>
      <c r="C114" s="257" t="inlineStr">
        <is>
          <t>M²</t>
        </is>
      </c>
      <c r="D114" s="258" t="n"/>
      <c r="E114" s="1310" t="n"/>
      <c r="F114" s="1311">
        <f>D114*E114</f>
        <v/>
      </c>
    </row>
    <row r="115">
      <c r="A115" s="80" t="inlineStr">
        <is>
          <t>9.6</t>
        </is>
      </c>
      <c r="B115" s="364" t="inlineStr">
        <is>
          <t>Enchape cerámico en muros</t>
        </is>
      </c>
      <c r="C115" s="257" t="inlineStr">
        <is>
          <t>M²</t>
        </is>
      </c>
      <c r="F115" s="1311">
        <f>D115*E115</f>
        <v/>
      </c>
    </row>
    <row r="116">
      <c r="A116" s="80" t="inlineStr">
        <is>
          <t>9.7</t>
        </is>
      </c>
      <c r="B116" s="364" t="inlineStr">
        <is>
          <t>Guardaescoba</t>
        </is>
      </c>
      <c r="C116" s="257" t="inlineStr">
        <is>
          <t>ML</t>
        </is>
      </c>
      <c r="D116" s="258" t="n"/>
      <c r="E116" s="1310" t="n"/>
      <c r="F116" s="1311">
        <f>D116*E116</f>
        <v/>
      </c>
    </row>
    <row r="117">
      <c r="A117" s="80" t="inlineStr">
        <is>
          <t>9.8</t>
        </is>
      </c>
      <c r="B117" s="365" t="inlineStr">
        <is>
          <t>Juntas de dilatación / construcción</t>
        </is>
      </c>
      <c r="C117" s="257" t="inlineStr">
        <is>
          <t>ML</t>
        </is>
      </c>
      <c r="F117">
        <f>D117*E117</f>
        <v/>
      </c>
    </row>
    <row r="118">
      <c r="A118" s="80" t="inlineStr">
        <is>
          <t>9.9</t>
        </is>
      </c>
      <c r="B118" s="365" t="inlineStr">
        <is>
          <t>Piso en concreto afinado con endurecedor de cuarzo</t>
        </is>
      </c>
      <c r="C118" s="257" t="inlineStr">
        <is>
          <t>M²</t>
        </is>
      </c>
      <c r="F118">
        <f>D118*E118</f>
        <v/>
      </c>
    </row>
    <row r="119">
      <c r="A119" s="80" t="inlineStr">
        <is>
          <t>9.10</t>
        </is>
      </c>
      <c r="B119" s="365" t="inlineStr">
        <is>
          <t>Baldosa de granito</t>
        </is>
      </c>
      <c r="C119" s="257" t="inlineStr">
        <is>
          <t>M²</t>
        </is>
      </c>
      <c r="F119">
        <f>D119*E119</f>
        <v/>
      </c>
    </row>
    <row r="120">
      <c r="A120" s="80" t="inlineStr">
        <is>
          <t>9.11</t>
        </is>
      </c>
      <c r="B120" s="365" t="inlineStr">
        <is>
          <t>Enchape en granito pulido</t>
        </is>
      </c>
      <c r="C120" s="257" t="inlineStr">
        <is>
          <t>M²</t>
        </is>
      </c>
      <c r="F120">
        <f>D120*E120</f>
        <v/>
      </c>
    </row>
    <row r="121">
      <c r="A121" s="81" t="n"/>
      <c r="B121" s="704" t="inlineStr">
        <is>
          <t>SUBTOTAL CAPÍTULO 9 - PISOS Y ENCHAPES</t>
        </is>
      </c>
      <c r="C121" s="567" t="n"/>
      <c r="D121" s="567" t="n"/>
      <c r="E121" s="567" t="n"/>
      <c r="F121" s="1312">
        <f>SUM(F110:F120)</f>
        <v/>
      </c>
    </row>
    <row r="122">
      <c r="A122" s="82" t="n"/>
      <c r="B122" s="716" t="n"/>
      <c r="C122" s="716" t="n"/>
      <c r="D122" s="716" t="n"/>
      <c r="E122" s="716" t="n"/>
      <c r="F122" s="708" t="n"/>
    </row>
    <row r="123">
      <c r="A123" s="182" t="inlineStr">
        <is>
          <t>10</t>
        </is>
      </c>
      <c r="B123" s="703" t="inlineStr">
        <is>
          <t>PINTURA</t>
        </is>
      </c>
      <c r="C123" s="567" t="n"/>
      <c r="D123" s="567" t="n"/>
      <c r="E123" s="567" t="n"/>
      <c r="F123" s="567" t="n"/>
    </row>
    <row r="124">
      <c r="A124" s="80" t="inlineStr">
        <is>
          <t>10.1</t>
        </is>
      </c>
      <c r="B124" s="364" t="inlineStr">
        <is>
          <t>Pintura vinílica interior</t>
        </is>
      </c>
      <c r="C124" s="257" t="inlineStr">
        <is>
          <t>M²</t>
        </is>
      </c>
      <c r="D124" s="258" t="n"/>
      <c r="E124" s="1310" t="n"/>
      <c r="F124" s="1311">
        <f>D124*E124</f>
        <v/>
      </c>
    </row>
    <row r="125">
      <c r="A125" s="80" t="inlineStr">
        <is>
          <t>10.2</t>
        </is>
      </c>
      <c r="B125" s="364" t="inlineStr">
        <is>
          <t>Pintura exterior</t>
        </is>
      </c>
      <c r="C125" s="257" t="inlineStr">
        <is>
          <t>M²</t>
        </is>
      </c>
      <c r="D125" s="258" t="n"/>
      <c r="E125" s="1310" t="n"/>
      <c r="F125" s="1311">
        <f>D125*E125</f>
        <v/>
      </c>
    </row>
    <row r="126">
      <c r="A126" s="80" t="inlineStr">
        <is>
          <t>10.3</t>
        </is>
      </c>
      <c r="B126" s="364" t="inlineStr">
        <is>
          <t>Pintura esmalte en superficies metálicas/madera</t>
        </is>
      </c>
      <c r="C126" s="257" t="inlineStr">
        <is>
          <t>M²</t>
        </is>
      </c>
      <c r="D126" s="258" t="n"/>
      <c r="E126" s="1310" t="n"/>
      <c r="F126" s="1311">
        <f>D126*E126</f>
        <v/>
      </c>
    </row>
    <row r="127">
      <c r="A127" s="80" t="inlineStr">
        <is>
          <t>10.4</t>
        </is>
      </c>
      <c r="B127" s="364" t="inlineStr">
        <is>
          <t>Pintura anticorrosiva</t>
        </is>
      </c>
      <c r="C127" s="257" t="inlineStr">
        <is>
          <t>M²</t>
        </is>
      </c>
      <c r="D127" s="258" t="n"/>
      <c r="E127" s="1310" t="n"/>
      <c r="F127" s="1311">
        <f>D127*E127</f>
        <v/>
      </c>
    </row>
    <row r="128">
      <c r="A128" s="80" t="inlineStr">
        <is>
          <t>10.5</t>
        </is>
      </c>
      <c r="B128" s="364" t="inlineStr">
        <is>
          <t>Sellador / imprimante</t>
        </is>
      </c>
      <c r="C128" s="257" t="inlineStr">
        <is>
          <t>M²</t>
        </is>
      </c>
      <c r="F128" s="1311">
        <f>D128*E128</f>
        <v/>
      </c>
    </row>
    <row r="129">
      <c r="A129" s="81" t="n"/>
      <c r="B129" s="704" t="inlineStr">
        <is>
          <t>SUBTOTAL CAPÍTULO 10 - PINTURA</t>
        </is>
      </c>
      <c r="C129" s="567" t="n"/>
      <c r="D129" s="567" t="n"/>
      <c r="E129" s="567" t="n"/>
      <c r="F129" s="1312">
        <f>SUM(F124:F128)</f>
        <v/>
      </c>
    </row>
    <row r="130">
      <c r="A130" s="82" t="n"/>
      <c r="B130" s="708" t="n"/>
      <c r="C130" s="567" t="n"/>
      <c r="D130" s="567" t="n"/>
      <c r="E130" s="567" t="n"/>
      <c r="F130" s="607" t="n"/>
    </row>
    <row r="131">
      <c r="A131" s="182" t="inlineStr">
        <is>
          <t>11</t>
        </is>
      </c>
      <c r="B131" s="703" t="inlineStr">
        <is>
          <t>CARPINTERÍA</t>
        </is>
      </c>
      <c r="C131" s="567" t="n"/>
      <c r="D131" s="567" t="n"/>
      <c r="E131" s="567" t="n"/>
      <c r="F131" s="567" t="n"/>
    </row>
    <row r="132">
      <c r="A132" s="80" t="inlineStr">
        <is>
          <t>11.1</t>
        </is>
      </c>
      <c r="B132" s="364" t="inlineStr">
        <is>
          <t>Puertas de madera</t>
        </is>
      </c>
      <c r="C132" s="257" t="inlineStr">
        <is>
          <t>UND</t>
        </is>
      </c>
      <c r="D132" s="258" t="n"/>
      <c r="E132" s="1310" t="n"/>
      <c r="F132" s="1311">
        <f>D132*E132</f>
        <v/>
      </c>
    </row>
    <row r="133">
      <c r="A133" s="80" t="inlineStr">
        <is>
          <t>11.2</t>
        </is>
      </c>
      <c r="B133" s="364" t="inlineStr">
        <is>
          <t>Muebles fijos de madera</t>
        </is>
      </c>
      <c r="C133" s="257" t="inlineStr">
        <is>
          <t>ML</t>
        </is>
      </c>
      <c r="F133" s="1311">
        <f>D133*E133</f>
        <v/>
      </c>
    </row>
    <row r="134">
      <c r="A134" s="80" t="inlineStr">
        <is>
          <t>11.3</t>
        </is>
      </c>
      <c r="B134" s="364" t="inlineStr">
        <is>
          <t>Puertas metálicas</t>
        </is>
      </c>
      <c r="C134" s="257" t="inlineStr">
        <is>
          <t>UND</t>
        </is>
      </c>
      <c r="D134" s="258" t="n"/>
      <c r="E134" s="1310" t="n"/>
      <c r="F134" s="1311">
        <f>D134*E134</f>
        <v/>
      </c>
    </row>
    <row r="135">
      <c r="A135" s="80" t="inlineStr">
        <is>
          <t>11.4</t>
        </is>
      </c>
      <c r="B135" s="365" t="inlineStr">
        <is>
          <t>Barandas metálicas</t>
        </is>
      </c>
      <c r="C135" s="257" t="inlineStr">
        <is>
          <t>ML</t>
        </is>
      </c>
      <c r="F135">
        <f>D135*E135</f>
        <v/>
      </c>
    </row>
    <row r="136">
      <c r="A136" s="80" t="inlineStr">
        <is>
          <t>11.5</t>
        </is>
      </c>
      <c r="B136" s="364" t="inlineStr">
        <is>
          <t>Pasamanos</t>
        </is>
      </c>
      <c r="C136" s="257" t="inlineStr">
        <is>
          <t>ML</t>
        </is>
      </c>
      <c r="D136" s="258" t="n"/>
      <c r="E136" s="1310" t="n"/>
      <c r="F136" s="1311">
        <f>D136*E136</f>
        <v/>
      </c>
    </row>
    <row r="137">
      <c r="A137" s="80" t="inlineStr">
        <is>
          <t>11.6</t>
        </is>
      </c>
      <c r="B137" s="364" t="inlineStr">
        <is>
          <t>Ventanas de aluminio</t>
        </is>
      </c>
      <c r="C137" s="257" t="inlineStr">
        <is>
          <t>M²</t>
        </is>
      </c>
      <c r="D137" s="258" t="n"/>
      <c r="E137" s="1310" t="n"/>
      <c r="F137" s="1311">
        <f>D137*E137</f>
        <v/>
      </c>
    </row>
    <row r="138">
      <c r="A138" s="80" t="inlineStr">
        <is>
          <t>11.7</t>
        </is>
      </c>
      <c r="B138" s="364" t="inlineStr">
        <is>
          <t>Divisiones de aluminio</t>
        </is>
      </c>
      <c r="C138" s="257" t="inlineStr">
        <is>
          <t>M²</t>
        </is>
      </c>
      <c r="D138" s="258" t="n"/>
      <c r="E138" s="1310" t="n"/>
      <c r="F138" s="1311">
        <f>D138*E138</f>
        <v/>
      </c>
    </row>
    <row r="139">
      <c r="A139" s="80" t="inlineStr">
        <is>
          <t>11.8</t>
        </is>
      </c>
      <c r="B139" s="364" t="inlineStr">
        <is>
          <t>Puerta antipánico</t>
        </is>
      </c>
      <c r="C139" s="257" t="inlineStr">
        <is>
          <t>UND</t>
        </is>
      </c>
      <c r="D139" s="258" t="n"/>
      <c r="E139" s="1310" t="n"/>
      <c r="F139" s="1311">
        <f>D139*E139</f>
        <v/>
      </c>
    </row>
    <row r="140">
      <c r="A140" s="81" t="n"/>
      <c r="B140" s="704" t="inlineStr">
        <is>
          <t>SUBTOTAL CAPÍTULO 11 - CARPINTERÍA</t>
        </is>
      </c>
      <c r="C140" s="567" t="n"/>
      <c r="D140" s="567" t="n"/>
      <c r="E140" s="567" t="n"/>
      <c r="F140" s="1312">
        <f>SUM(F132:F139)</f>
        <v/>
      </c>
    </row>
    <row r="141">
      <c r="A141" s="82" t="n"/>
      <c r="B141" s="716" t="n"/>
      <c r="C141" s="716" t="n"/>
      <c r="D141" s="716" t="n"/>
      <c r="E141" s="716" t="n"/>
      <c r="F141" s="708" t="n"/>
    </row>
    <row r="142">
      <c r="A142" s="182" t="inlineStr">
        <is>
          <t>12</t>
        </is>
      </c>
      <c r="B142" s="703" t="inlineStr">
        <is>
          <t>VIDRIOS</t>
        </is>
      </c>
      <c r="C142" s="567" t="n"/>
      <c r="D142" s="567" t="n"/>
      <c r="E142" s="567" t="n"/>
      <c r="F142" s="567" t="n"/>
    </row>
    <row r="143">
      <c r="A143" s="80" t="inlineStr">
        <is>
          <t>12.1</t>
        </is>
      </c>
      <c r="B143" s="364" t="inlineStr">
        <is>
          <t>Vidrio templado</t>
        </is>
      </c>
      <c r="C143" s="257" t="inlineStr">
        <is>
          <t>M²</t>
        </is>
      </c>
      <c r="F143" s="1311">
        <f>D143*E143</f>
        <v/>
      </c>
    </row>
    <row r="144">
      <c r="A144" s="80" t="inlineStr">
        <is>
          <t>12.2</t>
        </is>
      </c>
      <c r="B144" s="364" t="inlineStr">
        <is>
          <t>Vidrio laminado</t>
        </is>
      </c>
      <c r="C144" s="257" t="inlineStr">
        <is>
          <t>M²</t>
        </is>
      </c>
      <c r="D144" s="258" t="n"/>
      <c r="E144" s="1310" t="n"/>
      <c r="F144" s="1311">
        <f>D144*E144</f>
        <v/>
      </c>
    </row>
    <row r="145">
      <c r="A145" s="80" t="inlineStr">
        <is>
          <t>12.3</t>
        </is>
      </c>
      <c r="B145" s="365" t="inlineStr">
        <is>
          <t>Espejos</t>
        </is>
      </c>
      <c r="C145" s="257" t="inlineStr">
        <is>
          <t>M²</t>
        </is>
      </c>
      <c r="F145">
        <f>D145*E145</f>
        <v/>
      </c>
    </row>
    <row r="146">
      <c r="A146" s="80" t="inlineStr">
        <is>
          <t>12.4</t>
        </is>
      </c>
      <c r="B146" s="364" t="inlineStr">
        <is>
          <t>Sellos y silicona</t>
        </is>
      </c>
      <c r="C146" s="257" t="inlineStr">
        <is>
          <t>ML</t>
        </is>
      </c>
      <c r="D146" s="258" t="n"/>
      <c r="E146" s="1310" t="n"/>
      <c r="F146" s="1311">
        <f>D146*E146</f>
        <v/>
      </c>
    </row>
    <row r="147">
      <c r="A147" s="81" t="n"/>
      <c r="B147" s="704" t="inlineStr">
        <is>
          <t>SUBTOTAL CAPÍTULO 12 - VIDRIOS</t>
        </is>
      </c>
      <c r="C147" s="567" t="n"/>
      <c r="D147" s="567" t="n"/>
      <c r="E147" s="567" t="n"/>
      <c r="F147" s="1312">
        <f>SUM(F143:F146)</f>
        <v/>
      </c>
    </row>
    <row r="148">
      <c r="A148" s="82" t="n"/>
      <c r="B148" s="716" t="n"/>
      <c r="C148" s="716" t="n"/>
      <c r="D148" s="716" t="n"/>
      <c r="E148" s="716" t="n"/>
      <c r="F148" s="708" t="n"/>
    </row>
    <row r="149">
      <c r="A149" s="182" t="inlineStr">
        <is>
          <t>13</t>
        </is>
      </c>
      <c r="B149" s="703" t="inlineStr">
        <is>
          <t>INSTALACIONES HIDROSANITARIAS</t>
        </is>
      </c>
      <c r="C149" s="567" t="n"/>
      <c r="D149" s="567" t="n"/>
      <c r="E149" s="567" t="n"/>
      <c r="F149" s="567" t="n"/>
    </row>
    <row r="150">
      <c r="A150" s="80" t="inlineStr">
        <is>
          <t>13.1</t>
        </is>
      </c>
      <c r="B150" s="364" t="inlineStr">
        <is>
          <t>Tubería de agua fría</t>
        </is>
      </c>
      <c r="C150" s="257" t="inlineStr">
        <is>
          <t>ML</t>
        </is>
      </c>
      <c r="F150" s="1311">
        <f>D150*E150</f>
        <v/>
      </c>
    </row>
    <row r="151">
      <c r="A151" s="80" t="inlineStr">
        <is>
          <t>13.2</t>
        </is>
      </c>
      <c r="B151" s="364" t="inlineStr">
        <is>
          <t>Tubería de agua caliente</t>
        </is>
      </c>
      <c r="C151" s="257" t="inlineStr">
        <is>
          <t>ML</t>
        </is>
      </c>
      <c r="D151" s="258" t="n"/>
      <c r="E151" s="1310" t="n"/>
      <c r="F151" s="1311">
        <f>D151*E151</f>
        <v/>
      </c>
    </row>
    <row r="152">
      <c r="A152" s="80" t="inlineStr">
        <is>
          <t>13.3</t>
        </is>
      </c>
      <c r="B152" s="364" t="inlineStr">
        <is>
          <t>Válvulas y accesorios hidrosanitarios</t>
        </is>
      </c>
      <c r="C152" s="257" t="inlineStr">
        <is>
          <t>UND</t>
        </is>
      </c>
      <c r="F152" s="1311">
        <f>D152*E152</f>
        <v/>
      </c>
    </row>
    <row r="153">
      <c r="A153" s="80" t="inlineStr">
        <is>
          <t>13.4</t>
        </is>
      </c>
      <c r="B153" s="364" t="inlineStr">
        <is>
          <t>Tubería sanitaria</t>
        </is>
      </c>
      <c r="C153" s="257" t="inlineStr">
        <is>
          <t>ML</t>
        </is>
      </c>
      <c r="D153" s="258" t="n"/>
      <c r="E153" s="1310" t="n"/>
      <c r="F153" s="1311">
        <f>D153*E153</f>
        <v/>
      </c>
    </row>
    <row r="154">
      <c r="A154" s="80" t="inlineStr">
        <is>
          <t>13.5</t>
        </is>
      </c>
      <c r="B154" s="364" t="inlineStr">
        <is>
          <t>Tubería de aguas lluvias</t>
        </is>
      </c>
      <c r="C154" s="257" t="inlineStr">
        <is>
          <t>ML</t>
        </is>
      </c>
      <c r="D154" s="258" t="n"/>
      <c r="E154" s="1310" t="n"/>
      <c r="F154" s="1311">
        <f>D154*E154</f>
        <v/>
      </c>
    </row>
    <row r="155">
      <c r="A155" s="80" t="inlineStr">
        <is>
          <t>13.6</t>
        </is>
      </c>
      <c r="B155" s="364" t="inlineStr">
        <is>
          <t>Cajas de inspección</t>
        </is>
      </c>
      <c r="C155" s="257" t="inlineStr">
        <is>
          <t>UND</t>
        </is>
      </c>
      <c r="D155" s="258" t="n"/>
      <c r="E155" s="1310" t="n"/>
      <c r="F155" s="1311">
        <f>D155*E155</f>
        <v/>
      </c>
    </row>
    <row r="156">
      <c r="A156" s="80" t="inlineStr">
        <is>
          <t>13.7</t>
        </is>
      </c>
      <c r="B156" s="364" t="inlineStr">
        <is>
          <t>Aparatos sanitarios</t>
        </is>
      </c>
      <c r="C156" s="257" t="inlineStr">
        <is>
          <t>UND</t>
        </is>
      </c>
      <c r="D156" s="258" t="n"/>
      <c r="E156" s="1310" t="n"/>
      <c r="F156" s="1311">
        <f>D156*E156</f>
        <v/>
      </c>
    </row>
    <row r="157">
      <c r="A157" s="80" t="inlineStr">
        <is>
          <t>13.8</t>
        </is>
      </c>
      <c r="B157" s="364" t="inlineStr">
        <is>
          <t>Lavamanos</t>
        </is>
      </c>
      <c r="C157" s="257" t="inlineStr">
        <is>
          <t>UND</t>
        </is>
      </c>
      <c r="D157" s="258" t="n"/>
      <c r="E157" s="1310" t="n"/>
      <c r="F157" s="1311">
        <f>D157*E157</f>
        <v/>
      </c>
    </row>
    <row r="158">
      <c r="A158" s="80" t="inlineStr">
        <is>
          <t>13.9</t>
        </is>
      </c>
      <c r="B158" s="364" t="inlineStr">
        <is>
          <t>Griferías</t>
        </is>
      </c>
      <c r="C158" s="257" t="inlineStr">
        <is>
          <t>UND</t>
        </is>
      </c>
      <c r="D158" s="258" t="n"/>
      <c r="E158" s="1310" t="n"/>
      <c r="F158" s="1311">
        <f>D158*E158</f>
        <v/>
      </c>
    </row>
    <row r="159">
      <c r="A159" s="80" t="inlineStr">
        <is>
          <t>13.10</t>
        </is>
      </c>
      <c r="B159" s="364" t="inlineStr">
        <is>
          <t>Duchas</t>
        </is>
      </c>
      <c r="C159" s="257" t="inlineStr">
        <is>
          <t>UND</t>
        </is>
      </c>
      <c r="D159" s="258" t="n"/>
      <c r="E159" s="1310" t="n"/>
      <c r="F159" s="1311">
        <f>D159*E159</f>
        <v/>
      </c>
    </row>
    <row r="160">
      <c r="A160" s="80" t="inlineStr">
        <is>
          <t>13.11</t>
        </is>
      </c>
      <c r="B160" s="364" t="inlineStr">
        <is>
          <t>Pruebas hidráulicas y de estanqueidad</t>
        </is>
      </c>
      <c r="C160" s="257" t="inlineStr">
        <is>
          <t>GL</t>
        </is>
      </c>
      <c r="D160" s="258" t="n"/>
      <c r="E160" s="1310" t="n"/>
      <c r="F160" s="1311">
        <f>D160*E160</f>
        <v/>
      </c>
    </row>
    <row r="161">
      <c r="A161" s="80" t="inlineStr">
        <is>
          <t>13.12</t>
        </is>
      </c>
      <c r="B161" s="364" t="inlineStr">
        <is>
          <t>Orinal institucional</t>
        </is>
      </c>
      <c r="C161" s="257" t="inlineStr">
        <is>
          <t>UND</t>
        </is>
      </c>
      <c r="D161" s="258" t="n"/>
      <c r="E161" s="1310" t="n"/>
      <c r="F161" s="1311">
        <f>D161*E161</f>
        <v/>
      </c>
    </row>
    <row r="162">
      <c r="A162" s="81" t="n"/>
      <c r="B162" s="704" t="inlineStr">
        <is>
          <t>SUBTOTAL CAPÍTULO 13 - INSTALACIONES HIDROSANITARIAS</t>
        </is>
      </c>
      <c r="C162" s="567" t="n"/>
      <c r="D162" s="567" t="n"/>
      <c r="E162" s="567" t="n"/>
      <c r="F162" s="1312">
        <f>SUM(F150:F161)</f>
        <v/>
      </c>
    </row>
    <row r="163">
      <c r="A163" s="82" t="n"/>
      <c r="B163" s="716" t="n"/>
      <c r="C163" s="716" t="n"/>
      <c r="D163" s="716" t="n"/>
      <c r="E163" s="716" t="n"/>
      <c r="F163" s="708" t="n"/>
    </row>
    <row r="164">
      <c r="A164" s="182" t="inlineStr">
        <is>
          <t>14</t>
        </is>
      </c>
      <c r="B164" s="703" t="inlineStr">
        <is>
          <t>INSTALACIONES ELÉCTRICAS</t>
        </is>
      </c>
      <c r="C164" s="567" t="n"/>
      <c r="D164" s="567" t="n"/>
      <c r="E164" s="567" t="n"/>
      <c r="F164" s="567" t="n"/>
    </row>
    <row r="165">
      <c r="A165" s="80" t="inlineStr">
        <is>
          <t>14.1</t>
        </is>
      </c>
      <c r="B165" s="364" t="inlineStr">
        <is>
          <t>Tubería/conduit eléctrica</t>
        </is>
      </c>
      <c r="C165" s="257" t="inlineStr">
        <is>
          <t>ML</t>
        </is>
      </c>
      <c r="D165" s="258" t="n"/>
      <c r="E165" s="1310" t="n"/>
      <c r="F165" s="1311">
        <f>D165*E165</f>
        <v/>
      </c>
    </row>
    <row r="166">
      <c r="A166" s="80" t="inlineStr">
        <is>
          <t>14.2</t>
        </is>
      </c>
      <c r="B166" s="364" t="inlineStr">
        <is>
          <t>Bandejas portacables</t>
        </is>
      </c>
      <c r="C166" s="257" t="inlineStr">
        <is>
          <t>ML</t>
        </is>
      </c>
      <c r="D166" s="258" t="n"/>
      <c r="E166" s="1310" t="n"/>
      <c r="F166" s="1311">
        <f>D166*E166</f>
        <v/>
      </c>
    </row>
    <row r="167">
      <c r="A167" s="80" t="inlineStr">
        <is>
          <t>14.3</t>
        </is>
      </c>
      <c r="B167" s="364" t="inlineStr">
        <is>
          <t>Cajas eléctricas</t>
        </is>
      </c>
      <c r="C167" s="257" t="inlineStr">
        <is>
          <t>UND</t>
        </is>
      </c>
      <c r="D167" s="258" t="n"/>
      <c r="E167" s="1310" t="n"/>
      <c r="F167" s="1311">
        <f>D167*E167</f>
        <v/>
      </c>
    </row>
    <row r="168">
      <c r="A168" s="80" t="inlineStr">
        <is>
          <t>14.4</t>
        </is>
      </c>
      <c r="B168" s="364" t="inlineStr">
        <is>
          <t>Cableado de fuerza</t>
        </is>
      </c>
      <c r="C168" s="257" t="inlineStr">
        <is>
          <t>ML</t>
        </is>
      </c>
      <c r="D168" s="258" t="n"/>
      <c r="E168" s="1310" t="n"/>
      <c r="F168" s="1311">
        <f>D168*E168</f>
        <v/>
      </c>
    </row>
    <row r="169">
      <c r="A169" s="80" t="inlineStr">
        <is>
          <t>14.5</t>
        </is>
      </c>
      <c r="B169" s="364" t="inlineStr">
        <is>
          <t>Cableado de iluminación</t>
        </is>
      </c>
      <c r="C169" s="257" t="inlineStr">
        <is>
          <t>ML</t>
        </is>
      </c>
      <c r="D169" s="258" t="n"/>
      <c r="E169" s="1310" t="n"/>
      <c r="F169" s="1311">
        <f>D169*E169</f>
        <v/>
      </c>
    </row>
    <row r="170">
      <c r="A170" s="80" t="inlineStr">
        <is>
          <t>14.6</t>
        </is>
      </c>
      <c r="B170" s="364" t="inlineStr">
        <is>
          <t>Tableros eléctricos</t>
        </is>
      </c>
      <c r="C170" s="257" t="inlineStr">
        <is>
          <t>UND</t>
        </is>
      </c>
      <c r="D170" s="258" t="n"/>
      <c r="E170" s="1310" t="n"/>
      <c r="F170" s="1311">
        <f>D170*E170</f>
        <v/>
      </c>
    </row>
    <row r="171">
      <c r="A171" s="80" t="inlineStr">
        <is>
          <t>14.7</t>
        </is>
      </c>
      <c r="B171" s="364" t="inlineStr">
        <is>
          <t>Tomacorrientes</t>
        </is>
      </c>
      <c r="C171" s="257" t="inlineStr">
        <is>
          <t>UND</t>
        </is>
      </c>
      <c r="D171" s="258" t="n"/>
      <c r="E171" s="1310" t="n"/>
      <c r="F171" s="1311">
        <f>D171*E171</f>
        <v/>
      </c>
    </row>
    <row r="172">
      <c r="A172" s="80" t="inlineStr">
        <is>
          <t>14.8</t>
        </is>
      </c>
      <c r="B172" s="364" t="inlineStr">
        <is>
          <t>Interruptores</t>
        </is>
      </c>
      <c r="C172" s="257" t="inlineStr">
        <is>
          <t>UND</t>
        </is>
      </c>
      <c r="D172" s="258" t="n"/>
      <c r="E172" s="1310" t="n"/>
      <c r="F172" s="1311">
        <f>D172*E172</f>
        <v/>
      </c>
    </row>
    <row r="173">
      <c r="A173" s="80" t="inlineStr">
        <is>
          <t>14.9</t>
        </is>
      </c>
      <c r="B173" s="364" t="inlineStr">
        <is>
          <t>Luminarias</t>
        </is>
      </c>
      <c r="C173" s="257" t="inlineStr">
        <is>
          <t>UND</t>
        </is>
      </c>
      <c r="D173" s="258" t="n"/>
      <c r="E173" s="1310" t="n"/>
      <c r="F173" s="1311">
        <f>D173*E173</f>
        <v/>
      </c>
    </row>
    <row r="174">
      <c r="A174" s="80" t="inlineStr">
        <is>
          <t>14.10</t>
        </is>
      </c>
      <c r="B174" s="364" t="inlineStr">
        <is>
          <t>Sistema de puesta a tierra</t>
        </is>
      </c>
      <c r="C174" s="257" t="inlineStr">
        <is>
          <t>GL</t>
        </is>
      </c>
      <c r="D174" s="258" t="n"/>
      <c r="E174" s="1310" t="n"/>
      <c r="F174" s="1311">
        <f>D174*E174</f>
        <v/>
      </c>
    </row>
    <row r="175">
      <c r="A175" s="80" t="inlineStr">
        <is>
          <t>14.11</t>
        </is>
      </c>
      <c r="B175" s="364" t="inlineStr">
        <is>
          <t>Pruebas y certificaciones</t>
        </is>
      </c>
      <c r="C175" s="257" t="inlineStr">
        <is>
          <t>GL</t>
        </is>
      </c>
      <c r="D175" s="258" t="n"/>
      <c r="E175" s="1310" t="n"/>
      <c r="F175" s="1311">
        <f>D175*E175</f>
        <v/>
      </c>
    </row>
    <row r="176">
      <c r="A176" s="81" t="n"/>
      <c r="B176" s="704" t="inlineStr">
        <is>
          <t>SUBTOTAL CAPÍTULO 14 - INSTALACIONES ELÉCTRICAS</t>
        </is>
      </c>
      <c r="C176" s="567" t="n"/>
      <c r="D176" s="567" t="n"/>
      <c r="E176" s="567" t="n"/>
      <c r="F176" s="1312">
        <f>SUM(F165:F175)</f>
        <v/>
      </c>
    </row>
    <row r="177">
      <c r="A177" s="82" t="n"/>
      <c r="B177" s="716" t="n"/>
      <c r="C177" s="716" t="n"/>
      <c r="D177" s="716" t="n"/>
      <c r="E177" s="716" t="n"/>
      <c r="F177" s="708" t="n"/>
    </row>
    <row r="178">
      <c r="A178" s="182" t="inlineStr">
        <is>
          <t>15</t>
        </is>
      </c>
      <c r="B178" s="703" t="inlineStr">
        <is>
          <t>COMUNICACIONES Y SEGURIDAD</t>
        </is>
      </c>
      <c r="C178" s="567" t="n"/>
      <c r="D178" s="567" t="n"/>
      <c r="E178" s="567" t="n"/>
      <c r="F178" s="567" t="n"/>
    </row>
    <row r="179">
      <c r="A179" s="80" t="inlineStr">
        <is>
          <t>15.1</t>
        </is>
      </c>
      <c r="B179" s="364" t="inlineStr">
        <is>
          <t>Cableado estructurado de datos</t>
        </is>
      </c>
      <c r="C179" s="257" t="inlineStr">
        <is>
          <t>ML</t>
        </is>
      </c>
      <c r="D179" s="258" t="n"/>
      <c r="E179" s="1310" t="n"/>
      <c r="F179" s="1311">
        <f>D179*E179</f>
        <v/>
      </c>
    </row>
    <row r="180">
      <c r="A180" s="80" t="inlineStr">
        <is>
          <t>15.2</t>
        </is>
      </c>
      <c r="B180" s="364" t="inlineStr">
        <is>
          <t>Rack de comunicaciones</t>
        </is>
      </c>
      <c r="C180" s="257" t="inlineStr">
        <is>
          <t>UND</t>
        </is>
      </c>
      <c r="D180" s="258" t="n"/>
      <c r="E180" s="1310" t="n"/>
      <c r="F180" s="1311">
        <f>D180*E180</f>
        <v/>
      </c>
    </row>
    <row r="181">
      <c r="A181" s="80" t="inlineStr">
        <is>
          <t>15.3</t>
        </is>
      </c>
      <c r="B181" s="364" t="inlineStr">
        <is>
          <t>Cámaras y sistema CCTV</t>
        </is>
      </c>
      <c r="C181" s="257" t="inlineStr">
        <is>
          <t>UND</t>
        </is>
      </c>
      <c r="D181" s="258" t="n"/>
      <c r="E181" s="1310" t="n"/>
      <c r="F181" s="1311">
        <f>D181*E181</f>
        <v/>
      </c>
    </row>
    <row r="182">
      <c r="A182" s="80" t="inlineStr">
        <is>
          <t>15.4</t>
        </is>
      </c>
      <c r="B182" s="364" t="inlineStr">
        <is>
          <t>Control de acceso</t>
        </is>
      </c>
      <c r="C182" s="257" t="inlineStr">
        <is>
          <t>UND</t>
        </is>
      </c>
      <c r="D182" s="258" t="n"/>
      <c r="E182" s="1310" t="n"/>
      <c r="F182" s="1311">
        <f>D182*E182</f>
        <v/>
      </c>
    </row>
    <row r="183">
      <c r="A183" s="80" t="inlineStr">
        <is>
          <t>15.5</t>
        </is>
      </c>
      <c r="B183" s="364" t="inlineStr">
        <is>
          <t>Sistema de citofonía</t>
        </is>
      </c>
      <c r="C183" s="257" t="inlineStr">
        <is>
          <t>UND</t>
        </is>
      </c>
      <c r="D183" s="258" t="n"/>
      <c r="E183" s="1310" t="n"/>
      <c r="F183" s="1311">
        <f>D183*E183</f>
        <v/>
      </c>
    </row>
    <row r="184">
      <c r="A184" s="80" t="inlineStr">
        <is>
          <t>15.6</t>
        </is>
      </c>
      <c r="B184" s="364" t="inlineStr">
        <is>
          <t>Sistema de detección de incendios</t>
        </is>
      </c>
      <c r="C184" s="257" t="inlineStr">
        <is>
          <t>GL</t>
        </is>
      </c>
      <c r="D184" s="258" t="n"/>
      <c r="E184" s="1310" t="n"/>
      <c r="F184" s="1311">
        <f>D184*E184</f>
        <v/>
      </c>
    </row>
    <row r="185">
      <c r="A185" s="81" t="n"/>
      <c r="B185" s="704" t="inlineStr">
        <is>
          <t>SUBTOTAL CAPÍTULO 15 - COMUNICACIONES Y SEGURIDAD</t>
        </is>
      </c>
      <c r="C185" s="567" t="n"/>
      <c r="D185" s="567" t="n"/>
      <c r="E185" s="567" t="n"/>
      <c r="F185" s="1312">
        <f>SUM(F179:F184)</f>
        <v/>
      </c>
    </row>
    <row r="186">
      <c r="A186" s="82" t="n"/>
      <c r="B186" s="716" t="n"/>
      <c r="C186" s="716" t="n"/>
      <c r="D186" s="716" t="n"/>
      <c r="E186" s="716" t="n"/>
      <c r="F186" s="708" t="n"/>
    </row>
    <row r="187">
      <c r="A187" s="182" t="inlineStr">
        <is>
          <t>16</t>
        </is>
      </c>
      <c r="B187" s="703" t="inlineStr">
        <is>
          <t>CLIMATIZACIÓN Y VENTILACIÓN</t>
        </is>
      </c>
      <c r="C187" s="567" t="n"/>
      <c r="D187" s="567" t="n"/>
      <c r="E187" s="567" t="n"/>
      <c r="F187" s="567" t="n"/>
    </row>
    <row r="188">
      <c r="A188" s="80" t="inlineStr">
        <is>
          <t>16.1</t>
        </is>
      </c>
      <c r="B188" s="364" t="inlineStr">
        <is>
          <t>Equipos de aire acondicionado</t>
        </is>
      </c>
      <c r="C188" s="257" t="inlineStr">
        <is>
          <t>UND</t>
        </is>
      </c>
      <c r="D188" s="258" t="n"/>
      <c r="E188" s="1310" t="n"/>
      <c r="F188" s="1311">
        <f>D188*E188</f>
        <v/>
      </c>
    </row>
    <row r="189">
      <c r="A189" s="80" t="inlineStr">
        <is>
          <t>16.2</t>
        </is>
      </c>
      <c r="B189" s="364" t="inlineStr">
        <is>
          <t>Ductos de ventilación</t>
        </is>
      </c>
      <c r="C189" s="257" t="inlineStr">
        <is>
          <t>M²</t>
        </is>
      </c>
      <c r="D189" s="258" t="n"/>
      <c r="E189" s="1310" t="n"/>
      <c r="F189" s="1311">
        <f>D189*E189</f>
        <v/>
      </c>
    </row>
    <row r="190">
      <c r="A190" s="80" t="inlineStr">
        <is>
          <t>16.3</t>
        </is>
      </c>
      <c r="B190" s="364" t="inlineStr">
        <is>
          <t>Tubería de refrigerante</t>
        </is>
      </c>
      <c r="C190" s="257" t="inlineStr">
        <is>
          <t>ML</t>
        </is>
      </c>
      <c r="D190" s="258" t="n"/>
      <c r="E190" s="1310" t="n"/>
      <c r="F190" s="1311">
        <f>D190*E190</f>
        <v/>
      </c>
    </row>
    <row r="191">
      <c r="A191" s="80" t="inlineStr">
        <is>
          <t>16.4</t>
        </is>
      </c>
      <c r="B191" s="364" t="inlineStr">
        <is>
          <t>Rejillas y difusores</t>
        </is>
      </c>
      <c r="C191" s="257" t="inlineStr">
        <is>
          <t>UND</t>
        </is>
      </c>
      <c r="D191" s="258" t="n"/>
      <c r="E191" s="1310" t="n"/>
      <c r="F191" s="1311">
        <f>D191*E191</f>
        <v/>
      </c>
    </row>
    <row r="192">
      <c r="A192" s="81" t="n"/>
      <c r="B192" s="704" t="inlineStr">
        <is>
          <t>SUBTOTAL CAPÍTULO 16 - CLIMATIZACIÓN Y VENTILACIÓN</t>
        </is>
      </c>
      <c r="C192" s="567" t="n"/>
      <c r="D192" s="567" t="n"/>
      <c r="E192" s="567" t="n"/>
      <c r="F192" s="1312">
        <f>SUM(F188:F191)</f>
        <v/>
      </c>
    </row>
    <row r="193">
      <c r="A193" s="82" t="n"/>
      <c r="B193" s="716" t="n"/>
      <c r="C193" s="716" t="n"/>
      <c r="D193" s="716" t="n"/>
      <c r="E193" s="716" t="n"/>
      <c r="F193" s="708" t="n"/>
    </row>
    <row r="194">
      <c r="A194" s="182" t="inlineStr">
        <is>
          <t>17</t>
        </is>
      </c>
      <c r="B194" s="703" t="inlineStr">
        <is>
          <t>GAS</t>
        </is>
      </c>
      <c r="C194" s="567" t="n"/>
      <c r="D194" s="567" t="n"/>
      <c r="E194" s="567" t="n"/>
      <c r="F194" s="567" t="n"/>
    </row>
    <row r="195">
      <c r="A195" s="80" t="inlineStr">
        <is>
          <t>17.1</t>
        </is>
      </c>
      <c r="B195" s="364" t="inlineStr">
        <is>
          <t>Red interna de gas</t>
        </is>
      </c>
      <c r="C195" s="257" t="inlineStr">
        <is>
          <t>ML</t>
        </is>
      </c>
      <c r="D195" s="258" t="n"/>
      <c r="E195" s="1310" t="n"/>
      <c r="F195" s="1311">
        <f>D195*E195</f>
        <v/>
      </c>
    </row>
    <row r="196">
      <c r="A196" s="80" t="inlineStr">
        <is>
          <t>17.2</t>
        </is>
      </c>
      <c r="B196" s="364" t="inlineStr">
        <is>
          <t>Válvulas y accesorios de gas</t>
        </is>
      </c>
      <c r="C196" s="257" t="inlineStr">
        <is>
          <t>UND</t>
        </is>
      </c>
      <c r="D196" s="258" t="n"/>
      <c r="E196" s="1310" t="n"/>
      <c r="F196" s="1311">
        <f>D196*E196</f>
        <v/>
      </c>
    </row>
    <row r="197">
      <c r="A197" s="80" t="inlineStr">
        <is>
          <t>17.3</t>
        </is>
      </c>
      <c r="B197" s="364" t="inlineStr">
        <is>
          <t>Pruebas y certificación</t>
        </is>
      </c>
      <c r="C197" s="257" t="inlineStr">
        <is>
          <t>GL</t>
        </is>
      </c>
      <c r="D197" s="258" t="n"/>
      <c r="E197" s="1310" t="n"/>
      <c r="F197" s="1311">
        <f>D197*E197</f>
        <v/>
      </c>
    </row>
    <row r="198">
      <c r="A198" s="81" t="n"/>
      <c r="B198" s="704" t="inlineStr">
        <is>
          <t>SUBTOTAL CAPÍTULO 17 - GAS</t>
        </is>
      </c>
      <c r="C198" s="567" t="n"/>
      <c r="D198" s="567" t="n"/>
      <c r="E198" s="567" t="n"/>
      <c r="F198" s="1312">
        <f>SUM(F195:F197)</f>
        <v/>
      </c>
    </row>
    <row r="199">
      <c r="A199" s="82" t="n"/>
      <c r="B199" s="716" t="n"/>
      <c r="C199" s="716" t="n"/>
      <c r="D199" s="716" t="n"/>
      <c r="E199" s="716" t="n"/>
      <c r="F199" s="708" t="n"/>
    </row>
    <row r="200">
      <c r="A200" s="182" t="inlineStr">
        <is>
          <t>18</t>
        </is>
      </c>
      <c r="B200" s="703" t="inlineStr">
        <is>
          <t>URBANISMO Y EXTERIORES</t>
        </is>
      </c>
      <c r="C200" s="567" t="n"/>
      <c r="D200" s="567" t="n"/>
      <c r="E200" s="567" t="n"/>
      <c r="F200" s="567" t="n"/>
    </row>
    <row r="201">
      <c r="A201" s="80" t="inlineStr">
        <is>
          <t>18.1</t>
        </is>
      </c>
      <c r="B201" s="364" t="inlineStr">
        <is>
          <t>Construcción de andenes</t>
        </is>
      </c>
      <c r="C201" s="257" t="inlineStr">
        <is>
          <t>M²</t>
        </is>
      </c>
      <c r="D201" s="258" t="n"/>
      <c r="E201" s="1310" t="n"/>
      <c r="F201" s="1311">
        <f>D201*E201</f>
        <v/>
      </c>
    </row>
    <row r="202">
      <c r="A202" s="80" t="inlineStr">
        <is>
          <t>18.2</t>
        </is>
      </c>
      <c r="B202" s="364" t="inlineStr">
        <is>
          <t>Placas de concreto exteriores</t>
        </is>
      </c>
      <c r="C202" s="257" t="inlineStr">
        <is>
          <t>M³</t>
        </is>
      </c>
      <c r="D202" s="258" t="n"/>
      <c r="E202" s="1310" t="n"/>
      <c r="F202" s="1311">
        <f>D202*E202</f>
        <v/>
      </c>
    </row>
    <row r="203">
      <c r="A203" s="80" t="inlineStr">
        <is>
          <t>18.3</t>
        </is>
      </c>
      <c r="B203" s="364" t="inlineStr">
        <is>
          <t>Pavimento en adoquín</t>
        </is>
      </c>
      <c r="C203" s="257" t="inlineStr">
        <is>
          <t>M²</t>
        </is>
      </c>
      <c r="D203" s="258" t="n"/>
      <c r="E203" s="1310" t="n"/>
      <c r="F203" s="1311">
        <f>D203*E203</f>
        <v/>
      </c>
    </row>
    <row r="204">
      <c r="A204" s="80" t="inlineStr">
        <is>
          <t>18.4</t>
        </is>
      </c>
      <c r="B204" s="364" t="inlineStr">
        <is>
          <t>Sardineles y bordillos</t>
        </is>
      </c>
      <c r="C204" s="257" t="inlineStr">
        <is>
          <t>ML</t>
        </is>
      </c>
      <c r="D204" s="258" t="n"/>
      <c r="E204" s="1310" t="n"/>
      <c r="F204" s="1311">
        <f>D204*E204</f>
        <v/>
      </c>
    </row>
    <row r="205">
      <c r="A205" s="80" t="inlineStr">
        <is>
          <t>18.5</t>
        </is>
      </c>
      <c r="B205" s="364" t="inlineStr">
        <is>
          <t>Sumideros exteriores</t>
        </is>
      </c>
      <c r="C205" s="257" t="inlineStr">
        <is>
          <t>UND</t>
        </is>
      </c>
      <c r="D205" s="258" t="n"/>
      <c r="E205" s="1310" t="n"/>
      <c r="F205" s="1311">
        <f>D205*E205</f>
        <v/>
      </c>
    </row>
    <row r="206">
      <c r="A206" s="80" t="inlineStr">
        <is>
          <t>18.6</t>
        </is>
      </c>
      <c r="B206" s="364" t="inlineStr">
        <is>
          <t>Suministro y extendido de tierra vegetal</t>
        </is>
      </c>
      <c r="C206" s="257" t="inlineStr">
        <is>
          <t>M³</t>
        </is>
      </c>
      <c r="D206" s="258" t="n"/>
      <c r="E206" s="1310" t="n"/>
      <c r="F206" s="1311">
        <f>D206*E206</f>
        <v/>
      </c>
    </row>
    <row r="207">
      <c r="A207" s="80" t="inlineStr">
        <is>
          <t>18.7</t>
        </is>
      </c>
      <c r="B207" s="364" t="inlineStr">
        <is>
          <t>Siembra y jardinería</t>
        </is>
      </c>
      <c r="C207" s="257" t="inlineStr">
        <is>
          <t>M²</t>
        </is>
      </c>
      <c r="D207" s="258" t="n"/>
      <c r="E207" s="1310" t="n"/>
      <c r="F207" s="1311">
        <f>D207*E207</f>
        <v/>
      </c>
    </row>
    <row r="208">
      <c r="A208" s="80" t="inlineStr">
        <is>
          <t>18.8</t>
        </is>
      </c>
      <c r="B208" s="364" t="inlineStr">
        <is>
          <t>Geotextil para drenaje y filtración</t>
        </is>
      </c>
      <c r="C208" s="257" t="inlineStr">
        <is>
          <t>M²</t>
        </is>
      </c>
      <c r="D208" s="258" t="n"/>
      <c r="E208" s="1310" t="n"/>
      <c r="F208" s="1311">
        <f>D208*E208</f>
        <v/>
      </c>
    </row>
    <row r="209">
      <c r="A209" s="80" t="inlineStr">
        <is>
          <t>18.9</t>
        </is>
      </c>
      <c r="B209" s="364" t="inlineStr">
        <is>
          <t>Gaviones para obras de contención</t>
        </is>
      </c>
      <c r="C209" s="257" t="inlineStr">
        <is>
          <t>M³</t>
        </is>
      </c>
      <c r="D209" s="258" t="n"/>
      <c r="E209" s="1310" t="n"/>
      <c r="F209" s="1311">
        <f>D209*E209</f>
        <v/>
      </c>
    </row>
    <row r="210">
      <c r="A210" s="80" t="inlineStr">
        <is>
          <t>18.10</t>
        </is>
      </c>
      <c r="B210" s="364" t="inlineStr">
        <is>
          <t>Filtro francés (drenaje de terrenos)</t>
        </is>
      </c>
      <c r="C210" s="257" t="inlineStr">
        <is>
          <t>ML</t>
        </is>
      </c>
      <c r="D210" s="258" t="n"/>
      <c r="E210" s="1310" t="n"/>
      <c r="F210" s="1311">
        <f>D210*E210</f>
        <v/>
      </c>
    </row>
    <row r="211">
      <c r="A211" s="80" t="inlineStr">
        <is>
          <t>18.11</t>
        </is>
      </c>
      <c r="B211" s="364" t="inlineStr">
        <is>
          <t>Revegetalización / empradización</t>
        </is>
      </c>
      <c r="C211" s="257" t="inlineStr">
        <is>
          <t>M²</t>
        </is>
      </c>
      <c r="D211" s="258" t="n"/>
      <c r="E211" s="1310" t="n"/>
      <c r="F211" s="1311">
        <f>D211*E211</f>
        <v/>
      </c>
    </row>
    <row r="212">
      <c r="A212" s="81" t="n"/>
      <c r="B212" s="704" t="inlineStr">
        <is>
          <t>SUBTOTAL CAPÍTULO 18 - URBANISMO Y EXTERIORES</t>
        </is>
      </c>
      <c r="C212" s="567" t="n"/>
      <c r="D212" s="567" t="n"/>
      <c r="E212" s="567" t="n"/>
      <c r="F212" s="1312">
        <f>SUM(F201:F211)</f>
        <v/>
      </c>
    </row>
    <row r="213">
      <c r="A213" s="82" t="n"/>
      <c r="B213" s="716" t="n"/>
      <c r="C213" s="716" t="n"/>
      <c r="D213" s="716" t="n"/>
      <c r="E213" s="716" t="n"/>
      <c r="F213" s="708" t="n"/>
    </row>
    <row r="214">
      <c r="A214" s="182" t="inlineStr">
        <is>
          <t>19</t>
        </is>
      </c>
      <c r="B214" s="703" t="inlineStr">
        <is>
          <t>OBRAS COMPLEMENTARIAS</t>
        </is>
      </c>
      <c r="C214" s="567" t="n"/>
      <c r="D214" s="567" t="n"/>
      <c r="E214" s="567" t="n"/>
      <c r="F214" s="567" t="n"/>
    </row>
    <row r="215">
      <c r="A215" s="80" t="inlineStr">
        <is>
          <t>19.1</t>
        </is>
      </c>
      <c r="B215" s="364" t="inlineStr">
        <is>
          <t>Rejas metálicas</t>
        </is>
      </c>
      <c r="C215" s="257" t="inlineStr">
        <is>
          <t>M²</t>
        </is>
      </c>
      <c r="D215" s="258" t="n"/>
      <c r="E215" s="1310" t="n"/>
      <c r="F215" s="1311">
        <f>D215*E215</f>
        <v/>
      </c>
    </row>
    <row r="216">
      <c r="A216" s="80" t="inlineStr">
        <is>
          <t>19.2</t>
        </is>
      </c>
      <c r="B216" s="364" t="inlineStr">
        <is>
          <t>Escaleras metálicas</t>
        </is>
      </c>
      <c r="C216" s="257" t="inlineStr">
        <is>
          <t>KG</t>
        </is>
      </c>
      <c r="D216" s="258" t="n"/>
      <c r="E216" s="1310" t="n"/>
      <c r="F216" s="1311">
        <f>D216*E216</f>
        <v/>
      </c>
    </row>
    <row r="217">
      <c r="A217" s="80" t="inlineStr">
        <is>
          <t>19.3</t>
        </is>
      </c>
      <c r="B217" s="364" t="inlineStr">
        <is>
          <t>Elementos metálicos especiales</t>
        </is>
      </c>
      <c r="C217" s="257" t="inlineStr">
        <is>
          <t>KG</t>
        </is>
      </c>
      <c r="D217" s="258" t="n"/>
      <c r="E217" s="1310" t="n"/>
      <c r="F217" s="1311">
        <f>D217*E217</f>
        <v/>
      </c>
    </row>
    <row r="218">
      <c r="A218" s="80" t="inlineStr">
        <is>
          <t>19.4</t>
        </is>
      </c>
      <c r="B218" s="364" t="inlineStr">
        <is>
          <t>Mobiliario fijo de obra</t>
        </is>
      </c>
      <c r="C218" s="257" t="inlineStr">
        <is>
          <t>UND</t>
        </is>
      </c>
      <c r="D218" s="258" t="n"/>
      <c r="E218" s="1310" t="n"/>
      <c r="F218" s="1311">
        <f>D218*E218</f>
        <v/>
      </c>
    </row>
    <row r="219">
      <c r="A219" s="81" t="n"/>
      <c r="B219" s="704" t="inlineStr">
        <is>
          <t>SUBTOTAL CAPÍTULO 19 - OBRAS COMPLEMENTARIAS</t>
        </is>
      </c>
      <c r="C219" s="567" t="n"/>
      <c r="D219" s="567" t="n"/>
      <c r="E219" s="567" t="n"/>
      <c r="F219" s="1312">
        <f>SUM(F215:F218)</f>
        <v/>
      </c>
    </row>
    <row r="220">
      <c r="A220" s="82" t="n"/>
      <c r="B220" s="716" t="n"/>
      <c r="C220" s="716" t="n"/>
      <c r="D220" s="716" t="n"/>
      <c r="E220" s="716" t="n"/>
      <c r="F220" s="708" t="n"/>
    </row>
    <row r="221">
      <c r="A221" s="182" t="inlineStr">
        <is>
          <t>20</t>
        </is>
      </c>
      <c r="B221" s="703" t="inlineStr">
        <is>
          <t>ASEO, ENTREGA Y CIERRE</t>
        </is>
      </c>
      <c r="C221" s="567" t="n"/>
      <c r="D221" s="567" t="n"/>
      <c r="E221" s="567" t="n"/>
      <c r="F221" s="567" t="n"/>
    </row>
    <row r="222">
      <c r="A222" s="80" t="inlineStr">
        <is>
          <t>20.1</t>
        </is>
      </c>
      <c r="B222" s="364" t="inlineStr">
        <is>
          <t>Limpieza gruesa y fina de obra</t>
        </is>
      </c>
      <c r="C222" s="257" t="inlineStr">
        <is>
          <t>M²</t>
        </is>
      </c>
      <c r="D222" s="258" t="n"/>
      <c r="E222" s="1310" t="n"/>
      <c r="F222" s="1311">
        <f>D222*E222</f>
        <v/>
      </c>
    </row>
    <row r="223">
      <c r="A223" s="80" t="inlineStr">
        <is>
          <t>20.2</t>
        </is>
      </c>
      <c r="B223" s="364" t="inlineStr">
        <is>
          <t>Limpieza final para entrega</t>
        </is>
      </c>
      <c r="C223" s="257" t="inlineStr">
        <is>
          <t>M²</t>
        </is>
      </c>
      <c r="D223" s="258" t="n"/>
      <c r="E223" s="1310" t="n"/>
      <c r="F223" s="1311">
        <f>D223*E223</f>
        <v/>
      </c>
    </row>
    <row r="224">
      <c r="A224" s="80" t="inlineStr">
        <is>
          <t>20.3</t>
        </is>
      </c>
      <c r="B224" s="364" t="inlineStr">
        <is>
          <t>Pruebas, puesta en marcha y ajustes</t>
        </is>
      </c>
      <c r="C224" s="257" t="inlineStr">
        <is>
          <t>GL</t>
        </is>
      </c>
      <c r="D224" s="258" t="n"/>
      <c r="E224" s="1310" t="n"/>
      <c r="F224" s="1311">
        <f>D224*E224</f>
        <v/>
      </c>
    </row>
    <row r="225">
      <c r="A225" s="80" t="inlineStr">
        <is>
          <t>20.4</t>
        </is>
      </c>
      <c r="B225" s="364" t="inlineStr">
        <is>
          <t>Actualización de planos récord / as-built</t>
        </is>
      </c>
      <c r="C225" s="257" t="inlineStr">
        <is>
          <t>GL</t>
        </is>
      </c>
      <c r="D225" s="258" t="n"/>
      <c r="E225" s="1310" t="n"/>
      <c r="F225" s="1311">
        <f>D225*E225</f>
        <v/>
      </c>
    </row>
    <row r="226">
      <c r="A226" s="80" t="inlineStr">
        <is>
          <t>20.5</t>
        </is>
      </c>
      <c r="B226" s="364" t="inlineStr">
        <is>
          <t>Entrega, manuales y acta de recibo</t>
        </is>
      </c>
      <c r="C226" s="257" t="inlineStr">
        <is>
          <t>GL</t>
        </is>
      </c>
      <c r="D226" s="258" t="n"/>
      <c r="E226" s="1310" t="n"/>
      <c r="F226" s="1311">
        <f>D226*E226</f>
        <v/>
      </c>
    </row>
    <row r="227">
      <c r="A227" s="81" t="n"/>
      <c r="B227" s="704" t="inlineStr">
        <is>
          <t>SUBTOTAL CAPÍTULO 20 - ASEO, ENTREGA Y CIERRE</t>
        </is>
      </c>
      <c r="C227" s="567" t="n"/>
      <c r="D227" s="567" t="n"/>
      <c r="E227" s="567" t="n"/>
      <c r="F227" s="1312">
        <f>SUM(F222:F226)</f>
        <v/>
      </c>
    </row>
    <row r="228">
      <c r="A228" s="82" t="n"/>
      <c r="B228" s="716" t="n"/>
      <c r="C228" s="716" t="n"/>
      <c r="D228" s="716" t="n"/>
      <c r="E228" s="716" t="n"/>
      <c r="F228" s="708" t="n"/>
    </row>
    <row r="229">
      <c r="A229" s="182" t="inlineStr">
        <is>
          <t>21</t>
        </is>
      </c>
      <c r="B229" s="703" t="inlineStr">
        <is>
          <t>ASCENSORES</t>
        </is>
      </c>
      <c r="C229" s="567" t="n"/>
      <c r="D229" s="567" t="n"/>
      <c r="E229" s="567" t="n"/>
      <c r="F229" s="567" t="n"/>
    </row>
    <row r="230">
      <c r="A230" s="80" t="inlineStr">
        <is>
          <t>21.1</t>
        </is>
      </c>
      <c r="B230" s="364" t="inlineStr">
        <is>
          <t>Suministro e instalación de ascensor eléctrico</t>
        </is>
      </c>
      <c r="C230" s="257" t="inlineStr">
        <is>
          <t>UND</t>
        </is>
      </c>
      <c r="D230" s="258" t="n"/>
      <c r="E230" s="1310" t="n"/>
      <c r="F230" s="1311">
        <f>D230*E230</f>
        <v/>
      </c>
    </row>
    <row r="231">
      <c r="A231" s="81" t="n"/>
      <c r="B231" s="704" t="inlineStr">
        <is>
          <t>SUBTOTAL CAPÍTULO 21 - ASCENSORES</t>
        </is>
      </c>
      <c r="C231" s="567" t="n"/>
      <c r="D231" s="567" t="n"/>
      <c r="E231" s="567" t="n"/>
      <c r="F231" s="1312">
        <f>SUM(F230:F230)</f>
        <v/>
      </c>
    </row>
    <row r="232">
      <c r="A232" s="82" t="n"/>
      <c r="B232" s="716" t="n"/>
      <c r="C232" s="716" t="n"/>
      <c r="D232" s="716" t="n"/>
      <c r="E232" s="716" t="n"/>
      <c r="F232" s="708" t="n"/>
    </row>
    <row r="233">
      <c r="A233" s="182" t="inlineStr">
        <is>
          <t>22</t>
        </is>
      </c>
      <c r="B233" s="703" t="inlineStr">
        <is>
          <t>GESTIÓN, DISEÑO Y ADMINISTRACIÓN</t>
        </is>
      </c>
      <c r="C233" s="567" t="n"/>
      <c r="D233" s="567" t="n"/>
      <c r="E233" s="567" t="n"/>
      <c r="F233" s="567" t="n"/>
    </row>
    <row r="234">
      <c r="A234" s="80" t="inlineStr">
        <is>
          <t>22.1</t>
        </is>
      </c>
      <c r="B234" s="364" t="inlineStr">
        <is>
          <t>Estudio de suelos y geotecnia</t>
        </is>
      </c>
      <c r="C234" s="257" t="inlineStr">
        <is>
          <t>GL</t>
        </is>
      </c>
      <c r="D234" s="258" t="n"/>
      <c r="E234" s="1310" t="n"/>
      <c r="F234" s="1311">
        <f>D234*E234</f>
        <v/>
      </c>
    </row>
    <row r="235">
      <c r="A235" s="80" t="inlineStr">
        <is>
          <t>22.2</t>
        </is>
      </c>
      <c r="B235" s="364" t="inlineStr">
        <is>
          <t>Diseños arquitectónicos, estructurales, hidrosanitarios y eléctricos</t>
        </is>
      </c>
      <c r="C235" s="257" t="inlineStr">
        <is>
          <t>GL</t>
        </is>
      </c>
      <c r="D235" s="258" t="n"/>
      <c r="E235" s="1310" t="n"/>
      <c r="F235" s="1311">
        <f>D235*E235</f>
        <v/>
      </c>
    </row>
    <row r="236">
      <c r="A236" s="80" t="inlineStr">
        <is>
          <t>22.3</t>
        </is>
      </c>
      <c r="B236" s="364" t="inlineStr">
        <is>
          <t>Licencia de construcción y trámites de curaduría urbana</t>
        </is>
      </c>
      <c r="C236" s="257" t="inlineStr">
        <is>
          <t>GL</t>
        </is>
      </c>
      <c r="D236" s="258" t="n"/>
      <c r="E236" s="1310" t="n"/>
      <c r="F236" s="1311">
        <f>D236*E236</f>
        <v/>
      </c>
    </row>
    <row r="237">
      <c r="A237" s="80" t="inlineStr">
        <is>
          <t>22.4</t>
        </is>
      </c>
      <c r="B237" s="364" t="inlineStr">
        <is>
          <t>Póliza de estabilidad de obra y seguros de construcción (todo riesgo)</t>
        </is>
      </c>
      <c r="C237" s="257" t="inlineStr">
        <is>
          <t>GL</t>
        </is>
      </c>
      <c r="D237" s="258" t="n"/>
      <c r="E237" s="1310" t="n"/>
      <c r="F237" s="1311">
        <f>D237*E237</f>
        <v/>
      </c>
    </row>
    <row r="238">
      <c r="A238" s="81" t="n"/>
      <c r="B238" s="704" t="inlineStr">
        <is>
          <t>SUBTOTAL CAPÍTULO 22 - GESTIÓN, DISEÑO Y ADMINISTRACIÓN</t>
        </is>
      </c>
      <c r="C238" s="567" t="n"/>
      <c r="D238" s="567" t="n"/>
      <c r="E238" s="567" t="n"/>
      <c r="F238" s="1312">
        <f>SUM(F234:F237)</f>
        <v/>
      </c>
    </row>
    <row r="239">
      <c r="A239" s="82" t="n"/>
      <c r="B239" s="716" t="n"/>
      <c r="C239" s="716" t="n"/>
      <c r="D239" s="716" t="n"/>
      <c r="E239" s="716" t="n"/>
      <c r="F239" s="708" t="n"/>
    </row>
    <row r="240" ht="15" customHeight="1" s="550">
      <c r="A240" s="83" t="n"/>
      <c r="B240" s="715" t="inlineStr">
        <is>
          <t>COSTO DIRECTO TOTAL (suma de capítulos 1 a 22)</t>
        </is>
      </c>
      <c r="C240" s="567" t="n"/>
      <c r="D240" s="567" t="n"/>
      <c r="E240" s="567" t="n"/>
      <c r="F240" s="1313">
        <f>F25+F39+F49+F69+F81+F93+F100+F107+F121+F129+F140+F147+F162+F176+F185+F192+F198+F212+F219+F227+F231+F238</f>
        <v/>
      </c>
    </row>
    <row r="241">
      <c r="A241" s="84" t="n"/>
      <c r="B241" s="28" t="n"/>
      <c r="C241" s="28" t="n"/>
      <c r="D241" s="28" t="n"/>
      <c r="E241" s="28" t="n"/>
      <c r="F241" s="85" t="n"/>
    </row>
    <row r="242" ht="15" customHeight="1" s="550">
      <c r="A242" s="82" t="n"/>
      <c r="B242" s="46" t="inlineStr">
        <is>
          <t>Administración (A)</t>
        </is>
      </c>
      <c r="C242" s="716" t="n"/>
      <c r="D242" s="716" t="n"/>
      <c r="E242" s="1314">
        <f>'Ficha Técnica del Proyecto'!$B$29</f>
        <v/>
      </c>
      <c r="F242" s="1315">
        <f>F240*E242</f>
        <v/>
      </c>
    </row>
    <row r="243" ht="15" customHeight="1" s="550">
      <c r="A243" s="82" t="n"/>
      <c r="B243" s="46" t="inlineStr">
        <is>
          <t>Imprevistos (I)</t>
        </is>
      </c>
      <c r="C243" s="716" t="n"/>
      <c r="D243" s="716" t="n"/>
      <c r="E243" s="1314">
        <f>'Ficha Técnica del Proyecto'!$B$30</f>
        <v/>
      </c>
      <c r="F243" s="1315">
        <f>F240*E243</f>
        <v/>
      </c>
    </row>
    <row r="244" ht="15" customHeight="1" s="550">
      <c r="A244" s="82" t="n"/>
      <c r="B244" s="46" t="inlineStr">
        <is>
          <t>Utilidad (U)</t>
        </is>
      </c>
      <c r="C244" s="716" t="n"/>
      <c r="D244" s="716" t="n"/>
      <c r="E244" s="1314">
        <f>'Ficha Técnica del Proyecto'!$B$31</f>
        <v/>
      </c>
      <c r="F244" s="1315">
        <f>F240*E244</f>
        <v/>
      </c>
    </row>
    <row r="245" ht="15" customHeight="1" s="550">
      <c r="A245" s="81" t="n"/>
      <c r="B245" s="704" t="inlineStr">
        <is>
          <t>SUBTOTAL AIU (A+I+U)</t>
        </is>
      </c>
      <c r="C245" s="29" t="n"/>
      <c r="D245" s="29" t="n"/>
      <c r="E245" s="30" t="n"/>
      <c r="F245" s="1312">
        <f>F242+F243+F244</f>
        <v/>
      </c>
    </row>
    <row r="246" ht="15" customHeight="1" s="550">
      <c r="A246" s="82" t="n"/>
      <c r="B246" s="46" t="inlineStr">
        <is>
          <t>COSTO DIRECTO + AIU</t>
        </is>
      </c>
      <c r="C246" s="716" t="n"/>
      <c r="D246" s="716" t="n"/>
      <c r="E246" s="47" t="n"/>
      <c r="F246" s="1315">
        <f>F240+F245</f>
        <v/>
      </c>
    </row>
    <row r="247" ht="15" customHeight="1" s="550">
      <c r="A247" s="82" t="n"/>
      <c r="B247" s="46" t="inlineStr">
        <is>
          <t>IVA sobre Utilidad (19%)</t>
        </is>
      </c>
      <c r="C247" s="716" t="n"/>
      <c r="D247" s="716" t="n"/>
      <c r="E247" s="1314">
        <f>'Ficha Técnica del Proyecto'!$B$32</f>
        <v/>
      </c>
      <c r="F247" s="1315">
        <f>F244*E247</f>
        <v/>
      </c>
    </row>
    <row r="248">
      <c r="A248" s="82" t="n"/>
      <c r="B248" s="716" t="n"/>
      <c r="C248" s="716" t="n"/>
      <c r="D248" s="716" t="n"/>
      <c r="E248" s="716" t="n"/>
      <c r="F248" s="708" t="n"/>
    </row>
    <row r="249" ht="24" customHeight="1" s="550">
      <c r="A249" s="86" t="n"/>
      <c r="B249" s="703" t="inlineStr">
        <is>
          <t>PRESUPUESTO TOTAL DE OBRA</t>
        </is>
      </c>
      <c r="C249" s="567" t="n"/>
      <c r="D249" s="567" t="n"/>
      <c r="E249" s="567" t="n"/>
      <c r="F249" s="1316">
        <f>F246+F247</f>
        <v/>
      </c>
    </row>
    <row r="250">
      <c r="A250" s="87" t="n"/>
      <c r="B250" s="203" t="inlineStr">
        <is>
          <t>REV. 10/09/2026</t>
        </is>
      </c>
      <c r="C250" s="277" t="n"/>
      <c r="D250" s="277" t="n"/>
      <c r="E250" s="277" t="n"/>
      <c r="F250" s="345">
        <f>F6</f>
        <v/>
      </c>
    </row>
    <row r="251">
      <c r="A251" s="87" t="n"/>
      <c r="B251" s="203" t="n"/>
      <c r="C251" s="277" t="n"/>
      <c r="D251" s="277" t="n"/>
      <c r="E251" s="277" t="n"/>
      <c r="F251" s="201" t="n"/>
    </row>
    <row r="252" ht="15" customHeight="1" s="550">
      <c r="A252" s="87" t="n"/>
      <c r="B252" s="89" t="inlineStr">
        <is>
          <t>Costo por m² construido (sobre Costo Directo Total)</t>
        </is>
      </c>
      <c r="C252" s="90" t="n"/>
      <c r="D252" s="90" t="n"/>
      <c r="E252" s="90" t="n"/>
      <c r="F252" s="1317">
        <f>F240/'Ficha Técnica del Proyecto'!$B$21</f>
        <v/>
      </c>
    </row>
    <row r="253" ht="15" customHeight="1" s="550">
      <c r="A253" s="88" t="n"/>
      <c r="B253" s="91" t="inlineStr">
        <is>
          <t>Costo por m² construido (sobre Presupuesto Total)</t>
        </is>
      </c>
      <c r="C253" s="92" t="n"/>
      <c r="D253" s="92" t="n"/>
      <c r="E253" s="92" t="n"/>
      <c r="F253" s="1318">
        <f>F249/'Ficha Técnica del Proyecto'!$B$21</f>
        <v/>
      </c>
    </row>
    <row r="254">
      <c r="A254" s="27" t="n"/>
      <c r="B254" s="277" t="n"/>
      <c r="C254" s="277" t="n"/>
      <c r="D254" s="277" t="n"/>
      <c r="E254" s="277" t="n"/>
      <c r="F254" s="277" t="n"/>
    </row>
    <row r="255">
      <c r="A255" s="27" t="n"/>
      <c r="B255" s="277" t="n"/>
      <c r="C255" s="277" t="n"/>
      <c r="D255" s="277" t="n"/>
      <c r="E255" s="277" t="n"/>
      <c r="F255" s="277" t="n"/>
    </row>
    <row r="256">
      <c r="A256" s="27" t="n"/>
      <c r="B256" s="277" t="n"/>
      <c r="C256" s="277" t="n"/>
      <c r="D256" s="277" t="n"/>
      <c r="E256" s="277" t="n"/>
      <c r="F256" s="277" t="n"/>
    </row>
    <row r="257">
      <c r="A257" s="27" t="n"/>
      <c r="B257" s="277" t="n"/>
      <c r="C257" s="277" t="n"/>
      <c r="D257" s="277" t="n"/>
      <c r="E257" s="277" t="n"/>
      <c r="F257" s="277" t="n"/>
    </row>
    <row r="258">
      <c r="A258" s="27" t="n"/>
      <c r="B258" s="277" t="n"/>
      <c r="C258" s="277" t="n"/>
      <c r="D258" s="277" t="n"/>
      <c r="E258" s="277" t="n"/>
      <c r="F258" s="277" t="n"/>
    </row>
    <row r="259">
      <c r="A259" s="27" t="n"/>
      <c r="B259" s="277" t="n"/>
      <c r="C259" s="277" t="n"/>
      <c r="D259" s="277" t="n"/>
      <c r="E259" s="277" t="n"/>
      <c r="F259" s="277" t="n"/>
    </row>
  </sheetData>
  <mergeCells count="61">
    <mergeCell ref="B233:F233"/>
    <mergeCell ref="C6:D6"/>
    <mergeCell ref="B109:F109"/>
    <mergeCell ref="B49:E49"/>
    <mergeCell ref="B200:F200"/>
    <mergeCell ref="B194:F194"/>
    <mergeCell ref="B192:E192"/>
    <mergeCell ref="C5:D5"/>
    <mergeCell ref="E5:F5"/>
    <mergeCell ref="B71:F71"/>
    <mergeCell ref="B131:F131"/>
    <mergeCell ref="B149:F149"/>
    <mergeCell ref="B214:F214"/>
    <mergeCell ref="B198:E198"/>
    <mergeCell ref="B102:F102"/>
    <mergeCell ref="B27:F27"/>
    <mergeCell ref="B130:F130"/>
    <mergeCell ref="B212:E212"/>
    <mergeCell ref="B129:E129"/>
    <mergeCell ref="B100:E100"/>
    <mergeCell ref="B229:F229"/>
    <mergeCell ref="B227:E227"/>
    <mergeCell ref="B25:E25"/>
    <mergeCell ref="B185:E185"/>
    <mergeCell ref="B81:E81"/>
    <mergeCell ref="C9:D9"/>
    <mergeCell ref="B14:F14"/>
    <mergeCell ref="B121:E121"/>
    <mergeCell ref="B93:E93"/>
    <mergeCell ref="A12:B12"/>
    <mergeCell ref="C12:D12"/>
    <mergeCell ref="B140:E140"/>
    <mergeCell ref="A10:F10"/>
    <mergeCell ref="B238:E238"/>
    <mergeCell ref="B178:F178"/>
    <mergeCell ref="B176:E176"/>
    <mergeCell ref="B219:E219"/>
    <mergeCell ref="B108:F108"/>
    <mergeCell ref="B39:E39"/>
    <mergeCell ref="B231:E231"/>
    <mergeCell ref="B107:E107"/>
    <mergeCell ref="B240:E240"/>
    <mergeCell ref="B187:F187"/>
    <mergeCell ref="C8:D8"/>
    <mergeCell ref="B101:E101"/>
    <mergeCell ref="B83:F83"/>
    <mergeCell ref="A11:F11"/>
    <mergeCell ref="C7:D7"/>
    <mergeCell ref="B164:F164"/>
    <mergeCell ref="B95:F95"/>
    <mergeCell ref="C1:F3"/>
    <mergeCell ref="B69:E69"/>
    <mergeCell ref="B142:F142"/>
    <mergeCell ref="B82:E82"/>
    <mergeCell ref="B51:F51"/>
    <mergeCell ref="B249:E249"/>
    <mergeCell ref="B162:E162"/>
    <mergeCell ref="B147:E147"/>
    <mergeCell ref="B123:F123"/>
    <mergeCell ref="B221:F221"/>
    <mergeCell ref="B41:F41"/>
  </mergeCells>
  <pageMargins left="0.1968503937007874" right="0.1968503937007874" top="0.1968503937007874" bottom="0.1968503937007874" header="0.5118110236220472" footer="0.5118110236220472"/>
  <pageSetup orientation="portrait" paperSize="9" scale="53" horizontalDpi="300" verticalDpi="300"/>
  <drawing xmlns:r="http://schemas.openxmlformats.org/officeDocument/2006/relationships" r:id="rId1"/>
</worksheet>
</file>

<file path=xl/worksheets/sheet3.xml><?xml version="1.0" encoding="utf-8"?>
<worksheet xmlns="http://schemas.openxmlformats.org/spreadsheetml/2006/main">
  <sheetPr>
    <tabColor rgb="FF7030A0"/>
    <pageSetUpPr fitToPage="1"/>
  </sheetPr>
  <dimension ref="A1:S146"/>
  <sheetViews>
    <sheetView zoomScale="76" zoomScaleNormal="76" workbookViewId="0">
      <selection activeCell="T15" sqref="T15"/>
    </sheetView>
  </sheetViews>
  <sheetFormatPr baseColWidth="10" defaultColWidth="8.88671875" defaultRowHeight="14.4"/>
  <cols>
    <col width="11.33203125" customWidth="1" style="1182" min="1" max="3"/>
    <col width="11" customWidth="1" style="1182" min="4" max="14"/>
    <col width="8.88671875" customWidth="1" style="1182" min="15" max="19"/>
    <col width="8.88671875" customWidth="1" style="1182" min="20" max="16384"/>
  </cols>
  <sheetData>
    <row r="1" ht="15" customHeight="1" s="550">
      <c r="A1" s="493" t="n"/>
      <c r="B1" s="494" t="n"/>
      <c r="C1" s="494" t="n"/>
      <c r="D1" s="494" t="n"/>
      <c r="E1" s="1232" t="inlineStr">
        <is>
          <t>INFORME MENSUAL DE AVANCE DE OBRA</t>
        </is>
      </c>
    </row>
    <row r="2" ht="14.4" customHeight="1" s="550">
      <c r="A2" s="494" t="n"/>
      <c r="B2" s="494" t="n"/>
      <c r="C2" s="494" t="n"/>
      <c r="D2" s="494" t="n"/>
    </row>
    <row r="3" ht="14.4" customHeight="1" s="550">
      <c r="A3" s="494" t="n"/>
      <c r="B3" s="494" t="n"/>
      <c r="C3" s="494" t="n"/>
      <c r="D3" s="494" t="n"/>
    </row>
    <row r="4" ht="14.4" customHeight="1" s="550">
      <c r="A4" s="494" t="n"/>
      <c r="B4" s="494" t="n"/>
      <c r="C4" s="494" t="n"/>
      <c r="D4" s="494" t="n"/>
    </row>
    <row r="5" ht="15" customHeight="1" s="550">
      <c r="A5" s="494" t="n"/>
      <c r="B5" s="494" t="n"/>
      <c r="C5" s="494" t="n"/>
      <c r="D5" s="494" t="n"/>
    </row>
    <row r="6" ht="4.95" customHeight="1" s="550">
      <c r="A6" s="494" t="n"/>
      <c r="B6" s="494" t="n"/>
      <c r="C6" s="494" t="n"/>
      <c r="D6" s="494" t="n"/>
      <c r="E6" s="135" t="n"/>
      <c r="F6" s="135" t="n"/>
      <c r="G6" s="135" t="n"/>
      <c r="H6" s="135" t="n"/>
      <c r="I6" s="135" t="n"/>
      <c r="J6" s="135" t="n"/>
      <c r="K6" s="135" t="n"/>
      <c r="L6" s="135" t="n"/>
      <c r="M6" s="135" t="n"/>
      <c r="N6" s="135" t="n"/>
    </row>
    <row r="7" ht="15" customHeight="1" s="550">
      <c r="A7" s="494" t="n"/>
      <c r="B7" s="494" t="n"/>
      <c r="C7" s="494" t="n"/>
      <c r="D7" s="494" t="n"/>
      <c r="E7" s="133" t="n"/>
      <c r="F7" s="133" t="n"/>
      <c r="G7" s="133" t="n"/>
      <c r="H7" s="133" t="n"/>
      <c r="I7" s="133" t="n"/>
      <c r="J7" s="133" t="n"/>
      <c r="K7" s="133" t="n"/>
      <c r="L7" s="1001" t="inlineStr">
        <is>
          <t>CONTROL DOCUMENTAL</t>
        </is>
      </c>
      <c r="M7" s="583" t="n"/>
      <c r="N7" s="559" t="n"/>
    </row>
    <row r="8" ht="15" customHeight="1" s="550">
      <c r="A8" s="494" t="n"/>
      <c r="B8" s="494" t="n"/>
      <c r="C8" s="494" t="n"/>
      <c r="D8" s="494" t="n"/>
      <c r="E8" s="1042" t="inlineStr">
        <is>
          <t>REFORMAS Y REMODELACIONES</t>
        </is>
      </c>
      <c r="L8" s="784" t="inlineStr">
        <is>
          <t>Código</t>
        </is>
      </c>
      <c r="M8" s="1209" t="inlineStr">
        <is>
          <t>RYR-IM-001</t>
        </is>
      </c>
      <c r="N8" s="810" t="n"/>
    </row>
    <row r="9" ht="15" customHeight="1" s="550">
      <c r="A9" s="494" t="n"/>
      <c r="B9" s="494" t="n"/>
      <c r="C9" s="494" t="n"/>
      <c r="D9" s="494" t="n"/>
      <c r="L9" s="784" t="inlineStr">
        <is>
          <t>Versión</t>
        </is>
      </c>
      <c r="M9" s="1195" t="n">
        <v>1</v>
      </c>
      <c r="N9" s="1196" t="n"/>
    </row>
    <row r="10" ht="15" customHeight="1" s="550">
      <c r="A10" s="494" t="n"/>
      <c r="B10" s="494" t="n"/>
      <c r="C10" s="494" t="n"/>
      <c r="D10" s="494" t="n"/>
      <c r="E10" s="991" t="inlineStr">
        <is>
          <t>DISEÑAMOS, RENOVAMOS Y CONSTRUIMOS ESPACIOS QUE INSPIRAN.</t>
        </is>
      </c>
      <c r="L10" s="784" t="inlineStr">
        <is>
          <t>Fecha de Emisión</t>
        </is>
      </c>
      <c r="M10" s="1195" t="inlineStr">
        <is>
          <t>10/09/2026</t>
        </is>
      </c>
      <c r="N10" s="1196" t="n"/>
    </row>
    <row r="11" ht="15" customHeight="1" s="550">
      <c r="A11" s="618" t="n"/>
      <c r="B11" s="618" t="n"/>
      <c r="C11" s="618" t="n"/>
      <c r="D11" s="618" t="n"/>
      <c r="E11" s="134" t="n"/>
      <c r="F11" s="134" t="n"/>
      <c r="G11" s="134" t="n"/>
      <c r="H11" s="134" t="n"/>
      <c r="I11" s="134" t="n"/>
      <c r="J11" s="134" t="n"/>
      <c r="K11" s="134" t="n"/>
      <c r="L11" s="501" t="inlineStr">
        <is>
          <t>Página</t>
        </is>
      </c>
      <c r="M11" s="1240" t="inlineStr">
        <is>
          <t>1 de 1</t>
        </is>
      </c>
      <c r="N11" s="849" t="n"/>
    </row>
    <row r="12" ht="15" customHeight="1" s="550">
      <c r="A12" s="1223" t="inlineStr">
        <is>
          <t>IDENTIFICACIÓN DEL INFORME Y DEL PROYECTO</t>
        </is>
      </c>
      <c r="N12" s="562" t="n"/>
    </row>
    <row r="13" ht="15" customHeight="1" s="550">
      <c r="A13" s="1190" t="inlineStr">
        <is>
          <t>Proyecto</t>
        </is>
      </c>
      <c r="B13" s="567" t="n"/>
      <c r="C13" s="567" t="n"/>
      <c r="D13" s="567" t="n"/>
      <c r="E13" s="1215" t="n"/>
      <c r="F13" s="567" t="n"/>
      <c r="G13" s="567" t="n"/>
      <c r="H13" s="567" t="n"/>
      <c r="I13" s="567" t="n"/>
      <c r="J13" s="567" t="n"/>
      <c r="K13" s="567" t="n"/>
      <c r="L13" s="567" t="n"/>
      <c r="M13" s="567" t="n"/>
      <c r="N13" s="682" t="n"/>
    </row>
    <row r="14" ht="15" customHeight="1" s="550">
      <c r="A14" s="1190" t="inlineStr">
        <is>
          <t>No de Contrato</t>
        </is>
      </c>
      <c r="B14" s="567" t="n"/>
      <c r="C14" s="567" t="n"/>
      <c r="D14" s="567" t="n"/>
      <c r="E14" s="1114" t="n"/>
      <c r="F14" s="567" t="n"/>
      <c r="G14" s="567" t="n"/>
      <c r="H14" s="682" t="n"/>
      <c r="I14" s="1112" t="inlineStr">
        <is>
          <t>Presupuesto Total del Contrato</t>
        </is>
      </c>
      <c r="J14" s="567" t="n"/>
      <c r="K14" s="567" t="n"/>
      <c r="L14" s="1405">
        <f>'Presupuesto '!F249</f>
        <v/>
      </c>
      <c r="M14" s="567" t="n"/>
      <c r="N14" s="682" t="n"/>
    </row>
    <row r="15" ht="15" customHeight="1" s="550">
      <c r="A15" s="1190" t="inlineStr">
        <is>
          <t>Contratista</t>
        </is>
      </c>
      <c r="B15" s="567" t="n"/>
      <c r="C15" s="567" t="n"/>
      <c r="D15" s="567" t="n"/>
      <c r="E15" s="1114" t="inlineStr">
        <is>
          <t>REFORMAS Y REMODELACIONES</t>
        </is>
      </c>
      <c r="F15" s="567" t="n"/>
      <c r="G15" s="567" t="n"/>
      <c r="H15" s="682" t="n"/>
      <c r="I15" s="1112" t="inlineStr">
        <is>
          <t>Mes</t>
        </is>
      </c>
      <c r="J15" s="567" t="n"/>
      <c r="K15" s="567" t="n"/>
      <c r="L15" s="1215" t="n"/>
      <c r="M15" s="567" t="n"/>
      <c r="N15" s="682" t="n"/>
    </row>
    <row r="16" ht="15" customHeight="1" s="550">
      <c r="A16" s="1190" t="inlineStr">
        <is>
          <t>Elaborado por</t>
        </is>
      </c>
      <c r="B16" s="567" t="n"/>
      <c r="C16" s="567" t="n"/>
      <c r="D16" s="567" t="n"/>
      <c r="E16" s="1114" t="n"/>
      <c r="F16" s="567" t="n"/>
      <c r="G16" s="567" t="n"/>
      <c r="H16" s="682" t="n"/>
      <c r="I16" s="1112" t="inlineStr">
        <is>
          <t>Fecha de Emisión</t>
        </is>
      </c>
      <c r="J16" s="567" t="n"/>
      <c r="K16" s="567" t="n"/>
      <c r="L16" s="1215" t="n"/>
      <c r="M16" s="567" t="n"/>
      <c r="N16" s="682" t="n"/>
    </row>
    <row r="17" ht="15.75" customHeight="1" s="550">
      <c r="A17" s="1262" t="inlineStr">
        <is>
          <t>RESUMEN EJECUTIVO</t>
        </is>
      </c>
      <c r="N17" s="562" t="n"/>
    </row>
    <row r="18" ht="15" customHeight="1" s="550">
      <c r="A18" s="1244" t="n"/>
      <c r="N18" s="562" t="n"/>
    </row>
    <row r="19" ht="15.75" customHeight="1" s="550">
      <c r="A19" s="1266" t="inlineStr">
        <is>
          <t>AVANCE TÉCNICO Y ECONÓMICO DEL PROYECTO (POR CAPÍTULO)</t>
        </is>
      </c>
      <c r="B19" s="1064" t="n"/>
      <c r="C19" s="1064" t="n"/>
      <c r="D19" s="1064" t="n"/>
      <c r="E19" s="1064" t="n"/>
      <c r="F19" s="1064" t="n"/>
      <c r="G19" s="1064" t="n"/>
      <c r="H19" s="1064" t="n"/>
      <c r="I19" s="1064" t="n"/>
      <c r="J19" s="1064" t="n"/>
      <c r="K19" s="1064" t="n"/>
      <c r="L19" s="1064" t="n"/>
      <c r="M19" s="1064" t="n"/>
      <c r="N19" s="1065" t="n"/>
    </row>
    <row r="20" ht="14.25" customHeight="1" s="550">
      <c r="A20" s="1243" t="inlineStr">
        <is>
          <t>AVANCE PROGRAMADO GLOBAL</t>
        </is>
      </c>
      <c r="B20" s="585" t="n"/>
      <c r="C20" s="585" t="n"/>
      <c r="D20" s="1242" t="inlineStr">
        <is>
          <t>AVANCE REAL GLOBAL</t>
        </is>
      </c>
      <c r="E20" s="585" t="n"/>
      <c r="F20" s="585" t="n"/>
      <c r="G20" s="1242" t="inlineStr">
        <is>
          <t>DIFERENCIA</t>
        </is>
      </c>
      <c r="H20" s="585" t="n"/>
      <c r="I20" s="585" t="n"/>
      <c r="J20" s="1203" t="inlineStr">
        <is>
          <t>% EJECUTADO FINANCIERO</t>
        </is>
      </c>
      <c r="N20" s="562" t="n"/>
    </row>
    <row r="21">
      <c r="A21" s="1406">
        <f>H62</f>
        <v/>
      </c>
      <c r="D21" s="1407">
        <f>I62</f>
        <v/>
      </c>
      <c r="G21" s="1407">
        <f>D21-A21</f>
        <v/>
      </c>
      <c r="J21" s="1408">
        <f>IFERROR(J62/$L$14,0)</f>
        <v/>
      </c>
      <c r="N21" s="562" t="n"/>
    </row>
    <row r="22" ht="14.25" customHeight="1" s="550">
      <c r="A22" s="1246" t="inlineStr">
        <is>
          <t>AVANCE REAL ACUMULADO AL INICIO DEL PERÍODO (%)</t>
        </is>
      </c>
      <c r="B22" s="1194" t="n"/>
      <c r="C22" s="1194" t="n"/>
      <c r="D22" s="1194" t="n"/>
      <c r="E22" s="1194" t="n"/>
      <c r="F22" s="1409" t="n">
        <v>0</v>
      </c>
      <c r="G22" s="1194" t="n"/>
      <c r="H22" s="1193" t="inlineStr">
        <is>
          <t>AVANCE DE ESTE PERÍODO (%)</t>
        </is>
      </c>
      <c r="I22" s="1194" t="n"/>
      <c r="J22" s="1194" t="n"/>
      <c r="K22" s="1410">
        <f>D21-F22</f>
        <v/>
      </c>
      <c r="L22" s="1194" t="n"/>
      <c r="M22" s="1194" t="n"/>
      <c r="N22" s="1264" t="n"/>
    </row>
    <row r="23" ht="14.25" customHeight="1" s="550">
      <c r="A23" s="1234" t="inlineStr">
        <is>
          <t>CAPÍTULO</t>
        </is>
      </c>
      <c r="D23" s="1187" t="inlineStr">
        <is>
          <t>PESO %</t>
        </is>
      </c>
      <c r="E23" s="1187" t="inlineStr">
        <is>
          <t>PROG. %</t>
        </is>
      </c>
      <c r="F23" s="1187" t="inlineStr">
        <is>
          <t>REAL %</t>
        </is>
      </c>
      <c r="G23" s="1187" t="inlineStr">
        <is>
          <t>DIF. %</t>
        </is>
      </c>
      <c r="H23" s="1187" t="inlineStr">
        <is>
          <t>PROG. POND. %</t>
        </is>
      </c>
      <c r="I23" s="1187" t="inlineStr">
        <is>
          <t>REAL POND. %</t>
        </is>
      </c>
      <c r="J23" s="1227" t="inlineStr">
        <is>
          <t>VALOR EJECUTADO ($)</t>
        </is>
      </c>
      <c r="N23" s="562" t="n"/>
    </row>
    <row r="24">
      <c r="A24" s="1098" t="n"/>
      <c r="B24" s="635" t="n"/>
      <c r="C24" s="635" t="n"/>
      <c r="D24" s="635" t="n"/>
      <c r="E24" s="635" t="n"/>
      <c r="F24" s="635" t="n"/>
      <c r="G24" s="635" t="n"/>
      <c r="H24" s="635" t="n"/>
      <c r="I24" s="635" t="n"/>
      <c r="J24" s="652" t="n"/>
      <c r="K24" s="652" t="n"/>
      <c r="L24" s="652" t="n"/>
      <c r="M24" s="652" t="n"/>
      <c r="N24" s="1074" t="n"/>
    </row>
    <row r="25">
      <c r="A25" s="1180">
        <f>'Presupuesto '!B14</f>
        <v/>
      </c>
      <c r="B25" s="609" t="n"/>
      <c r="C25" s="609" t="n"/>
      <c r="D25" s="1411">
        <f>'Presupuesto '!F25/'Presupuesto '!$F$240</f>
        <v/>
      </c>
      <c r="E25" s="1412" t="n"/>
      <c r="F25" s="1412" t="n"/>
      <c r="G25" s="1413">
        <f>F25-E25</f>
        <v/>
      </c>
      <c r="H25" s="1414">
        <f>D25*E25</f>
        <v/>
      </c>
      <c r="I25" s="1414">
        <f>D25*F25</f>
        <v/>
      </c>
      <c r="J25" s="1415">
        <f>D25*$L$14*G25</f>
        <v/>
      </c>
      <c r="K25" s="592" t="n"/>
      <c r="L25" s="592" t="n"/>
      <c r="M25" s="592" t="n"/>
      <c r="N25" s="1205" t="n"/>
    </row>
    <row r="26">
      <c r="A26" s="1180">
        <f>'Presupuesto '!B27</f>
        <v/>
      </c>
      <c r="B26" s="609" t="n"/>
      <c r="C26" s="609" t="n"/>
      <c r="D26" s="1411">
        <f>'Presupuesto '!F39/'Presupuesto '!$F$240</f>
        <v/>
      </c>
      <c r="E26" s="1412" t="n"/>
      <c r="F26" s="1412" t="n"/>
      <c r="G26" s="1413">
        <f>F26-E26</f>
        <v/>
      </c>
      <c r="H26" s="1414">
        <f>D26*E26</f>
        <v/>
      </c>
      <c r="I26" s="1414">
        <f>D26*F26</f>
        <v/>
      </c>
      <c r="J26" s="1416">
        <f>D26*$L$14*G26</f>
        <v/>
      </c>
      <c r="N26" s="562" t="n"/>
    </row>
    <row r="27">
      <c r="A27" s="1180">
        <f>'Presupuesto '!B41</f>
        <v/>
      </c>
      <c r="B27" s="609" t="n"/>
      <c r="C27" s="609" t="n"/>
      <c r="D27" s="1411">
        <f>'Presupuesto '!F49/'Presupuesto '!$F$240</f>
        <v/>
      </c>
      <c r="E27" s="1412" t="n"/>
      <c r="F27" s="1412" t="n"/>
      <c r="G27" s="1413">
        <f>F27-E27</f>
        <v/>
      </c>
      <c r="H27" s="1414">
        <f>D27*E27</f>
        <v/>
      </c>
      <c r="I27" s="1414">
        <f>D27*F27</f>
        <v/>
      </c>
      <c r="J27" s="1416">
        <f>D27*$L$14*G27</f>
        <v/>
      </c>
      <c r="N27" s="562" t="n"/>
    </row>
    <row r="28">
      <c r="A28" s="1180">
        <f>'Presupuesto '!B51</f>
        <v/>
      </c>
      <c r="B28" s="609" t="n"/>
      <c r="C28" s="609" t="n"/>
      <c r="D28" s="1411">
        <f>'Presupuesto '!F69/'Presupuesto '!$F$240</f>
        <v/>
      </c>
      <c r="E28" s="1412" t="n"/>
      <c r="F28" s="1412" t="n"/>
      <c r="G28" s="1413">
        <f>F28-E28</f>
        <v/>
      </c>
      <c r="H28" s="1414">
        <f>D28*E28</f>
        <v/>
      </c>
      <c r="I28" s="1414">
        <f>D28*F28</f>
        <v/>
      </c>
      <c r="J28" s="1416">
        <f>D28*$L$14*G28</f>
        <v/>
      </c>
      <c r="N28" s="562" t="n"/>
    </row>
    <row r="29">
      <c r="A29" s="1180">
        <f>'Presupuesto '!B64</f>
        <v/>
      </c>
      <c r="B29" s="609" t="n"/>
      <c r="C29" s="609" t="n"/>
      <c r="D29" s="1411">
        <f>'Presupuesto '!F81/'Presupuesto '!$F$240</f>
        <v/>
      </c>
      <c r="E29" s="1412" t="n"/>
      <c r="F29" s="1412" t="n"/>
      <c r="G29" s="1413">
        <f>F29-E29</f>
        <v/>
      </c>
      <c r="H29" s="1414">
        <f>D29*E29</f>
        <v/>
      </c>
      <c r="I29" s="1414">
        <f>D29*F29</f>
        <v/>
      </c>
      <c r="J29" s="1416">
        <f>D29*$L$14*G29</f>
        <v/>
      </c>
      <c r="N29" s="562" t="n"/>
    </row>
    <row r="30">
      <c r="A30" s="1180">
        <f>'Presupuesto '!B76</f>
        <v/>
      </c>
      <c r="B30" s="609" t="n"/>
      <c r="C30" s="609" t="n"/>
      <c r="D30" s="1411">
        <f>'Presupuesto '!F93/'Presupuesto '!$F$240</f>
        <v/>
      </c>
      <c r="E30" s="1412" t="n"/>
      <c r="F30" s="1412" t="n"/>
      <c r="G30" s="1413">
        <f>F30-E30</f>
        <v/>
      </c>
      <c r="H30" s="1414">
        <f>D30*E30</f>
        <v/>
      </c>
      <c r="I30" s="1414">
        <f>D30*F30</f>
        <v/>
      </c>
      <c r="J30" s="1416">
        <f>D30*$L$14*G30</f>
        <v/>
      </c>
      <c r="N30" s="562" t="n"/>
    </row>
    <row r="31">
      <c r="A31" s="1180">
        <f>'Presupuesto '!B88</f>
        <v/>
      </c>
      <c r="B31" s="609" t="n"/>
      <c r="C31" s="609" t="n"/>
      <c r="D31" s="1411">
        <f>'Presupuesto '!F100/'Presupuesto '!$F$240</f>
        <v/>
      </c>
      <c r="E31" s="1412" t="n"/>
      <c r="F31" s="1412" t="n"/>
      <c r="G31" s="1413">
        <f>F31-E31</f>
        <v/>
      </c>
      <c r="H31" s="1414">
        <f>D31*E31</f>
        <v/>
      </c>
      <c r="I31" s="1414">
        <f>D31*F31</f>
        <v/>
      </c>
      <c r="J31" s="1416">
        <f>D31*$L$14*G31</f>
        <v/>
      </c>
      <c r="N31" s="562" t="n"/>
    </row>
    <row r="32">
      <c r="A32" s="1180">
        <f>'Presupuesto '!B95</f>
        <v/>
      </c>
      <c r="B32" s="609" t="n"/>
      <c r="C32" s="609" t="n"/>
      <c r="D32" s="1411">
        <f>'Presupuesto '!F107/'Presupuesto '!$F$240</f>
        <v/>
      </c>
      <c r="E32" s="1412" t="n"/>
      <c r="F32" s="1412" t="n"/>
      <c r="G32" s="1413">
        <f>F32-E32</f>
        <v/>
      </c>
      <c r="H32" s="1414">
        <f>D32*E32</f>
        <v/>
      </c>
      <c r="I32" s="1414">
        <f>D32*F32</f>
        <v/>
      </c>
      <c r="J32" s="1416">
        <f>D32*$L$14*G32</f>
        <v/>
      </c>
      <c r="N32" s="562" t="n"/>
    </row>
    <row r="33">
      <c r="A33" s="1180">
        <f>'Presupuesto '!B101</f>
        <v/>
      </c>
      <c r="B33" s="609" t="n"/>
      <c r="C33" s="609" t="n"/>
      <c r="D33" s="1411">
        <f>'Presupuesto '!F121/'Presupuesto '!$F$240</f>
        <v/>
      </c>
      <c r="E33" s="1412" t="n"/>
      <c r="F33" s="1412" t="n"/>
      <c r="G33" s="1413">
        <f>F33-E33</f>
        <v/>
      </c>
      <c r="H33" s="1414">
        <f>D33*E33</f>
        <v/>
      </c>
      <c r="I33" s="1414">
        <f>D33*F33</f>
        <v/>
      </c>
      <c r="J33" s="1416">
        <f>D33*$L$14*G33</f>
        <v/>
      </c>
      <c r="N33" s="562" t="n"/>
    </row>
    <row r="34">
      <c r="A34" s="1180">
        <f>'Presupuesto '!B115</f>
        <v/>
      </c>
      <c r="B34" s="609" t="n"/>
      <c r="C34" s="609" t="n"/>
      <c r="D34" s="1411">
        <f>'Presupuesto '!F129/'Presupuesto '!$F$240</f>
        <v/>
      </c>
      <c r="E34" s="1412" t="n"/>
      <c r="F34" s="1412" t="n"/>
      <c r="G34" s="1413">
        <f>F34-E34</f>
        <v/>
      </c>
      <c r="H34" s="1414">
        <f>D34*E34</f>
        <v/>
      </c>
      <c r="I34" s="1414">
        <f>D34*F34</f>
        <v/>
      </c>
      <c r="J34" s="1416">
        <f>D34*$L$14*G34</f>
        <v/>
      </c>
      <c r="N34" s="562" t="n"/>
    </row>
    <row r="35">
      <c r="A35" s="1180">
        <f>'Presupuesto '!B125</f>
        <v/>
      </c>
      <c r="B35" s="609" t="n"/>
      <c r="C35" s="609" t="n"/>
      <c r="D35" s="1411">
        <f>'Presupuesto '!F140/'Presupuesto '!$F$240</f>
        <v/>
      </c>
      <c r="E35" s="1412" t="n"/>
      <c r="F35" s="1412" t="n"/>
      <c r="G35" s="1413">
        <f>F35-E35</f>
        <v/>
      </c>
      <c r="H35" s="1414">
        <f>D35*E35</f>
        <v/>
      </c>
      <c r="I35" s="1414">
        <f>D35*F35</f>
        <v/>
      </c>
      <c r="J35" s="1416">
        <f>D35*$L$14*G35</f>
        <v/>
      </c>
      <c r="N35" s="562" t="n"/>
    </row>
    <row r="36">
      <c r="A36" s="1180">
        <f>'Presupuesto '!B136</f>
        <v/>
      </c>
      <c r="B36" s="609" t="n"/>
      <c r="C36" s="609" t="n"/>
      <c r="D36" s="1411">
        <f>'Presupuesto '!F147/'Presupuesto '!$F$240</f>
        <v/>
      </c>
      <c r="E36" s="1412" t="n"/>
      <c r="F36" s="1412" t="n"/>
      <c r="G36" s="1413">
        <f>F36-E36</f>
        <v/>
      </c>
      <c r="H36" s="1414">
        <f>D36*E36</f>
        <v/>
      </c>
      <c r="I36" s="1414">
        <f>D36*F36</f>
        <v/>
      </c>
      <c r="J36" s="1416">
        <f>D36*$L$14*G36</f>
        <v/>
      </c>
      <c r="N36" s="562" t="n"/>
    </row>
    <row r="37">
      <c r="A37" s="1180">
        <f>'Presupuesto '!B143</f>
        <v/>
      </c>
      <c r="B37" s="609" t="n"/>
      <c r="C37" s="609" t="n"/>
      <c r="D37" s="1411">
        <f>'Presupuesto '!F162/'Presupuesto '!$F$240</f>
        <v/>
      </c>
      <c r="E37" s="1412" t="n"/>
      <c r="F37" s="1412" t="n"/>
      <c r="G37" s="1413">
        <f>F37-E37</f>
        <v/>
      </c>
      <c r="H37" s="1414">
        <f>D37*E37</f>
        <v/>
      </c>
      <c r="I37" s="1414">
        <f>D37*F37</f>
        <v/>
      </c>
      <c r="J37" s="1416">
        <f>D37*$L$14*G37</f>
        <v/>
      </c>
      <c r="N37" s="562" t="n"/>
    </row>
    <row r="38">
      <c r="A38" s="1180">
        <f>'Presupuesto '!B158</f>
        <v/>
      </c>
      <c r="B38" s="609" t="n"/>
      <c r="C38" s="609" t="n"/>
      <c r="D38" s="1411">
        <f>'Presupuesto '!F176/'Presupuesto '!$F$240</f>
        <v/>
      </c>
      <c r="E38" s="1412" t="n"/>
      <c r="F38" s="1412" t="n"/>
      <c r="G38" s="1413">
        <f>F38-E38</f>
        <v/>
      </c>
      <c r="H38" s="1414">
        <f>D38*E38</f>
        <v/>
      </c>
      <c r="I38" s="1414">
        <f>D38*F38</f>
        <v/>
      </c>
      <c r="J38" s="1416">
        <f>D38*$L$14*G38</f>
        <v/>
      </c>
      <c r="N38" s="562" t="n"/>
    </row>
    <row r="39">
      <c r="A39" s="1180">
        <f>'Presupuesto '!B172</f>
        <v/>
      </c>
      <c r="B39" s="609" t="n"/>
      <c r="C39" s="609" t="n"/>
      <c r="D39" s="1411">
        <f>'Presupuesto '!F185/'Presupuesto '!$F$240</f>
        <v/>
      </c>
      <c r="E39" s="1412" t="n"/>
      <c r="F39" s="1412" t="n"/>
      <c r="G39" s="1413">
        <f>F39-E39</f>
        <v/>
      </c>
      <c r="H39" s="1414">
        <f>D39*E39</f>
        <v/>
      </c>
      <c r="I39" s="1414">
        <f>D39*F39</f>
        <v/>
      </c>
      <c r="J39" s="1416">
        <f>D39*$L$14*G39</f>
        <v/>
      </c>
      <c r="N39" s="562" t="n"/>
    </row>
    <row r="40" ht="14.4" customHeight="1" s="550">
      <c r="A40" s="1183">
        <f>'Presupuesto '!B181</f>
        <v/>
      </c>
      <c r="B40" s="567" t="n"/>
      <c r="C40" s="567" t="n"/>
      <c r="D40" s="1411">
        <f>'Presupuesto '!F192/'Presupuesto '!$F$240</f>
        <v/>
      </c>
      <c r="E40" s="1412" t="n"/>
      <c r="F40" s="1412" t="n"/>
      <c r="G40" s="1413">
        <f>F40-E40</f>
        <v/>
      </c>
      <c r="H40" s="1414">
        <f>D40*E40</f>
        <v/>
      </c>
      <c r="I40" s="1414">
        <f>D40*F40</f>
        <v/>
      </c>
      <c r="J40" s="1416">
        <f>D40*$L$14*G40</f>
        <v/>
      </c>
      <c r="N40" s="562" t="n"/>
    </row>
    <row r="41">
      <c r="A41" s="1253">
        <f>'Presupuesto '!B188</f>
        <v/>
      </c>
      <c r="B41" s="1064" t="n"/>
      <c r="C41" s="1064" t="n"/>
      <c r="D41" s="1411">
        <f>'Presupuesto '!F198/'Presupuesto '!$F$240</f>
        <v/>
      </c>
      <c r="E41" s="1417" t="n"/>
      <c r="F41" s="1417" t="n"/>
      <c r="G41" s="1418">
        <f>F41-E41</f>
        <v/>
      </c>
      <c r="H41" s="1414">
        <f>D41*E41</f>
        <v/>
      </c>
      <c r="I41" s="1414">
        <f>D41*F41</f>
        <v/>
      </c>
      <c r="J41" s="1416">
        <f>D41*$L$14*G41</f>
        <v/>
      </c>
      <c r="N41" s="562" t="n"/>
    </row>
    <row r="42" ht="14.4" customHeight="1" s="550">
      <c r="A42" s="1180">
        <f>'Presupuesto '!B194</f>
        <v/>
      </c>
      <c r="B42" s="609" t="n"/>
      <c r="C42" s="609" t="n"/>
      <c r="D42" s="1411">
        <f>'Presupuesto '!F212/'Presupuesto '!$F$240</f>
        <v/>
      </c>
      <c r="E42" s="1419" t="n"/>
      <c r="F42" s="1419" t="n"/>
      <c r="G42" s="1418">
        <f>F42-E42</f>
        <v/>
      </c>
      <c r="H42" s="1414">
        <f>D42*E42</f>
        <v/>
      </c>
      <c r="I42" s="1414">
        <f>D42*F42</f>
        <v/>
      </c>
      <c r="J42" s="1416">
        <f>D42*$L$14*G42</f>
        <v/>
      </c>
      <c r="N42" s="562" t="n"/>
    </row>
    <row r="43" ht="14.4" customHeight="1" s="550">
      <c r="A43" s="1183">
        <f>'Presupuesto '!B208</f>
        <v/>
      </c>
      <c r="B43" s="567" t="n"/>
      <c r="C43" s="567" t="n"/>
      <c r="D43" s="1411">
        <f>'Presupuesto '!F219/'Presupuesto '!$F$240</f>
        <v/>
      </c>
      <c r="E43" s="1412" t="n"/>
      <c r="F43" s="1412" t="n"/>
      <c r="G43" s="1418">
        <f>F43-E43</f>
        <v/>
      </c>
      <c r="H43" s="1414">
        <f>D43*E43</f>
        <v/>
      </c>
      <c r="I43" s="1414">
        <f>D43*F43</f>
        <v/>
      </c>
      <c r="J43" s="1416">
        <f>D43*$L$14*G43</f>
        <v/>
      </c>
      <c r="N43" s="562" t="n"/>
    </row>
    <row r="44" ht="14.4" customHeight="1" s="550">
      <c r="A44" s="1183">
        <f>'Presupuesto '!B215</f>
        <v/>
      </c>
      <c r="B44" s="567" t="n"/>
      <c r="C44" s="567" t="n"/>
      <c r="D44" s="1411">
        <f>'Presupuesto '!F227/'Presupuesto '!$F$240</f>
        <v/>
      </c>
      <c r="E44" s="1412" t="n"/>
      <c r="F44" s="1412" t="n"/>
      <c r="G44" s="1413">
        <f>F44-E44</f>
        <v/>
      </c>
      <c r="H44" s="1414">
        <f>D44*E44</f>
        <v/>
      </c>
      <c r="I44" s="1414">
        <f>D44*F44</f>
        <v/>
      </c>
      <c r="J44" s="1416">
        <f>D44*$L$14*G44</f>
        <v/>
      </c>
      <c r="N44" s="562" t="n"/>
    </row>
    <row r="45">
      <c r="A45" s="1183">
        <f>'Presupuesto '!B223</f>
        <v/>
      </c>
      <c r="B45" s="567" t="n"/>
      <c r="C45" s="567" t="n"/>
      <c r="D45" s="1411">
        <f>'Presupuesto '!F231/'Presupuesto '!$F$240</f>
        <v/>
      </c>
      <c r="E45" s="1420" t="n"/>
      <c r="F45" s="1420" t="n"/>
      <c r="G45" s="1413">
        <f>F45-E45</f>
        <v/>
      </c>
      <c r="H45" s="1414">
        <f>D45*E45</f>
        <v/>
      </c>
      <c r="I45" s="1414">
        <f>D45*F45</f>
        <v/>
      </c>
      <c r="J45" s="1416">
        <f>D45*$L$14*G45</f>
        <v/>
      </c>
      <c r="N45" s="562" t="n"/>
    </row>
    <row r="46" ht="14.4" customHeight="1" s="550">
      <c r="A46" s="1183">
        <f>'Presupuesto '!B227</f>
        <v/>
      </c>
      <c r="B46" s="567" t="n"/>
      <c r="C46" s="567" t="n"/>
      <c r="D46" s="1411">
        <f>'Presupuesto '!F238/'Presupuesto '!$F$240</f>
        <v/>
      </c>
      <c r="E46" s="1412" t="n"/>
      <c r="F46" s="1412" t="n"/>
      <c r="G46" s="1413">
        <f>F46-E46</f>
        <v/>
      </c>
      <c r="H46" s="1414">
        <f>D46*E46</f>
        <v/>
      </c>
      <c r="I46" s="1414">
        <f>D46*F46</f>
        <v/>
      </c>
      <c r="J46" s="1416">
        <f>D46*$L$14*G46</f>
        <v/>
      </c>
      <c r="N46" s="562" t="n"/>
    </row>
    <row r="47" ht="14.4" customHeight="1" s="550">
      <c r="A47" s="1183" t="n"/>
      <c r="B47" s="567" t="n"/>
      <c r="C47" s="567" t="n"/>
      <c r="D47" s="1411" t="n"/>
      <c r="E47" s="1412" t="n"/>
      <c r="F47" s="1412" t="n"/>
      <c r="G47" s="1413">
        <f>F47-E47</f>
        <v/>
      </c>
      <c r="H47" s="1414">
        <f>D47*E47</f>
        <v/>
      </c>
      <c r="I47" s="1414">
        <f>D47*F47</f>
        <v/>
      </c>
      <c r="J47" s="1416">
        <f>D47*$L$14*G47</f>
        <v/>
      </c>
      <c r="N47" s="562" t="n"/>
    </row>
    <row r="48" ht="14.4" customHeight="1" s="550">
      <c r="A48" s="1183" t="n"/>
      <c r="B48" s="567" t="n"/>
      <c r="C48" s="567" t="n"/>
      <c r="D48" s="1411" t="n"/>
      <c r="E48" s="1412" t="n"/>
      <c r="F48" s="1412" t="n"/>
      <c r="G48" s="1413">
        <f>F48-E48</f>
        <v/>
      </c>
      <c r="H48" s="1414">
        <f>D48*E48</f>
        <v/>
      </c>
      <c r="I48" s="1414">
        <f>D48*F48</f>
        <v/>
      </c>
      <c r="J48" s="1416">
        <f>D48*$L$14*G48</f>
        <v/>
      </c>
      <c r="N48" s="562" t="n"/>
    </row>
    <row r="49" ht="14.4" customHeight="1" s="550">
      <c r="A49" s="1183" t="n"/>
      <c r="B49" s="567" t="n"/>
      <c r="C49" s="567" t="n"/>
      <c r="D49" s="1411" t="n"/>
      <c r="E49" s="1412" t="n"/>
      <c r="F49" s="1412" t="n"/>
      <c r="G49" s="1413">
        <f>F49-E49</f>
        <v/>
      </c>
      <c r="H49" s="1414">
        <f>D49*E49</f>
        <v/>
      </c>
      <c r="I49" s="1414">
        <f>D49*F49</f>
        <v/>
      </c>
      <c r="J49" s="1416">
        <f>D49*$L$14*G49</f>
        <v/>
      </c>
      <c r="N49" s="562" t="n"/>
    </row>
    <row r="50" ht="14.4" customHeight="1" s="550">
      <c r="A50" s="1183" t="n"/>
      <c r="B50" s="567" t="n"/>
      <c r="C50" s="567" t="n"/>
      <c r="D50" s="1411" t="n"/>
      <c r="E50" s="1412" t="n"/>
      <c r="F50" s="1412" t="n"/>
      <c r="G50" s="1413">
        <f>F50-E50</f>
        <v/>
      </c>
      <c r="H50" s="1414">
        <f>D50*E50</f>
        <v/>
      </c>
      <c r="I50" s="1414">
        <f>D50*F50</f>
        <v/>
      </c>
      <c r="J50" s="1416">
        <f>D50*$L$14*G50</f>
        <v/>
      </c>
      <c r="N50" s="562" t="n"/>
    </row>
    <row r="51" ht="14.4" customHeight="1" s="550">
      <c r="A51" s="1183" t="n"/>
      <c r="B51" s="567" t="n"/>
      <c r="C51" s="567" t="n"/>
      <c r="D51" s="1411" t="n"/>
      <c r="E51" s="1412" t="n"/>
      <c r="F51" s="1412" t="n"/>
      <c r="G51" s="1413">
        <f>F51-E51</f>
        <v/>
      </c>
      <c r="H51" s="1414">
        <f>D51*E51</f>
        <v/>
      </c>
      <c r="I51" s="1414">
        <f>D51*F51</f>
        <v/>
      </c>
      <c r="J51" s="1416">
        <f>D51*$L$14*G51</f>
        <v/>
      </c>
      <c r="N51" s="562" t="n"/>
    </row>
    <row r="52" ht="14.4" customHeight="1" s="550">
      <c r="A52" s="1183" t="n"/>
      <c r="B52" s="567" t="n"/>
      <c r="C52" s="567" t="n"/>
      <c r="D52" s="1411" t="n"/>
      <c r="E52" s="1412" t="n"/>
      <c r="F52" s="1412" t="n"/>
      <c r="G52" s="1413">
        <f>F52-E52</f>
        <v/>
      </c>
      <c r="H52" s="1414">
        <f>D52*E52</f>
        <v/>
      </c>
      <c r="I52" s="1414">
        <f>D52*F52</f>
        <v/>
      </c>
      <c r="J52" s="1416">
        <f>D52*$L$14*G52</f>
        <v/>
      </c>
      <c r="N52" s="562" t="n"/>
    </row>
    <row r="53" ht="14.4" customHeight="1" s="550">
      <c r="A53" s="1183" t="n"/>
      <c r="B53" s="567" t="n"/>
      <c r="C53" s="567" t="n"/>
      <c r="D53" s="1411" t="n"/>
      <c r="E53" s="1412" t="n"/>
      <c r="F53" s="1412" t="n"/>
      <c r="G53" s="1413">
        <f>F53-E53</f>
        <v/>
      </c>
      <c r="H53" s="1414">
        <f>D53*E53</f>
        <v/>
      </c>
      <c r="I53" s="1414">
        <f>D53*F53</f>
        <v/>
      </c>
      <c r="J53" s="1416">
        <f>D53*$L$14*G53</f>
        <v/>
      </c>
      <c r="N53" s="562" t="n"/>
    </row>
    <row r="54" ht="14.4" customHeight="1" s="550">
      <c r="A54" s="1183" t="n"/>
      <c r="B54" s="567" t="n"/>
      <c r="C54" s="567" t="n"/>
      <c r="D54" s="1411" t="n"/>
      <c r="E54" s="1412" t="n"/>
      <c r="F54" s="1412" t="n"/>
      <c r="G54" s="1413">
        <f>F54-E54</f>
        <v/>
      </c>
      <c r="H54" s="1414">
        <f>D54*E54</f>
        <v/>
      </c>
      <c r="I54" s="1414">
        <f>D54*F54</f>
        <v/>
      </c>
      <c r="J54" s="1416">
        <f>D54*$L$14*G54</f>
        <v/>
      </c>
      <c r="N54" s="562" t="n"/>
    </row>
    <row r="55" ht="14.4" customHeight="1" s="550">
      <c r="A55" s="1183" t="n"/>
      <c r="B55" s="567" t="n"/>
      <c r="C55" s="567" t="n"/>
      <c r="D55" s="1411" t="n"/>
      <c r="E55" s="1412" t="n"/>
      <c r="F55" s="1412" t="n"/>
      <c r="G55" s="1413">
        <f>F55-E55</f>
        <v/>
      </c>
      <c r="H55" s="1414">
        <f>D55*E55</f>
        <v/>
      </c>
      <c r="I55" s="1414">
        <f>D55*F55</f>
        <v/>
      </c>
      <c r="J55" s="1416">
        <f>D55*$L$14*G55</f>
        <v/>
      </c>
      <c r="N55" s="562" t="n"/>
    </row>
    <row r="56" ht="14.4" customHeight="1" s="550">
      <c r="A56" s="1183" t="n"/>
      <c r="B56" s="567" t="n"/>
      <c r="C56" s="567" t="n"/>
      <c r="D56" s="1411" t="n"/>
      <c r="E56" s="1412" t="n"/>
      <c r="F56" s="1412" t="n"/>
      <c r="G56" s="1413">
        <f>F56-E56</f>
        <v/>
      </c>
      <c r="H56" s="1414">
        <f>D56*E56</f>
        <v/>
      </c>
      <c r="I56" s="1414">
        <f>D56*F56</f>
        <v/>
      </c>
      <c r="J56" s="1416">
        <f>D56*$L$14*G56</f>
        <v/>
      </c>
      <c r="N56" s="562" t="n"/>
    </row>
    <row r="57" ht="14.4" customHeight="1" s="550">
      <c r="A57" s="1183" t="n"/>
      <c r="B57" s="567" t="n"/>
      <c r="C57" s="567" t="n"/>
      <c r="D57" s="1411" t="n"/>
      <c r="E57" s="1412" t="n"/>
      <c r="F57" s="1412" t="n"/>
      <c r="G57" s="1413">
        <f>F57-E57</f>
        <v/>
      </c>
      <c r="H57" s="1414">
        <f>D57*E57</f>
        <v/>
      </c>
      <c r="I57" s="1414">
        <f>D57*F57</f>
        <v/>
      </c>
      <c r="J57" s="1416">
        <f>D57*$L$14*G57</f>
        <v/>
      </c>
      <c r="N57" s="562" t="n"/>
    </row>
    <row r="58" ht="14.4" customHeight="1" s="550">
      <c r="A58" s="1183" t="n"/>
      <c r="B58" s="567" t="n"/>
      <c r="C58" s="567" t="n"/>
      <c r="D58" s="1411" t="n"/>
      <c r="E58" s="1412" t="n"/>
      <c r="F58" s="1412" t="n"/>
      <c r="G58" s="1413">
        <f>F58-E58</f>
        <v/>
      </c>
      <c r="H58" s="1414">
        <f>D58*E58</f>
        <v/>
      </c>
      <c r="I58" s="1414">
        <f>D58*F58</f>
        <v/>
      </c>
      <c r="J58" s="1416">
        <f>D58*$L$14*G58</f>
        <v/>
      </c>
      <c r="N58" s="562" t="n"/>
    </row>
    <row r="59" ht="14.4" customHeight="1" s="550">
      <c r="A59" s="1183" t="n"/>
      <c r="B59" s="567" t="n"/>
      <c r="C59" s="567" t="n"/>
      <c r="D59" s="1411" t="n"/>
      <c r="E59" s="1412" t="n"/>
      <c r="F59" s="1412" t="n"/>
      <c r="G59" s="1413">
        <f>F59-E59</f>
        <v/>
      </c>
      <c r="H59" s="1414">
        <f>D59*E59</f>
        <v/>
      </c>
      <c r="I59" s="1414">
        <f>D59*F59</f>
        <v/>
      </c>
      <c r="J59" s="1416">
        <f>D59*$L$14*G59</f>
        <v/>
      </c>
      <c r="N59" s="562" t="n"/>
    </row>
    <row r="60" ht="14.4" customHeight="1" s="550">
      <c r="A60" s="1183" t="n"/>
      <c r="B60" s="567" t="n"/>
      <c r="C60" s="567" t="n"/>
      <c r="D60" s="1411" t="n"/>
      <c r="E60" s="1412" t="n"/>
      <c r="F60" s="1412" t="n"/>
      <c r="G60" s="1413">
        <f>F60-E60</f>
        <v/>
      </c>
      <c r="H60" s="1414">
        <f>D60*E60</f>
        <v/>
      </c>
      <c r="I60" s="1414">
        <f>D60*F60</f>
        <v/>
      </c>
      <c r="J60" s="1416">
        <f>D60*$L$14*G60</f>
        <v/>
      </c>
      <c r="N60" s="562" t="n"/>
    </row>
    <row r="61" ht="14.4" customHeight="1" s="550">
      <c r="A61" s="1183" t="n"/>
      <c r="B61" s="567" t="n"/>
      <c r="C61" s="567" t="n"/>
      <c r="D61" s="1411" t="n"/>
      <c r="E61" s="1412" t="n"/>
      <c r="F61" s="1412" t="n"/>
      <c r="G61" s="1413">
        <f>F61-E61</f>
        <v/>
      </c>
      <c r="H61" s="1414">
        <f>D61*E61</f>
        <v/>
      </c>
      <c r="I61" s="1414">
        <f>D61*F61</f>
        <v/>
      </c>
      <c r="J61" s="1416">
        <f>D61*$L$14*G61</f>
        <v/>
      </c>
      <c r="N61" s="562" t="n"/>
    </row>
    <row r="62">
      <c r="A62" s="1241" t="inlineStr">
        <is>
          <t>TOTAL</t>
        </is>
      </c>
      <c r="B62" s="1217" t="n"/>
      <c r="C62" s="1217" t="n"/>
      <c r="D62" s="269">
        <f>SUM(D25:D61)</f>
        <v/>
      </c>
      <c r="E62" s="1217" t="n"/>
      <c r="F62" s="1217" t="n"/>
      <c r="G62" s="15" t="n"/>
      <c r="H62" s="1421">
        <f>SUM(H25:H61)</f>
        <v/>
      </c>
      <c r="I62" s="1421">
        <f>SUM(I25:I61)</f>
        <v/>
      </c>
      <c r="J62" s="1422">
        <f>SUM(J25:J61)</f>
        <v/>
      </c>
      <c r="N62" s="562" t="n"/>
    </row>
    <row r="63" ht="15.75" customHeight="1" s="550">
      <c r="A63" s="1181" t="inlineStr">
        <is>
          <t>ACTIVIDADES MÁS RELEVANTES DEL PERÍODO</t>
        </is>
      </c>
      <c r="N63" s="562" t="n"/>
    </row>
    <row r="64" ht="14.25" customHeight="1" s="550">
      <c r="A64" s="1237" t="inlineStr">
        <is>
          <t>UBICACIÓN</t>
        </is>
      </c>
      <c r="B64" s="609" t="n"/>
      <c r="C64" s="1222" t="inlineStr">
        <is>
          <t>DESCRIPCIÓN DE LA ACTIVIDAD</t>
        </is>
      </c>
      <c r="D64" s="609" t="n"/>
      <c r="E64" s="609" t="n"/>
      <c r="F64" s="609" t="n"/>
      <c r="G64" s="1222" t="inlineStr">
        <is>
          <t>AVANCE DEL PERÍODO</t>
        </is>
      </c>
      <c r="H64" s="609" t="n"/>
      <c r="I64" s="1222" t="inlineStr">
        <is>
          <t>RESPONSABLE</t>
        </is>
      </c>
      <c r="J64" s="609" t="n"/>
      <c r="K64" s="1423" t="inlineStr">
        <is>
          <t>OBSERVACIONES</t>
        </is>
      </c>
      <c r="L64" s="609" t="n"/>
      <c r="M64" s="609" t="n"/>
      <c r="N64" s="610" t="n"/>
    </row>
    <row r="65">
      <c r="A65" s="1259" t="n"/>
      <c r="B65" s="1126" t="n"/>
      <c r="C65" s="1177" t="n"/>
      <c r="D65" s="567" t="n"/>
      <c r="E65" s="567" t="n"/>
      <c r="F65" s="567" t="n"/>
      <c r="G65" s="1198" t="n"/>
      <c r="H65" s="567" t="n"/>
      <c r="I65" s="1126" t="n"/>
      <c r="J65" s="1126" t="n"/>
      <c r="K65" s="1424" t="n"/>
      <c r="L65" s="567" t="n"/>
      <c r="M65" s="567" t="n"/>
      <c r="N65" s="607" t="n"/>
    </row>
    <row r="66">
      <c r="A66" s="1184" t="n"/>
      <c r="B66" s="1136" t="n"/>
      <c r="C66" s="1177" t="n"/>
      <c r="D66" s="567" t="n"/>
      <c r="E66" s="567" t="n"/>
      <c r="F66" s="567" t="n"/>
      <c r="G66" s="1198" t="n"/>
      <c r="H66" s="567" t="n"/>
      <c r="I66" s="1249" t="n"/>
      <c r="J66" s="1136" t="n"/>
      <c r="K66" s="1425" t="n"/>
      <c r="L66" s="567" t="n"/>
      <c r="M66" s="567" t="n"/>
      <c r="N66" s="607" t="n"/>
    </row>
    <row r="67" ht="14.4" customHeight="1" s="550">
      <c r="A67" s="1191" t="n"/>
      <c r="B67" s="567" t="n"/>
      <c r="C67" s="1177" t="n"/>
      <c r="D67" s="567" t="n"/>
      <c r="E67" s="567" t="n"/>
      <c r="F67" s="567" t="n"/>
      <c r="G67" s="1198" t="n"/>
      <c r="H67" s="567" t="n"/>
      <c r="I67" s="1201" t="n"/>
      <c r="J67" s="567" t="n"/>
      <c r="K67" s="1425" t="n"/>
      <c r="L67" s="567" t="n"/>
      <c r="M67" s="567" t="n"/>
      <c r="N67" s="607" t="n"/>
    </row>
    <row r="68" ht="15.75" customHeight="1" s="550">
      <c r="A68" s="1191" t="n"/>
      <c r="B68" s="567" t="n"/>
      <c r="C68" s="1177" t="n"/>
      <c r="D68" s="567" t="n"/>
      <c r="E68" s="567" t="n"/>
      <c r="F68" s="567" t="n"/>
      <c r="G68" s="1198" t="n"/>
      <c r="H68" s="567" t="n"/>
      <c r="I68" s="1201" t="n"/>
      <c r="J68" s="567" t="n"/>
      <c r="K68" s="1425" t="n"/>
      <c r="L68" s="567" t="n"/>
      <c r="M68" s="567" t="n"/>
      <c r="N68" s="607" t="n"/>
      <c r="S68" s="13" t="n"/>
    </row>
    <row r="69" ht="14.25" customHeight="1" s="550">
      <c r="A69" s="1191" t="n"/>
      <c r="B69" s="567" t="n"/>
      <c r="C69" s="1177" t="n"/>
      <c r="D69" s="567" t="n"/>
      <c r="E69" s="567" t="n"/>
      <c r="F69" s="567" t="n"/>
      <c r="G69" s="1198" t="n"/>
      <c r="H69" s="567" t="n"/>
      <c r="I69" s="1201" t="n"/>
      <c r="J69" s="567" t="n"/>
      <c r="K69" s="1425" t="n"/>
      <c r="L69" s="567" t="n"/>
      <c r="M69" s="567" t="n"/>
      <c r="N69" s="607" t="n"/>
    </row>
    <row r="70">
      <c r="A70" s="1191" t="n"/>
      <c r="B70" s="567" t="n"/>
      <c r="C70" s="1177" t="n"/>
      <c r="D70" s="567" t="n"/>
      <c r="E70" s="567" t="n"/>
      <c r="F70" s="567" t="n"/>
      <c r="G70" s="1198" t="n"/>
      <c r="H70" s="567" t="n"/>
      <c r="I70" s="1201" t="n"/>
      <c r="J70" s="567" t="n"/>
      <c r="K70" s="1425" t="n"/>
      <c r="L70" s="567" t="n"/>
      <c r="M70" s="567" t="n"/>
      <c r="N70" s="607" t="n"/>
    </row>
    <row r="71" ht="14.25" customHeight="1" s="550">
      <c r="A71" s="1191" t="n"/>
      <c r="B71" s="567" t="n"/>
      <c r="C71" s="1177" t="n"/>
      <c r="D71" s="567" t="n"/>
      <c r="E71" s="567" t="n"/>
      <c r="F71" s="567" t="n"/>
      <c r="G71" s="1198" t="n"/>
      <c r="H71" s="567" t="n"/>
      <c r="I71" s="1201" t="n"/>
      <c r="J71" s="567" t="n"/>
      <c r="K71" s="1425" t="n"/>
      <c r="L71" s="567" t="n"/>
      <c r="M71" s="567" t="n"/>
      <c r="N71" s="607" t="n"/>
    </row>
    <row r="72">
      <c r="A72" s="1191" t="n"/>
      <c r="B72" s="567" t="n"/>
      <c r="C72" s="1177" t="n"/>
      <c r="D72" s="567" t="n"/>
      <c r="E72" s="567" t="n"/>
      <c r="F72" s="567" t="n"/>
      <c r="G72" s="1198" t="n"/>
      <c r="H72" s="567" t="n"/>
      <c r="I72" s="1201" t="n"/>
      <c r="J72" s="567" t="n"/>
      <c r="K72" s="1425" t="n"/>
      <c r="L72" s="567" t="n"/>
      <c r="M72" s="567" t="n"/>
      <c r="N72" s="607" t="n"/>
    </row>
    <row r="73">
      <c r="A73" s="1191" t="n"/>
      <c r="B73" s="567" t="n"/>
      <c r="C73" s="1177" t="n"/>
      <c r="D73" s="567" t="n"/>
      <c r="E73" s="567" t="n"/>
      <c r="F73" s="567" t="n"/>
      <c r="G73" s="1198" t="n"/>
      <c r="H73" s="567" t="n"/>
      <c r="I73" s="1201" t="n"/>
      <c r="J73" s="567" t="n"/>
      <c r="K73" s="1425" t="n"/>
      <c r="L73" s="567" t="n"/>
      <c r="M73" s="567" t="n"/>
      <c r="N73" s="607" t="n"/>
    </row>
    <row r="74" ht="14.4" customHeight="1" s="550">
      <c r="A74" s="1186" t="inlineStr">
        <is>
          <t>AVANCE FINANCIERO Y ADMINISTRATIVO</t>
        </is>
      </c>
      <c r="B74" s="1064" t="n"/>
      <c r="C74" s="1064" t="n"/>
      <c r="D74" s="1064" t="n"/>
      <c r="E74" s="1064" t="n"/>
      <c r="F74" s="1064" t="n"/>
      <c r="G74" s="1064" t="n"/>
      <c r="H74" s="1064" t="n"/>
      <c r="I74" s="1064" t="n"/>
      <c r="J74" s="1064" t="n"/>
      <c r="K74" s="1064" t="n"/>
      <c r="L74" s="1064" t="n"/>
      <c r="M74" s="1064" t="n"/>
      <c r="N74" s="1065" t="n"/>
    </row>
    <row r="75" ht="14.4" customHeight="1" s="550">
      <c r="A75" s="1210" t="inlineStr">
        <is>
          <t>INGRESOS DEL PERÍODO</t>
        </is>
      </c>
      <c r="B75" s="567" t="n"/>
      <c r="C75" s="567" t="n"/>
      <c r="D75" s="567" t="n"/>
      <c r="E75" s="567" t="n"/>
      <c r="F75" s="567" t="n"/>
      <c r="G75" s="383" t="n"/>
      <c r="H75" s="1228" t="inlineStr">
        <is>
          <t>EGRESOS / GASTOS DEL PERÍODO</t>
        </is>
      </c>
      <c r="N75" s="562" t="n"/>
    </row>
    <row r="76">
      <c r="A76" s="1251" t="inlineStr">
        <is>
          <t>CONCEPTO</t>
        </is>
      </c>
      <c r="B76" s="567" t="n"/>
      <c r="C76" s="567" t="n"/>
      <c r="D76" s="1426" t="inlineStr">
        <is>
          <t>FECHA</t>
        </is>
      </c>
      <c r="E76" s="1427" t="inlineStr">
        <is>
          <t>VALOR ($)</t>
        </is>
      </c>
      <c r="F76" s="567" t="n"/>
      <c r="G76" s="385" t="n"/>
      <c r="H76" s="1238" t="inlineStr">
        <is>
          <t>CONCEPTO</t>
        </is>
      </c>
      <c r="I76" s="567" t="n"/>
      <c r="J76" s="567" t="n"/>
      <c r="K76" s="1260" t="inlineStr">
        <is>
          <t>FECHA</t>
        </is>
      </c>
      <c r="L76" s="609" t="n"/>
      <c r="M76" s="1428" t="inlineStr">
        <is>
          <t>VALOR ($)</t>
        </is>
      </c>
      <c r="N76" s="610" t="n"/>
    </row>
    <row r="77" ht="14.25" customHeight="1" s="550">
      <c r="A77" s="1202" t="n"/>
      <c r="B77" s="567" t="n"/>
      <c r="C77" s="567" t="n"/>
      <c r="D77" s="1429" t="n"/>
      <c r="E77" s="1430" t="n"/>
      <c r="F77" s="567" t="n"/>
      <c r="G77" s="383" t="n"/>
      <c r="H77" s="1192" t="n"/>
      <c r="I77" s="567" t="n"/>
      <c r="J77" s="567" t="n"/>
      <c r="K77" s="1219" t="n"/>
      <c r="L77" s="567" t="n"/>
      <c r="M77" s="1431" t="n"/>
      <c r="N77" s="607" t="n"/>
    </row>
    <row r="78">
      <c r="A78" s="1202" t="n"/>
      <c r="B78" s="567" t="n"/>
      <c r="C78" s="567" t="n"/>
      <c r="D78" s="1429" t="n"/>
      <c r="E78" s="1430" t="n"/>
      <c r="F78" s="567" t="n"/>
      <c r="G78" s="383" t="n"/>
      <c r="H78" s="1192" t="n"/>
      <c r="I78" s="567" t="n"/>
      <c r="J78" s="567" t="n"/>
      <c r="K78" s="1219" t="n"/>
      <c r="L78" s="567" t="n"/>
      <c r="M78" s="1431" t="n"/>
      <c r="N78" s="607" t="n"/>
    </row>
    <row r="79">
      <c r="A79" s="1202" t="n"/>
      <c r="B79" s="567" t="n"/>
      <c r="C79" s="567" t="n"/>
      <c r="D79" s="1429" t="n"/>
      <c r="E79" s="1430" t="n"/>
      <c r="F79" s="567" t="n"/>
      <c r="G79" s="383" t="n"/>
      <c r="H79" s="1192" t="n"/>
      <c r="I79" s="567" t="n"/>
      <c r="J79" s="567" t="n"/>
      <c r="K79" s="1219" t="n"/>
      <c r="L79" s="567" t="n"/>
      <c r="M79" s="1431" t="n"/>
      <c r="N79" s="607" t="n"/>
    </row>
    <row r="80" ht="15.75" customHeight="1" s="550">
      <c r="A80" s="1202" t="n"/>
      <c r="B80" s="567" t="n"/>
      <c r="C80" s="567" t="n"/>
      <c r="D80" s="1429" t="n"/>
      <c r="E80" s="1430" t="n"/>
      <c r="F80" s="567" t="n"/>
      <c r="G80" s="383" t="n"/>
      <c r="H80" s="1192" t="n"/>
      <c r="I80" s="567" t="n"/>
      <c r="J80" s="567" t="n"/>
      <c r="K80" s="1219" t="n"/>
      <c r="L80" s="567" t="n"/>
      <c r="M80" s="1431" t="n"/>
      <c r="N80" s="607" t="n"/>
    </row>
    <row r="81" ht="14.4" customHeight="1" s="550">
      <c r="A81" s="1202" t="n"/>
      <c r="B81" s="567" t="n"/>
      <c r="C81" s="567" t="n"/>
      <c r="D81" s="1429" t="n"/>
      <c r="E81" s="1430" t="n"/>
      <c r="F81" s="567" t="n"/>
      <c r="G81" s="383" t="n"/>
      <c r="H81" s="1192" t="n"/>
      <c r="I81" s="567" t="n"/>
      <c r="J81" s="567" t="n"/>
      <c r="K81" s="1219" t="n"/>
      <c r="L81" s="567" t="n"/>
      <c r="M81" s="1431" t="n"/>
      <c r="N81" s="607" t="n"/>
    </row>
    <row r="82" ht="14.4" customHeight="1" s="550">
      <c r="A82" s="1257" t="inlineStr">
        <is>
          <t>TOTAL INGRESOS</t>
        </is>
      </c>
      <c r="B82" s="1217" t="n"/>
      <c r="C82" s="1217" t="n"/>
      <c r="D82" s="1217" t="n"/>
      <c r="E82" s="1433">
        <f>SUM(E77:F81)</f>
        <v/>
      </c>
      <c r="F82" s="1217" t="n"/>
      <c r="G82" s="386" t="n"/>
      <c r="H82" s="1235" t="inlineStr">
        <is>
          <t>TOTAL EGRESOS</t>
        </is>
      </c>
      <c r="I82" s="1064" t="n"/>
      <c r="J82" s="1064" t="n"/>
      <c r="K82" s="1064" t="n"/>
      <c r="L82" s="1064" t="n"/>
      <c r="M82" s="1434">
        <f>SUM(M77:N81)</f>
        <v/>
      </c>
      <c r="N82" s="1065" t="n"/>
    </row>
    <row r="83" ht="15.75" customHeight="1" s="550">
      <c r="A83" s="1181" t="inlineStr">
        <is>
          <t>ASPECTOS HSE Y AMBIENTALES</t>
        </is>
      </c>
      <c r="N83" s="562" t="n"/>
    </row>
    <row r="84" ht="14.25" customHeight="1" s="550">
      <c r="A84" s="1221" t="inlineStr">
        <is>
          <t>HORAS HOMBRE TRABAJADAS</t>
        </is>
      </c>
      <c r="B84" s="567" t="n"/>
      <c r="C84" s="567" t="n"/>
      <c r="D84" s="567" t="n"/>
      <c r="E84" s="567" t="n"/>
      <c r="F84" s="567" t="n"/>
      <c r="G84" s="567" t="n"/>
      <c r="H84" s="567" t="n"/>
      <c r="I84" s="567" t="n"/>
      <c r="J84" s="567" t="n"/>
      <c r="K84" s="567" t="n"/>
      <c r="L84" s="567" t="n"/>
      <c r="M84" s="567" t="n"/>
      <c r="N84" s="607" t="n"/>
    </row>
    <row r="85">
      <c r="A85" s="1256" t="n"/>
      <c r="B85" s="567" t="n"/>
      <c r="C85" s="567" t="n"/>
      <c r="D85" s="567" t="n"/>
      <c r="E85" s="567" t="n"/>
      <c r="F85" s="567" t="n"/>
      <c r="G85" s="567" t="n"/>
      <c r="H85" s="567" t="n"/>
      <c r="I85" s="567" t="n"/>
      <c r="J85" s="567" t="n"/>
      <c r="K85" s="567" t="n"/>
      <c r="L85" s="567" t="n"/>
      <c r="M85" s="567" t="n"/>
      <c r="N85" s="607" t="n"/>
    </row>
    <row r="86" ht="14.25" customHeight="1" s="550">
      <c r="A86" s="1435" t="inlineStr">
        <is>
          <t>OBSERVACIONES HSE</t>
        </is>
      </c>
      <c r="N86" s="562" t="n"/>
    </row>
    <row r="87">
      <c r="A87" s="1436" t="n"/>
      <c r="N87" s="562" t="n"/>
    </row>
    <row r="88">
      <c r="A88" s="1207" t="inlineStr">
        <is>
          <t>INSERTAR FOTOGRAFÍA</t>
        </is>
      </c>
      <c r="B88" s="776" t="n"/>
      <c r="C88" s="776" t="n"/>
      <c r="D88" s="776" t="n"/>
      <c r="E88" s="776" t="n"/>
      <c r="F88" s="776" t="n"/>
      <c r="G88" s="777" t="n"/>
      <c r="H88" s="1189" t="inlineStr">
        <is>
          <t>INSERTAR FOTOGRAFÍA</t>
        </is>
      </c>
      <c r="I88" s="776" t="n"/>
      <c r="J88" s="776" t="n"/>
      <c r="K88" s="776" t="n"/>
      <c r="L88" s="776" t="n"/>
      <c r="M88" s="776" t="n"/>
      <c r="N88" s="777" t="n"/>
    </row>
    <row r="89" ht="14.25" customHeight="1" s="550">
      <c r="A89" s="1066" t="n"/>
      <c r="G89" s="780" t="n"/>
      <c r="H89" s="778" t="n"/>
      <c r="N89" s="780" t="n"/>
    </row>
    <row r="90">
      <c r="A90" s="1066" t="n"/>
      <c r="G90" s="780" t="n"/>
      <c r="H90" s="778" t="n"/>
      <c r="N90" s="780" t="n"/>
    </row>
    <row r="91">
      <c r="A91" s="1066" t="n"/>
      <c r="G91" s="780" t="n"/>
      <c r="H91" s="778" t="n"/>
      <c r="N91" s="780" t="n"/>
    </row>
    <row r="92" ht="14.25" customHeight="1" s="550">
      <c r="A92" s="1066" t="n"/>
      <c r="G92" s="780" t="n"/>
      <c r="H92" s="778" t="n"/>
      <c r="N92" s="780" t="n"/>
    </row>
    <row r="93">
      <c r="A93" s="1066" t="n"/>
      <c r="G93" s="780" t="n"/>
      <c r="H93" s="778" t="n"/>
      <c r="N93" s="780" t="n"/>
    </row>
    <row r="94">
      <c r="A94" s="1066" t="n"/>
      <c r="G94" s="780" t="n"/>
      <c r="H94" s="778" t="n"/>
      <c r="N94" s="780" t="n"/>
    </row>
    <row r="95" ht="15.75" customHeight="1" s="550">
      <c r="A95" s="1066" t="n"/>
      <c r="G95" s="780" t="n"/>
      <c r="H95" s="778" t="n"/>
      <c r="N95" s="780" t="n"/>
    </row>
    <row r="96" ht="14.4" customHeight="1" s="550">
      <c r="A96" s="1066" t="n"/>
      <c r="G96" s="780" t="n"/>
      <c r="H96" s="778" t="n"/>
      <c r="N96" s="780" t="n"/>
    </row>
    <row r="97">
      <c r="A97" s="1066" t="n"/>
      <c r="G97" s="780" t="n"/>
      <c r="H97" s="778" t="n"/>
      <c r="N97" s="780" t="n"/>
    </row>
    <row r="98">
      <c r="A98" s="1066" t="n"/>
      <c r="G98" s="780" t="n"/>
      <c r="H98" s="778" t="n"/>
      <c r="N98" s="780" t="n"/>
    </row>
    <row r="99">
      <c r="A99" s="1066" t="n"/>
      <c r="G99" s="780" t="n"/>
      <c r="H99" s="778" t="n"/>
      <c r="N99" s="780" t="n"/>
    </row>
    <row r="100">
      <c r="A100" s="1066" t="n"/>
      <c r="G100" s="780" t="n"/>
      <c r="H100" s="778" t="n"/>
      <c r="N100" s="780" t="n"/>
    </row>
    <row r="101">
      <c r="A101" s="1208" t="n"/>
      <c r="B101" s="782" t="n"/>
      <c r="C101" s="782" t="n"/>
      <c r="D101" s="782" t="n"/>
      <c r="E101" s="782" t="n"/>
      <c r="F101" s="782" t="n"/>
      <c r="G101" s="783" t="n"/>
      <c r="H101" s="781" t="n"/>
      <c r="I101" s="782" t="n"/>
      <c r="J101" s="782" t="n"/>
      <c r="K101" s="782" t="n"/>
      <c r="L101" s="782" t="n"/>
      <c r="M101" s="782" t="n"/>
      <c r="N101" s="783" t="n"/>
    </row>
    <row r="102">
      <c r="A102" s="1404" t="n"/>
      <c r="H102" s="1404" t="n"/>
    </row>
    <row r="103"/>
    <row r="104">
      <c r="A104" s="1207" t="inlineStr">
        <is>
          <t>INSERTAR FOTOGRAFÍA</t>
        </is>
      </c>
      <c r="B104" s="776" t="n"/>
      <c r="C104" s="776" t="n"/>
      <c r="D104" s="776" t="n"/>
      <c r="E104" s="776" t="n"/>
      <c r="F104" s="776" t="n"/>
      <c r="G104" s="777" t="n"/>
      <c r="H104" s="1189" t="inlineStr">
        <is>
          <t>INSERTAR FOTOGRAFÍA</t>
        </is>
      </c>
      <c r="I104" s="776" t="n"/>
      <c r="J104" s="776" t="n"/>
      <c r="K104" s="776" t="n"/>
      <c r="L104" s="776" t="n"/>
      <c r="M104" s="776" t="n"/>
      <c r="N104" s="777" t="n"/>
    </row>
    <row r="105">
      <c r="A105" s="1066" t="n"/>
      <c r="G105" s="780" t="n"/>
      <c r="H105" s="778" t="n"/>
      <c r="N105" s="780" t="n"/>
    </row>
    <row r="106">
      <c r="A106" s="1066" t="n"/>
      <c r="G106" s="780" t="n"/>
      <c r="H106" s="778" t="n"/>
      <c r="N106" s="780" t="n"/>
    </row>
    <row r="107">
      <c r="A107" s="1066" t="n"/>
      <c r="G107" s="780" t="n"/>
      <c r="H107" s="778" t="n"/>
      <c r="N107" s="780" t="n"/>
    </row>
    <row r="108">
      <c r="A108" s="1066" t="n"/>
      <c r="G108" s="780" t="n"/>
      <c r="H108" s="778" t="n"/>
      <c r="N108" s="780" t="n"/>
    </row>
    <row r="109">
      <c r="A109" s="1066" t="n"/>
      <c r="G109" s="780" t="n"/>
      <c r="H109" s="778" t="n"/>
      <c r="N109" s="780" t="n"/>
    </row>
    <row r="110">
      <c r="A110" s="1066" t="n"/>
      <c r="G110" s="780" t="n"/>
      <c r="H110" s="778" t="n"/>
      <c r="N110" s="780" t="n"/>
    </row>
    <row r="111">
      <c r="A111" s="1066" t="n"/>
      <c r="G111" s="780" t="n"/>
      <c r="H111" s="778" t="n"/>
      <c r="N111" s="780" t="n"/>
    </row>
    <row r="112">
      <c r="A112" s="1066" t="n"/>
      <c r="G112" s="780" t="n"/>
      <c r="H112" s="778" t="n"/>
      <c r="N112" s="780" t="n"/>
    </row>
    <row r="113">
      <c r="A113" s="1066" t="n"/>
      <c r="G113" s="780" t="n"/>
      <c r="H113" s="778" t="n"/>
      <c r="N113" s="780" t="n"/>
    </row>
    <row r="114">
      <c r="A114" s="1066" t="n"/>
      <c r="G114" s="780" t="n"/>
      <c r="H114" s="778" t="n"/>
      <c r="N114" s="780" t="n"/>
    </row>
    <row r="115">
      <c r="A115" s="1066" t="n"/>
      <c r="G115" s="780" t="n"/>
      <c r="H115" s="778" t="n"/>
      <c r="N115" s="780" t="n"/>
    </row>
    <row r="116">
      <c r="A116" s="1066" t="n"/>
      <c r="G116" s="780" t="n"/>
      <c r="H116" s="778" t="n"/>
      <c r="N116" s="780" t="n"/>
    </row>
    <row r="117">
      <c r="A117" s="1208" t="n"/>
      <c r="B117" s="782" t="n"/>
      <c r="C117" s="782" t="n"/>
      <c r="D117" s="782" t="n"/>
      <c r="E117" s="782" t="n"/>
      <c r="F117" s="782" t="n"/>
      <c r="G117" s="783" t="n"/>
      <c r="H117" s="781" t="n"/>
      <c r="I117" s="782" t="n"/>
      <c r="J117" s="782" t="n"/>
      <c r="K117" s="782" t="n"/>
      <c r="L117" s="782" t="n"/>
      <c r="M117" s="782" t="n"/>
      <c r="N117" s="783" t="n"/>
    </row>
    <row r="118">
      <c r="A118" s="1404" t="n"/>
      <c r="H118" s="1404" t="n"/>
    </row>
    <row r="119"/>
    <row r="120">
      <c r="A120" s="1207" t="inlineStr">
        <is>
          <t>INSERTAR FOTOGRAFÍA</t>
        </is>
      </c>
      <c r="B120" s="776" t="n"/>
      <c r="C120" s="776" t="n"/>
      <c r="D120" s="776" t="n"/>
      <c r="E120" s="776" t="n"/>
      <c r="F120" s="776" t="n"/>
      <c r="G120" s="777" t="n"/>
      <c r="H120" s="1189" t="inlineStr">
        <is>
          <t>INSERTAR FOTOGRAFÍA</t>
        </is>
      </c>
      <c r="I120" s="776" t="n"/>
      <c r="J120" s="776" t="n"/>
      <c r="K120" s="776" t="n"/>
      <c r="L120" s="776" t="n"/>
      <c r="M120" s="776" t="n"/>
      <c r="N120" s="777" t="n"/>
    </row>
    <row r="121">
      <c r="A121" s="1066" t="n"/>
      <c r="G121" s="780" t="n"/>
      <c r="H121" s="778" t="n"/>
      <c r="N121" s="780" t="n"/>
    </row>
    <row r="122">
      <c r="A122" s="1066" t="n"/>
      <c r="G122" s="780" t="n"/>
      <c r="H122" s="778" t="n"/>
      <c r="N122" s="780" t="n"/>
    </row>
    <row r="123" ht="14.4" customHeight="1" s="550">
      <c r="A123" s="1066" t="n"/>
      <c r="G123" s="780" t="n"/>
      <c r="H123" s="778" t="n"/>
      <c r="N123" s="780" t="n"/>
    </row>
    <row r="124">
      <c r="A124" s="1066" t="n"/>
      <c r="G124" s="780" t="n"/>
      <c r="H124" s="778" t="n"/>
      <c r="N124" s="780" t="n"/>
    </row>
    <row r="125">
      <c r="A125" s="1066" t="n"/>
      <c r="G125" s="780" t="n"/>
      <c r="H125" s="778" t="n"/>
      <c r="N125" s="780" t="n"/>
    </row>
    <row r="126">
      <c r="A126" s="1066" t="n"/>
      <c r="G126" s="780" t="n"/>
      <c r="H126" s="778" t="n"/>
      <c r="N126" s="780" t="n"/>
    </row>
    <row r="127">
      <c r="A127" s="1066" t="n"/>
      <c r="G127" s="780" t="n"/>
      <c r="H127" s="778" t="n"/>
      <c r="N127" s="780" t="n"/>
    </row>
    <row r="128">
      <c r="A128" s="1066" t="n"/>
      <c r="G128" s="780" t="n"/>
      <c r="H128" s="778" t="n"/>
      <c r="N128" s="780" t="n"/>
    </row>
    <row r="129">
      <c r="A129" s="1066" t="n"/>
      <c r="G129" s="780" t="n"/>
      <c r="H129" s="778" t="n"/>
      <c r="N129" s="780" t="n"/>
    </row>
    <row r="130">
      <c r="A130" s="1066" t="n"/>
      <c r="G130" s="780" t="n"/>
      <c r="H130" s="778" t="n"/>
      <c r="N130" s="780" t="n"/>
    </row>
    <row r="131">
      <c r="A131" s="1066" t="n"/>
      <c r="G131" s="780" t="n"/>
      <c r="H131" s="778" t="n"/>
      <c r="N131" s="780" t="n"/>
    </row>
    <row r="132">
      <c r="A132" s="1066" t="n"/>
      <c r="G132" s="780" t="n"/>
      <c r="H132" s="778" t="n"/>
      <c r="N132" s="780" t="n"/>
    </row>
    <row r="133">
      <c r="A133" s="1208" t="n"/>
      <c r="B133" s="782" t="n"/>
      <c r="C133" s="782" t="n"/>
      <c r="D133" s="782" t="n"/>
      <c r="E133" s="782" t="n"/>
      <c r="F133" s="782" t="n"/>
      <c r="G133" s="783" t="n"/>
      <c r="H133" s="781" t="n"/>
      <c r="I133" s="782" t="n"/>
      <c r="J133" s="782" t="n"/>
      <c r="K133" s="782" t="n"/>
      <c r="L133" s="782" t="n"/>
      <c r="M133" s="782" t="n"/>
      <c r="N133" s="783" t="n"/>
    </row>
    <row r="134">
      <c r="A134" s="1404" t="n"/>
      <c r="H134" s="1404" t="n"/>
    </row>
    <row r="135"/>
    <row r="136">
      <c r="A136" s="1254" t="n"/>
      <c r="G136" s="780" t="n"/>
      <c r="H136" s="1226" t="n"/>
      <c r="N136" s="780" t="n"/>
    </row>
    <row r="137">
      <c r="A137" s="1250" t="inlineStr">
        <is>
          <t>FIRMAS</t>
        </is>
      </c>
      <c r="N137" s="1100" t="n"/>
    </row>
    <row r="138" ht="14.4" customHeight="1" s="550">
      <c r="A138" s="1258" t="inlineStr">
        <is>
          <t>ELABORADO POR</t>
        </is>
      </c>
      <c r="E138" s="1218" t="inlineStr">
        <is>
          <t>REVISADO POR</t>
        </is>
      </c>
      <c r="J138" s="1220" t="inlineStr">
        <is>
          <t>APROBADO POR</t>
        </is>
      </c>
      <c r="N138" s="562" t="n"/>
    </row>
    <row r="139">
      <c r="A139" s="1255" t="inlineStr">
        <is>
          <t>FIRMA:</t>
        </is>
      </c>
      <c r="B139" s="1179" t="n"/>
      <c r="C139" s="1064" t="n"/>
      <c r="D139" s="1064" t="n"/>
      <c r="E139" s="1229" t="inlineStr">
        <is>
          <t>FIRMA:</t>
        </is>
      </c>
      <c r="F139" s="1179" t="n"/>
      <c r="G139" s="1064" t="n"/>
      <c r="H139" s="1064" t="n"/>
      <c r="I139" s="1064" t="n"/>
      <c r="J139" s="1229" t="inlineStr">
        <is>
          <t>FIRMA:</t>
        </is>
      </c>
      <c r="K139" s="1214" t="n"/>
      <c r="N139" s="562" t="n"/>
    </row>
    <row r="140">
      <c r="A140" s="1077" t="n"/>
      <c r="B140" s="609" t="n"/>
      <c r="C140" s="609" t="n"/>
      <c r="D140" s="609" t="n"/>
      <c r="E140" s="609" t="n"/>
      <c r="F140" s="609" t="n"/>
      <c r="G140" s="609" t="n"/>
      <c r="H140" s="609" t="n"/>
      <c r="I140" s="609" t="n"/>
      <c r="J140" s="609" t="n"/>
      <c r="N140" s="562" t="n"/>
    </row>
    <row r="141">
      <c r="A141" s="1255" t="inlineStr">
        <is>
          <t>NOMBRE:</t>
        </is>
      </c>
      <c r="B141" s="1179" t="n"/>
      <c r="C141" s="1064" t="n"/>
      <c r="D141" s="1064" t="n"/>
      <c r="E141" s="1229" t="inlineStr">
        <is>
          <t>NOMBRE:</t>
        </is>
      </c>
      <c r="F141" s="1179" t="n"/>
      <c r="G141" s="1064" t="n"/>
      <c r="H141" s="1064" t="n"/>
      <c r="I141" s="1064" t="n"/>
      <c r="J141" s="1229" t="inlineStr">
        <is>
          <t>NOMBRE:</t>
        </is>
      </c>
      <c r="K141" s="1214" t="n"/>
      <c r="N141" s="562" t="n"/>
    </row>
    <row r="142">
      <c r="A142" s="1077" t="n"/>
      <c r="B142" s="609" t="n"/>
      <c r="C142" s="609" t="n"/>
      <c r="D142" s="609" t="n"/>
      <c r="E142" s="609" t="n"/>
      <c r="F142" s="609" t="n"/>
      <c r="G142" s="609" t="n"/>
      <c r="H142" s="609" t="n"/>
      <c r="I142" s="609" t="n"/>
      <c r="J142" s="609" t="n"/>
      <c r="N142" s="562" t="n"/>
    </row>
    <row r="143">
      <c r="A143" s="1178" t="inlineStr">
        <is>
          <t>CARGO:</t>
        </is>
      </c>
      <c r="B143" s="1211" t="n"/>
      <c r="C143" s="1064" t="n"/>
      <c r="D143" s="1064" t="n"/>
      <c r="E143" s="1200" t="inlineStr">
        <is>
          <t>CARGO:</t>
        </is>
      </c>
      <c r="F143" s="1211" t="n"/>
      <c r="G143" s="1064" t="n"/>
      <c r="H143" s="1064" t="n"/>
      <c r="I143" s="1064" t="n"/>
      <c r="J143" s="1200" t="inlineStr">
        <is>
          <t>CARGO:</t>
        </is>
      </c>
      <c r="K143" s="1231" t="n"/>
      <c r="N143" s="562" t="n"/>
    </row>
    <row r="144">
      <c r="A144" s="1067" t="n"/>
      <c r="B144" s="557" t="n"/>
      <c r="C144" s="557" t="n"/>
      <c r="D144" s="557" t="n"/>
      <c r="E144" s="557" t="n"/>
      <c r="F144" s="557" t="n"/>
      <c r="G144" s="557" t="n"/>
      <c r="H144" s="557" t="n"/>
      <c r="I144" s="557" t="n"/>
      <c r="J144" s="557" t="n"/>
      <c r="K144" s="557" t="n"/>
      <c r="L144" s="557" t="n"/>
      <c r="M144" s="557" t="n"/>
      <c r="N144" s="763" t="n"/>
    </row>
    <row r="145">
      <c r="A145" s="205" t="inlineStr">
        <is>
          <t>REV. 10/09/2026</t>
        </is>
      </c>
      <c r="N145" s="215">
        <f>M8</f>
        <v/>
      </c>
      <c r="O145" s="24" t="n"/>
    </row>
    <row r="146">
      <c r="N146" s="216" t="n"/>
      <c r="O146" s="25" t="n"/>
    </row>
  </sheetData>
  <mergeCells count="251">
    <mergeCell ref="A64:B64"/>
    <mergeCell ref="A37:C37"/>
    <mergeCell ref="A73:B73"/>
    <mergeCell ref="G71:H71"/>
    <mergeCell ref="E23:E24"/>
    <mergeCell ref="A21:C21"/>
    <mergeCell ref="J57:N57"/>
    <mergeCell ref="M79:N79"/>
    <mergeCell ref="A57:C57"/>
    <mergeCell ref="A13:D13"/>
    <mergeCell ref="E79:F79"/>
    <mergeCell ref="M82:N82"/>
    <mergeCell ref="H22:J22"/>
    <mergeCell ref="K81:L81"/>
    <mergeCell ref="M10:N10"/>
    <mergeCell ref="A15:D15"/>
    <mergeCell ref="G66:H66"/>
    <mergeCell ref="I66:J66"/>
    <mergeCell ref="A137:N137"/>
    <mergeCell ref="A43:C43"/>
    <mergeCell ref="J35:N35"/>
    <mergeCell ref="A52:C52"/>
    <mergeCell ref="A141:A142"/>
    <mergeCell ref="C64:F64"/>
    <mergeCell ref="G68:H68"/>
    <mergeCell ref="C73:F73"/>
    <mergeCell ref="A88:G101"/>
    <mergeCell ref="A34:C34"/>
    <mergeCell ref="A143:A144"/>
    <mergeCell ref="J50:N50"/>
    <mergeCell ref="A49:C49"/>
    <mergeCell ref="A136:G136"/>
    <mergeCell ref="A68:B68"/>
    <mergeCell ref="J46:N46"/>
    <mergeCell ref="A63:N63"/>
    <mergeCell ref="H23:H24"/>
    <mergeCell ref="J52:N52"/>
    <mergeCell ref="J61:N61"/>
    <mergeCell ref="H134:N135"/>
    <mergeCell ref="J39:N39"/>
    <mergeCell ref="J48:N48"/>
    <mergeCell ref="H75:N75"/>
    <mergeCell ref="G23:G24"/>
    <mergeCell ref="E8:K9"/>
    <mergeCell ref="A83:N83"/>
    <mergeCell ref="H118:N119"/>
    <mergeCell ref="G67:H67"/>
    <mergeCell ref="F139:I140"/>
    <mergeCell ref="A55:C55"/>
    <mergeCell ref="G70:H70"/>
    <mergeCell ref="I70:J70"/>
    <mergeCell ref="A139:A140"/>
    <mergeCell ref="J143:J144"/>
    <mergeCell ref="A29:C29"/>
    <mergeCell ref="A38:C38"/>
    <mergeCell ref="E14:H14"/>
    <mergeCell ref="A44:C44"/>
    <mergeCell ref="A31:C31"/>
    <mergeCell ref="A58:C58"/>
    <mergeCell ref="J23:N24"/>
    <mergeCell ref="A40:C40"/>
    <mergeCell ref="G65:H65"/>
    <mergeCell ref="A51:C51"/>
    <mergeCell ref="B143:D144"/>
    <mergeCell ref="E1:N5"/>
    <mergeCell ref="A60:C60"/>
    <mergeCell ref="M76:N76"/>
    <mergeCell ref="E76:F76"/>
    <mergeCell ref="D23:D24"/>
    <mergeCell ref="D21:F21"/>
    <mergeCell ref="K139:N140"/>
    <mergeCell ref="A120:G133"/>
    <mergeCell ref="A104:G117"/>
    <mergeCell ref="E16:H16"/>
    <mergeCell ref="M9:N9"/>
    <mergeCell ref="A50:C50"/>
    <mergeCell ref="A69:B69"/>
    <mergeCell ref="A42:C42"/>
    <mergeCell ref="M11:N11"/>
    <mergeCell ref="A65:B65"/>
    <mergeCell ref="J53:N53"/>
    <mergeCell ref="A62:C62"/>
    <mergeCell ref="G69:H69"/>
    <mergeCell ref="E78:F78"/>
    <mergeCell ref="A84:N84"/>
    <mergeCell ref="J55:N55"/>
    <mergeCell ref="A28:C28"/>
    <mergeCell ref="E77:F77"/>
    <mergeCell ref="E80:F80"/>
    <mergeCell ref="A86:N86"/>
    <mergeCell ref="A30:C30"/>
    <mergeCell ref="I23:I24"/>
    <mergeCell ref="C65:F65"/>
    <mergeCell ref="E10:K10"/>
    <mergeCell ref="A59:C59"/>
    <mergeCell ref="G21:I21"/>
    <mergeCell ref="D20:F20"/>
    <mergeCell ref="G64:H64"/>
    <mergeCell ref="E139:E140"/>
    <mergeCell ref="I64:J64"/>
    <mergeCell ref="G73:H73"/>
    <mergeCell ref="I73:J73"/>
    <mergeCell ref="A79:C79"/>
    <mergeCell ref="A61:C61"/>
    <mergeCell ref="E81:F81"/>
    <mergeCell ref="E15:H15"/>
    <mergeCell ref="J58:N58"/>
    <mergeCell ref="J33:N33"/>
    <mergeCell ref="A102:G103"/>
    <mergeCell ref="A67:B67"/>
    <mergeCell ref="K71:N71"/>
    <mergeCell ref="A54:C54"/>
    <mergeCell ref="I65:J65"/>
    <mergeCell ref="I16:K16"/>
    <mergeCell ref="A41:C41"/>
    <mergeCell ref="H82:L82"/>
    <mergeCell ref="E141:E142"/>
    <mergeCell ref="K73:N73"/>
    <mergeCell ref="A27:C27"/>
    <mergeCell ref="A56:C56"/>
    <mergeCell ref="E143:E144"/>
    <mergeCell ref="E82:F82"/>
    <mergeCell ref="K66:N66"/>
    <mergeCell ref="A76:C76"/>
    <mergeCell ref="F141:I142"/>
    <mergeCell ref="A82:D82"/>
    <mergeCell ref="A66:B66"/>
    <mergeCell ref="K68:N68"/>
    <mergeCell ref="A74:N74"/>
    <mergeCell ref="I68:J68"/>
    <mergeCell ref="I67:J67"/>
    <mergeCell ref="A85:N85"/>
    <mergeCell ref="L7:N7"/>
    <mergeCell ref="E13:N13"/>
    <mergeCell ref="L16:N16"/>
    <mergeCell ref="A36:C36"/>
    <mergeCell ref="A72:B72"/>
    <mergeCell ref="J21:N21"/>
    <mergeCell ref="A45:C45"/>
    <mergeCell ref="J141:J142"/>
    <mergeCell ref="H88:N101"/>
    <mergeCell ref="A78:C78"/>
    <mergeCell ref="G72:H72"/>
    <mergeCell ref="K70:N70"/>
    <mergeCell ref="A80:C80"/>
    <mergeCell ref="A46:C46"/>
    <mergeCell ref="A75:F75"/>
    <mergeCell ref="C72:F72"/>
    <mergeCell ref="A70:B70"/>
    <mergeCell ref="A26:C26"/>
    <mergeCell ref="K65:N65"/>
    <mergeCell ref="A87:N87"/>
    <mergeCell ref="K76:L76"/>
    <mergeCell ref="I71:J71"/>
    <mergeCell ref="J49:N49"/>
    <mergeCell ref="J27:N27"/>
    <mergeCell ref="A134:G135"/>
    <mergeCell ref="J20:N20"/>
    <mergeCell ref="J25:N25"/>
    <mergeCell ref="J139:J140"/>
    <mergeCell ref="A16:D16"/>
    <mergeCell ref="A77:C77"/>
    <mergeCell ref="M8:N8"/>
    <mergeCell ref="H78:J78"/>
    <mergeCell ref="K67:N67"/>
    <mergeCell ref="I69:J69"/>
    <mergeCell ref="K78:L78"/>
    <mergeCell ref="L15:N15"/>
    <mergeCell ref="J29:N29"/>
    <mergeCell ref="J38:N38"/>
    <mergeCell ref="K80:L80"/>
    <mergeCell ref="C67:F67"/>
    <mergeCell ref="K79:L79"/>
    <mergeCell ref="H136:N136"/>
    <mergeCell ref="J40:N40"/>
    <mergeCell ref="H120:N133"/>
    <mergeCell ref="K69:N69"/>
    <mergeCell ref="C69:F69"/>
    <mergeCell ref="I14:K14"/>
    <mergeCell ref="A32:C32"/>
    <mergeCell ref="A118:G119"/>
    <mergeCell ref="I72:J72"/>
    <mergeCell ref="H104:N117"/>
    <mergeCell ref="A81:C81"/>
    <mergeCell ref="H77:J77"/>
    <mergeCell ref="J26:N26"/>
    <mergeCell ref="A12:N12"/>
    <mergeCell ref="K64:N64"/>
    <mergeCell ref="A71:B71"/>
    <mergeCell ref="K72:N72"/>
    <mergeCell ref="J42:N42"/>
    <mergeCell ref="F143:I144"/>
    <mergeCell ref="C71:F71"/>
    <mergeCell ref="A23:C24"/>
    <mergeCell ref="A25:C25"/>
    <mergeCell ref="J44:N44"/>
    <mergeCell ref="L14:N14"/>
    <mergeCell ref="H79:J79"/>
    <mergeCell ref="J28:N28"/>
    <mergeCell ref="J37:N37"/>
    <mergeCell ref="H102:N103"/>
    <mergeCell ref="C66:F66"/>
    <mergeCell ref="H81:J81"/>
    <mergeCell ref="J30:N30"/>
    <mergeCell ref="A47:C47"/>
    <mergeCell ref="M78:N78"/>
    <mergeCell ref="E138:I138"/>
    <mergeCell ref="C68:F68"/>
    <mergeCell ref="G20:I20"/>
    <mergeCell ref="F23:F24"/>
    <mergeCell ref="A20:C20"/>
    <mergeCell ref="A18:N18"/>
    <mergeCell ref="K141:N142"/>
    <mergeCell ref="M81:N81"/>
    <mergeCell ref="H76:J76"/>
    <mergeCell ref="J54:N54"/>
    <mergeCell ref="J32:N32"/>
    <mergeCell ref="F22:G22"/>
    <mergeCell ref="J41:N41"/>
    <mergeCell ref="A22:E22"/>
    <mergeCell ref="I15:K15"/>
    <mergeCell ref="J47:N47"/>
    <mergeCell ref="J56:N56"/>
    <mergeCell ref="J43:N43"/>
    <mergeCell ref="J138:N138"/>
    <mergeCell ref="A14:D14"/>
    <mergeCell ref="C70:F70"/>
    <mergeCell ref="B141:D142"/>
    <mergeCell ref="J59:N59"/>
    <mergeCell ref="J60:N60"/>
    <mergeCell ref="J34:N34"/>
    <mergeCell ref="A33:C33"/>
    <mergeCell ref="H80:J80"/>
    <mergeCell ref="J36:N36"/>
    <mergeCell ref="A53:C53"/>
    <mergeCell ref="A35:C35"/>
    <mergeCell ref="J45:N45"/>
    <mergeCell ref="A138:D138"/>
    <mergeCell ref="K77:L77"/>
    <mergeCell ref="M77:N77"/>
    <mergeCell ref="M80:N80"/>
    <mergeCell ref="A39:C39"/>
    <mergeCell ref="J31:N31"/>
    <mergeCell ref="A48:C48"/>
    <mergeCell ref="A17:N17"/>
    <mergeCell ref="K22:N22"/>
    <mergeCell ref="J51:N51"/>
    <mergeCell ref="K143:N144"/>
    <mergeCell ref="J62:N62"/>
    <mergeCell ref="A19:N19"/>
    <mergeCell ref="B139:D140"/>
  </mergeCells>
  <pageMargins left="0.2952755905511811" right="0.2952755905511811" top="0.1968503937007874" bottom="0.1968503937007874" header="0.5118110236220472" footer="0.5118110236220472"/>
  <pageSetup orientation="portrait" scale="65" fitToHeight="0" horizontalDpi="300" verticalDpi="300"/>
  <rowBreaks count="1" manualBreakCount="1">
    <brk id="71" min="0" max="1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2026-08-07T19:45:20Z</dcterms:created>
  <dcterms:modified xmlns:dcterms="http://purl.org/dc/terms/" xmlns:xsi="http://www.w3.org/2001/XMLSchema-instance" xsi:type="dcterms:W3CDTF">2026-09-28T03:02:47Z</dcterms:modified>
  <cp:lastModifiedBy>Hugo Fernando Hurtado Ruiz</cp:lastModifiedBy>
  <cp:revision>1</cp:revision>
  <cp:lastPrinted>2026-09-14T01:27:33Z</cp:lastPrinted>
</cp:coreProperties>
</file>