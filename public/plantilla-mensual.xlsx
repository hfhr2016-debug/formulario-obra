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'!$F$240</f>
        <v/>
      </c>
      <c r="E26" s="233" t="n"/>
      <c r="F26" s="233" t="n"/>
      <c r="G26" s="522">
        <f>F26-E26</f>
        <v/>
      </c>
      <c r="H26" s="523">
        <f>D26*E26</f>
        <v/>
      </c>
      <c r="I26" s="523">
        <f>D26*F26</f>
        <v/>
      </c>
      <c r="J26" s="1151">
        <f>D26*$L$14*G26</f>
        <v/>
      </c>
      <c r="N26" s="546" t="n"/>
    </row>
    <row r="27">
      <c r="A27" s="1132">
        <f>'Presupuesto '!B40</f>
        <v/>
      </c>
      <c r="B27" s="581" t="n"/>
      <c r="C27" s="581" t="n"/>
      <c r="D27" s="521">
        <f>'Presupuesto '!F49/'Presupuesto '!$F$240</f>
        <v/>
      </c>
      <c r="E27" s="233" t="n"/>
      <c r="F27" s="233" t="n"/>
      <c r="G27" s="522">
        <f>F27-E27</f>
        <v/>
      </c>
      <c r="H27" s="523">
        <f>D27*E27</f>
        <v/>
      </c>
      <c r="I27" s="523">
        <f>D27*F27</f>
        <v/>
      </c>
      <c r="J27" s="1151">
        <f>D27*$L$14*G27</f>
        <v/>
      </c>
      <c r="N27" s="546" t="n"/>
    </row>
    <row r="28">
      <c r="A28" s="1132">
        <f>'Presupuesto '!B50</f>
        <v/>
      </c>
      <c r="B28" s="581" t="n"/>
      <c r="C28" s="581" t="n"/>
      <c r="D28" s="521">
        <f>'Presupuesto '!F69/'Presupuesto '!$F$240</f>
        <v/>
      </c>
      <c r="E28" s="233" t="n"/>
      <c r="F28" s="233" t="n"/>
      <c r="G28" s="522">
        <f>F28-E28</f>
        <v/>
      </c>
      <c r="H28" s="523">
        <f>D28*E28</f>
        <v/>
      </c>
      <c r="I28" s="523">
        <f>D28*F28</f>
        <v/>
      </c>
      <c r="J28" s="1151">
        <f>D28*$L$14*G28</f>
        <v/>
      </c>
      <c r="N28" s="546" t="n"/>
    </row>
    <row r="29">
      <c r="A29" s="1132">
        <f>'Presupuesto '!B67</f>
        <v/>
      </c>
      <c r="B29" s="581" t="n"/>
      <c r="C29" s="581" t="n"/>
      <c r="D29" s="521">
        <f>'Presupuesto '!F81/'Presupuesto '!$F$240</f>
        <v/>
      </c>
      <c r="E29" s="233" t="n"/>
      <c r="F29" s="233" t="n"/>
      <c r="G29" s="522">
        <f>F29-E29</f>
        <v/>
      </c>
      <c r="H29" s="523">
        <f>D29*E29</f>
        <v/>
      </c>
      <c r="I29" s="523">
        <f>D29*F29</f>
        <v/>
      </c>
      <c r="J29" s="1151">
        <f>D29*$L$14*G29</f>
        <v/>
      </c>
      <c r="N29" s="546" t="n"/>
    </row>
    <row r="30">
      <c r="A30" s="1132">
        <f>'Presupuesto '!B77</f>
        <v/>
      </c>
      <c r="B30" s="581" t="n"/>
      <c r="C30" s="581" t="n"/>
      <c r="D30" s="521">
        <f>'Presupuesto '!F93/'Presupuesto '!$F$240</f>
        <v/>
      </c>
      <c r="E30" s="233" t="n"/>
      <c r="F30" s="233" t="n"/>
      <c r="G30" s="522">
        <f>F30-E30</f>
        <v/>
      </c>
      <c r="H30" s="523">
        <f>D30*E30</f>
        <v/>
      </c>
      <c r="I30" s="523">
        <f>D30*F30</f>
        <v/>
      </c>
      <c r="J30" s="1151">
        <f>D30*$L$14*G30</f>
        <v/>
      </c>
      <c r="N30" s="546" t="n"/>
    </row>
    <row r="31">
      <c r="A31" s="1132">
        <f>'Presupuesto '!B87</f>
        <v/>
      </c>
      <c r="B31" s="581" t="n"/>
      <c r="C31" s="581" t="n"/>
      <c r="D31" s="521">
        <f>'Presupuesto '!F100/'Presupuesto '!$F$240</f>
        <v/>
      </c>
      <c r="E31" s="233" t="n"/>
      <c r="F31" s="233" t="n"/>
      <c r="G31" s="522">
        <f>F31-E31</f>
        <v/>
      </c>
      <c r="H31" s="523">
        <f>D31*E31</f>
        <v/>
      </c>
      <c r="I31" s="523">
        <f>D31*F31</f>
        <v/>
      </c>
      <c r="J31" s="1151">
        <f>D31*$L$14*G31</f>
        <v/>
      </c>
      <c r="N31" s="546" t="n"/>
    </row>
    <row r="32">
      <c r="A32" s="1132">
        <f>'Presupuesto '!B93</f>
        <v/>
      </c>
      <c r="B32" s="581" t="n"/>
      <c r="C32" s="581" t="n"/>
      <c r="D32" s="521">
        <f>'Presupuesto '!F107/'Presupuesto '!$F$240</f>
        <v/>
      </c>
      <c r="E32" s="233" t="n"/>
      <c r="F32" s="233" t="n"/>
      <c r="G32" s="522">
        <f>F32-E32</f>
        <v/>
      </c>
      <c r="H32" s="523">
        <f>D32*E32</f>
        <v/>
      </c>
      <c r="I32" s="523">
        <f>D32*F32</f>
        <v/>
      </c>
      <c r="J32" s="1151">
        <f>D32*$L$14*G32</f>
        <v/>
      </c>
      <c r="N32" s="546" t="n"/>
    </row>
    <row r="33">
      <c r="A33" s="1132">
        <f>'Presupuesto '!B100</f>
        <v/>
      </c>
      <c r="B33" s="581" t="n"/>
      <c r="C33" s="581" t="n"/>
      <c r="D33" s="521">
        <f>'Presupuesto '!F121/'Presupuesto '!$F$240</f>
        <v/>
      </c>
      <c r="E33" s="233" t="n"/>
      <c r="F33" s="233" t="n"/>
      <c r="G33" s="522">
        <f>F33-E33</f>
        <v/>
      </c>
      <c r="H33" s="523">
        <f>D33*E33</f>
        <v/>
      </c>
      <c r="I33" s="523">
        <f>D33*F33</f>
        <v/>
      </c>
      <c r="J33" s="1151">
        <f>D33*$L$14*G33</f>
        <v/>
      </c>
      <c r="N33" s="546" t="n"/>
    </row>
    <row r="34">
      <c r="A34" s="1132">
        <f>'Presupuesto '!B111</f>
        <v/>
      </c>
      <c r="B34" s="581" t="n"/>
      <c r="C34" s="581" t="n"/>
      <c r="D34" s="521">
        <f>'Presupuesto '!F129/'Presupuesto '!$F$240</f>
        <v/>
      </c>
      <c r="E34" s="233" t="n"/>
      <c r="F34" s="233" t="n"/>
      <c r="G34" s="522">
        <f>F34-E34</f>
        <v/>
      </c>
      <c r="H34" s="523">
        <f>D34*E34</f>
        <v/>
      </c>
      <c r="I34" s="523">
        <f>D34*F34</f>
        <v/>
      </c>
      <c r="J34" s="1151">
        <f>D34*$L$14*G34</f>
        <v/>
      </c>
      <c r="N34" s="546" t="n"/>
    </row>
    <row r="35">
      <c r="A35" s="1132">
        <f>'Presupuesto '!B119</f>
        <v/>
      </c>
      <c r="B35" s="581" t="n"/>
      <c r="C35" s="581" t="n"/>
      <c r="D35" s="521">
        <f>'Presupuesto '!F140/'Presupuesto '!$F$240</f>
        <v/>
      </c>
      <c r="E35" s="233" t="n"/>
      <c r="F35" s="233" t="n"/>
      <c r="G35" s="522">
        <f>F35-E35</f>
        <v/>
      </c>
      <c r="H35" s="523">
        <f>D35*E35</f>
        <v/>
      </c>
      <c r="I35" s="523">
        <f>D35*F35</f>
        <v/>
      </c>
      <c r="J35" s="1151">
        <f>D35*$L$14*G35</f>
        <v/>
      </c>
      <c r="N35" s="546" t="n"/>
    </row>
    <row r="36">
      <c r="A36" s="1132">
        <f>'Presupuesto '!B129</f>
        <v/>
      </c>
      <c r="B36" s="581" t="n"/>
      <c r="C36" s="581" t="n"/>
      <c r="D36" s="521">
        <f>'Presupuesto '!F147/'Presupuesto '!$F$240</f>
        <v/>
      </c>
      <c r="E36" s="233" t="n"/>
      <c r="F36" s="233" t="n"/>
      <c r="G36" s="522">
        <f>F36-E36</f>
        <v/>
      </c>
      <c r="H36" s="523">
        <f>D36*E36</f>
        <v/>
      </c>
      <c r="I36" s="523">
        <f>D36*F36</f>
        <v/>
      </c>
      <c r="J36" s="1151">
        <f>D36*$L$14*G36</f>
        <v/>
      </c>
      <c r="N36" s="546" t="n"/>
    </row>
    <row r="37">
      <c r="A37" s="1132">
        <f>'Presupuesto '!B136</f>
        <v/>
      </c>
      <c r="B37" s="581" t="n"/>
      <c r="C37" s="581" t="n"/>
      <c r="D37" s="521">
        <f>'Presupuesto '!F162/'Presupuesto '!$F$240</f>
        <v/>
      </c>
      <c r="E37" s="233" t="n"/>
      <c r="F37" s="233" t="n"/>
      <c r="G37" s="522">
        <f>F37-E37</f>
        <v/>
      </c>
      <c r="H37" s="523">
        <f>D37*E37</f>
        <v/>
      </c>
      <c r="I37" s="523">
        <f>D37*F37</f>
        <v/>
      </c>
      <c r="J37" s="1151">
        <f>D37*$L$14*G37</f>
        <v/>
      </c>
      <c r="N37" s="546" t="n"/>
    </row>
    <row r="38">
      <c r="A38" s="1132">
        <f>'Presupuesto '!B150</f>
        <v/>
      </c>
      <c r="B38" s="581" t="n"/>
      <c r="C38" s="581" t="n"/>
      <c r="D38" s="521">
        <f>'Presupuesto '!F176/'Presupuesto '!$F$240</f>
        <v/>
      </c>
      <c r="E38" s="233" t="n"/>
      <c r="F38" s="233" t="n"/>
      <c r="G38" s="522">
        <f>F38-E38</f>
        <v/>
      </c>
      <c r="H38" s="523">
        <f>D38*E38</f>
        <v/>
      </c>
      <c r="I38" s="523">
        <f>D38*F38</f>
        <v/>
      </c>
      <c r="J38" s="1151">
        <f>D38*$L$14*G38</f>
        <v/>
      </c>
      <c r="N38" s="546" t="n"/>
    </row>
    <row r="39">
      <c r="A39" s="1132">
        <f>'Presupuesto '!B164</f>
        <v/>
      </c>
      <c r="B39" s="581" t="n"/>
      <c r="C39" s="581" t="n"/>
      <c r="D39" s="521">
        <f>'Presupuesto '!F185/'Presupuesto '!$F$240</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'!F192/'Presupuesto '!$F$240</f>
        <v/>
      </c>
      <c r="E40" s="233" t="n"/>
      <c r="F40" s="233" t="n"/>
      <c r="G40" s="522">
        <f>F40-E40</f>
        <v/>
      </c>
      <c r="H40" s="523">
        <f>D40*E40</f>
        <v/>
      </c>
      <c r="I40" s="523">
        <f>D40*F40</f>
        <v/>
      </c>
      <c r="J40" s="1151">
        <f>D40*$L$14*G40</f>
        <v/>
      </c>
      <c r="N40" s="546" t="n"/>
    </row>
    <row r="41">
      <c r="A41" s="1204">
        <f>'Presupuesto '!B180</f>
        <v/>
      </c>
      <c r="B41" s="1018" t="n"/>
      <c r="C41" s="1018" t="n"/>
      <c r="D41" s="521">
        <f>'Presupuesto '!F198/'Presupuesto '!$F$240</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'!F212/'Presupuesto '!$F$240</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'!F219/'Presupuesto '!$F$240</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'!F227/'Presupuesto '!$F$240</f>
        <v/>
      </c>
      <c r="E44" s="233" t="n"/>
      <c r="F44" s="233" t="n"/>
      <c r="G44" s="522">
        <f>F44-E44</f>
        <v/>
      </c>
      <c r="H44" s="523">
        <f>D44*E44</f>
        <v/>
      </c>
      <c r="I44" s="523">
        <f>D44*F44</f>
        <v/>
      </c>
      <c r="J44" s="1151">
        <f>D44*$L$14*G44</f>
        <v/>
      </c>
      <c r="N44" s="546" t="n"/>
    </row>
    <row r="45">
      <c r="A45" s="1135">
        <f>'Presupuesto '!B211</f>
        <v/>
      </c>
      <c r="B45" s="530" t="n"/>
      <c r="C45" s="530" t="n"/>
      <c r="D45" s="521">
        <f>'Presupuesto '!F231/'Presupuesto '!$F$240</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'!F238/'Presupuesto '!$F$240</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2026-09-19T01:39:27Z</dcterms:modified>
  <cp:lastModifiedBy>Hugo Fernando Hurtado Ruiz</cp:lastModifiedBy>
  <cp:revision>1</cp:revision>
  <cp:lastPrinted>2026-09-14T01:27:33Z</cp:lastPrinted>
</cp:coreProperties>
</file>