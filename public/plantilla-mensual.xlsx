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00" t="n"/>
    </row>
    <row r="10">
      <c r="A10" s="99" t="inlineStr">
        <is>
          <t>No de Contrato</t>
        </is>
      </c>
      <c r="B10" s="100" t="n"/>
      <c r="C10" s="99" t="inlineStr">
        <is>
          <t>Fecha de Emisión</t>
        </is>
      </c>
      <c r="D10" s="100" t="n"/>
    </row>
    <row r="11">
      <c r="A11" s="99" t="inlineStr">
        <is>
          <t>Contratista</t>
        </is>
      </c>
      <c r="B11" s="100" t="n"/>
    </row>
    <row r="12">
      <c r="A12" s="99" t="inlineStr">
        <is>
          <t>Ubicación</t>
        </is>
      </c>
      <c r="B12" s="100"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Replanteo general de ejes y niveles</t>
        </is>
      </c>
      <c r="C15" s="261" t="inlineStr">
        <is>
          <t>ML</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2" t="n"/>
      <c r="B68" s="674" t="inlineStr">
        <is>
          <t>SUBTOTAL CAPÍTULO 4 - ESTRUCTURA</t>
        </is>
      </c>
      <c r="C68" s="530" t="n"/>
      <c r="D68" s="530" t="n"/>
      <c r="E68" s="530" t="n"/>
      <c r="F68" s="479">
        <f>SUM(F52:F67)</f>
        <v/>
      </c>
    </row>
    <row r="69">
      <c r="A69" s="83" t="n"/>
      <c r="B69" s="681" t="n"/>
      <c r="C69" s="681" t="n"/>
      <c r="D69" s="681" t="n"/>
      <c r="E69" s="681" t="n"/>
      <c r="F69" s="675" t="n"/>
    </row>
    <row r="70">
      <c r="A70" s="185" t="inlineStr">
        <is>
          <t>5</t>
        </is>
      </c>
      <c r="B70" s="680" t="inlineStr">
        <is>
          <t>MAMPOSTERÍA</t>
        </is>
      </c>
      <c r="C70" s="581" t="n"/>
      <c r="D70" s="581" t="n"/>
      <c r="E70" s="581" t="n"/>
      <c r="F70" s="582" t="n"/>
    </row>
    <row r="71">
      <c r="A71" s="81" t="inlineStr">
        <is>
          <t>5.1</t>
        </is>
      </c>
      <c r="B71" s="373" t="inlineStr">
        <is>
          <t>Mampostería en bloque de concreto</t>
        </is>
      </c>
      <c r="C71" s="261" t="inlineStr">
        <is>
          <t>M²</t>
        </is>
      </c>
      <c r="D71" s="262" t="n"/>
      <c r="E71" s="477" t="n"/>
      <c r="F71" s="478">
        <f>D71*E71</f>
        <v/>
      </c>
    </row>
    <row r="72">
      <c r="A72" s="81" t="inlineStr">
        <is>
          <t>5.2</t>
        </is>
      </c>
      <c r="B72" s="373" t="inlineStr">
        <is>
          <t>Mampostería en ladrillo</t>
        </is>
      </c>
      <c r="C72" s="261" t="inlineStr">
        <is>
          <t>M²</t>
        </is>
      </c>
      <c r="D72" s="262" t="n"/>
      <c r="E72" s="477" t="n"/>
      <c r="F72" s="478">
        <f>D72*E72</f>
        <v/>
      </c>
    </row>
    <row r="73">
      <c r="A73" s="81" t="inlineStr">
        <is>
          <t>5.3</t>
        </is>
      </c>
      <c r="B73" s="373" t="inlineStr">
        <is>
          <t>Mampostería estructural</t>
        </is>
      </c>
      <c r="C73" s="261" t="inlineStr">
        <is>
          <t>M²</t>
        </is>
      </c>
      <c r="D73" s="262" t="n"/>
      <c r="E73" s="477" t="n"/>
      <c r="F73" s="478">
        <f>D73*E73</f>
        <v/>
      </c>
    </row>
    <row r="74">
      <c r="A74" s="81" t="inlineStr">
        <is>
          <t>5.4</t>
        </is>
      </c>
      <c r="B74" s="373" t="inlineStr">
        <is>
          <t>Muros en sistema liviano / drywall</t>
        </is>
      </c>
      <c r="C74" s="261" t="inlineStr">
        <is>
          <t>M²</t>
        </is>
      </c>
      <c r="D74" s="262" t="n"/>
      <c r="E74" s="477" t="n"/>
      <c r="F74" s="478">
        <f>D74*E74</f>
        <v/>
      </c>
    </row>
    <row r="75">
      <c r="A75" s="81" t="inlineStr">
        <is>
          <t>5.5</t>
        </is>
      </c>
      <c r="B75" s="373" t="inlineStr">
        <is>
          <t>Dinteles sobre vanos</t>
        </is>
      </c>
      <c r="C75" s="261" t="inlineStr">
        <is>
          <t>ML</t>
        </is>
      </c>
      <c r="D75" s="262" t="n"/>
      <c r="E75" s="477" t="n"/>
      <c r="F75" s="478">
        <f>D75*E75</f>
        <v/>
      </c>
    </row>
    <row r="76">
      <c r="A76" s="81" t="inlineStr">
        <is>
          <t>5.6</t>
        </is>
      </c>
      <c r="B76" s="373" t="inlineStr">
        <is>
          <t>Alfajías y remates</t>
        </is>
      </c>
      <c r="C76" s="261" t="inlineStr">
        <is>
          <t>ML</t>
        </is>
      </c>
      <c r="D76" s="262" t="n"/>
      <c r="E76" s="477" t="n"/>
      <c r="F76" s="478">
        <f>D76*E76</f>
        <v/>
      </c>
    </row>
    <row r="77">
      <c r="A77" s="81" t="inlineStr">
        <is>
          <t>5.7</t>
        </is>
      </c>
      <c r="B77" s="373" t="inlineStr">
        <is>
          <t>Anclajes y refuerzos de mampostería</t>
        </is>
      </c>
      <c r="C77" s="261" t="inlineStr">
        <is>
          <t>UND</t>
        </is>
      </c>
      <c r="D77" s="262" t="n"/>
      <c r="E77" s="477" t="n"/>
      <c r="F77" s="478">
        <f>D77*E77</f>
        <v/>
      </c>
    </row>
    <row r="78">
      <c r="A78" s="81" t="inlineStr">
        <is>
          <t>5.8</t>
        </is>
      </c>
      <c r="B78" s="373" t="inlineStr">
        <is>
          <t>Mampostería en ladrillo tolete a la vista (reforzada)</t>
        </is>
      </c>
      <c r="C78" s="261" t="inlineStr">
        <is>
          <t>M²</t>
        </is>
      </c>
      <c r="D78" s="262" t="n"/>
      <c r="E78" s="477" t="n"/>
      <c r="F78" s="478">
        <f>D78*E78</f>
        <v/>
      </c>
    </row>
    <row r="79">
      <c r="A79" s="81" t="inlineStr">
        <is>
          <t>5.9</t>
        </is>
      </c>
      <c r="B79" s="373" t="inlineStr">
        <is>
          <t>Mampostería en ladrillo a la vista (no reforzada)</t>
        </is>
      </c>
      <c r="C79" s="261" t="inlineStr">
        <is>
          <t>M²</t>
        </is>
      </c>
      <c r="D79" s="262" t="n"/>
      <c r="E79" s="477" t="n"/>
      <c r="F79" s="478">
        <f>D79*E79</f>
        <v/>
      </c>
    </row>
    <row r="80">
      <c r="A80" s="82" t="n"/>
      <c r="B80" s="674" t="inlineStr">
        <is>
          <t>SUBTOTAL CAPÍTULO 5 - MAMPOSTERÍA</t>
        </is>
      </c>
      <c r="C80" s="530" t="n"/>
      <c r="D80" s="530" t="n"/>
      <c r="E80" s="530" t="n"/>
      <c r="F80" s="479">
        <f>SUM(F71:F79)</f>
        <v/>
      </c>
    </row>
    <row r="81">
      <c r="A81" s="83" t="n"/>
      <c r="B81" s="681" t="n"/>
      <c r="C81" s="530" t="n"/>
      <c r="D81" s="530" t="n"/>
      <c r="E81" s="530" t="n"/>
      <c r="F81" s="675" t="n"/>
    </row>
    <row r="82">
      <c r="A82" s="185" t="inlineStr">
        <is>
          <t>6</t>
        </is>
      </c>
      <c r="B82" s="682" t="inlineStr">
        <is>
          <t>CUBIERTAS</t>
        </is>
      </c>
      <c r="C82" s="530" t="n"/>
      <c r="D82" s="530" t="n"/>
      <c r="E82" s="530" t="n"/>
      <c r="F82" s="530" t="n"/>
    </row>
    <row r="83">
      <c r="A83" s="81" t="inlineStr">
        <is>
          <t>6.1</t>
        </is>
      </c>
      <c r="B83" s="374" t="inlineStr">
        <is>
          <t>Estructura metálica o de madera para cubierta</t>
        </is>
      </c>
      <c r="C83" s="261" t="inlineStr">
        <is>
          <t>KG</t>
        </is>
      </c>
      <c r="F83">
        <f>D83*E83</f>
        <v/>
      </c>
    </row>
    <row r="84">
      <c r="A84" s="81" t="inlineStr">
        <is>
          <t>6.2</t>
        </is>
      </c>
      <c r="B84" s="373" t="inlineStr">
        <is>
          <t>Cerchas y elementos estructurales</t>
        </is>
      </c>
      <c r="C84" s="261" t="inlineStr">
        <is>
          <t>KG</t>
        </is>
      </c>
      <c r="D84" s="262" t="n"/>
      <c r="E84" s="477" t="n"/>
      <c r="F84" s="478">
        <f>D84*E84</f>
        <v/>
      </c>
    </row>
    <row r="85">
      <c r="A85" s="81" t="inlineStr">
        <is>
          <t>6.3</t>
        </is>
      </c>
      <c r="B85" s="373" t="inlineStr">
        <is>
          <t>Suministro e instalación de teja</t>
        </is>
      </c>
      <c r="C85" s="261" t="inlineStr">
        <is>
          <t>M²</t>
        </is>
      </c>
      <c r="D85" s="262" t="n"/>
      <c r="E85" s="477" t="n"/>
      <c r="F85" s="478">
        <f>D85*E85</f>
        <v/>
      </c>
    </row>
    <row r="86">
      <c r="A86" s="81" t="inlineStr">
        <is>
          <t>6.4</t>
        </is>
      </c>
      <c r="B86" s="373" t="inlineStr">
        <is>
          <t>Impermeabilización de cubierta</t>
        </is>
      </c>
      <c r="C86" s="261" t="inlineStr">
        <is>
          <t>M²</t>
        </is>
      </c>
      <c r="D86" s="262" t="n"/>
      <c r="E86" s="477" t="n"/>
      <c r="F86" s="478">
        <f>D86*E86</f>
        <v/>
      </c>
    </row>
    <row r="87">
      <c r="A87" s="81" t="inlineStr">
        <is>
          <t>6.5</t>
        </is>
      </c>
      <c r="B87" s="373" t="inlineStr">
        <is>
          <t>Aislamiento térmico/acústico</t>
        </is>
      </c>
      <c r="C87" s="261" t="inlineStr">
        <is>
          <t>M²</t>
        </is>
      </c>
      <c r="D87" s="262" t="n"/>
      <c r="E87" s="477" t="n"/>
      <c r="F87" s="478">
        <f>D87*E87</f>
        <v/>
      </c>
    </row>
    <row r="88">
      <c r="A88" s="81" t="inlineStr">
        <is>
          <t>6.6</t>
        </is>
      </c>
      <c r="B88" s="373" t="inlineStr">
        <is>
          <t>Canales de aguas lluvias</t>
        </is>
      </c>
      <c r="C88" s="261" t="inlineStr">
        <is>
          <t>ML</t>
        </is>
      </c>
      <c r="D88" s="262" t="n"/>
      <c r="E88" s="477" t="n"/>
      <c r="F88" s="478">
        <f>D88*E88</f>
        <v/>
      </c>
    </row>
    <row r="89">
      <c r="A89" s="81" t="inlineStr">
        <is>
          <t>6.7</t>
        </is>
      </c>
      <c r="B89" s="373" t="inlineStr">
        <is>
          <t>Bajantes de aguas lluvias</t>
        </is>
      </c>
      <c r="C89" s="261" t="inlineStr">
        <is>
          <t>ML</t>
        </is>
      </c>
      <c r="D89" s="262" t="n"/>
      <c r="E89" s="477" t="n"/>
      <c r="F89" s="478">
        <f>D89*E89</f>
        <v/>
      </c>
    </row>
    <row r="90">
      <c r="A90" s="81" t="inlineStr">
        <is>
          <t>6.8</t>
        </is>
      </c>
      <c r="B90" s="373" t="inlineStr">
        <is>
          <t>Cielo raso Dry Wall</t>
        </is>
      </c>
      <c r="C90" s="261" t="inlineStr">
        <is>
          <t>M²</t>
        </is>
      </c>
      <c r="D90" s="262" t="n"/>
      <c r="E90" s="477" t="n"/>
      <c r="F90" s="478">
        <f>D90*E90</f>
        <v/>
      </c>
    </row>
    <row r="91">
      <c r="A91" s="81" t="inlineStr">
        <is>
          <t>6.9</t>
        </is>
      </c>
      <c r="B91" s="373" t="inlineStr">
        <is>
          <t>Cielo raso en lámina acústica de fibra mineral</t>
        </is>
      </c>
      <c r="C91" s="261" t="inlineStr">
        <is>
          <t>M²</t>
        </is>
      </c>
      <c r="D91" s="262" t="n"/>
      <c r="E91" s="477" t="n"/>
      <c r="F91" s="478">
        <f>D91*E91</f>
        <v/>
      </c>
    </row>
    <row r="92">
      <c r="A92" s="82" t="n"/>
      <c r="B92" s="674" t="inlineStr">
        <is>
          <t>SUBTOTAL CAPÍTULO 6 - CUBIERTAS</t>
        </is>
      </c>
      <c r="C92" s="530" t="n"/>
      <c r="D92" s="530" t="n"/>
      <c r="E92" s="530" t="n"/>
      <c r="F92" s="479">
        <f>SUM(F83:F91)</f>
        <v/>
      </c>
    </row>
    <row r="93">
      <c r="A93" s="83" t="n"/>
      <c r="B93" s="681" t="n"/>
      <c r="C93" s="681" t="n"/>
      <c r="D93" s="681" t="n"/>
      <c r="E93" s="681" t="n"/>
      <c r="F93" s="675" t="n"/>
    </row>
    <row r="94">
      <c r="A94" s="185" t="inlineStr">
        <is>
          <t>7</t>
        </is>
      </c>
      <c r="B94" s="677" t="inlineStr">
        <is>
          <t>IMPERMEABILIZACIONES</t>
        </is>
      </c>
      <c r="C94" s="530" t="n"/>
      <c r="D94" s="530" t="n"/>
      <c r="E94" s="530" t="n"/>
      <c r="F94" s="530" t="n"/>
    </row>
    <row r="95">
      <c r="A95" s="81" t="inlineStr">
        <is>
          <t>7.1</t>
        </is>
      </c>
      <c r="B95" s="373" t="inlineStr">
        <is>
          <t>Impermeabilización de losas y terrazas</t>
        </is>
      </c>
      <c r="C95" s="261" t="inlineStr">
        <is>
          <t>M²</t>
        </is>
      </c>
      <c r="D95" s="262" t="n"/>
      <c r="E95" s="477" t="n"/>
      <c r="F95" s="478">
        <f>D95*E95</f>
        <v/>
      </c>
    </row>
    <row r="96">
      <c r="A96" s="81" t="inlineStr">
        <is>
          <t>7.2</t>
        </is>
      </c>
      <c r="B96" s="374" t="inlineStr">
        <is>
          <t>Impermeabilización de muros</t>
        </is>
      </c>
      <c r="C96" s="261" t="inlineStr">
        <is>
          <t>M²</t>
        </is>
      </c>
      <c r="F96">
        <f>D96*E96</f>
        <v/>
      </c>
    </row>
    <row r="97">
      <c r="A97" s="81" t="inlineStr">
        <is>
          <t>7.3</t>
        </is>
      </c>
      <c r="B97" s="373" t="inlineStr">
        <is>
          <t>Impermeabilización de zonas húmedas</t>
        </is>
      </c>
      <c r="C97" s="261" t="inlineStr">
        <is>
          <t>M²</t>
        </is>
      </c>
      <c r="D97" s="262" t="n"/>
      <c r="E97" s="477" t="n"/>
      <c r="F97" s="478">
        <f>D97*E97</f>
        <v/>
      </c>
    </row>
    <row r="98">
      <c r="A98" s="81" t="inlineStr">
        <is>
          <t>7.4</t>
        </is>
      </c>
      <c r="B98" s="373" t="inlineStr">
        <is>
          <t>Geomembrana HDPE para impermeabilización de terrenos</t>
        </is>
      </c>
      <c r="C98" s="261" t="inlineStr">
        <is>
          <t>M²</t>
        </is>
      </c>
      <c r="D98" s="262" t="n"/>
      <c r="E98" s="477" t="n"/>
      <c r="F98" s="478">
        <f>D98*E98</f>
        <v/>
      </c>
    </row>
    <row r="99">
      <c r="A99" s="82" t="n"/>
      <c r="B99" s="674" t="inlineStr">
        <is>
          <t>SUBTOTAL CAPÍTULO 7 - IMPERMEABILIZACIONES</t>
        </is>
      </c>
      <c r="C99" s="530" t="n"/>
      <c r="D99" s="530" t="n"/>
      <c r="E99" s="530" t="n"/>
      <c r="F99" s="479">
        <f>SUM(F95:F98)</f>
        <v/>
      </c>
    </row>
    <row r="100">
      <c r="A100" s="83" t="n"/>
      <c r="B100" s="681" t="n"/>
      <c r="C100" s="530" t="n"/>
      <c r="D100" s="530" t="n"/>
      <c r="E100" s="530" t="n"/>
      <c r="F100" s="675" t="n"/>
    </row>
    <row r="101">
      <c r="A101" s="185" t="inlineStr">
        <is>
          <t>8</t>
        </is>
      </c>
      <c r="B101" s="677" t="inlineStr">
        <is>
          <t>PAÑETES Y REVOQUES</t>
        </is>
      </c>
      <c r="C101" s="530" t="n"/>
      <c r="D101" s="530" t="n"/>
      <c r="E101" s="530" t="n"/>
      <c r="F101" s="530" t="n"/>
    </row>
    <row r="102">
      <c r="A102" s="81" t="inlineStr">
        <is>
          <t>8.1</t>
        </is>
      </c>
      <c r="B102" s="374" t="inlineStr">
        <is>
          <t>Pañete / revoque interior</t>
        </is>
      </c>
      <c r="C102" s="261" t="inlineStr">
        <is>
          <t>M²</t>
        </is>
      </c>
      <c r="F102">
        <f>D102*E102</f>
        <v/>
      </c>
    </row>
    <row r="103">
      <c r="A103" s="81" t="inlineStr">
        <is>
          <t>8.2</t>
        </is>
      </c>
      <c r="B103" s="373" t="inlineStr">
        <is>
          <t>Pañete / revoque exterior</t>
        </is>
      </c>
      <c r="C103" s="261" t="inlineStr">
        <is>
          <t>M²</t>
        </is>
      </c>
      <c r="D103" s="262" t="n"/>
      <c r="E103" s="477" t="n"/>
      <c r="F103" s="478">
        <f>D103*E103</f>
        <v/>
      </c>
    </row>
    <row r="104">
      <c r="A104" s="81" t="inlineStr">
        <is>
          <t>8.3</t>
        </is>
      </c>
      <c r="B104" s="373" t="inlineStr">
        <is>
          <t>Pañete impermeabilizado</t>
        </is>
      </c>
      <c r="C104" s="261" t="inlineStr">
        <is>
          <t>M²</t>
        </is>
      </c>
      <c r="D104" s="262" t="n"/>
      <c r="E104" s="477" t="n"/>
      <c r="F104" s="478">
        <f>D104*E104</f>
        <v/>
      </c>
    </row>
    <row r="105">
      <c r="A105" s="81" t="inlineStr">
        <is>
          <t>8.4</t>
        </is>
      </c>
      <c r="B105" s="373" t="inlineStr">
        <is>
          <t>Estuco plástico o tradicional</t>
        </is>
      </c>
      <c r="C105" s="261" t="inlineStr">
        <is>
          <t>M²</t>
        </is>
      </c>
      <c r="F105" s="478">
        <f>D105*E105</f>
        <v/>
      </c>
    </row>
    <row r="106">
      <c r="A106" s="82" t="n"/>
      <c r="B106" s="674" t="inlineStr">
        <is>
          <t>SUBTOTAL CAPÍTULO 8 - PAÑETES Y REVOQUES</t>
        </is>
      </c>
      <c r="C106" s="530" t="n"/>
      <c r="D106" s="530" t="n"/>
      <c r="E106" s="530" t="n"/>
      <c r="F106" s="479">
        <f>SUM(F102:F105)</f>
        <v/>
      </c>
    </row>
    <row r="107">
      <c r="A107" s="83" t="n"/>
      <c r="B107" s="675" t="n"/>
      <c r="C107" s="530" t="n"/>
      <c r="D107" s="530" t="n"/>
      <c r="E107" s="530" t="n"/>
      <c r="F107" s="579" t="n"/>
    </row>
    <row r="108">
      <c r="A108" s="185" t="inlineStr">
        <is>
          <t>9</t>
        </is>
      </c>
      <c r="B108" s="677" t="inlineStr">
        <is>
          <t>PISOS Y ENCHAPES</t>
        </is>
      </c>
      <c r="C108" s="530" t="n"/>
      <c r="D108" s="530" t="n"/>
      <c r="E108" s="530" t="n"/>
      <c r="F108" s="530" t="n"/>
    </row>
    <row r="109">
      <c r="A109" s="81" t="inlineStr">
        <is>
          <t>9.1</t>
        </is>
      </c>
      <c r="B109" s="373" t="inlineStr">
        <is>
          <t>Mortero de nivelación</t>
        </is>
      </c>
      <c r="C109" s="261" t="inlineStr">
        <is>
          <t>M²</t>
        </is>
      </c>
      <c r="D109" s="262" t="n"/>
      <c r="E109" s="477" t="n"/>
      <c r="F109" s="478">
        <f>D109*E109</f>
        <v/>
      </c>
    </row>
    <row r="110">
      <c r="A110" s="81" t="inlineStr">
        <is>
          <t>9.2</t>
        </is>
      </c>
      <c r="B110" s="373" t="inlineStr">
        <is>
          <t>Piso cerámico</t>
        </is>
      </c>
      <c r="C110" s="261" t="inlineStr">
        <is>
          <t>M²</t>
        </is>
      </c>
      <c r="D110" s="262" t="n"/>
      <c r="E110" s="477" t="n"/>
      <c r="F110" s="478">
        <f>D110*E110</f>
        <v/>
      </c>
    </row>
    <row r="111">
      <c r="A111" s="81" t="inlineStr">
        <is>
          <t>9.3</t>
        </is>
      </c>
      <c r="B111" s="373" t="inlineStr">
        <is>
          <t>Piso en porcelanato</t>
        </is>
      </c>
      <c r="C111" s="261" t="inlineStr">
        <is>
          <t>M²</t>
        </is>
      </c>
      <c r="D111" s="262" t="n"/>
      <c r="E111" s="477" t="n"/>
      <c r="F111" s="478">
        <f>D111*E111</f>
        <v/>
      </c>
    </row>
    <row r="112">
      <c r="A112" s="81" t="inlineStr">
        <is>
          <t>9.4</t>
        </is>
      </c>
      <c r="B112" s="373" t="inlineStr">
        <is>
          <t>Piso vinílico</t>
        </is>
      </c>
      <c r="C112" s="261" t="inlineStr">
        <is>
          <t>M²</t>
        </is>
      </c>
      <c r="D112" s="262" t="n"/>
      <c r="E112" s="477" t="n"/>
      <c r="F112" s="478">
        <f>D112*E112</f>
        <v/>
      </c>
    </row>
    <row r="113">
      <c r="A113" s="81" t="inlineStr">
        <is>
          <t>9.5</t>
        </is>
      </c>
      <c r="B113" s="373" t="inlineStr">
        <is>
          <t>Piso laminado</t>
        </is>
      </c>
      <c r="C113" s="261" t="inlineStr">
        <is>
          <t>M²</t>
        </is>
      </c>
      <c r="D113" s="262" t="n"/>
      <c r="E113" s="477" t="n"/>
      <c r="F113" s="478">
        <f>D113*E113</f>
        <v/>
      </c>
    </row>
    <row r="114">
      <c r="A114" s="81" t="inlineStr">
        <is>
          <t>9.6</t>
        </is>
      </c>
      <c r="B114" s="373" t="inlineStr">
        <is>
          <t>Enchape cerámico en muros</t>
        </is>
      </c>
      <c r="C114" s="261" t="inlineStr">
        <is>
          <t>M²</t>
        </is>
      </c>
      <c r="F114" s="478">
        <f>D114*E114</f>
        <v/>
      </c>
    </row>
    <row r="115">
      <c r="A115" s="81" t="inlineStr">
        <is>
          <t>9.7</t>
        </is>
      </c>
      <c r="B115" s="373" t="inlineStr">
        <is>
          <t>Guardaescoba</t>
        </is>
      </c>
      <c r="C115" s="261" t="inlineStr">
        <is>
          <t>ML</t>
        </is>
      </c>
      <c r="D115" s="262" t="n"/>
      <c r="E115" s="477" t="n"/>
      <c r="F115" s="478">
        <f>D115*E115</f>
        <v/>
      </c>
    </row>
    <row r="116">
      <c r="A116" s="81" t="inlineStr">
        <is>
          <t>9.8</t>
        </is>
      </c>
      <c r="B116" s="374" t="inlineStr">
        <is>
          <t>Juntas de dilatación / construcción</t>
        </is>
      </c>
      <c r="C116" s="261" t="inlineStr">
        <is>
          <t>ML</t>
        </is>
      </c>
      <c r="F116">
        <f>D116*E116</f>
        <v/>
      </c>
    </row>
    <row r="117">
      <c r="A117" s="81" t="inlineStr">
        <is>
          <t>9.9</t>
        </is>
      </c>
      <c r="B117" s="374" t="inlineStr">
        <is>
          <t>Piso en concreto afinado con endurecedor de cuarzo</t>
        </is>
      </c>
      <c r="C117" s="261" t="inlineStr">
        <is>
          <t>M²</t>
        </is>
      </c>
      <c r="F117">
        <f>D117*E117</f>
        <v/>
      </c>
    </row>
    <row r="118">
      <c r="A118" s="81" t="inlineStr">
        <is>
          <t>9.10</t>
        </is>
      </c>
      <c r="B118" s="374" t="inlineStr">
        <is>
          <t>Baldosa de granito</t>
        </is>
      </c>
      <c r="C118" s="261" t="inlineStr">
        <is>
          <t>M²</t>
        </is>
      </c>
      <c r="F118">
        <f>D118*E118</f>
        <v/>
      </c>
    </row>
    <row r="119">
      <c r="A119" s="81" t="inlineStr">
        <is>
          <t>9.11</t>
        </is>
      </c>
      <c r="B119" s="374" t="inlineStr">
        <is>
          <t>Enchape en granito pulido</t>
        </is>
      </c>
      <c r="C119" s="261" t="inlineStr">
        <is>
          <t>M²</t>
        </is>
      </c>
      <c r="F119">
        <f>D119*E119</f>
        <v/>
      </c>
    </row>
    <row r="120">
      <c r="A120" s="82" t="n"/>
      <c r="B120" s="674" t="inlineStr">
        <is>
          <t>SUBTOTAL CAPÍTULO 9 - PISOS Y ENCHAPES</t>
        </is>
      </c>
      <c r="C120" s="530" t="n"/>
      <c r="D120" s="530" t="n"/>
      <c r="E120" s="530" t="n"/>
      <c r="F120" s="479">
        <f>SUM(F109:F119)</f>
        <v/>
      </c>
    </row>
    <row r="121">
      <c r="A121" s="83" t="n"/>
      <c r="B121" s="681" t="n"/>
      <c r="C121" s="681" t="n"/>
      <c r="D121" s="681" t="n"/>
      <c r="E121" s="681" t="n"/>
      <c r="F121" s="675" t="n"/>
    </row>
    <row r="122">
      <c r="A122" s="185" t="inlineStr">
        <is>
          <t>10</t>
        </is>
      </c>
      <c r="B122" s="677" t="inlineStr">
        <is>
          <t>PINTURA</t>
        </is>
      </c>
      <c r="C122" s="530" t="n"/>
      <c r="D122" s="530" t="n"/>
      <c r="E122" s="530" t="n"/>
      <c r="F122" s="530" t="n"/>
    </row>
    <row r="123">
      <c r="A123" s="81" t="inlineStr">
        <is>
          <t>10.1</t>
        </is>
      </c>
      <c r="B123" s="373" t="inlineStr">
        <is>
          <t>Pintura vinílica interior</t>
        </is>
      </c>
      <c r="C123" s="261" t="inlineStr">
        <is>
          <t>M²</t>
        </is>
      </c>
      <c r="D123" s="262" t="n"/>
      <c r="E123" s="477" t="n"/>
      <c r="F123" s="478">
        <f>D123*E123</f>
        <v/>
      </c>
    </row>
    <row r="124">
      <c r="A124" s="81" t="inlineStr">
        <is>
          <t>10.2</t>
        </is>
      </c>
      <c r="B124" s="373" t="inlineStr">
        <is>
          <t>Pintura exterior</t>
        </is>
      </c>
      <c r="C124" s="261" t="inlineStr">
        <is>
          <t>M²</t>
        </is>
      </c>
      <c r="D124" s="262" t="n"/>
      <c r="E124" s="477" t="n"/>
      <c r="F124" s="478">
        <f>D124*E124</f>
        <v/>
      </c>
    </row>
    <row r="125">
      <c r="A125" s="81" t="inlineStr">
        <is>
          <t>10.3</t>
        </is>
      </c>
      <c r="B125" s="373" t="inlineStr">
        <is>
          <t>Pintura esmalte en superficies metálicas/madera</t>
        </is>
      </c>
      <c r="C125" s="261" t="inlineStr">
        <is>
          <t>M²</t>
        </is>
      </c>
      <c r="D125" s="262" t="n"/>
      <c r="E125" s="477" t="n"/>
      <c r="F125" s="478">
        <f>D125*E125</f>
        <v/>
      </c>
    </row>
    <row r="126">
      <c r="A126" s="81" t="inlineStr">
        <is>
          <t>10.4</t>
        </is>
      </c>
      <c r="B126" s="373" t="inlineStr">
        <is>
          <t>Pintura anticorrosiva</t>
        </is>
      </c>
      <c r="C126" s="261" t="inlineStr">
        <is>
          <t>M²</t>
        </is>
      </c>
      <c r="D126" s="262" t="n"/>
      <c r="E126" s="477" t="n"/>
      <c r="F126" s="478">
        <f>D126*E126</f>
        <v/>
      </c>
    </row>
    <row r="127">
      <c r="A127" s="81" t="inlineStr">
        <is>
          <t>10.5</t>
        </is>
      </c>
      <c r="B127" s="373" t="inlineStr">
        <is>
          <t>Sellador / imprimante</t>
        </is>
      </c>
      <c r="C127" s="261" t="inlineStr">
        <is>
          <t>M²</t>
        </is>
      </c>
      <c r="F127" s="478">
        <f>D127*E127</f>
        <v/>
      </c>
    </row>
    <row r="128">
      <c r="A128" s="82" t="n"/>
      <c r="B128" s="674" t="inlineStr">
        <is>
          <t>SUBTOTAL CAPÍTULO 10 - PINTURA</t>
        </is>
      </c>
      <c r="C128" s="530" t="n"/>
      <c r="D128" s="530" t="n"/>
      <c r="E128" s="530" t="n"/>
      <c r="F128" s="479">
        <f>SUM(F123:F127)</f>
        <v/>
      </c>
    </row>
    <row r="129">
      <c r="A129" s="83" t="n"/>
      <c r="B129" s="675" t="n"/>
      <c r="C129" s="530" t="n"/>
      <c r="D129" s="530" t="n"/>
      <c r="E129" s="530" t="n"/>
      <c r="F129" s="579" t="n"/>
    </row>
    <row r="130">
      <c r="A130" s="185" t="inlineStr">
        <is>
          <t>11</t>
        </is>
      </c>
      <c r="B130" s="677" t="inlineStr">
        <is>
          <t>CARPINTERÍA</t>
        </is>
      </c>
      <c r="C130" s="530" t="n"/>
      <c r="D130" s="530" t="n"/>
      <c r="E130" s="530" t="n"/>
      <c r="F130" s="530" t="n"/>
    </row>
    <row r="131">
      <c r="A131" s="81" t="inlineStr">
        <is>
          <t>11.1</t>
        </is>
      </c>
      <c r="B131" s="373" t="inlineStr">
        <is>
          <t>Puertas de madera</t>
        </is>
      </c>
      <c r="C131" s="261" t="inlineStr">
        <is>
          <t>UND</t>
        </is>
      </c>
      <c r="D131" s="262" t="n"/>
      <c r="E131" s="477" t="n"/>
      <c r="F131" s="478">
        <f>D131*E131</f>
        <v/>
      </c>
    </row>
    <row r="132">
      <c r="A132" s="81" t="inlineStr">
        <is>
          <t>11.2</t>
        </is>
      </c>
      <c r="B132" s="373" t="inlineStr">
        <is>
          <t>Muebles fijos de madera</t>
        </is>
      </c>
      <c r="C132" s="261" t="inlineStr">
        <is>
          <t>ML</t>
        </is>
      </c>
      <c r="F132" s="478">
        <f>D132*E132</f>
        <v/>
      </c>
    </row>
    <row r="133">
      <c r="A133" s="81" t="inlineStr">
        <is>
          <t>11.3</t>
        </is>
      </c>
      <c r="B133" s="373" t="inlineStr">
        <is>
          <t>Puertas metálicas</t>
        </is>
      </c>
      <c r="C133" s="261" t="inlineStr">
        <is>
          <t>UND</t>
        </is>
      </c>
      <c r="D133" s="262" t="n"/>
      <c r="E133" s="477" t="n"/>
      <c r="F133" s="478">
        <f>D133*E133</f>
        <v/>
      </c>
    </row>
    <row r="134">
      <c r="A134" s="81" t="inlineStr">
        <is>
          <t>11.4</t>
        </is>
      </c>
      <c r="B134" s="374" t="inlineStr">
        <is>
          <t>Barandas metálicas</t>
        </is>
      </c>
      <c r="C134" s="261" t="inlineStr">
        <is>
          <t>ML</t>
        </is>
      </c>
      <c r="F134">
        <f>D134*E134</f>
        <v/>
      </c>
    </row>
    <row r="135">
      <c r="A135" s="81" t="inlineStr">
        <is>
          <t>11.5</t>
        </is>
      </c>
      <c r="B135" s="373" t="inlineStr">
        <is>
          <t>Pasamanos</t>
        </is>
      </c>
      <c r="C135" s="261" t="inlineStr">
        <is>
          <t>ML</t>
        </is>
      </c>
      <c r="D135" s="262" t="n"/>
      <c r="E135" s="477" t="n"/>
      <c r="F135" s="478">
        <f>D135*E135</f>
        <v/>
      </c>
    </row>
    <row r="136">
      <c r="A136" s="81" t="inlineStr">
        <is>
          <t>11.6</t>
        </is>
      </c>
      <c r="B136" s="373" t="inlineStr">
        <is>
          <t>Ventanas de aluminio</t>
        </is>
      </c>
      <c r="C136" s="261" t="inlineStr">
        <is>
          <t>M²</t>
        </is>
      </c>
      <c r="D136" s="262" t="n"/>
      <c r="E136" s="477" t="n"/>
      <c r="F136" s="478">
        <f>D136*E136</f>
        <v/>
      </c>
    </row>
    <row r="137">
      <c r="A137" s="81" t="inlineStr">
        <is>
          <t>11.7</t>
        </is>
      </c>
      <c r="B137" s="373" t="inlineStr">
        <is>
          <t>Divisiones de aluminio</t>
        </is>
      </c>
      <c r="C137" s="261" t="inlineStr">
        <is>
          <t>M²</t>
        </is>
      </c>
      <c r="D137" s="262" t="n"/>
      <c r="E137" s="477" t="n"/>
      <c r="F137" s="478">
        <f>D137*E137</f>
        <v/>
      </c>
    </row>
    <row r="138">
      <c r="A138" s="81" t="inlineStr">
        <is>
          <t>11.8</t>
        </is>
      </c>
      <c r="B138" s="373" t="inlineStr">
        <is>
          <t>Puerta antipánico</t>
        </is>
      </c>
      <c r="C138" s="261" t="inlineStr">
        <is>
          <t>UND</t>
        </is>
      </c>
      <c r="D138" s="262" t="n"/>
      <c r="E138" s="477" t="n"/>
      <c r="F138" s="478">
        <f>D138*E138</f>
        <v/>
      </c>
    </row>
    <row r="139">
      <c r="A139" s="82" t="n"/>
      <c r="B139" s="674" t="inlineStr">
        <is>
          <t>SUBTOTAL CAPÍTULO 11 - CARPINTERÍA</t>
        </is>
      </c>
      <c r="C139" s="530" t="n"/>
      <c r="D139" s="530" t="n"/>
      <c r="E139" s="530" t="n"/>
      <c r="F139" s="479">
        <f>SUM(F131:F138)</f>
        <v/>
      </c>
    </row>
    <row r="140">
      <c r="A140" s="83" t="n"/>
      <c r="B140" s="681" t="n"/>
      <c r="C140" s="681" t="n"/>
      <c r="D140" s="681" t="n"/>
      <c r="E140" s="681" t="n"/>
      <c r="F140" s="675" t="n"/>
    </row>
    <row r="141">
      <c r="A141" s="185" t="inlineStr">
        <is>
          <t>12</t>
        </is>
      </c>
      <c r="B141" s="677" t="inlineStr">
        <is>
          <t>VIDRIOS</t>
        </is>
      </c>
      <c r="C141" s="530" t="n"/>
      <c r="D141" s="530" t="n"/>
      <c r="E141" s="530" t="n"/>
      <c r="F141" s="530" t="n"/>
    </row>
    <row r="142">
      <c r="A142" s="81" t="inlineStr">
        <is>
          <t>12.1</t>
        </is>
      </c>
      <c r="B142" s="373" t="inlineStr">
        <is>
          <t>Vidrio templado</t>
        </is>
      </c>
      <c r="C142" s="261" t="inlineStr">
        <is>
          <t>M²</t>
        </is>
      </c>
      <c r="F142" s="478">
        <f>D142*E142</f>
        <v/>
      </c>
    </row>
    <row r="143">
      <c r="A143" s="81" t="inlineStr">
        <is>
          <t>12.2</t>
        </is>
      </c>
      <c r="B143" s="373" t="inlineStr">
        <is>
          <t>Vidrio laminado</t>
        </is>
      </c>
      <c r="C143" s="261" t="inlineStr">
        <is>
          <t>M²</t>
        </is>
      </c>
      <c r="D143" s="262" t="n"/>
      <c r="E143" s="477" t="n"/>
      <c r="F143" s="478">
        <f>D143*E143</f>
        <v/>
      </c>
    </row>
    <row r="144">
      <c r="A144" s="81" t="inlineStr">
        <is>
          <t>12.3</t>
        </is>
      </c>
      <c r="B144" s="374" t="inlineStr">
        <is>
          <t>Espejos</t>
        </is>
      </c>
      <c r="C144" s="261" t="inlineStr">
        <is>
          <t>M²</t>
        </is>
      </c>
      <c r="F144">
        <f>D144*E144</f>
        <v/>
      </c>
    </row>
    <row r="145">
      <c r="A145" s="81" t="inlineStr">
        <is>
          <t>12.4</t>
        </is>
      </c>
      <c r="B145" s="373" t="inlineStr">
        <is>
          <t>Sellos y silicona</t>
        </is>
      </c>
      <c r="C145" s="261" t="inlineStr">
        <is>
          <t>ML</t>
        </is>
      </c>
      <c r="D145" s="262" t="n"/>
      <c r="E145" s="477" t="n"/>
      <c r="F145" s="478">
        <f>D145*E145</f>
        <v/>
      </c>
    </row>
    <row r="146">
      <c r="A146" s="82" t="n"/>
      <c r="B146" s="674" t="inlineStr">
        <is>
          <t>SUBTOTAL CAPÍTULO 12 - VIDRIOS</t>
        </is>
      </c>
      <c r="C146" s="530" t="n"/>
      <c r="D146" s="530" t="n"/>
      <c r="E146" s="530" t="n"/>
      <c r="F146" s="479">
        <f>SUM(F142:F145)</f>
        <v/>
      </c>
    </row>
    <row r="147">
      <c r="A147" s="83" t="n"/>
      <c r="B147" s="681" t="n"/>
      <c r="C147" s="681" t="n"/>
      <c r="D147" s="681" t="n"/>
      <c r="E147" s="681" t="n"/>
      <c r="F147" s="675" t="n"/>
    </row>
    <row r="148">
      <c r="A148" s="185" t="inlineStr">
        <is>
          <t>13</t>
        </is>
      </c>
      <c r="B148" s="677" t="inlineStr">
        <is>
          <t>INSTALACIONES HIDROSANITARIAS</t>
        </is>
      </c>
      <c r="C148" s="530" t="n"/>
      <c r="D148" s="530" t="n"/>
      <c r="E148" s="530" t="n"/>
      <c r="F148" s="530" t="n"/>
    </row>
    <row r="149">
      <c r="A149" s="81" t="inlineStr">
        <is>
          <t>13.1</t>
        </is>
      </c>
      <c r="B149" s="373" t="inlineStr">
        <is>
          <t>Tubería de agua fría</t>
        </is>
      </c>
      <c r="C149" s="261" t="inlineStr">
        <is>
          <t>ML</t>
        </is>
      </c>
      <c r="F149" s="478">
        <f>D149*E149</f>
        <v/>
      </c>
    </row>
    <row r="150">
      <c r="A150" s="81" t="inlineStr">
        <is>
          <t>13.2</t>
        </is>
      </c>
      <c r="B150" s="373" t="inlineStr">
        <is>
          <t>Tubería de agua caliente</t>
        </is>
      </c>
      <c r="C150" s="261" t="inlineStr">
        <is>
          <t>ML</t>
        </is>
      </c>
      <c r="D150" s="262" t="n"/>
      <c r="E150" s="477" t="n"/>
      <c r="F150" s="478">
        <f>D150*E150</f>
        <v/>
      </c>
    </row>
    <row r="151">
      <c r="A151" s="81" t="inlineStr">
        <is>
          <t>13.3</t>
        </is>
      </c>
      <c r="B151" s="373" t="inlineStr">
        <is>
          <t>Válvulas y accesorios</t>
        </is>
      </c>
      <c r="C151" s="261" t="inlineStr">
        <is>
          <t>UND</t>
        </is>
      </c>
      <c r="F151" s="478">
        <f>D151*E151</f>
        <v/>
      </c>
    </row>
    <row r="152">
      <c r="A152" s="81" t="inlineStr">
        <is>
          <t>13.4</t>
        </is>
      </c>
      <c r="B152" s="373" t="inlineStr">
        <is>
          <t>Tubería sanitaria</t>
        </is>
      </c>
      <c r="C152" s="261" t="inlineStr">
        <is>
          <t>ML</t>
        </is>
      </c>
      <c r="D152" s="262" t="n"/>
      <c r="E152" s="477" t="n"/>
      <c r="F152" s="478">
        <f>D152*E152</f>
        <v/>
      </c>
    </row>
    <row r="153">
      <c r="A153" s="81" t="inlineStr">
        <is>
          <t>13.5</t>
        </is>
      </c>
      <c r="B153" s="373" t="inlineStr">
        <is>
          <t>Tubería de aguas lluvias</t>
        </is>
      </c>
      <c r="C153" s="261" t="inlineStr">
        <is>
          <t>ML</t>
        </is>
      </c>
      <c r="D153" s="262" t="n"/>
      <c r="E153" s="477" t="n"/>
      <c r="F153" s="478">
        <f>D153*E153</f>
        <v/>
      </c>
    </row>
    <row r="154">
      <c r="A154" s="81" t="inlineStr">
        <is>
          <t>13.6</t>
        </is>
      </c>
      <c r="B154" s="373" t="inlineStr">
        <is>
          <t>Cajas de inspección</t>
        </is>
      </c>
      <c r="C154" s="261" t="inlineStr">
        <is>
          <t>UND</t>
        </is>
      </c>
      <c r="D154" s="262" t="n"/>
      <c r="E154" s="477" t="n"/>
      <c r="F154" s="478">
        <f>D154*E154</f>
        <v/>
      </c>
    </row>
    <row r="155">
      <c r="A155" s="81" t="inlineStr">
        <is>
          <t>13.7</t>
        </is>
      </c>
      <c r="B155" s="373" t="inlineStr">
        <is>
          <t>Aparatos sanitarios</t>
        </is>
      </c>
      <c r="C155" s="261" t="inlineStr">
        <is>
          <t>UND</t>
        </is>
      </c>
      <c r="D155" s="262" t="n"/>
      <c r="E155" s="477" t="n"/>
      <c r="F155" s="478">
        <f>D155*E155</f>
        <v/>
      </c>
    </row>
    <row r="156">
      <c r="A156" s="81" t="inlineStr">
        <is>
          <t>13.8</t>
        </is>
      </c>
      <c r="B156" s="373" t="inlineStr">
        <is>
          <t>Lavamanos</t>
        </is>
      </c>
      <c r="C156" s="261" t="inlineStr">
        <is>
          <t>UND</t>
        </is>
      </c>
      <c r="D156" s="262" t="n"/>
      <c r="E156" s="477" t="n"/>
      <c r="F156" s="478">
        <f>D156*E156</f>
        <v/>
      </c>
    </row>
    <row r="157">
      <c r="A157" s="81" t="inlineStr">
        <is>
          <t>13.9</t>
        </is>
      </c>
      <c r="B157" s="373" t="inlineStr">
        <is>
          <t>Griferías</t>
        </is>
      </c>
      <c r="C157" s="261" t="inlineStr">
        <is>
          <t>UND</t>
        </is>
      </c>
      <c r="D157" s="262" t="n"/>
      <c r="E157" s="477" t="n"/>
      <c r="F157" s="478">
        <f>D157*E157</f>
        <v/>
      </c>
    </row>
    <row r="158">
      <c r="A158" s="81" t="inlineStr">
        <is>
          <t>13.10</t>
        </is>
      </c>
      <c r="B158" s="373" t="inlineStr">
        <is>
          <t>Duchas</t>
        </is>
      </c>
      <c r="C158" s="261" t="inlineStr">
        <is>
          <t>UND</t>
        </is>
      </c>
      <c r="D158" s="262" t="n"/>
      <c r="E158" s="477" t="n"/>
      <c r="F158" s="478">
        <f>D158*E158</f>
        <v/>
      </c>
    </row>
    <row r="159">
      <c r="A159" s="81" t="inlineStr">
        <is>
          <t>13.11</t>
        </is>
      </c>
      <c r="B159" s="373" t="inlineStr">
        <is>
          <t>Pruebas hidráulicas y de estanqueidad</t>
        </is>
      </c>
      <c r="C159" s="261" t="inlineStr">
        <is>
          <t>GL</t>
        </is>
      </c>
      <c r="D159" s="262" t="n"/>
      <c r="E159" s="477" t="n"/>
      <c r="F159" s="478">
        <f>D159*E159</f>
        <v/>
      </c>
    </row>
    <row r="160">
      <c r="A160" s="81" t="inlineStr">
        <is>
          <t>13.12</t>
        </is>
      </c>
      <c r="B160" s="373" t="inlineStr">
        <is>
          <t>Orinal institucional</t>
        </is>
      </c>
      <c r="C160" s="261" t="inlineStr">
        <is>
          <t>UND</t>
        </is>
      </c>
      <c r="D160" s="262" t="n"/>
      <c r="E160" s="477" t="n"/>
      <c r="F160" s="478">
        <f>D160*E160</f>
        <v/>
      </c>
    </row>
    <row r="161">
      <c r="A161" s="82" t="n"/>
      <c r="B161" s="674" t="inlineStr">
        <is>
          <t>SUBTOTAL CAPÍTULO 13 - INSTALACIONES HIDROSANITARIAS</t>
        </is>
      </c>
      <c r="C161" s="530" t="n"/>
      <c r="D161" s="530" t="n"/>
      <c r="E161" s="530" t="n"/>
      <c r="F161" s="479">
        <f>SUM(F149:F160)</f>
        <v/>
      </c>
    </row>
    <row r="162">
      <c r="A162" s="83" t="n"/>
      <c r="B162" s="681" t="n"/>
      <c r="C162" s="681" t="n"/>
      <c r="D162" s="681" t="n"/>
      <c r="E162" s="681" t="n"/>
      <c r="F162" s="675" t="n"/>
    </row>
    <row r="163">
      <c r="A163" s="185" t="inlineStr">
        <is>
          <t>14</t>
        </is>
      </c>
      <c r="B163" s="677" t="inlineStr">
        <is>
          <t>INSTALACIONES ELÉCTRICAS</t>
        </is>
      </c>
      <c r="C163" s="530" t="n"/>
      <c r="D163" s="530" t="n"/>
      <c r="E163" s="530" t="n"/>
      <c r="F163" s="530" t="n"/>
    </row>
    <row r="164">
      <c r="A164" s="81" t="inlineStr">
        <is>
          <t>14.1</t>
        </is>
      </c>
      <c r="B164" s="373" t="inlineStr">
        <is>
          <t>Tubería/conduit eléctrica</t>
        </is>
      </c>
      <c r="C164" s="261" t="inlineStr">
        <is>
          <t>ML</t>
        </is>
      </c>
      <c r="D164" s="262" t="n"/>
      <c r="E164" s="477" t="n"/>
      <c r="F164" s="478">
        <f>D164*E164</f>
        <v/>
      </c>
    </row>
    <row r="165">
      <c r="A165" s="81" t="inlineStr">
        <is>
          <t>14.2</t>
        </is>
      </c>
      <c r="B165" s="373" t="inlineStr">
        <is>
          <t>Bandejas portacables</t>
        </is>
      </c>
      <c r="C165" s="261" t="inlineStr">
        <is>
          <t>ML</t>
        </is>
      </c>
      <c r="D165" s="262" t="n"/>
      <c r="E165" s="477" t="n"/>
      <c r="F165" s="478">
        <f>D165*E165</f>
        <v/>
      </c>
    </row>
    <row r="166">
      <c r="A166" s="81" t="inlineStr">
        <is>
          <t>14.3</t>
        </is>
      </c>
      <c r="B166" s="373" t="inlineStr">
        <is>
          <t>Cajas eléctricas</t>
        </is>
      </c>
      <c r="C166" s="261" t="inlineStr">
        <is>
          <t>UND</t>
        </is>
      </c>
      <c r="D166" s="262" t="n"/>
      <c r="E166" s="477" t="n"/>
      <c r="F166" s="478">
        <f>D166*E166</f>
        <v/>
      </c>
    </row>
    <row r="167">
      <c r="A167" s="81" t="inlineStr">
        <is>
          <t>14.4</t>
        </is>
      </c>
      <c r="B167" s="373" t="inlineStr">
        <is>
          <t>Cableado de fuerza</t>
        </is>
      </c>
      <c r="C167" s="261" t="inlineStr">
        <is>
          <t>ML</t>
        </is>
      </c>
      <c r="D167" s="262" t="n"/>
      <c r="E167" s="477" t="n"/>
      <c r="F167" s="478">
        <f>D167*E167</f>
        <v/>
      </c>
    </row>
    <row r="168">
      <c r="A168" s="81" t="inlineStr">
        <is>
          <t>14.5</t>
        </is>
      </c>
      <c r="B168" s="373" t="inlineStr">
        <is>
          <t>Cableado de iluminación</t>
        </is>
      </c>
      <c r="C168" s="261" t="inlineStr">
        <is>
          <t>ML</t>
        </is>
      </c>
      <c r="D168" s="262" t="n"/>
      <c r="E168" s="477" t="n"/>
      <c r="F168" s="478">
        <f>D168*E168</f>
        <v/>
      </c>
    </row>
    <row r="169">
      <c r="A169" s="81" t="inlineStr">
        <is>
          <t>14.6</t>
        </is>
      </c>
      <c r="B169" s="373" t="inlineStr">
        <is>
          <t>Tableros eléctricos</t>
        </is>
      </c>
      <c r="C169" s="261" t="inlineStr">
        <is>
          <t>UND</t>
        </is>
      </c>
      <c r="D169" s="262" t="n"/>
      <c r="E169" s="477" t="n"/>
      <c r="F169" s="478">
        <f>D169*E169</f>
        <v/>
      </c>
    </row>
    <row r="170">
      <c r="A170" s="81" t="inlineStr">
        <is>
          <t>14.7</t>
        </is>
      </c>
      <c r="B170" s="373" t="inlineStr">
        <is>
          <t>Tomacorrientes</t>
        </is>
      </c>
      <c r="C170" s="261" t="inlineStr">
        <is>
          <t>UND</t>
        </is>
      </c>
      <c r="D170" s="262" t="n"/>
      <c r="E170" s="477" t="n"/>
      <c r="F170" s="478">
        <f>D170*E170</f>
        <v/>
      </c>
    </row>
    <row r="171">
      <c r="A171" s="81" t="inlineStr">
        <is>
          <t>14.8</t>
        </is>
      </c>
      <c r="B171" s="373" t="inlineStr">
        <is>
          <t>Interruptores</t>
        </is>
      </c>
      <c r="C171" s="261" t="inlineStr">
        <is>
          <t>UND</t>
        </is>
      </c>
      <c r="D171" s="262" t="n"/>
      <c r="E171" s="477" t="n"/>
      <c r="F171" s="478">
        <f>D171*E171</f>
        <v/>
      </c>
    </row>
    <row r="172">
      <c r="A172" s="81" t="inlineStr">
        <is>
          <t>14.9</t>
        </is>
      </c>
      <c r="B172" s="373" t="inlineStr">
        <is>
          <t>Luminarias</t>
        </is>
      </c>
      <c r="C172" s="261" t="inlineStr">
        <is>
          <t>UND</t>
        </is>
      </c>
      <c r="D172" s="262" t="n"/>
      <c r="E172" s="477" t="n"/>
      <c r="F172" s="478">
        <f>D172*E172</f>
        <v/>
      </c>
    </row>
    <row r="173">
      <c r="A173" s="81" t="inlineStr">
        <is>
          <t>14.10</t>
        </is>
      </c>
      <c r="B173" s="373" t="inlineStr">
        <is>
          <t>Sistema de puesta a tierra</t>
        </is>
      </c>
      <c r="C173" s="261" t="inlineStr">
        <is>
          <t>GL</t>
        </is>
      </c>
      <c r="D173" s="262" t="n"/>
      <c r="E173" s="477" t="n"/>
      <c r="F173" s="478">
        <f>D173*E173</f>
        <v/>
      </c>
    </row>
    <row r="174">
      <c r="A174" s="81" t="inlineStr">
        <is>
          <t>14.11</t>
        </is>
      </c>
      <c r="B174" s="373" t="inlineStr">
        <is>
          <t>Pruebas y certificaciones</t>
        </is>
      </c>
      <c r="C174" s="261" t="inlineStr">
        <is>
          <t>GL</t>
        </is>
      </c>
      <c r="D174" s="262" t="n"/>
      <c r="E174" s="477" t="n"/>
      <c r="F174" s="478">
        <f>D174*E174</f>
        <v/>
      </c>
    </row>
    <row r="175">
      <c r="A175" s="82" t="n"/>
      <c r="B175" s="674" t="inlineStr">
        <is>
          <t>SUBTOTAL CAPÍTULO 14 - INSTALACIONES ELÉCTRICAS</t>
        </is>
      </c>
      <c r="C175" s="530" t="n"/>
      <c r="D175" s="530" t="n"/>
      <c r="E175" s="530" t="n"/>
      <c r="F175" s="479">
        <f>SUM(F164:F174)</f>
        <v/>
      </c>
    </row>
    <row r="176">
      <c r="A176" s="83" t="n"/>
      <c r="B176" s="681" t="n"/>
      <c r="C176" s="681" t="n"/>
      <c r="D176" s="681" t="n"/>
      <c r="E176" s="681" t="n"/>
      <c r="F176" s="675" t="n"/>
    </row>
    <row r="177">
      <c r="A177" s="185" t="inlineStr">
        <is>
          <t>15</t>
        </is>
      </c>
      <c r="B177" s="677" t="inlineStr">
        <is>
          <t>COMUNICACIONES Y SEGURIDAD</t>
        </is>
      </c>
      <c r="C177" s="530" t="n"/>
      <c r="D177" s="530" t="n"/>
      <c r="E177" s="530" t="n"/>
      <c r="F177" s="530" t="n"/>
    </row>
    <row r="178">
      <c r="A178" s="81" t="inlineStr">
        <is>
          <t>15.1</t>
        </is>
      </c>
      <c r="B178" s="373" t="inlineStr">
        <is>
          <t>Cableado estructurado de datos</t>
        </is>
      </c>
      <c r="C178" s="261" t="inlineStr">
        <is>
          <t>ML</t>
        </is>
      </c>
      <c r="D178" s="262" t="n"/>
      <c r="E178" s="477" t="n"/>
      <c r="F178" s="478">
        <f>D178*E178</f>
        <v/>
      </c>
    </row>
    <row r="179">
      <c r="A179" s="81" t="inlineStr">
        <is>
          <t>15.2</t>
        </is>
      </c>
      <c r="B179" s="373" t="inlineStr">
        <is>
          <t>Rack de comunicaciones</t>
        </is>
      </c>
      <c r="C179" s="261" t="inlineStr">
        <is>
          <t>UND</t>
        </is>
      </c>
      <c r="D179" s="262" t="n"/>
      <c r="E179" s="477" t="n"/>
      <c r="F179" s="478">
        <f>D179*E179</f>
        <v/>
      </c>
    </row>
    <row r="180">
      <c r="A180" s="81" t="inlineStr">
        <is>
          <t>15.3</t>
        </is>
      </c>
      <c r="B180" s="373" t="inlineStr">
        <is>
          <t>Cámaras y sistema CCTV</t>
        </is>
      </c>
      <c r="C180" s="261" t="inlineStr">
        <is>
          <t>UND</t>
        </is>
      </c>
      <c r="D180" s="262" t="n"/>
      <c r="E180" s="477" t="n"/>
      <c r="F180" s="478">
        <f>D180*E180</f>
        <v/>
      </c>
    </row>
    <row r="181">
      <c r="A181" s="81" t="inlineStr">
        <is>
          <t>15.4</t>
        </is>
      </c>
      <c r="B181" s="373" t="inlineStr">
        <is>
          <t>Control de acceso</t>
        </is>
      </c>
      <c r="C181" s="261" t="inlineStr">
        <is>
          <t>UND</t>
        </is>
      </c>
      <c r="D181" s="262" t="n"/>
      <c r="E181" s="477" t="n"/>
      <c r="F181" s="478">
        <f>D181*E181</f>
        <v/>
      </c>
    </row>
    <row r="182">
      <c r="A182" s="81" t="inlineStr">
        <is>
          <t>15.5</t>
        </is>
      </c>
      <c r="B182" s="373" t="inlineStr">
        <is>
          <t>Sistema de citofonía</t>
        </is>
      </c>
      <c r="C182" s="261" t="inlineStr">
        <is>
          <t>UND</t>
        </is>
      </c>
      <c r="D182" s="262" t="n"/>
      <c r="E182" s="477" t="n"/>
      <c r="F182" s="478">
        <f>D182*E182</f>
        <v/>
      </c>
    </row>
    <row r="183">
      <c r="A183" s="81" t="inlineStr">
        <is>
          <t>15.6</t>
        </is>
      </c>
      <c r="B183" s="373" t="inlineStr">
        <is>
          <t>Sistema de detección de incendios</t>
        </is>
      </c>
      <c r="C183" s="261" t="inlineStr">
        <is>
          <t>GL</t>
        </is>
      </c>
      <c r="D183" s="262" t="n"/>
      <c r="E183" s="477" t="n"/>
      <c r="F183" s="478">
        <f>D183*E183</f>
        <v/>
      </c>
    </row>
    <row r="184">
      <c r="A184" s="82" t="n"/>
      <c r="B184" s="674" t="inlineStr">
        <is>
          <t>SUBTOTAL CAPÍTULO 15 - COMUNICACIONES Y SEGURIDAD</t>
        </is>
      </c>
      <c r="C184" s="530" t="n"/>
      <c r="D184" s="530" t="n"/>
      <c r="E184" s="530" t="n"/>
      <c r="F184" s="479">
        <f>SUM(F178:F183)</f>
        <v/>
      </c>
    </row>
    <row r="185">
      <c r="A185" s="83" t="n"/>
      <c r="B185" s="681" t="n"/>
      <c r="C185" s="681" t="n"/>
      <c r="D185" s="681" t="n"/>
      <c r="E185" s="681" t="n"/>
      <c r="F185" s="675" t="n"/>
    </row>
    <row r="186">
      <c r="A186" s="185" t="inlineStr">
        <is>
          <t>16</t>
        </is>
      </c>
      <c r="B186" s="677" t="inlineStr">
        <is>
          <t>CLIMATIZACIÓN Y VENTILACIÓN</t>
        </is>
      </c>
      <c r="C186" s="530" t="n"/>
      <c r="D186" s="530" t="n"/>
      <c r="E186" s="530" t="n"/>
      <c r="F186" s="530" t="n"/>
    </row>
    <row r="187">
      <c r="A187" s="81" t="inlineStr">
        <is>
          <t>16.1</t>
        </is>
      </c>
      <c r="B187" s="373" t="inlineStr">
        <is>
          <t>Equipos de aire acondicionado</t>
        </is>
      </c>
      <c r="C187" s="261" t="inlineStr">
        <is>
          <t>UND</t>
        </is>
      </c>
      <c r="D187" s="262" t="n"/>
      <c r="E187" s="477" t="n"/>
      <c r="F187" s="478">
        <f>D187*E187</f>
        <v/>
      </c>
    </row>
    <row r="188">
      <c r="A188" s="81" t="inlineStr">
        <is>
          <t>16.2</t>
        </is>
      </c>
      <c r="B188" s="373" t="inlineStr">
        <is>
          <t>Ductos de ventilación</t>
        </is>
      </c>
      <c r="C188" s="261" t="inlineStr">
        <is>
          <t>M²</t>
        </is>
      </c>
      <c r="D188" s="262" t="n"/>
      <c r="E188" s="477" t="n"/>
      <c r="F188" s="478">
        <f>D188*E188</f>
        <v/>
      </c>
    </row>
    <row r="189">
      <c r="A189" s="81" t="inlineStr">
        <is>
          <t>16.3</t>
        </is>
      </c>
      <c r="B189" s="373" t="inlineStr">
        <is>
          <t>Tubería de refrigerante</t>
        </is>
      </c>
      <c r="C189" s="261" t="inlineStr">
        <is>
          <t>ML</t>
        </is>
      </c>
      <c r="D189" s="262" t="n"/>
      <c r="E189" s="477" t="n"/>
      <c r="F189" s="478">
        <f>D189*E189</f>
        <v/>
      </c>
    </row>
    <row r="190">
      <c r="A190" s="81" t="inlineStr">
        <is>
          <t>16.4</t>
        </is>
      </c>
      <c r="B190" s="373" t="inlineStr">
        <is>
          <t>Rejillas y difusores</t>
        </is>
      </c>
      <c r="C190" s="261" t="inlineStr">
        <is>
          <t>UND</t>
        </is>
      </c>
      <c r="D190" s="262" t="n"/>
      <c r="E190" s="477" t="n"/>
      <c r="F190" s="478">
        <f>D190*E190</f>
        <v/>
      </c>
    </row>
    <row r="191">
      <c r="A191" s="82" t="n"/>
      <c r="B191" s="674" t="inlineStr">
        <is>
          <t>SUBTOTAL CAPÍTULO 16 - CLIMATIZACIÓN Y VENTILACIÓN</t>
        </is>
      </c>
      <c r="C191" s="530" t="n"/>
      <c r="D191" s="530" t="n"/>
      <c r="E191" s="530" t="n"/>
      <c r="F191" s="479">
        <f>SUM(F187:F190)</f>
        <v/>
      </c>
    </row>
    <row r="192">
      <c r="A192" s="83" t="n"/>
      <c r="B192" s="681" t="n"/>
      <c r="C192" s="681" t="n"/>
      <c r="D192" s="681" t="n"/>
      <c r="E192" s="681" t="n"/>
      <c r="F192" s="675" t="n"/>
    </row>
    <row r="193">
      <c r="A193" s="185" t="inlineStr">
        <is>
          <t>17</t>
        </is>
      </c>
      <c r="B193" s="677" t="inlineStr">
        <is>
          <t>GAS</t>
        </is>
      </c>
      <c r="C193" s="530" t="n"/>
      <c r="D193" s="530" t="n"/>
      <c r="E193" s="530" t="n"/>
      <c r="F193" s="530" t="n"/>
    </row>
    <row r="194">
      <c r="A194" s="81" t="inlineStr">
        <is>
          <t>17.1</t>
        </is>
      </c>
      <c r="B194" s="373" t="inlineStr">
        <is>
          <t>Red interna de gas</t>
        </is>
      </c>
      <c r="C194" s="261" t="inlineStr">
        <is>
          <t>ML</t>
        </is>
      </c>
      <c r="D194" s="262" t="n"/>
      <c r="E194" s="477" t="n"/>
      <c r="F194" s="478">
        <f>D194*E194</f>
        <v/>
      </c>
    </row>
    <row r="195">
      <c r="A195" s="81" t="inlineStr">
        <is>
          <t>17.2</t>
        </is>
      </c>
      <c r="B195" s="373" t="inlineStr">
        <is>
          <t>Válvulas y accesorios</t>
        </is>
      </c>
      <c r="C195" s="261" t="inlineStr">
        <is>
          <t>UND</t>
        </is>
      </c>
      <c r="D195" s="262" t="n"/>
      <c r="E195" s="477" t="n"/>
      <c r="F195" s="478">
        <f>D195*E195</f>
        <v/>
      </c>
    </row>
    <row r="196">
      <c r="A196" s="81" t="inlineStr">
        <is>
          <t>17.3</t>
        </is>
      </c>
      <c r="B196" s="373" t="inlineStr">
        <is>
          <t>Pruebas y certificación</t>
        </is>
      </c>
      <c r="C196" s="261" t="inlineStr">
        <is>
          <t>GL</t>
        </is>
      </c>
      <c r="D196" s="262" t="n"/>
      <c r="E196" s="477" t="n"/>
      <c r="F196" s="478">
        <f>D196*E196</f>
        <v/>
      </c>
    </row>
    <row r="197">
      <c r="A197" s="82" t="n"/>
      <c r="B197" s="674" t="inlineStr">
        <is>
          <t>SUBTOTAL CAPÍTULO 17 - GAS</t>
        </is>
      </c>
      <c r="C197" s="530" t="n"/>
      <c r="D197" s="530" t="n"/>
      <c r="E197" s="530" t="n"/>
      <c r="F197" s="479">
        <f>SUM(F194:F196)</f>
        <v/>
      </c>
    </row>
    <row r="198">
      <c r="A198" s="83" t="n"/>
      <c r="B198" s="681" t="n"/>
      <c r="C198" s="681" t="n"/>
      <c r="D198" s="681" t="n"/>
      <c r="E198" s="681" t="n"/>
      <c r="F198" s="675" t="n"/>
    </row>
    <row r="199">
      <c r="A199" s="185" t="inlineStr">
        <is>
          <t>18</t>
        </is>
      </c>
      <c r="B199" s="677" t="inlineStr">
        <is>
          <t>URBANISMO Y EXTERIORES</t>
        </is>
      </c>
      <c r="C199" s="530" t="n"/>
      <c r="D199" s="530" t="n"/>
      <c r="E199" s="530" t="n"/>
      <c r="F199" s="530" t="n"/>
    </row>
    <row r="200">
      <c r="A200" s="81" t="inlineStr">
        <is>
          <t>18.1</t>
        </is>
      </c>
      <c r="B200" s="373" t="inlineStr">
        <is>
          <t>Construcción de andenes</t>
        </is>
      </c>
      <c r="C200" s="261" t="inlineStr">
        <is>
          <t>M²</t>
        </is>
      </c>
      <c r="D200" s="262" t="n"/>
      <c r="E200" s="477" t="n"/>
      <c r="F200" s="478">
        <f>D200*E200</f>
        <v/>
      </c>
    </row>
    <row r="201">
      <c r="A201" s="81" t="inlineStr">
        <is>
          <t>18.2</t>
        </is>
      </c>
      <c r="B201" s="373" t="inlineStr">
        <is>
          <t>Placas de concreto exteriores</t>
        </is>
      </c>
      <c r="C201" s="261" t="inlineStr">
        <is>
          <t>M³</t>
        </is>
      </c>
      <c r="D201" s="262" t="n"/>
      <c r="E201" s="477" t="n"/>
      <c r="F201" s="478">
        <f>D201*E201</f>
        <v/>
      </c>
    </row>
    <row r="202">
      <c r="A202" s="81" t="inlineStr">
        <is>
          <t>18.3</t>
        </is>
      </c>
      <c r="B202" s="373" t="inlineStr">
        <is>
          <t>Pavimento en adoquín</t>
        </is>
      </c>
      <c r="C202" s="261" t="inlineStr">
        <is>
          <t>M²</t>
        </is>
      </c>
      <c r="D202" s="262" t="n"/>
      <c r="E202" s="477" t="n"/>
      <c r="F202" s="478">
        <f>D202*E202</f>
        <v/>
      </c>
    </row>
    <row r="203">
      <c r="A203" s="81" t="inlineStr">
        <is>
          <t>18.4</t>
        </is>
      </c>
      <c r="B203" s="373" t="inlineStr">
        <is>
          <t>Sardineles y bordillos</t>
        </is>
      </c>
      <c r="C203" s="261" t="inlineStr">
        <is>
          <t>ML</t>
        </is>
      </c>
      <c r="D203" s="262" t="n"/>
      <c r="E203" s="477" t="n"/>
      <c r="F203" s="478">
        <f>D203*E203</f>
        <v/>
      </c>
    </row>
    <row r="204">
      <c r="A204" s="81" t="inlineStr">
        <is>
          <t>18.5</t>
        </is>
      </c>
      <c r="B204" s="373" t="inlineStr">
        <is>
          <t>Sumideros exteriores</t>
        </is>
      </c>
      <c r="C204" s="261" t="inlineStr">
        <is>
          <t>UND</t>
        </is>
      </c>
      <c r="D204" s="262" t="n"/>
      <c r="E204" s="477" t="n"/>
      <c r="F204" s="478">
        <f>D204*E204</f>
        <v/>
      </c>
    </row>
    <row r="205">
      <c r="A205" s="81" t="inlineStr">
        <is>
          <t>18.6</t>
        </is>
      </c>
      <c r="B205" s="373" t="inlineStr">
        <is>
          <t>Suministro y extendido de tierra vegetal</t>
        </is>
      </c>
      <c r="C205" s="261" t="inlineStr">
        <is>
          <t>M³</t>
        </is>
      </c>
      <c r="D205" s="262" t="n"/>
      <c r="E205" s="477" t="n"/>
      <c r="F205" s="478">
        <f>D205*E205</f>
        <v/>
      </c>
    </row>
    <row r="206">
      <c r="A206" s="81" t="inlineStr">
        <is>
          <t>18.7</t>
        </is>
      </c>
      <c r="B206" s="373" t="inlineStr">
        <is>
          <t>Siembra y jardinería</t>
        </is>
      </c>
      <c r="C206" s="261" t="inlineStr">
        <is>
          <t>M²</t>
        </is>
      </c>
      <c r="D206" s="262" t="n"/>
      <c r="E206" s="477" t="n"/>
      <c r="F206" s="478">
        <f>D206*E206</f>
        <v/>
      </c>
    </row>
    <row r="207">
      <c r="A207" s="81" t="inlineStr">
        <is>
          <t>18.8</t>
        </is>
      </c>
      <c r="B207" s="373" t="inlineStr">
        <is>
          <t>Geotextil para drenaje y filtración</t>
        </is>
      </c>
      <c r="C207" s="261" t="inlineStr">
        <is>
          <t>M²</t>
        </is>
      </c>
      <c r="D207" s="262" t="n"/>
      <c r="E207" s="477" t="n"/>
      <c r="F207" s="478">
        <f>D207*E207</f>
        <v/>
      </c>
    </row>
    <row r="208">
      <c r="A208" s="81" t="inlineStr">
        <is>
          <t>18.9</t>
        </is>
      </c>
      <c r="B208" s="373" t="inlineStr">
        <is>
          <t>Gaviones para obras de contención</t>
        </is>
      </c>
      <c r="C208" s="261" t="inlineStr">
        <is>
          <t>M³</t>
        </is>
      </c>
      <c r="D208" s="262" t="n"/>
      <c r="E208" s="477" t="n"/>
      <c r="F208" s="478">
        <f>D208*E208</f>
        <v/>
      </c>
    </row>
    <row r="209">
      <c r="A209" s="81" t="inlineStr">
        <is>
          <t>18.10</t>
        </is>
      </c>
      <c r="B209" s="373" t="inlineStr">
        <is>
          <t>Filtro francés (drenaje de terrenos)</t>
        </is>
      </c>
      <c r="C209" s="261" t="inlineStr">
        <is>
          <t>ML</t>
        </is>
      </c>
      <c r="D209" s="262" t="n"/>
      <c r="E209" s="477" t="n"/>
      <c r="F209" s="478">
        <f>D209*E209</f>
        <v/>
      </c>
    </row>
    <row r="210">
      <c r="A210" s="81" t="inlineStr">
        <is>
          <t>18.11</t>
        </is>
      </c>
      <c r="B210" s="373" t="inlineStr">
        <is>
          <t>Revegetalización / empradización</t>
        </is>
      </c>
      <c r="C210" s="261" t="inlineStr">
        <is>
          <t>M²</t>
        </is>
      </c>
      <c r="D210" s="262" t="n"/>
      <c r="E210" s="477" t="n"/>
      <c r="F210" s="478">
        <f>D210*E210</f>
        <v/>
      </c>
    </row>
    <row r="211">
      <c r="A211" s="82" t="n"/>
      <c r="B211" s="674" t="inlineStr">
        <is>
          <t>SUBTOTAL CAPÍTULO 18 - URBANISMO Y EXTERIORES</t>
        </is>
      </c>
      <c r="C211" s="530" t="n"/>
      <c r="D211" s="530" t="n"/>
      <c r="E211" s="530" t="n"/>
      <c r="F211" s="479">
        <f>SUM(F200:F210)</f>
        <v/>
      </c>
    </row>
    <row r="212">
      <c r="A212" s="83" t="n"/>
      <c r="B212" s="681" t="n"/>
      <c r="C212" s="681" t="n"/>
      <c r="D212" s="681" t="n"/>
      <c r="E212" s="681" t="n"/>
      <c r="F212" s="675" t="n"/>
    </row>
    <row r="213">
      <c r="A213" s="185" t="inlineStr">
        <is>
          <t>19</t>
        </is>
      </c>
      <c r="B213" s="677" t="inlineStr">
        <is>
          <t>OBRAS COMPLEMENTARIAS</t>
        </is>
      </c>
      <c r="C213" s="530" t="n"/>
      <c r="D213" s="530" t="n"/>
      <c r="E213" s="530" t="n"/>
      <c r="F213" s="530" t="n"/>
    </row>
    <row r="214">
      <c r="A214" s="81" t="inlineStr">
        <is>
          <t>19.1</t>
        </is>
      </c>
      <c r="B214" s="373" t="inlineStr">
        <is>
          <t>Rejas metálicas</t>
        </is>
      </c>
      <c r="C214" s="261" t="inlineStr">
        <is>
          <t>M²</t>
        </is>
      </c>
      <c r="D214" s="262" t="n"/>
      <c r="E214" s="477" t="n"/>
      <c r="F214" s="478">
        <f>D214*E214</f>
        <v/>
      </c>
    </row>
    <row r="215">
      <c r="A215" s="81" t="inlineStr">
        <is>
          <t>19.2</t>
        </is>
      </c>
      <c r="B215" s="373" t="inlineStr">
        <is>
          <t>Escaleras metálicas</t>
        </is>
      </c>
      <c r="C215" s="261" t="inlineStr">
        <is>
          <t>KG</t>
        </is>
      </c>
      <c r="D215" s="262" t="n"/>
      <c r="E215" s="477" t="n"/>
      <c r="F215" s="478">
        <f>D215*E215</f>
        <v/>
      </c>
    </row>
    <row r="216">
      <c r="A216" s="81" t="inlineStr">
        <is>
          <t>19.3</t>
        </is>
      </c>
      <c r="B216" s="373" t="inlineStr">
        <is>
          <t>Elementos metálicos especiales</t>
        </is>
      </c>
      <c r="C216" s="261" t="inlineStr">
        <is>
          <t>KG</t>
        </is>
      </c>
      <c r="D216" s="262" t="n"/>
      <c r="E216" s="477" t="n"/>
      <c r="F216" s="478">
        <f>D216*E216</f>
        <v/>
      </c>
    </row>
    <row r="217">
      <c r="A217" s="81" t="inlineStr">
        <is>
          <t>19.4</t>
        </is>
      </c>
      <c r="B217" s="373" t="inlineStr">
        <is>
          <t>Mobiliario fijo de obra</t>
        </is>
      </c>
      <c r="C217" s="261" t="inlineStr">
        <is>
          <t>UND</t>
        </is>
      </c>
      <c r="D217" s="262" t="n"/>
      <c r="E217" s="477" t="n"/>
      <c r="F217" s="478">
        <f>D217*E217</f>
        <v/>
      </c>
    </row>
    <row r="218">
      <c r="A218" s="82" t="n"/>
      <c r="B218" s="674" t="inlineStr">
        <is>
          <t>SUBTOTAL CAPÍTULO 19 - OBRAS COMPLEMENTARIAS</t>
        </is>
      </c>
      <c r="C218" s="530" t="n"/>
      <c r="D218" s="530" t="n"/>
      <c r="E218" s="530" t="n"/>
      <c r="F218" s="479">
        <f>SUM(F214:F217)</f>
        <v/>
      </c>
    </row>
    <row r="219">
      <c r="A219" s="83" t="n"/>
      <c r="B219" s="681" t="n"/>
      <c r="C219" s="681" t="n"/>
      <c r="D219" s="681" t="n"/>
      <c r="E219" s="681" t="n"/>
      <c r="F219" s="675" t="n"/>
    </row>
    <row r="220">
      <c r="A220" s="185" t="inlineStr">
        <is>
          <t>20</t>
        </is>
      </c>
      <c r="B220" s="677" t="inlineStr">
        <is>
          <t>ASEO, ENTREGA Y CIERRE</t>
        </is>
      </c>
      <c r="C220" s="530" t="n"/>
      <c r="D220" s="530" t="n"/>
      <c r="E220" s="530" t="n"/>
      <c r="F220" s="530" t="n"/>
    </row>
    <row r="221">
      <c r="A221" s="81" t="inlineStr">
        <is>
          <t>20.1</t>
        </is>
      </c>
      <c r="B221" s="373" t="inlineStr">
        <is>
          <t>Limpieza gruesa y fina de obra</t>
        </is>
      </c>
      <c r="C221" s="261" t="inlineStr">
        <is>
          <t>M²</t>
        </is>
      </c>
      <c r="D221" s="262" t="n"/>
      <c r="E221" s="477" t="n"/>
      <c r="F221" s="478">
        <f>D221*E221</f>
        <v/>
      </c>
    </row>
    <row r="222">
      <c r="A222" s="81" t="inlineStr">
        <is>
          <t>20.2</t>
        </is>
      </c>
      <c r="B222" s="373" t="inlineStr">
        <is>
          <t>Limpieza final para entrega</t>
        </is>
      </c>
      <c r="C222" s="261" t="inlineStr">
        <is>
          <t>M²</t>
        </is>
      </c>
      <c r="D222" s="262" t="n"/>
      <c r="E222" s="477" t="n"/>
      <c r="F222" s="478">
        <f>D222*E222</f>
        <v/>
      </c>
    </row>
    <row r="223">
      <c r="A223" s="81" t="inlineStr">
        <is>
          <t>20.3</t>
        </is>
      </c>
      <c r="B223" s="373" t="inlineStr">
        <is>
          <t>Pruebas, puesta en marcha y ajustes</t>
        </is>
      </c>
      <c r="C223" s="261" t="inlineStr">
        <is>
          <t>GL</t>
        </is>
      </c>
      <c r="D223" s="262" t="n"/>
      <c r="E223" s="477" t="n"/>
      <c r="F223" s="478">
        <f>D223*E223</f>
        <v/>
      </c>
    </row>
    <row r="224">
      <c r="A224" s="81" t="inlineStr">
        <is>
          <t>20.4</t>
        </is>
      </c>
      <c r="B224" s="373" t="inlineStr">
        <is>
          <t>Actualización de planos récord / as-built</t>
        </is>
      </c>
      <c r="C224" s="261" t="inlineStr">
        <is>
          <t>GL</t>
        </is>
      </c>
      <c r="D224" s="262" t="n"/>
      <c r="E224" s="477" t="n"/>
      <c r="F224" s="478">
        <f>D224*E224</f>
        <v/>
      </c>
    </row>
    <row r="225">
      <c r="A225" s="81" t="inlineStr">
        <is>
          <t>20.5</t>
        </is>
      </c>
      <c r="B225" s="373" t="inlineStr">
        <is>
          <t>Entrega, manuales y acta de recibo</t>
        </is>
      </c>
      <c r="C225" s="261" t="inlineStr">
        <is>
          <t>GL</t>
        </is>
      </c>
      <c r="D225" s="262" t="n"/>
      <c r="E225" s="477" t="n"/>
      <c r="F225" s="478">
        <f>D225*E225</f>
        <v/>
      </c>
    </row>
    <row r="226">
      <c r="A226" s="82" t="n"/>
      <c r="B226" s="674" t="inlineStr">
        <is>
          <t>SUBTOTAL CAPÍTULO 20 - ASEO, ENTREGA Y CIERRE</t>
        </is>
      </c>
      <c r="C226" s="530" t="n"/>
      <c r="D226" s="530" t="n"/>
      <c r="E226" s="530" t="n"/>
      <c r="F226" s="479">
        <f>SUM(F221:F225)</f>
        <v/>
      </c>
    </row>
    <row r="227">
      <c r="A227" s="83" t="n"/>
      <c r="B227" s="681" t="n"/>
      <c r="C227" s="681" t="n"/>
      <c r="D227" s="681" t="n"/>
      <c r="E227" s="681" t="n"/>
      <c r="F227" s="675" t="n"/>
    </row>
    <row r="228">
      <c r="A228" s="185" t="inlineStr">
        <is>
          <t>21</t>
        </is>
      </c>
      <c r="B228" s="677" t="inlineStr">
        <is>
          <t>ASCENSORES</t>
        </is>
      </c>
      <c r="C228" s="530" t="n"/>
      <c r="D228" s="530" t="n"/>
      <c r="E228" s="530" t="n"/>
      <c r="F228" s="530" t="n"/>
    </row>
    <row r="229">
      <c r="A229" s="81" t="inlineStr">
        <is>
          <t>21.1</t>
        </is>
      </c>
      <c r="B229" s="373" t="inlineStr">
        <is>
          <t>Suministro e instalación de ascensor eléctrico</t>
        </is>
      </c>
      <c r="C229" s="261" t="inlineStr">
        <is>
          <t>UND</t>
        </is>
      </c>
      <c r="D229" s="262" t="n"/>
      <c r="E229" s="477" t="n"/>
      <c r="F229" s="478">
        <f>D229*E229</f>
        <v/>
      </c>
    </row>
    <row r="230">
      <c r="A230" s="82" t="n"/>
      <c r="B230" s="674" t="inlineStr">
        <is>
          <t>SUBTOTAL CAPÍTULO 21 - ASCENSORES</t>
        </is>
      </c>
      <c r="C230" s="530" t="n"/>
      <c r="D230" s="530" t="n"/>
      <c r="E230" s="530" t="n"/>
      <c r="F230" s="479">
        <f>SUM(F229:F229)</f>
        <v/>
      </c>
    </row>
    <row r="231">
      <c r="A231" s="83" t="n"/>
      <c r="B231" s="681" t="n"/>
      <c r="C231" s="681" t="n"/>
      <c r="D231" s="681" t="n"/>
      <c r="E231" s="681" t="n"/>
      <c r="F231" s="675" t="n"/>
    </row>
    <row r="232">
      <c r="A232" s="185" t="inlineStr">
        <is>
          <t>22</t>
        </is>
      </c>
      <c r="B232" s="677" t="inlineStr">
        <is>
          <t>GESTIÓN, DISEÑO Y ADMINISTRACIÓN</t>
        </is>
      </c>
      <c r="C232" s="530" t="n"/>
      <c r="D232" s="530" t="n"/>
      <c r="E232" s="530" t="n"/>
      <c r="F232" s="530" t="n"/>
    </row>
    <row r="233">
      <c r="A233" s="81" t="inlineStr">
        <is>
          <t>22.1</t>
        </is>
      </c>
      <c r="B233" s="373" t="inlineStr">
        <is>
          <t>Estudio de suelos y geotecnia</t>
        </is>
      </c>
      <c r="C233" s="261" t="inlineStr">
        <is>
          <t>GL</t>
        </is>
      </c>
      <c r="D233" s="262" t="n"/>
      <c r="E233" s="477" t="n"/>
      <c r="F233" s="478">
        <f>D233*E233</f>
        <v/>
      </c>
    </row>
    <row r="234">
      <c r="A234" s="81" t="inlineStr">
        <is>
          <t>22.2</t>
        </is>
      </c>
      <c r="B234" s="373" t="inlineStr">
        <is>
          <t>Diseños arquitectónicos, estructurales, hidrosanitarios y eléctricos</t>
        </is>
      </c>
      <c r="C234" s="261" t="inlineStr">
        <is>
          <t>GL</t>
        </is>
      </c>
      <c r="D234" s="262" t="n"/>
      <c r="E234" s="477" t="n"/>
      <c r="F234" s="478">
        <f>D234*E234</f>
        <v/>
      </c>
    </row>
    <row r="235">
      <c r="A235" s="81" t="inlineStr">
        <is>
          <t>22.3</t>
        </is>
      </c>
      <c r="B235" s="373" t="inlineStr">
        <is>
          <t>Licencia de construcción y trámites de curaduría urbana</t>
        </is>
      </c>
      <c r="C235" s="261" t="inlineStr">
        <is>
          <t>GL</t>
        </is>
      </c>
      <c r="D235" s="262" t="n"/>
      <c r="E235" s="477" t="n"/>
      <c r="F235" s="478">
        <f>D235*E235</f>
        <v/>
      </c>
    </row>
    <row r="236">
      <c r="A236" s="81" t="inlineStr">
        <is>
          <t>22.4</t>
        </is>
      </c>
      <c r="B236" s="373" t="inlineStr">
        <is>
          <t>Póliza de estabilidad de obra y seguros de construcción (todo riesgo)</t>
        </is>
      </c>
      <c r="C236" s="261" t="inlineStr">
        <is>
          <t>GL</t>
        </is>
      </c>
      <c r="D236" s="262" t="n"/>
      <c r="E236" s="477" t="n"/>
      <c r="F236" s="478">
        <f>D236*E236</f>
        <v/>
      </c>
    </row>
    <row r="237">
      <c r="A237" s="82" t="n"/>
      <c r="B237" s="674" t="inlineStr">
        <is>
          <t>SUBTOTAL CAPÍTULO 22 - GESTIÓN, DISEÑO Y ADMINISTRACIÓN</t>
        </is>
      </c>
      <c r="C237" s="530" t="n"/>
      <c r="D237" s="530" t="n"/>
      <c r="E237" s="530" t="n"/>
      <c r="F237" s="479">
        <f>SUM(F233:F236)</f>
        <v/>
      </c>
    </row>
    <row r="238">
      <c r="A238" s="83" t="n"/>
      <c r="B238" s="681" t="n"/>
      <c r="C238" s="681" t="n"/>
      <c r="D238" s="681" t="n"/>
      <c r="E238" s="681" t="n"/>
      <c r="F238" s="675" t="n"/>
    </row>
    <row r="239" ht="15" customHeight="1" s="1223">
      <c r="A239" s="84" t="n"/>
      <c r="B239" s="676" t="inlineStr">
        <is>
          <t>COSTO DIRECTO TOTAL (suma de capítulos 1 a 22)</t>
        </is>
      </c>
      <c r="C239" s="530" t="n"/>
      <c r="D239" s="530" t="n"/>
      <c r="E239" s="530" t="n"/>
      <c r="F239" s="480">
        <f>F25+F39+F49+F68+F80+F92+F99+F106+F120+F128+F139+F146+F161+F175+F184+F191+F197+F211+F218+F226+F230+F237</f>
        <v/>
      </c>
    </row>
    <row r="240">
      <c r="A240" s="85" t="n"/>
      <c r="B240" s="28" t="n"/>
      <c r="C240" s="28" t="n"/>
      <c r="D240" s="28" t="n"/>
      <c r="E240" s="28" t="n"/>
      <c r="F240" s="86" t="n"/>
    </row>
    <row r="241" ht="15" customHeight="1" s="1223">
      <c r="A241" s="83" t="n"/>
      <c r="B241" s="46" t="inlineStr">
        <is>
          <t>Administración (A)</t>
        </is>
      </c>
      <c r="C241" s="681" t="n"/>
      <c r="D241" s="681" t="n"/>
      <c r="E241" s="481">
        <f>'Ficha Técnica del Proyecto'!$B$29</f>
        <v/>
      </c>
      <c r="F241" s="482">
        <f>F239*E241</f>
        <v/>
      </c>
    </row>
    <row r="242" ht="15" customHeight="1" s="1223">
      <c r="A242" s="83" t="n"/>
      <c r="B242" s="46" t="inlineStr">
        <is>
          <t>Imprevistos (I)</t>
        </is>
      </c>
      <c r="C242" s="681" t="n"/>
      <c r="D242" s="681" t="n"/>
      <c r="E242" s="481">
        <f>'Ficha Técnica del Proyecto'!$B$30</f>
        <v/>
      </c>
      <c r="F242" s="482">
        <f>F239*E242</f>
        <v/>
      </c>
    </row>
    <row r="243" ht="15" customHeight="1" s="1223">
      <c r="A243" s="83" t="n"/>
      <c r="B243" s="46" t="inlineStr">
        <is>
          <t>Utilidad (U)</t>
        </is>
      </c>
      <c r="C243" s="681" t="n"/>
      <c r="D243" s="681" t="n"/>
      <c r="E243" s="481">
        <f>'Ficha Técnica del Proyecto'!$B$31</f>
        <v/>
      </c>
      <c r="F243" s="482">
        <f>F239*E243</f>
        <v/>
      </c>
    </row>
    <row r="244" ht="15" customHeight="1" s="1223">
      <c r="A244" s="82" t="n"/>
      <c r="B244" s="674" t="inlineStr">
        <is>
          <t>SUBTOTAL AIU (A+I+U)</t>
        </is>
      </c>
      <c r="C244" s="29" t="n"/>
      <c r="D244" s="29" t="n"/>
      <c r="E244" s="30" t="n"/>
      <c r="F244" s="479">
        <f>F241+F242+F243</f>
        <v/>
      </c>
    </row>
    <row r="245" ht="15" customHeight="1" s="1223">
      <c r="A245" s="83" t="n"/>
      <c r="B245" s="46" t="inlineStr">
        <is>
          <t>COSTO DIRECTO + AIU</t>
        </is>
      </c>
      <c r="C245" s="681" t="n"/>
      <c r="D245" s="681" t="n"/>
      <c r="E245" s="47" t="n"/>
      <c r="F245" s="482">
        <f>F239+F244</f>
        <v/>
      </c>
    </row>
    <row r="246" ht="15" customHeight="1" s="1223">
      <c r="A246" s="83" t="n"/>
      <c r="B246" s="46" t="inlineStr">
        <is>
          <t>IVA sobre Utilidad (19%)</t>
        </is>
      </c>
      <c r="C246" s="681" t="n"/>
      <c r="D246" s="681" t="n"/>
      <c r="E246" s="481">
        <f>'Ficha Técnica del Proyecto'!$B$32</f>
        <v/>
      </c>
      <c r="F246" s="482">
        <f>F243*E246</f>
        <v/>
      </c>
    </row>
    <row r="247">
      <c r="A247" s="83" t="n"/>
      <c r="B247" s="681" t="n"/>
      <c r="C247" s="681" t="n"/>
      <c r="D247" s="681" t="n"/>
      <c r="E247" s="681" t="n"/>
      <c r="F247" s="675" t="n"/>
    </row>
    <row r="248" ht="24" customHeight="1" s="1223">
      <c r="A248" s="87" t="n"/>
      <c r="B248" s="677" t="inlineStr">
        <is>
          <t>PRESUPUESTO TOTAL DE OBRA</t>
        </is>
      </c>
      <c r="C248" s="530" t="n"/>
      <c r="D248" s="530" t="n"/>
      <c r="E248" s="530" t="n"/>
      <c r="F248" s="483">
        <f>F245+F246</f>
        <v/>
      </c>
    </row>
    <row r="249">
      <c r="A249" s="88" t="n"/>
      <c r="B249" s="206" t="inlineStr">
        <is>
          <t>REV. 10/09/2026</t>
        </is>
      </c>
      <c r="C249" s="281" t="n"/>
      <c r="D249" s="281" t="n"/>
      <c r="E249" s="281" t="n"/>
      <c r="F249" s="350">
        <f>F6</f>
        <v/>
      </c>
    </row>
    <row r="250">
      <c r="A250" s="88" t="n"/>
      <c r="B250" s="206" t="n"/>
      <c r="C250" s="281" t="n"/>
      <c r="D250" s="281" t="n"/>
      <c r="E250" s="281" t="n"/>
      <c r="F250" s="204" t="n"/>
    </row>
    <row r="251" ht="15" customHeight="1" s="1223">
      <c r="A251" s="88" t="n"/>
      <c r="B251" s="90" t="inlineStr">
        <is>
          <t>Costo por m² construido (sobre Costo Directo Total)</t>
        </is>
      </c>
      <c r="C251" s="91" t="n"/>
      <c r="D251" s="91" t="n"/>
      <c r="E251" s="91" t="n"/>
      <c r="F251" s="484">
        <f>F239/'Ficha Técnica del Proyecto'!$B$21</f>
        <v/>
      </c>
    </row>
    <row r="252" ht="15" customHeight="1" s="1223">
      <c r="A252" s="89" t="n"/>
      <c r="B252" s="92" t="inlineStr">
        <is>
          <t>Costo por m² construido (sobre Presupuesto Total)</t>
        </is>
      </c>
      <c r="C252" s="93" t="n"/>
      <c r="D252" s="93" t="n"/>
      <c r="E252" s="93" t="n"/>
      <c r="F252" s="485">
        <f>F248/'Ficha Técnica del Proyecto'!$B$21</f>
        <v/>
      </c>
    </row>
    <row r="253">
      <c r="A253" s="27" t="n"/>
      <c r="B253" s="281" t="n"/>
      <c r="C253" s="281" t="n"/>
      <c r="D253" s="281" t="n"/>
      <c r="E253" s="281" t="n"/>
      <c r="F253" s="281" t="n"/>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sheetData>
  <mergeCells count="61">
    <mergeCell ref="B146:E146"/>
    <mergeCell ref="B211:E211"/>
    <mergeCell ref="B226:E226"/>
    <mergeCell ref="B129:F129"/>
    <mergeCell ref="C6:D6"/>
    <mergeCell ref="B49:E49"/>
    <mergeCell ref="B239:E239"/>
    <mergeCell ref="B163:F163"/>
    <mergeCell ref="B232:F232"/>
    <mergeCell ref="B141:F141"/>
    <mergeCell ref="B92:E92"/>
    <mergeCell ref="C5:D5"/>
    <mergeCell ref="B199:F199"/>
    <mergeCell ref="B68:E68"/>
    <mergeCell ref="E5:F5"/>
    <mergeCell ref="B193:F193"/>
    <mergeCell ref="B139:E139"/>
    <mergeCell ref="B122:F122"/>
    <mergeCell ref="B80:E80"/>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41:F41"/>
    <mergeCell ref="B148:F148"/>
    <mergeCell ref="B82:F82"/>
    <mergeCell ref="A12:B12"/>
    <mergeCell ref="C12:D12"/>
    <mergeCell ref="B184:E184"/>
    <mergeCell ref="A10:F10"/>
    <mergeCell ref="B248:E248"/>
    <mergeCell ref="B161:E161"/>
    <mergeCell ref="B108:F108"/>
    <mergeCell ref="B39:E39"/>
    <mergeCell ref="B186:F186"/>
    <mergeCell ref="B120:E120"/>
    <mergeCell ref="C8:D8"/>
    <mergeCell ref="A11:F11"/>
    <mergeCell ref="C7:D7"/>
    <mergeCell ref="B177:F177"/>
    <mergeCell ref="B175:E175"/>
    <mergeCell ref="C1:F3"/>
    <mergeCell ref="B51:F51"/>
    <mergeCell ref="B191:E191"/>
    <mergeCell ref="B213:F213"/>
    <mergeCell ref="B94:F94"/>
    <mergeCell ref="B128:E128"/>
    <mergeCell ref="B230:E230"/>
    <mergeCell ref="B99:E99"/>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outlinePr summaryBelow="1" summaryRight="1"/>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'!F248</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'!$F$239</f>
        <v/>
      </c>
      <c r="E25" s="233" t="n"/>
      <c r="F25" s="233" t="n"/>
      <c r="G25" s="522">
        <f>F25-E25</f>
        <v/>
      </c>
      <c r="H25" s="523">
        <f>D25*E25</f>
        <v/>
      </c>
      <c r="I25" s="523">
        <f>D25*F25</f>
        <v/>
      </c>
      <c r="J25" s="1156">
        <f>D25*$L$14*G25</f>
        <v/>
      </c>
      <c r="K25" s="563" t="n"/>
      <c r="L25" s="563" t="n"/>
      <c r="M25" s="563" t="n"/>
      <c r="N25" s="1157" t="n"/>
    </row>
    <row r="26">
      <c r="A26" s="1132">
        <f>'Presupuesto '!B26</f>
        <v/>
      </c>
      <c r="B26" s="581" t="n"/>
      <c r="C26" s="581" t="n"/>
      <c r="D26" s="521">
        <f>'Presupuesto '!F39/'Presupuesto '!$F$239</f>
        <v/>
      </c>
      <c r="E26" s="233" t="n"/>
      <c r="F26" s="233" t="n"/>
      <c r="G26" s="522">
        <f>F26-E26</f>
        <v/>
      </c>
      <c r="H26" s="523">
        <f>D26*E26</f>
        <v/>
      </c>
      <c r="I26" s="523">
        <f>D26*F26</f>
        <v/>
      </c>
      <c r="J26" s="1151">
        <f>D26*$L$14*G26</f>
        <v/>
      </c>
      <c r="N26" s="546" t="n"/>
    </row>
    <row r="27">
      <c r="A27" s="1132">
        <f>'Presupuesto '!B40</f>
        <v/>
      </c>
      <c r="B27" s="581" t="n"/>
      <c r="C27" s="581" t="n"/>
      <c r="D27" s="521">
        <f>'Presupuesto '!F49/'Presupuesto '!$F$239</f>
        <v/>
      </c>
      <c r="E27" s="233" t="n"/>
      <c r="F27" s="233" t="n"/>
      <c r="G27" s="522">
        <f>F27-E27</f>
        <v/>
      </c>
      <c r="H27" s="523">
        <f>D27*E27</f>
        <v/>
      </c>
      <c r="I27" s="523">
        <f>D27*F27</f>
        <v/>
      </c>
      <c r="J27" s="1151">
        <f>D27*$L$14*G27</f>
        <v/>
      </c>
      <c r="N27" s="546" t="n"/>
    </row>
    <row r="28">
      <c r="A28" s="1132">
        <f>'Presupuesto '!B50</f>
        <v/>
      </c>
      <c r="B28" s="581" t="n"/>
      <c r="C28" s="581" t="n"/>
      <c r="D28" s="521">
        <f>'Presupuesto '!F68/'Presupuesto '!$F$239</f>
        <v/>
      </c>
      <c r="E28" s="233" t="n"/>
      <c r="F28" s="233" t="n"/>
      <c r="G28" s="522">
        <f>F28-E28</f>
        <v/>
      </c>
      <c r="H28" s="523">
        <f>D28*E28</f>
        <v/>
      </c>
      <c r="I28" s="523">
        <f>D28*F28</f>
        <v/>
      </c>
      <c r="J28" s="1151">
        <f>D28*$L$14*G28</f>
        <v/>
      </c>
      <c r="N28" s="546" t="n"/>
    </row>
    <row r="29">
      <c r="A29" s="1132">
        <f>'Presupuesto '!B67</f>
        <v/>
      </c>
      <c r="B29" s="581" t="n"/>
      <c r="C29" s="581" t="n"/>
      <c r="D29" s="521">
        <f>'Presupuesto '!F80/'Presupuesto '!$F$239</f>
        <v/>
      </c>
      <c r="E29" s="233" t="n"/>
      <c r="F29" s="233" t="n"/>
      <c r="G29" s="522">
        <f>F29-E29</f>
        <v/>
      </c>
      <c r="H29" s="523">
        <f>D29*E29</f>
        <v/>
      </c>
      <c r="I29" s="523">
        <f>D29*F29</f>
        <v/>
      </c>
      <c r="J29" s="1151">
        <f>D29*$L$14*G29</f>
        <v/>
      </c>
      <c r="N29" s="546" t="n"/>
    </row>
    <row r="30">
      <c r="A30" s="1132">
        <f>'Presupuesto '!B77</f>
        <v/>
      </c>
      <c r="B30" s="581" t="n"/>
      <c r="C30" s="581" t="n"/>
      <c r="D30" s="521">
        <f>'Presupuesto '!F92/'Presupuesto '!$F$239</f>
        <v/>
      </c>
      <c r="E30" s="233" t="n"/>
      <c r="F30" s="233" t="n"/>
      <c r="G30" s="522">
        <f>F30-E30</f>
        <v/>
      </c>
      <c r="H30" s="523">
        <f>D30*E30</f>
        <v/>
      </c>
      <c r="I30" s="523">
        <f>D30*F30</f>
        <v/>
      </c>
      <c r="J30" s="1151">
        <f>D30*$L$14*G30</f>
        <v/>
      </c>
      <c r="N30" s="546" t="n"/>
    </row>
    <row r="31">
      <c r="A31" s="1132">
        <f>'Presupuesto '!B87</f>
        <v/>
      </c>
      <c r="B31" s="581" t="n"/>
      <c r="C31" s="581" t="n"/>
      <c r="D31" s="521">
        <f>'Presupuesto '!F99/'Presupuesto '!$F$239</f>
        <v/>
      </c>
      <c r="E31" s="233" t="n"/>
      <c r="F31" s="233" t="n"/>
      <c r="G31" s="522">
        <f>F31-E31</f>
        <v/>
      </c>
      <c r="H31" s="523">
        <f>D31*E31</f>
        <v/>
      </c>
      <c r="I31" s="523">
        <f>D31*F31</f>
        <v/>
      </c>
      <c r="J31" s="1151">
        <f>D31*$L$14*G31</f>
        <v/>
      </c>
      <c r="N31" s="546" t="n"/>
    </row>
    <row r="32">
      <c r="A32" s="1132">
        <f>'Presupuesto '!B93</f>
        <v/>
      </c>
      <c r="B32" s="581" t="n"/>
      <c r="C32" s="581" t="n"/>
      <c r="D32" s="521">
        <f>'Presupuesto '!F106/'Presupuesto '!$F$239</f>
        <v/>
      </c>
      <c r="E32" s="233" t="n"/>
      <c r="F32" s="233" t="n"/>
      <c r="G32" s="522">
        <f>F32-E32</f>
        <v/>
      </c>
      <c r="H32" s="523">
        <f>D32*E32</f>
        <v/>
      </c>
      <c r="I32" s="523">
        <f>D32*F32</f>
        <v/>
      </c>
      <c r="J32" s="1151">
        <f>D32*$L$14*G32</f>
        <v/>
      </c>
      <c r="N32" s="546" t="n"/>
    </row>
    <row r="33">
      <c r="A33" s="1132">
        <f>'Presupuesto '!B100</f>
        <v/>
      </c>
      <c r="B33" s="581" t="n"/>
      <c r="C33" s="581" t="n"/>
      <c r="D33" s="521">
        <f>'Presupuesto '!F120/'Presupuesto '!$F$239</f>
        <v/>
      </c>
      <c r="E33" s="233" t="n"/>
      <c r="F33" s="233" t="n"/>
      <c r="G33" s="522">
        <f>F33-E33</f>
        <v/>
      </c>
      <c r="H33" s="523">
        <f>D33*E33</f>
        <v/>
      </c>
      <c r="I33" s="523">
        <f>D33*F33</f>
        <v/>
      </c>
      <c r="J33" s="1151">
        <f>D33*$L$14*G33</f>
        <v/>
      </c>
      <c r="N33" s="546" t="n"/>
    </row>
    <row r="34">
      <c r="A34" s="1132">
        <f>'Presupuesto '!B111</f>
        <v/>
      </c>
      <c r="B34" s="581" t="n"/>
      <c r="C34" s="581" t="n"/>
      <c r="D34" s="521">
        <f>'Presupuesto '!F128/'Presupuesto '!$F$239</f>
        <v/>
      </c>
      <c r="E34" s="233" t="n"/>
      <c r="F34" s="233" t="n"/>
      <c r="G34" s="522">
        <f>F34-E34</f>
        <v/>
      </c>
      <c r="H34" s="523">
        <f>D34*E34</f>
        <v/>
      </c>
      <c r="I34" s="523">
        <f>D34*F34</f>
        <v/>
      </c>
      <c r="J34" s="1151">
        <f>D34*$L$14*G34</f>
        <v/>
      </c>
      <c r="N34" s="546" t="n"/>
    </row>
    <row r="35">
      <c r="A35" s="1132">
        <f>'Presupuesto '!B119</f>
        <v/>
      </c>
      <c r="B35" s="581" t="n"/>
      <c r="C35" s="581" t="n"/>
      <c r="D35" s="521">
        <f>'Presupuesto '!F139/'Presupuesto '!$F$239</f>
        <v/>
      </c>
      <c r="E35" s="233" t="n"/>
      <c r="F35" s="233" t="n"/>
      <c r="G35" s="522">
        <f>F35-E35</f>
        <v/>
      </c>
      <c r="H35" s="523">
        <f>D35*E35</f>
        <v/>
      </c>
      <c r="I35" s="523">
        <f>D35*F35</f>
        <v/>
      </c>
      <c r="J35" s="1151">
        <f>D35*$L$14*G35</f>
        <v/>
      </c>
      <c r="N35" s="546" t="n"/>
    </row>
    <row r="36">
      <c r="A36" s="1132">
        <f>'Presupuesto '!B129</f>
        <v/>
      </c>
      <c r="B36" s="581" t="n"/>
      <c r="C36" s="581" t="n"/>
      <c r="D36" s="521">
        <f>'Presupuesto '!F146/'Presupuesto '!$F$239</f>
        <v/>
      </c>
      <c r="E36" s="233" t="n"/>
      <c r="F36" s="233" t="n"/>
      <c r="G36" s="522">
        <f>F36-E36</f>
        <v/>
      </c>
      <c r="H36" s="523">
        <f>D36*E36</f>
        <v/>
      </c>
      <c r="I36" s="523">
        <f>D36*F36</f>
        <v/>
      </c>
      <c r="J36" s="1151">
        <f>D36*$L$14*G36</f>
        <v/>
      </c>
      <c r="N36" s="546" t="n"/>
    </row>
    <row r="37">
      <c r="A37" s="1132">
        <f>'Presupuesto '!B136</f>
        <v/>
      </c>
      <c r="B37" s="581" t="n"/>
      <c r="C37" s="581" t="n"/>
      <c r="D37" s="521">
        <f>'Presupuesto '!F161/'Presupuesto '!$F$239</f>
        <v/>
      </c>
      <c r="E37" s="233" t="n"/>
      <c r="F37" s="233" t="n"/>
      <c r="G37" s="522">
        <f>F37-E37</f>
        <v/>
      </c>
      <c r="H37" s="523">
        <f>D37*E37</f>
        <v/>
      </c>
      <c r="I37" s="523">
        <f>D37*F37</f>
        <v/>
      </c>
      <c r="J37" s="1151">
        <f>D37*$L$14*G37</f>
        <v/>
      </c>
      <c r="N37" s="546" t="n"/>
    </row>
    <row r="38">
      <c r="A38" s="1132">
        <f>'Presupuesto '!B150</f>
        <v/>
      </c>
      <c r="B38" s="581" t="n"/>
      <c r="C38" s="581" t="n"/>
      <c r="D38" s="521">
        <f>'Presupuesto '!F175/'Presupuesto '!$F$239</f>
        <v/>
      </c>
      <c r="E38" s="233" t="n"/>
      <c r="F38" s="233" t="n"/>
      <c r="G38" s="522">
        <f>F38-E38</f>
        <v/>
      </c>
      <c r="H38" s="523">
        <f>D38*E38</f>
        <v/>
      </c>
      <c r="I38" s="523">
        <f>D38*F38</f>
        <v/>
      </c>
      <c r="J38" s="1151">
        <f>D38*$L$14*G38</f>
        <v/>
      </c>
      <c r="N38" s="546" t="n"/>
    </row>
    <row r="39">
      <c r="A39" s="1132">
        <f>'Presupuesto '!B164</f>
        <v/>
      </c>
      <c r="B39" s="581" t="n"/>
      <c r="C39" s="581" t="n"/>
      <c r="D39" s="521">
        <f>'Presupuesto '!F184/'Presupuesto '!$F$239</f>
        <v/>
      </c>
      <c r="E39" s="233" t="n"/>
      <c r="F39" s="233" t="n"/>
      <c r="G39" s="522">
        <f>F39-E39</f>
        <v/>
      </c>
      <c r="H39" s="523">
        <f>D39*E39</f>
        <v/>
      </c>
      <c r="I39" s="523">
        <f>D39*F39</f>
        <v/>
      </c>
      <c r="J39" s="1151">
        <f>D39*$L$14*G39</f>
        <v/>
      </c>
      <c r="N39" s="546" t="n"/>
    </row>
    <row r="40" ht="14.4" customHeight="1" s="1223">
      <c r="A40" s="1135">
        <f>'Presupuesto '!B173</f>
        <v/>
      </c>
      <c r="B40" s="530" t="n"/>
      <c r="C40" s="530" t="n"/>
      <c r="D40" s="521">
        <f>'Presupuesto '!F191/'Presupuesto '!$F$239</f>
        <v/>
      </c>
      <c r="E40" s="233" t="n"/>
      <c r="F40" s="233" t="n"/>
      <c r="G40" s="522">
        <f>F40-E40</f>
        <v/>
      </c>
      <c r="H40" s="523">
        <f>D40*E40</f>
        <v/>
      </c>
      <c r="I40" s="523">
        <f>D40*F40</f>
        <v/>
      </c>
      <c r="J40" s="1151">
        <f>D40*$L$14*G40</f>
        <v/>
      </c>
      <c r="N40" s="546" t="n"/>
    </row>
    <row r="41">
      <c r="A41" s="1204">
        <f>'Presupuesto '!B180</f>
        <v/>
      </c>
      <c r="B41" s="1018" t="n"/>
      <c r="C41" s="1018" t="n"/>
      <c r="D41" s="521">
        <f>'Presupuesto '!F197/'Presupuesto '!$F$239</f>
        <v/>
      </c>
      <c r="E41" s="1018" t="n"/>
      <c r="F41" s="1018" t="n"/>
      <c r="G41" s="524">
        <f>F41-E41</f>
        <v/>
      </c>
      <c r="H41" s="523">
        <f>D41*E41</f>
        <v/>
      </c>
      <c r="I41" s="523">
        <f>D41*F41</f>
        <v/>
      </c>
      <c r="J41" s="1151">
        <f>D41*$L$14*G41</f>
        <v/>
      </c>
      <c r="N41" s="546" t="n"/>
    </row>
    <row r="42" ht="14.4" customHeight="1" s="1223">
      <c r="A42" s="1132">
        <f>'Presupuesto '!B186</f>
        <v/>
      </c>
      <c r="B42" s="581" t="n"/>
      <c r="C42" s="581" t="n"/>
      <c r="D42" s="521">
        <f>'Presupuesto '!F211/'Presupuesto '!$F$239</f>
        <v/>
      </c>
      <c r="E42" s="581" t="n"/>
      <c r="F42" s="581" t="n"/>
      <c r="G42" s="524">
        <f>F42-E42</f>
        <v/>
      </c>
      <c r="H42" s="523">
        <f>D42*E42</f>
        <v/>
      </c>
      <c r="I42" s="523">
        <f>D42*F42</f>
        <v/>
      </c>
      <c r="J42" s="1151">
        <f>D42*$L$14*G42</f>
        <v/>
      </c>
      <c r="N42" s="546" t="n"/>
    </row>
    <row r="43" ht="14.4" customHeight="1" s="1223">
      <c r="A43" s="1135">
        <f>'Presupuesto '!B196</f>
        <v/>
      </c>
      <c r="B43" s="530" t="n"/>
      <c r="C43" s="530" t="n"/>
      <c r="D43" s="521">
        <f>'Presupuesto '!F218/'Presupuesto '!$F$239</f>
        <v/>
      </c>
      <c r="E43" s="233" t="n"/>
      <c r="F43" s="233" t="n"/>
      <c r="G43" s="524">
        <f>F43-E43</f>
        <v/>
      </c>
      <c r="H43" s="523">
        <f>D43*E43</f>
        <v/>
      </c>
      <c r="I43" s="523">
        <f>D43*F43</f>
        <v/>
      </c>
      <c r="J43" s="1151">
        <f>D43*$L$14*G43</f>
        <v/>
      </c>
      <c r="N43" s="546" t="n"/>
    </row>
    <row r="44" ht="14.4" customHeight="1" s="1223">
      <c r="A44" s="1135">
        <f>'Presupuesto '!B203</f>
        <v/>
      </c>
      <c r="B44" s="530" t="n"/>
      <c r="C44" s="530" t="n"/>
      <c r="D44" s="521">
        <f>'Presupuesto '!F226/'Presupuesto '!$F$239</f>
        <v/>
      </c>
      <c r="E44" s="233" t="n"/>
      <c r="F44" s="233" t="n"/>
      <c r="G44" s="522">
        <f>F44-E44</f>
        <v/>
      </c>
      <c r="H44" s="523">
        <f>D44*E44</f>
        <v/>
      </c>
      <c r="I44" s="523">
        <f>D44*F44</f>
        <v/>
      </c>
      <c r="J44" s="1151">
        <f>D44*$L$14*G44</f>
        <v/>
      </c>
      <c r="N44" s="546" t="n"/>
    </row>
    <row r="45">
      <c r="A45" s="1135">
        <f>'Presupuesto '!B211</f>
        <v/>
      </c>
      <c r="B45" s="530" t="n"/>
      <c r="C45" s="530" t="n"/>
      <c r="D45" s="521">
        <f>'Presupuesto '!F230/'Presupuesto '!$F$239</f>
        <v/>
      </c>
      <c r="E45" s="530" t="n"/>
      <c r="F45" s="530" t="n"/>
      <c r="G45" s="522">
        <f>F45-E45</f>
        <v/>
      </c>
      <c r="H45" s="523">
        <f>D45*E45</f>
        <v/>
      </c>
      <c r="I45" s="523">
        <f>D45*F45</f>
        <v/>
      </c>
      <c r="J45" s="1151">
        <f>D45*$L$14*G45</f>
        <v/>
      </c>
      <c r="N45" s="546" t="n"/>
    </row>
    <row r="46" ht="14.4" customHeight="1" s="1223">
      <c r="A46" s="1135">
        <f>'Presupuesto '!B215</f>
        <v/>
      </c>
      <c r="B46" s="530" t="n"/>
      <c r="C46" s="530" t="n"/>
      <c r="D46" s="521">
        <f>'Presupuesto '!F237/'Presupuesto '!$F$239</f>
        <v/>
      </c>
      <c r="E46" s="233" t="n"/>
      <c r="F46" s="233"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149" t="inlineStr">
        <is>
          <t>OBSERVACIONES</t>
        </is>
      </c>
      <c r="L49" s="581" t="n"/>
      <c r="M49" s="581" t="n"/>
      <c r="N49" s="582" t="n"/>
    </row>
    <row r="50">
      <c r="A50" s="1210" t="n"/>
      <c r="B50" s="1079" t="n"/>
      <c r="C50" s="1129" t="n"/>
      <c r="D50" s="530" t="n"/>
      <c r="E50" s="530" t="n"/>
      <c r="F50" s="530" t="n"/>
      <c r="G50" s="1199" t="n"/>
      <c r="H50" s="530" t="n"/>
      <c r="I50" s="1079" t="n"/>
      <c r="J50" s="1079" t="n"/>
      <c r="K50" s="1181" t="n"/>
      <c r="L50" s="1079" t="n"/>
      <c r="M50" s="1079" t="n"/>
      <c r="N50" s="1115" t="n"/>
    </row>
    <row r="51">
      <c r="A51" s="1136" t="n"/>
      <c r="B51" s="1088" t="n"/>
      <c r="C51" s="1129" t="n"/>
      <c r="D51" s="530" t="n"/>
      <c r="E51" s="530" t="n"/>
      <c r="F51" s="530" t="n"/>
      <c r="G51" s="1199" t="n"/>
      <c r="H51" s="530" t="n"/>
      <c r="I51" s="1200" t="n"/>
      <c r="J51" s="1088" t="n"/>
      <c r="K51" s="1175" t="n"/>
      <c r="L51" s="1088" t="n"/>
      <c r="M51" s="1088" t="n"/>
      <c r="N51" s="1176" t="n"/>
    </row>
    <row r="52">
      <c r="A52" s="1143" t="n"/>
      <c r="B52" s="530" t="n"/>
      <c r="C52" s="1129" t="n"/>
      <c r="D52" s="530" t="n"/>
      <c r="E52" s="530" t="n"/>
      <c r="F52" s="530" t="n"/>
      <c r="G52" s="1199" t="n"/>
      <c r="H52" s="530" t="n"/>
      <c r="I52" s="1153" t="n"/>
      <c r="J52" s="530" t="n"/>
      <c r="K52" s="1164" t="n"/>
      <c r="L52" s="530" t="n"/>
      <c r="M52" s="530" t="n"/>
      <c r="N52" s="579" t="n"/>
    </row>
    <row r="53">
      <c r="A53" s="1143" t="n"/>
      <c r="B53" s="530" t="n"/>
      <c r="C53" s="1129" t="n"/>
      <c r="D53" s="530" t="n"/>
      <c r="E53" s="530" t="n"/>
      <c r="F53" s="530" t="n"/>
      <c r="G53" s="1150" t="n"/>
      <c r="H53" s="530" t="n"/>
      <c r="I53" s="1153" t="n"/>
      <c r="J53" s="530" t="n"/>
      <c r="K53" s="1164" t="n"/>
      <c r="L53" s="530" t="n"/>
      <c r="M53" s="530" t="n"/>
      <c r="N53" s="579" t="n"/>
      <c r="S53" s="13" t="n"/>
    </row>
    <row r="54">
      <c r="A54" s="1143" t="n"/>
      <c r="B54" s="530" t="n"/>
      <c r="C54" s="1129" t="n"/>
      <c r="D54" s="530" t="n"/>
      <c r="E54" s="530" t="n"/>
      <c r="F54" s="530" t="n"/>
      <c r="G54" s="1150" t="n"/>
      <c r="H54" s="530" t="n"/>
      <c r="I54" s="1153" t="n"/>
      <c r="J54" s="530" t="n"/>
      <c r="K54" s="1164" t="n"/>
      <c r="L54" s="530" t="n"/>
      <c r="M54" s="530" t="n"/>
      <c r="N54" s="579" t="n"/>
    </row>
    <row r="55">
      <c r="A55" s="1143" t="n"/>
      <c r="B55" s="530" t="n"/>
      <c r="C55" s="1129" t="n"/>
      <c r="D55" s="530" t="n"/>
      <c r="E55" s="530" t="n"/>
      <c r="F55" s="530" t="n"/>
      <c r="G55" s="1150" t="n"/>
      <c r="H55" s="530" t="n"/>
      <c r="I55" s="1153" t="n"/>
      <c r="J55" s="530" t="n"/>
      <c r="K55" s="1164" t="n"/>
      <c r="L55" s="530" t="n"/>
      <c r="M55" s="530" t="n"/>
      <c r="N55" s="579" t="n"/>
    </row>
    <row r="56">
      <c r="A56" s="1143" t="n"/>
      <c r="B56" s="530" t="n"/>
      <c r="C56" s="1129" t="n"/>
      <c r="D56" s="530" t="n"/>
      <c r="E56" s="530" t="n"/>
      <c r="F56" s="530" t="n"/>
      <c r="G56" s="1150" t="n"/>
      <c r="H56" s="530" t="n"/>
      <c r="I56" s="1153" t="n"/>
      <c r="J56" s="530" t="n"/>
      <c r="K56" s="1164" t="n"/>
      <c r="L56" s="530" t="n"/>
      <c r="M56" s="530" t="n"/>
      <c r="N56" s="579" t="n"/>
    </row>
    <row r="57">
      <c r="A57" s="1143" t="n"/>
      <c r="B57" s="530" t="n"/>
      <c r="C57" s="1129" t="n"/>
      <c r="D57" s="530" t="n"/>
      <c r="E57" s="530" t="n"/>
      <c r="F57" s="530" t="n"/>
      <c r="G57" s="1150" t="n"/>
      <c r="H57" s="530" t="n"/>
      <c r="I57" s="1153" t="n"/>
      <c r="J57" s="530" t="n"/>
      <c r="K57" s="1164" t="n"/>
      <c r="L57" s="530" t="n"/>
      <c r="M57" s="530" t="n"/>
      <c r="N57" s="579" t="n"/>
    </row>
    <row r="58">
      <c r="A58" s="1143" t="n"/>
      <c r="B58" s="530" t="n"/>
      <c r="C58" s="1129" t="n"/>
      <c r="D58" s="530" t="n"/>
      <c r="E58" s="530" t="n"/>
      <c r="F58" s="530" t="n"/>
      <c r="G58" s="1150" t="n"/>
      <c r="H58" s="530" t="n"/>
      <c r="I58" s="1153" t="n"/>
      <c r="J58" s="530" t="n"/>
      <c r="K58" s="1164"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449" t="inlineStr">
        <is>
          <t>FECHA</t>
        </is>
      </c>
      <c r="E61" s="1189" t="inlineStr">
        <is>
          <t>VALOR ($)</t>
        </is>
      </c>
      <c r="F61" s="530" t="n"/>
      <c r="G61" s="450" t="n"/>
      <c r="H61" s="1189" t="inlineStr">
        <is>
          <t>CONCEPTO</t>
        </is>
      </c>
      <c r="I61" s="530" t="n"/>
      <c r="J61" s="530" t="n"/>
      <c r="K61" s="1211" t="inlineStr">
        <is>
          <t>FECHA</t>
        </is>
      </c>
      <c r="L61" s="581" t="n"/>
      <c r="M61" s="1212" t="inlineStr">
        <is>
          <t>VALOR ($)</t>
        </is>
      </c>
      <c r="N61" s="582" t="n"/>
    </row>
    <row r="62">
      <c r="A62" s="1154" t="n"/>
      <c r="B62" s="530" t="n"/>
      <c r="C62" s="530" t="n"/>
      <c r="D62" s="1171" t="n"/>
      <c r="E62" s="1137" t="n"/>
      <c r="F62" s="530" t="n"/>
      <c r="G62" s="448" t="n"/>
      <c r="H62" s="1144" t="n"/>
      <c r="I62" s="530" t="n"/>
      <c r="J62" s="530" t="n"/>
      <c r="K62" s="1171" t="n"/>
      <c r="L62" s="530" t="n"/>
      <c r="M62" s="1165" t="n"/>
      <c r="N62" s="579" t="n"/>
    </row>
    <row r="63">
      <c r="A63" s="1154" t="n"/>
      <c r="B63" s="530" t="n"/>
      <c r="C63" s="530" t="n"/>
      <c r="D63" s="1171" t="n"/>
      <c r="E63" s="1137" t="n"/>
      <c r="F63" s="530" t="n"/>
      <c r="G63" s="448" t="n"/>
      <c r="H63" s="1144" t="n"/>
      <c r="I63" s="530" t="n"/>
      <c r="J63" s="530" t="n"/>
      <c r="K63" s="1171" t="n"/>
      <c r="L63" s="530" t="n"/>
      <c r="M63" s="1165" t="n"/>
      <c r="N63" s="579" t="n"/>
    </row>
    <row r="64">
      <c r="A64" s="1154" t="n"/>
      <c r="B64" s="530" t="n"/>
      <c r="C64" s="530" t="n"/>
      <c r="D64" s="1171" t="n"/>
      <c r="E64" s="1137" t="n"/>
      <c r="F64" s="530" t="n"/>
      <c r="G64" s="448" t="n"/>
      <c r="H64" s="1144" t="n"/>
      <c r="I64" s="530" t="n"/>
      <c r="J64" s="530" t="n"/>
      <c r="K64" s="1171" t="n"/>
      <c r="L64" s="530" t="n"/>
      <c r="M64" s="1165" t="n"/>
      <c r="N64" s="579" t="n"/>
    </row>
    <row r="65">
      <c r="A65" s="1154" t="n"/>
      <c r="B65" s="530" t="n"/>
      <c r="C65" s="530" t="n"/>
      <c r="D65" s="1171" t="n"/>
      <c r="E65" s="1137" t="n"/>
      <c r="F65" s="530" t="n"/>
      <c r="G65" s="448" t="n"/>
      <c r="H65" s="1144" t="n"/>
      <c r="I65" s="530" t="n"/>
      <c r="J65" s="530" t="n"/>
      <c r="K65" s="1171" t="n"/>
      <c r="L65" s="530" t="n"/>
      <c r="M65" s="1165" t="n"/>
      <c r="N65" s="579" t="n"/>
    </row>
    <row r="66">
      <c r="A66" s="1154" t="n"/>
      <c r="B66" s="530" t="n"/>
      <c r="C66" s="530" t="n"/>
      <c r="D66" s="1171" t="n"/>
      <c r="E66" s="1137" t="n"/>
      <c r="F66" s="530" t="n"/>
      <c r="G66" s="448" t="n"/>
      <c r="H66" s="1144" t="n"/>
      <c r="I66" s="530" t="n"/>
      <c r="J66" s="530" t="n"/>
      <c r="K66" s="1171" t="n"/>
      <c r="L66" s="530" t="n"/>
      <c r="M66" s="1165" t="n"/>
      <c r="N66" s="579" t="n"/>
    </row>
    <row r="67" ht="14.4" customHeight="1" s="1223">
      <c r="A67" s="1208" t="inlineStr">
        <is>
          <t>TOTAL INGRESOS</t>
        </is>
      </c>
      <c r="B67" s="1169" t="n"/>
      <c r="C67" s="1169" t="n"/>
      <c r="D67" s="1169" t="n"/>
      <c r="E67" s="1168">
        <f>SUM(E62:F66)</f>
        <v/>
      </c>
      <c r="F67" s="1169" t="n"/>
      <c r="G67" s="452" t="n"/>
      <c r="H67" s="1186" t="inlineStr">
        <is>
          <t>TOTAL EGRESOS</t>
        </is>
      </c>
      <c r="I67" s="1018" t="n"/>
      <c r="J67" s="1018" t="n"/>
      <c r="K67" s="1018" t="n"/>
      <c r="L67" s="1018" t="n"/>
      <c r="M67" s="119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158" t="inlineStr">
        <is>
          <t>OBSERVACIONES HSE</t>
        </is>
      </c>
      <c r="N71" s="546" t="n"/>
    </row>
    <row r="72">
      <c r="A72" s="1203"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020" t="n"/>
      <c r="G86" s="741" t="n"/>
      <c r="H86" s="739" t="n"/>
      <c r="N86" s="741" t="n"/>
    </row>
    <row r="87">
      <c r="A87" s="1020" t="n"/>
      <c r="G87" s="741" t="n"/>
      <c r="H87" s="739" t="n"/>
      <c r="N87" s="741" t="n"/>
    </row>
    <row r="88">
      <c r="A88" s="1160" t="n"/>
      <c r="B88" s="743" t="n"/>
      <c r="C88" s="743" t="n"/>
      <c r="D88" s="743" t="n"/>
      <c r="E88" s="743" t="n"/>
      <c r="F88" s="743" t="n"/>
      <c r="G88" s="744" t="n"/>
      <c r="H88" s="742" t="n"/>
      <c r="I88" s="743" t="n"/>
      <c r="J88" s="743" t="n"/>
      <c r="K88" s="743" t="n"/>
      <c r="L88" s="743" t="n"/>
      <c r="M88" s="743" t="n"/>
      <c r="N88" s="744" t="n"/>
    </row>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020" t="n"/>
      <c r="G102" s="741" t="n"/>
      <c r="H102" s="739" t="n"/>
      <c r="N102" s="741" t="n"/>
    </row>
    <row r="103">
      <c r="A103" s="1020" t="n"/>
      <c r="G103" s="741" t="n"/>
      <c r="H103" s="739" t="n"/>
      <c r="N103" s="741" t="n"/>
    </row>
    <row r="104">
      <c r="A104" s="1160" t="n"/>
      <c r="B104" s="743" t="n"/>
      <c r="C104" s="743" t="n"/>
      <c r="D104" s="743" t="n"/>
      <c r="E104" s="743" t="n"/>
      <c r="F104" s="743" t="n"/>
      <c r="G104" s="744" t="n"/>
      <c r="H104" s="742" t="n"/>
      <c r="I104" s="743" t="n"/>
      <c r="J104" s="743" t="n"/>
      <c r="K104" s="743" t="n"/>
      <c r="L104" s="743" t="n"/>
      <c r="M104" s="743" t="n"/>
      <c r="N104" s="744" t="n"/>
    </row>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020" t="n"/>
      <c r="G118" s="741" t="n"/>
      <c r="H118" s="739" t="n"/>
      <c r="N118" s="741" t="n"/>
    </row>
    <row r="119">
      <c r="A119" s="1020" t="n"/>
      <c r="G119" s="741" t="n"/>
      <c r="H119" s="739" t="n"/>
      <c r="N119" s="741" t="n"/>
    </row>
    <row r="120">
      <c r="A120" s="1160" t="n"/>
      <c r="B120" s="743" t="n"/>
      <c r="C120" s="743" t="n"/>
      <c r="D120" s="743" t="n"/>
      <c r="E120" s="743" t="n"/>
      <c r="F120" s="743" t="n"/>
      <c r="G120" s="744" t="n"/>
      <c r="H120" s="742" t="n"/>
      <c r="I120" s="743" t="n"/>
      <c r="J120" s="743" t="n"/>
      <c r="K120" s="743" t="n"/>
      <c r="L120" s="743" t="n"/>
      <c r="M120" s="743" t="n"/>
      <c r="N120" s="744" t="n"/>
    </row>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15">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A64:C64"/>
    <mergeCell ref="J47:N47"/>
    <mergeCell ref="G51:H51"/>
    <mergeCell ref="H63:J63"/>
    <mergeCell ref="I51:J51"/>
    <mergeCell ref="A122:N122"/>
    <mergeCell ref="H89:N104"/>
    <mergeCell ref="G54:H54"/>
    <mergeCell ref="J43:N43"/>
    <mergeCell ref="K65:L65"/>
    <mergeCell ref="A61:C61"/>
    <mergeCell ref="A72:N72"/>
    <mergeCell ref="E15:H15"/>
    <mergeCell ref="G50:H50"/>
    <mergeCell ref="H73:N88"/>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J36:N36"/>
    <mergeCell ref="I53:J53"/>
    <mergeCell ref="A35:C35"/>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2026-09-19T00:52:44Z</dcterms:modified>
  <cp:lastModifiedBy>Hugo Fernando Hurtado Ruiz</cp:lastModifiedBy>
  <cp:revision>1</cp:revision>
  <cp:lastPrinted>2026-09-14T01:27:33Z</cp:lastPrinted>
</cp:coreProperties>
</file>