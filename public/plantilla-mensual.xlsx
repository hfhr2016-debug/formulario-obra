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1"/>
    <sheet name="Presupuesto " sheetId="2" r:id="rId12"/>
    <sheet name="Informe Mensual" sheetId="3" r:id="rId19"/>
  </sheets>
  <calcPr calcId="191029" fullCalcOnLoad="1" iterateDelta="0.0001"/>
</workbook>
</file>

<file path=xl/styles.xml><?xml version="1.0" encoding="utf-8"?>
<styleSheet xmlns="http://schemas.openxmlformats.org/spreadsheetml/2006/main">
  <numFmts count="9">
    <numFmt numFmtId="164" formatCode="0.0%"/>
    <numFmt numFmtId="165" formatCode="dd/mm/yyyy"/>
    <numFmt numFmtId="166" formatCode="&quot;$ &quot;#,##0"/>
    <numFmt numFmtId="167" formatCode="\$\ #,##0.00"/>
    <numFmt numFmtId="168" formatCode="_-&quot;$ &quot;* #,##0.00_-;&quot;-$ &quot;* #,##0.00_-;_-&quot;$ &quot;* \-??_-;_-@_-"/>
    <numFmt numFmtId="169" formatCode="0.000"/>
    <numFmt numFmtId="170" formatCode="&quot;$&quot;\ #,##0.00"/>
    <numFmt numFmtId="171" formatCode="\$\ #,##0"/>
    <numFmt numFmtId="172" formatCode="$ #,##0"/>
  </numFmts>
  <fonts count="167">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b val="1"/>
      <color theme="1"/>
      <sz val="12"/>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000000"/>
      <sz val="10"/>
    </font>
    <font>
      <name val="Calibri"/>
      <color rgb="FF8A8F99"/>
      <sz val="8"/>
    </font>
    <font>
      <i val="1"/>
      <color rgb="006B7280"/>
      <sz val="8"/>
    </font>
    <font>
      <color rgb="00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22">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style="thin">
        <color rgb="FF002060"/>
      </top>
      <bottom style="thin">
        <color rgb="FF002060"/>
      </bottom>
      <diagonal/>
    </border>
    <border>
      <left/>
      <right style="thin">
        <color rgb="FFB7C3D0"/>
      </right>
      <top style="thin">
        <color rgb="FF002060"/>
      </top>
      <bottom style="thin">
        <color rgb="FF002060"/>
      </bottom>
      <diagonal/>
    </border>
    <border>
      <left style="thin">
        <color rgb="FFB8C2CC"/>
      </left>
      <right style="thin">
        <color rgb="FFB8C2CC"/>
      </right>
      <top style="thin">
        <color rgb="FFB8C2CC"/>
      </top>
      <bottom style="thin">
        <color rgb="FFB8C2CC"/>
      </bottom>
      <diagonal/>
    </border>
    <border>
      <left style="thin">
        <color rgb="FFC9A227"/>
      </left>
      <right style="thin">
        <color rgb="FFC9A227"/>
      </right>
      <top style="thin">
        <color rgb="FFC9A227"/>
      </top>
      <bottom style="thin">
        <color rgb="FFC9A227"/>
      </bottom>
      <diagonal/>
    </border>
    <border>
      <left/>
      <right/>
      <top style="thin">
        <color rgb="FFC9A227"/>
      </top>
      <bottom/>
      <diagonal/>
    </border>
    <border>
      <left/>
      <right style="thin">
        <color rgb="FFC9A227"/>
      </right>
      <top style="thin">
        <color rgb="FFC9A227"/>
      </top>
      <bottom/>
      <diagonal/>
    </border>
    <border>
      <left style="thin">
        <color rgb="FFC9A227"/>
      </left>
      <right/>
      <top/>
      <bottom style="thin">
        <color rgb="FFC9A227"/>
      </bottom>
      <diagonal/>
    </border>
    <border>
      <left/>
      <right/>
      <top/>
      <bottom style="thin">
        <color rgb="FFC9A227"/>
      </bottom>
      <diagonal/>
    </border>
    <border>
      <left/>
      <right style="thin">
        <color rgb="FFC9A227"/>
      </right>
      <top/>
      <bottom style="thin">
        <color rgb="FFC9A227"/>
      </bottom>
      <diagonal/>
    </border>
    <border>
      <left/>
      <right style="thin">
        <color theme="0"/>
      </right>
      <top style="thin">
        <color theme="0" tint="-0.249946592608417"/>
      </top>
      <bottom style="thin">
        <color theme="3" tint="0.5999633777886288"/>
      </bottom>
      <diagonal/>
    </border>
    <border>
      <left/>
      <right style="thick">
        <color rgb="FF17365D"/>
      </right>
      <top/>
      <bottom/>
      <diagonal/>
    </border>
    <border>
      <left style="thin">
        <color theme="0"/>
      </left>
      <right style="thin">
        <color theme="0"/>
      </right>
      <top style="thin">
        <color theme="0" tint="-0.249946592608417"/>
      </top>
      <bottom style="thin">
        <color theme="3" tint="0.5999633777886288"/>
      </bottom>
      <diagonal/>
    </border>
    <border>
      <left/>
      <right style="thin">
        <color theme="0"/>
      </right>
      <top style="thin">
        <color theme="0" tint="-0.249946592608417"/>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right style="medium">
        <color theme="4" tint="0.5999633777886288"/>
      </right>
      <top style="medium">
        <color rgb="FF17365D"/>
      </top>
      <bottom/>
      <diagonal/>
    </border>
    <border>
      <left/>
      <right style="medium">
        <color theme="4" tint="0.5999633777886288"/>
      </right>
      <top style="thin">
        <color theme="4" tint="0.5999633777886288"/>
      </top>
      <bottom/>
      <diagonal/>
    </border>
    <border>
      <left/>
      <right style="thin">
        <color rgb="FFB7C3D0"/>
      </right>
      <top style="thin">
        <color rgb="FF002060"/>
      </top>
      <bottom/>
      <diagonal/>
    </border>
    <border>
      <left style="thin">
        <color theme="4" tint="0.5998718222602009"/>
      </left>
      <right/>
      <top/>
      <bottom/>
      <diagonal/>
    </border>
    <border>
      <left/>
      <right style="thin">
        <color theme="4" tint="0.5998718222602009"/>
      </right>
      <top/>
      <bottom/>
      <diagonal/>
    </border>
    <border>
      <left style="thin">
        <color rgb="FFC9A227"/>
      </left>
      <right/>
      <top/>
      <bottom/>
      <diagonal/>
    </border>
    <border>
      <left/>
      <right style="thin">
        <color rgb="FFC9A227"/>
      </right>
      <top/>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right style="thin">
        <color theme="0" tint="-0.3499862666707358"/>
      </right>
      <top/>
      <bottom style="thin">
        <color theme="4" tint="0.5999633777886288"/>
      </bottom>
    </border>
    <border>
      <left/>
      <right style="thin">
        <color theme="0" tint="-0.3499862666707358"/>
      </right>
      <top style="thin">
        <color theme="4" tint="0.5999633777886288"/>
      </top>
      <bottom style="thin">
        <color theme="4" tint="0.5999633777886288"/>
      </bottom>
    </border>
  </borders>
  <cellStyleXfs count="5">
    <xf numFmtId="0" fontId="28" fillId="0" borderId="0"/>
    <xf numFmtId="0" fontId="28" fillId="0" borderId="0"/>
    <xf numFmtId="0" fontId="28" fillId="0" borderId="0"/>
    <xf numFmtId="0" fontId="28" fillId="0" borderId="0"/>
    <xf numFmtId="0" fontId="6" fillId="0" borderId="0"/>
  </cellStyleXfs>
  <cellXfs count="1447">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7" applyAlignment="1" pivotButton="0" quotePrefix="0" xfId="0">
      <alignment horizontal="center"/>
    </xf>
    <xf numFmtId="0" fontId="15" fillId="2" borderId="108" applyAlignment="1" pivotButton="0" quotePrefix="0" xfId="0">
      <alignment horizontal="center"/>
    </xf>
    <xf numFmtId="0" fontId="16" fillId="36" borderId="108" applyAlignment="1" pivotButton="0" quotePrefix="0" xfId="0">
      <alignment horizontal="center"/>
    </xf>
    <xf numFmtId="0" fontId="17" fillId="7" borderId="108" applyAlignment="1" pivotButton="0" quotePrefix="0" xfId="0">
      <alignment horizontal="center"/>
    </xf>
    <xf numFmtId="0" fontId="17" fillId="6" borderId="108" applyAlignment="1" pivotButton="0" quotePrefix="0" xfId="0">
      <alignment horizontal="center"/>
    </xf>
    <xf numFmtId="0" fontId="17" fillId="0" borderId="108" applyAlignment="1" pivotButton="0" quotePrefix="0" xfId="0">
      <alignment horizontal="center"/>
    </xf>
    <xf numFmtId="0" fontId="13" fillId="2" borderId="108" applyAlignment="1" pivotButton="0" quotePrefix="0" xfId="0">
      <alignment horizontal="center"/>
    </xf>
    <xf numFmtId="0" fontId="85"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0" applyAlignment="1" pivotButton="0" quotePrefix="0" xfId="3">
      <alignment vertical="center"/>
    </xf>
    <xf numFmtId="0" fontId="0" fillId="0" borderId="119" pivotButton="0" quotePrefix="0" xfId="3"/>
    <xf numFmtId="0" fontId="0" fillId="0" borderId="104" pivotButton="0" quotePrefix="0" xfId="3"/>
    <xf numFmtId="0" fontId="23" fillId="10" borderId="119" applyAlignment="1" pivotButton="0" quotePrefix="0" xfId="3">
      <alignment horizontal="center"/>
    </xf>
    <xf numFmtId="0" fontId="77" fillId="40" borderId="122"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7" fillId="0" borderId="0" pivotButton="0" quotePrefix="0" xfId="0"/>
    <xf numFmtId="0" fontId="89" fillId="0" borderId="0" pivotButton="0" quotePrefix="0" xfId="0"/>
    <xf numFmtId="0" fontId="87" fillId="0" borderId="60" pivotButton="0" quotePrefix="0" xfId="0"/>
    <xf numFmtId="0" fontId="89" fillId="0" borderId="60" pivotButton="0" quotePrefix="0" xfId="0"/>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7"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6" fillId="0" borderId="29" applyAlignment="1" pivotButton="0" quotePrefix="0" xfId="0">
      <alignment horizontal="center" vertical="center"/>
    </xf>
    <xf numFmtId="0" fontId="96" fillId="17" borderId="29" applyAlignment="1" pivotButton="0" quotePrefix="0" xfId="0">
      <alignment horizontal="center" vertical="center"/>
    </xf>
    <xf numFmtId="0" fontId="7" fillId="0" borderId="0" pivotButton="0" quotePrefix="0" xfId="0"/>
    <xf numFmtId="0" fontId="98" fillId="0" borderId="0" pivotButton="0" quotePrefix="0" xfId="0"/>
    <xf numFmtId="0" fontId="95"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7" applyAlignment="1" pivotButton="0" quotePrefix="0" xfId="1">
      <alignment vertical="center"/>
    </xf>
    <xf numFmtId="0" fontId="0" fillId="43" borderId="60" pivotButton="0" quotePrefix="0" xfId="0"/>
    <xf numFmtId="0" fontId="0" fillId="43" borderId="117"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3" fillId="28" borderId="33" applyAlignment="1" pivotButton="0" quotePrefix="0" xfId="1">
      <alignment vertical="top"/>
    </xf>
    <xf numFmtId="0" fontId="103"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4" applyAlignment="1" pivotButton="0" quotePrefix="0" xfId="3">
      <alignment horizontal="center" vertical="center"/>
    </xf>
    <xf numFmtId="0" fontId="16" fillId="36" borderId="107"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09" applyAlignment="1" pivotButton="0" quotePrefix="0" xfId="0">
      <alignment horizontal="center"/>
    </xf>
    <xf numFmtId="0" fontId="55" fillId="20" borderId="110" applyAlignment="1" pivotButton="0" quotePrefix="0" xfId="0">
      <alignment horizontal="left" vertical="center"/>
    </xf>
    <xf numFmtId="0" fontId="55" fillId="20" borderId="110" applyAlignment="1" pivotButton="0" quotePrefix="0" xfId="0">
      <alignment horizontal="center" vertical="center"/>
    </xf>
    <xf numFmtId="0" fontId="83" fillId="4" borderId="0" applyAlignment="1" pivotButton="0" quotePrefix="0" xfId="3">
      <alignment vertical="center"/>
    </xf>
    <xf numFmtId="0" fontId="17" fillId="7" borderId="141"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2" applyAlignment="1" pivotButton="0" quotePrefix="0" xfId="0">
      <alignment horizontal="center"/>
    </xf>
    <xf numFmtId="0" fontId="43" fillId="7" borderId="143" applyAlignment="1" pivotButton="0" quotePrefix="0" xfId="0">
      <alignment horizontal="left" indent="3"/>
    </xf>
    <xf numFmtId="0" fontId="43" fillId="7" borderId="143" applyAlignment="1" pivotButton="0" quotePrefix="0" xfId="0">
      <alignment horizontal="center"/>
    </xf>
    <xf numFmtId="0" fontId="17" fillId="6" borderId="145" applyAlignment="1" pivotButton="0" quotePrefix="0" xfId="0">
      <alignment horizontal="center"/>
    </xf>
    <xf numFmtId="0" fontId="17" fillId="7" borderId="145" applyAlignment="1" pivotButton="0" quotePrefix="0" xfId="0">
      <alignment horizontal="center"/>
    </xf>
    <xf numFmtId="0" fontId="15" fillId="2" borderId="145" applyAlignment="1" pivotButton="0" quotePrefix="0" xfId="0">
      <alignment horizontal="center"/>
    </xf>
    <xf numFmtId="0" fontId="17" fillId="0" borderId="145" applyAlignment="1" pivotButton="0" quotePrefix="0" xfId="0">
      <alignment horizontal="center"/>
    </xf>
    <xf numFmtId="0" fontId="17" fillId="7" borderId="146" applyAlignment="1" pivotButton="0" quotePrefix="0" xfId="0">
      <alignment horizontal="center"/>
    </xf>
    <xf numFmtId="0" fontId="43" fillId="7" borderId="147" applyAlignment="1" pivotButton="0" quotePrefix="0" xfId="0">
      <alignment horizontal="left" indent="3"/>
    </xf>
    <xf numFmtId="0" fontId="43" fillId="7" borderId="147" applyAlignment="1" pivotButton="0" quotePrefix="0" xfId="0">
      <alignment horizontal="center"/>
    </xf>
    <xf numFmtId="0" fontId="23" fillId="10" borderId="135"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09" fillId="28" borderId="0" pivotButton="0" quotePrefix="0" xfId="2"/>
    <xf numFmtId="0" fontId="110" fillId="28" borderId="0" pivotButton="0" quotePrefix="0" xfId="2"/>
    <xf numFmtId="0" fontId="111" fillId="42" borderId="101" applyAlignment="1" pivotButton="0" quotePrefix="0" xfId="3">
      <alignment horizontal="center" vertical="center"/>
    </xf>
    <xf numFmtId="0" fontId="77" fillId="10" borderId="134" applyAlignment="1" pivotButton="0" quotePrefix="0" xfId="3">
      <alignment horizontal="left" vertical="center"/>
    </xf>
    <xf numFmtId="0" fontId="77" fillId="10" borderId="149" applyAlignment="1" pivotButton="0" quotePrefix="0" xfId="3">
      <alignment horizontal="left" vertical="center"/>
    </xf>
    <xf numFmtId="0" fontId="91" fillId="20" borderId="152" applyAlignment="1" pivotButton="0" quotePrefix="0" xfId="0">
      <alignment horizontal="center" vertical="center" wrapText="1"/>
    </xf>
    <xf numFmtId="0" fontId="91" fillId="20" borderId="153" applyAlignment="1" pivotButton="0" quotePrefix="0" xfId="0">
      <alignment horizontal="center" vertical="center" wrapText="1"/>
    </xf>
    <xf numFmtId="0" fontId="62" fillId="0" borderId="152" pivotButton="0" quotePrefix="0" xfId="0"/>
    <xf numFmtId="0" fontId="62" fillId="0" borderId="153" pivotButton="0" quotePrefix="0" xfId="0"/>
    <xf numFmtId="0" fontId="47" fillId="3" borderId="152" pivotButton="0" quotePrefix="0" xfId="0"/>
    <xf numFmtId="0" fontId="49" fillId="3" borderId="153" pivotButton="0" quotePrefix="0" xfId="0"/>
    <xf numFmtId="0" fontId="46" fillId="0" borderId="150" pivotButton="0" quotePrefix="0" xfId="0"/>
    <xf numFmtId="0" fontId="46" fillId="0" borderId="152" pivotButton="0" quotePrefix="0" xfId="0"/>
    <xf numFmtId="0" fontId="46" fillId="0" borderId="153" pivotButton="0" quotePrefix="0" xfId="0"/>
    <xf numFmtId="0" fontId="46" fillId="20" borderId="154" applyAlignment="1" pivotButton="0" quotePrefix="0" xfId="0">
      <alignment vertical="center"/>
    </xf>
    <xf numFmtId="0" fontId="55" fillId="20" borderId="155" applyAlignment="1" pivotButton="0" quotePrefix="0" xfId="0">
      <alignment vertical="center"/>
    </xf>
    <xf numFmtId="0" fontId="64" fillId="20" borderId="155" applyAlignment="1" pivotButton="0" quotePrefix="0" xfId="0">
      <alignment vertical="center"/>
    </xf>
    <xf numFmtId="0" fontId="0" fillId="43" borderId="0" applyAlignment="1" pivotButton="0" quotePrefix="0" xfId="0">
      <alignment vertical="center"/>
    </xf>
    <xf numFmtId="0" fontId="77" fillId="10" borderId="120" applyAlignment="1" pivotButton="0" quotePrefix="0" xfId="3">
      <alignment horizontal="left" vertical="center"/>
    </xf>
    <xf numFmtId="0" fontId="66" fillId="20" borderId="114"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5" fillId="5" borderId="114" applyAlignment="1" pivotButton="0" quotePrefix="0" xfId="0">
      <alignment horizontal="center" vertical="center"/>
    </xf>
    <xf numFmtId="0" fontId="110"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4" applyAlignment="1" pivotButton="0" quotePrefix="0" xfId="0">
      <alignment horizontal="center" vertical="center" wrapText="1"/>
    </xf>
    <xf numFmtId="0" fontId="54" fillId="57" borderId="110" applyAlignment="1" pivotButton="0" quotePrefix="0" xfId="0">
      <alignment horizontal="center" vertical="center" wrapText="1"/>
    </xf>
    <xf numFmtId="0" fontId="54" fillId="57" borderId="111" applyAlignment="1" pivotButton="0" quotePrefix="0" xfId="0">
      <alignment horizontal="center" vertical="center" wrapText="1"/>
    </xf>
    <xf numFmtId="0" fontId="84" fillId="58" borderId="105"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2" fillId="59" borderId="0" applyAlignment="1" pivotButton="0" quotePrefix="0" xfId="0">
      <alignment horizontal="left" vertical="center"/>
    </xf>
    <xf numFmtId="0" fontId="122" fillId="0" borderId="91" applyAlignment="1" pivotButton="0" quotePrefix="0" xfId="0">
      <alignment horizontal="center"/>
    </xf>
    <xf numFmtId="0" fontId="122" fillId="0" borderId="0" applyAlignment="1" pivotButton="0" quotePrefix="0" xfId="0">
      <alignment horizontal="center"/>
    </xf>
    <xf numFmtId="0" fontId="122" fillId="0" borderId="0" pivotButton="0" quotePrefix="0" xfId="0"/>
    <xf numFmtId="0" fontId="119" fillId="0" borderId="92" applyAlignment="1" pivotButton="0" quotePrefix="0" xfId="1">
      <alignment horizontal="left" vertical="center"/>
    </xf>
    <xf numFmtId="0" fontId="122" fillId="0" borderId="0" applyAlignment="1" pivotButton="0" quotePrefix="0" xfId="1">
      <alignment horizontal="left" vertical="center"/>
    </xf>
    <xf numFmtId="0" fontId="122" fillId="0" borderId="92" applyAlignment="1" pivotButton="0" quotePrefix="0" xfId="1">
      <alignment horizontal="left" vertical="center"/>
    </xf>
    <xf numFmtId="0" fontId="122" fillId="4" borderId="100" applyAlignment="1" pivotButton="0" quotePrefix="0" xfId="3">
      <alignment horizontal="center" vertical="center"/>
    </xf>
    <xf numFmtId="0" fontId="118" fillId="53" borderId="167" applyAlignment="1" pivotButton="0" quotePrefix="0" xfId="4">
      <alignment vertical="center" wrapText="1"/>
    </xf>
    <xf numFmtId="0" fontId="118" fillId="53" borderId="173" applyAlignment="1" pivotButton="0" quotePrefix="0" xfId="4">
      <alignment vertical="center" wrapText="1"/>
    </xf>
    <xf numFmtId="0" fontId="30" fillId="0" borderId="178" applyAlignment="1" pivotButton="0" quotePrefix="0" xfId="4">
      <alignment vertical="center"/>
    </xf>
    <xf numFmtId="0" fontId="4" fillId="0" borderId="0" pivotButton="0" quotePrefix="0" xfId="4"/>
    <xf numFmtId="2" fontId="126" fillId="55" borderId="187" applyAlignment="1" pivotButton="0" quotePrefix="0" xfId="4">
      <alignment vertical="center" wrapText="1"/>
    </xf>
    <xf numFmtId="2" fontId="126" fillId="55" borderId="178" applyAlignment="1" pivotButton="0" quotePrefix="0" xfId="4">
      <alignment vertical="center" wrapText="1"/>
    </xf>
    <xf numFmtId="0" fontId="119" fillId="0" borderId="0" applyAlignment="1" pivotButton="0" quotePrefix="0" xfId="4">
      <alignment horizontal="left" vertical="center"/>
    </xf>
    <xf numFmtId="0" fontId="122" fillId="4" borderId="12" applyAlignment="1" pivotButton="0" quotePrefix="0" xfId="3">
      <alignment horizontal="center" vertical="center"/>
    </xf>
    <xf numFmtId="0" fontId="122" fillId="0" borderId="0" applyAlignment="1" pivotButton="0" quotePrefix="0" xfId="2">
      <alignment horizontal="center"/>
    </xf>
    <xf numFmtId="0" fontId="130" fillId="0" borderId="0" pivotButton="0" quotePrefix="0" xfId="0"/>
    <xf numFmtId="0" fontId="36" fillId="0" borderId="157" pivotButton="0" quotePrefix="0" xfId="0"/>
    <xf numFmtId="0" fontId="3" fillId="0" borderId="158" pivotButton="0" quotePrefix="0" xfId="0"/>
    <xf numFmtId="0" fontId="3" fillId="0" borderId="159" pivotButton="0" quotePrefix="0" xfId="0"/>
    <xf numFmtId="0" fontId="53" fillId="68" borderId="0" applyAlignment="1" pivotButton="0" quotePrefix="0" xfId="0">
      <alignment horizontal="center" vertical="center"/>
    </xf>
    <xf numFmtId="0" fontId="36" fillId="69" borderId="158" pivotButton="0" quotePrefix="0" xfId="0"/>
    <xf numFmtId="0" fontId="36" fillId="16" borderId="158" pivotButton="0" quotePrefix="0" xfId="0"/>
    <xf numFmtId="0" fontId="36" fillId="17" borderId="158"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4"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6" applyAlignment="1" pivotButton="0" quotePrefix="0" xfId="1">
      <alignment horizontal="center" vertical="center" wrapText="1"/>
    </xf>
    <xf numFmtId="0" fontId="77" fillId="10" borderId="132" applyAlignment="1" pivotButton="0" quotePrefix="0" xfId="3">
      <alignment horizontal="left" vertical="center"/>
    </xf>
    <xf numFmtId="0" fontId="77" fillId="10" borderId="133" applyAlignment="1" pivotButton="0" quotePrefix="0" xfId="3">
      <alignment horizontal="left" vertical="center"/>
    </xf>
    <xf numFmtId="0" fontId="77" fillId="10" borderId="131" applyAlignment="1" pivotButton="0" quotePrefix="0" xfId="3">
      <alignment horizontal="left" vertical="center"/>
    </xf>
    <xf numFmtId="0" fontId="137" fillId="0" borderId="0" pivotButton="0" quotePrefix="0" xfId="0"/>
    <xf numFmtId="0" fontId="138" fillId="0" borderId="241" pivotButton="0" quotePrefix="0" xfId="0"/>
    <xf numFmtId="0" fontId="138" fillId="0" borderId="241" applyAlignment="1" pivotButton="0" quotePrefix="0" xfId="0">
      <alignment horizontal="center"/>
    </xf>
    <xf numFmtId="0" fontId="136" fillId="0" borderId="0" applyAlignment="1" pivotButton="0" quotePrefix="0" xfId="0">
      <alignment vertical="center"/>
    </xf>
    <xf numFmtId="0" fontId="35" fillId="0" borderId="157" pivotButton="0" quotePrefix="0" xfId="0"/>
    <xf numFmtId="0" fontId="144" fillId="0" borderId="0" applyAlignment="1" pivotButton="0" quotePrefix="0" xfId="0">
      <alignment vertical="center"/>
    </xf>
    <xf numFmtId="0" fontId="146" fillId="0" borderId="235" applyAlignment="1" pivotButton="0" quotePrefix="0" xfId="0">
      <alignment horizontal="center" vertical="center"/>
    </xf>
    <xf numFmtId="0" fontId="54" fillId="26" borderId="262" applyAlignment="1" pivotButton="0" quotePrefix="0" xfId="0">
      <alignment vertical="center"/>
    </xf>
    <xf numFmtId="0" fontId="146" fillId="0" borderId="0" applyAlignment="1" pivotButton="0" quotePrefix="0" xfId="0">
      <alignment horizontal="center" vertical="center"/>
    </xf>
    <xf numFmtId="0" fontId="54" fillId="26" borderId="240" applyAlignment="1" pivotButton="0" quotePrefix="0" xfId="0">
      <alignment vertical="center"/>
    </xf>
    <xf numFmtId="0" fontId="48" fillId="0" borderId="0" pivotButton="0" quotePrefix="0" xfId="0"/>
    <xf numFmtId="0" fontId="147" fillId="0" borderId="0" pivotButton="0" quotePrefix="0" xfId="0"/>
    <xf numFmtId="0" fontId="55" fillId="60" borderId="263"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49" fillId="69" borderId="0" pivotButton="0" quotePrefix="0" xfId="0"/>
    <xf numFmtId="0" fontId="113" fillId="28" borderId="0" applyAlignment="1" pivotButton="0" quotePrefix="0" xfId="2">
      <alignment vertical="center"/>
    </xf>
    <xf numFmtId="0" fontId="0" fillId="43" borderId="0" pivotButton="0" quotePrefix="0" xfId="0"/>
    <xf numFmtId="0" fontId="150" fillId="0" borderId="265" applyAlignment="1" pivotButton="0" quotePrefix="0" xfId="0">
      <alignment horizontal="center"/>
    </xf>
    <xf numFmtId="0" fontId="151" fillId="0" borderId="265"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3" fillId="54" borderId="187"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5" applyAlignment="1" pivotButton="0" quotePrefix="0" xfId="0">
      <alignment vertical="center" wrapText="1"/>
    </xf>
    <xf numFmtId="0" fontId="46" fillId="0" borderId="125" pivotButton="0" quotePrefix="0" xfId="0"/>
    <xf numFmtId="0" fontId="63" fillId="22" borderId="248" applyAlignment="1" pivotButton="0" quotePrefix="0" xfId="0">
      <alignment vertical="center" wrapText="1"/>
    </xf>
    <xf numFmtId="0" fontId="64" fillId="0" borderId="248" pivotButton="0" quotePrefix="0" xfId="0"/>
    <xf numFmtId="0" fontId="46" fillId="0" borderId="29" pivotButton="0" quotePrefix="0" xfId="0"/>
    <xf numFmtId="0" fontId="0" fillId="41" borderId="267" pivotButton="0" quotePrefix="0" xfId="0"/>
    <xf numFmtId="0" fontId="54" fillId="26" borderId="236" applyAlignment="1" pivotButton="0" quotePrefix="0" xfId="0">
      <alignment vertical="center"/>
    </xf>
    <xf numFmtId="0" fontId="146" fillId="0" borderId="273" applyAlignment="1" pivotButton="0" quotePrefix="0" xfId="0">
      <alignment horizontal="center" vertical="center"/>
    </xf>
    <xf numFmtId="0" fontId="35" fillId="0" borderId="257" pivotButton="0" quotePrefix="0" xfId="0"/>
    <xf numFmtId="0" fontId="100" fillId="37" borderId="63" applyAlignment="1" pivotButton="0" quotePrefix="0" xfId="0">
      <alignment horizontal="center" vertical="center"/>
    </xf>
    <xf numFmtId="0" fontId="46" fillId="0" borderId="132"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3" fillId="28" borderId="0" applyAlignment="1" pivotButton="0" quotePrefix="0" xfId="2">
      <alignment horizontal="left" vertical="center"/>
    </xf>
    <xf numFmtId="0" fontId="135" fillId="25" borderId="263" applyAlignment="1" pivotButton="0" quotePrefix="0" xfId="0">
      <alignment horizontal="center" vertical="center" wrapText="1"/>
    </xf>
    <xf numFmtId="0" fontId="140" fillId="73" borderId="278" applyAlignment="1" pivotButton="0" quotePrefix="0" xfId="0">
      <alignment horizontal="center" vertical="center" wrapText="1"/>
    </xf>
    <xf numFmtId="0" fontId="139" fillId="17" borderId="278" applyAlignment="1" pivotButton="0" quotePrefix="0" xfId="0">
      <alignment vertical="center" wrapText="1"/>
    </xf>
    <xf numFmtId="0" fontId="139" fillId="16" borderId="278" applyAlignment="1" pivotButton="0" quotePrefix="0" xfId="0">
      <alignment vertical="center" wrapText="1"/>
    </xf>
    <xf numFmtId="0" fontId="136" fillId="0" borderId="278" applyAlignment="1" pivotButton="0" quotePrefix="0" xfId="0">
      <alignment horizontal="center" vertical="center" wrapText="1"/>
    </xf>
    <xf numFmtId="0" fontId="138" fillId="28" borderId="278" applyAlignment="1" pivotButton="0" quotePrefix="0" xfId="0">
      <alignment vertical="center" wrapText="1"/>
    </xf>
    <xf numFmtId="0" fontId="136" fillId="0" borderId="278" applyAlignment="1" pivotButton="0" quotePrefix="0" xfId="0">
      <alignment vertical="center" wrapText="1"/>
    </xf>
    <xf numFmtId="0" fontId="80" fillId="74" borderId="278" applyAlignment="1" pivotButton="0" quotePrefix="0" xfId="0">
      <alignment horizontal="center" vertical="center" wrapText="1"/>
    </xf>
    <xf numFmtId="0" fontId="141" fillId="17" borderId="278" applyAlignment="1" pivotButton="0" quotePrefix="0" xfId="0">
      <alignment horizontal="center" vertical="center" wrapText="1"/>
    </xf>
    <xf numFmtId="0" fontId="141" fillId="16" borderId="278" applyAlignment="1" pivotButton="0" quotePrefix="0" xfId="0">
      <alignment horizontal="center" vertical="center" wrapText="1"/>
    </xf>
    <xf numFmtId="0" fontId="137" fillId="0" borderId="278" applyAlignment="1" pivotButton="0" quotePrefix="0" xfId="0">
      <alignment vertical="center" wrapText="1"/>
    </xf>
    <xf numFmtId="0" fontId="137" fillId="0" borderId="278" applyAlignment="1" pivotButton="0" quotePrefix="0" xfId="0">
      <alignment horizontal="center" vertical="center" wrapText="1"/>
    </xf>
    <xf numFmtId="0" fontId="80" fillId="74" borderId="279" applyAlignment="1" pivotButton="0" quotePrefix="0" xfId="0">
      <alignment horizontal="center" vertical="center" wrapText="1"/>
    </xf>
    <xf numFmtId="0" fontId="141" fillId="17" borderId="279" applyAlignment="1" pivotButton="0" quotePrefix="0" xfId="0">
      <alignment horizontal="center" vertical="center" wrapText="1"/>
    </xf>
    <xf numFmtId="0" fontId="141" fillId="16" borderId="279" applyAlignment="1" pivotButton="0" quotePrefix="0" xfId="0">
      <alignment horizontal="center" vertical="center" wrapText="1"/>
    </xf>
    <xf numFmtId="0" fontId="137" fillId="0" borderId="279" applyAlignment="1" pivotButton="0" quotePrefix="0" xfId="0">
      <alignment vertical="center" wrapText="1"/>
    </xf>
    <xf numFmtId="0" fontId="137" fillId="0" borderId="279" applyAlignment="1" pivotButton="0" quotePrefix="0" xfId="0">
      <alignment horizontal="center" vertical="center" wrapText="1"/>
    </xf>
    <xf numFmtId="0" fontId="143" fillId="25" borderId="280" applyAlignment="1" pivotButton="0" quotePrefix="0" xfId="0">
      <alignment horizontal="center" vertical="center" wrapText="1"/>
    </xf>
    <xf numFmtId="0" fontId="143" fillId="25" borderId="281"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2" applyAlignment="1" pivotButton="0" quotePrefix="0" xfId="3">
      <alignment horizontal="center" vertical="center"/>
    </xf>
    <xf numFmtId="0" fontId="46" fillId="4" borderId="304" applyAlignment="1" pivotButton="0" quotePrefix="0" xfId="3">
      <alignment horizontal="center" vertical="center"/>
    </xf>
    <xf numFmtId="0" fontId="111" fillId="42" borderId="304" applyAlignment="1" pivotButton="0" quotePrefix="0" xfId="3">
      <alignment horizontal="center" vertical="center"/>
    </xf>
    <xf numFmtId="0" fontId="46" fillId="4" borderId="306" applyAlignment="1" pivotButton="0" quotePrefix="0" xfId="3">
      <alignment horizontal="center" vertical="center"/>
    </xf>
    <xf numFmtId="0" fontId="66" fillId="25" borderId="40" applyAlignment="1" pivotButton="0" quotePrefix="0" xfId="0">
      <alignment horizontal="center" vertical="center"/>
    </xf>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7" pivotButton="0" quotePrefix="0" xfId="0"/>
    <xf numFmtId="0" fontId="21" fillId="0" borderId="0" applyAlignment="1" pivotButton="0" quotePrefix="0" xfId="0">
      <alignment horizontal="center" vertical="center"/>
    </xf>
    <xf numFmtId="0" fontId="23" fillId="10" borderId="301" applyAlignment="1" pivotButton="0" quotePrefix="0" xfId="3">
      <alignment horizontal="left" vertical="center"/>
    </xf>
    <xf numFmtId="0" fontId="23" fillId="10" borderId="303" applyAlignment="1" pivotButton="0" quotePrefix="0" xfId="3">
      <alignment horizontal="left" vertical="center"/>
    </xf>
    <xf numFmtId="0" fontId="82" fillId="10" borderId="301" applyAlignment="1" pivotButton="0" quotePrefix="0" xfId="3">
      <alignment horizontal="left" vertical="center"/>
    </xf>
    <xf numFmtId="0" fontId="82" fillId="10" borderId="303" applyAlignment="1" pivotButton="0" quotePrefix="0" xfId="3">
      <alignment horizontal="left" vertical="center"/>
    </xf>
    <xf numFmtId="0" fontId="146" fillId="42" borderId="304" applyAlignment="1" pivotButton="0" quotePrefix="0" xfId="3">
      <alignment horizontal="center" vertical="center"/>
    </xf>
    <xf numFmtId="0" fontId="82" fillId="10" borderId="305" applyAlignment="1" pivotButton="0" quotePrefix="0" xfId="3">
      <alignment horizontal="left" vertical="center"/>
    </xf>
    <xf numFmtId="0" fontId="0" fillId="0" borderId="309" pivotButton="0" quotePrefix="0" xfId="0"/>
    <xf numFmtId="0" fontId="23" fillId="10" borderId="310" applyAlignment="1" pivotButton="0" quotePrefix="0" xfId="3">
      <alignment horizontal="left" vertical="center"/>
    </xf>
    <xf numFmtId="0" fontId="46" fillId="4" borderId="311"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5" applyAlignment="1" pivotButton="0" quotePrefix="0" xfId="0">
      <alignment horizontal="center"/>
    </xf>
    <xf numFmtId="0" fontId="38" fillId="0" borderId="125" pivotButton="0" quotePrefix="0" xfId="0"/>
    <xf numFmtId="0" fontId="38" fillId="16" borderId="125" applyAlignment="1" pivotButton="0" quotePrefix="0" xfId="0">
      <alignment horizontal="center"/>
    </xf>
    <xf numFmtId="0" fontId="29" fillId="25" borderId="312" applyAlignment="1" pivotButton="0" quotePrefix="0" xfId="0">
      <alignment horizontal="center" vertical="center"/>
    </xf>
    <xf numFmtId="0" fontId="42" fillId="25" borderId="26" applyAlignment="1" pivotButton="0" quotePrefix="0" xfId="0">
      <alignment horizontal="center" vertical="center"/>
    </xf>
    <xf numFmtId="0" fontId="42" fillId="25" borderId="275" applyAlignment="1" pivotButton="0" quotePrefix="0" xfId="0">
      <alignment horizontal="center" vertical="center"/>
    </xf>
    <xf numFmtId="0" fontId="21" fillId="0" borderId="250" applyAlignment="1" pivotButton="0" quotePrefix="0" xfId="0">
      <alignment horizontal="center" vertical="center"/>
    </xf>
    <xf numFmtId="0" fontId="41" fillId="25" borderId="313" applyAlignment="1" pivotButton="0" quotePrefix="0" xfId="0">
      <alignment horizontal="center" vertical="center"/>
    </xf>
    <xf numFmtId="0" fontId="41" fillId="25" borderId="285" applyAlignment="1" pivotButton="0" quotePrefix="0" xfId="0">
      <alignment horizontal="center" vertical="center"/>
    </xf>
    <xf numFmtId="0" fontId="41" fillId="25" borderId="314" applyAlignment="1" pivotButton="0" quotePrefix="0" xfId="0">
      <alignment horizontal="center" vertical="center"/>
    </xf>
    <xf numFmtId="0" fontId="56" fillId="18" borderId="30" applyAlignment="1" pivotButton="0" quotePrefix="0" xfId="0">
      <alignment horizontal="center" vertical="center"/>
    </xf>
    <xf numFmtId="0" fontId="122" fillId="0" borderId="0" applyAlignment="1" pivotButton="0" quotePrefix="0" xfId="0">
      <alignment horizontal="right" vertical="center"/>
    </xf>
    <xf numFmtId="0" fontId="122" fillId="0" borderId="0" applyAlignment="1" pivotButton="0" quotePrefix="0" xfId="0">
      <alignment horizontal="right"/>
    </xf>
    <xf numFmtId="0" fontId="122" fillId="59" borderId="0" applyAlignment="1" pivotButton="0" quotePrefix="0" xfId="0">
      <alignment horizontal="right" vertical="center"/>
    </xf>
    <xf numFmtId="0" fontId="119" fillId="0" borderId="0" applyAlignment="1" pivotButton="0" quotePrefix="0" xfId="0">
      <alignment horizontal="right"/>
    </xf>
    <xf numFmtId="0" fontId="138" fillId="0" borderId="38" applyAlignment="1" pivotButton="0" quotePrefix="0" xfId="0">
      <alignment vertical="center"/>
    </xf>
    <xf numFmtId="0" fontId="138" fillId="0" borderId="29" applyAlignment="1" pivotButton="0" quotePrefix="0" xfId="0">
      <alignment vertical="center"/>
    </xf>
    <xf numFmtId="0" fontId="138" fillId="0" borderId="29" applyAlignment="1" pivotButton="0" quotePrefix="0" xfId="0">
      <alignment horizontal="center" vertical="center"/>
    </xf>
    <xf numFmtId="0" fontId="136" fillId="25" borderId="29" applyAlignment="1" pivotButton="0" quotePrefix="0" xfId="0">
      <alignment vertical="center"/>
    </xf>
    <xf numFmtId="0" fontId="136" fillId="25" borderId="39" applyAlignment="1" pivotButton="0" quotePrefix="0" xfId="0">
      <alignment vertical="center"/>
    </xf>
    <xf numFmtId="0" fontId="156" fillId="0" borderId="0" applyAlignment="1" pivotButton="0" quotePrefix="0" xfId="0">
      <alignment horizontal="right"/>
    </xf>
    <xf numFmtId="0" fontId="122" fillId="0" borderId="91" applyAlignment="1" pivotButton="0" quotePrefix="0" xfId="0">
      <alignment horizontal="right"/>
    </xf>
    <xf numFmtId="0" fontId="122" fillId="0" borderId="277" applyAlignment="1" pivotButton="0" quotePrefix="0" xfId="0">
      <alignment horizontal="right"/>
    </xf>
    <xf numFmtId="0" fontId="122" fillId="4" borderId="0" applyAlignment="1" pivotButton="0" quotePrefix="0" xfId="3">
      <alignment horizontal="right" vertical="center"/>
    </xf>
    <xf numFmtId="0" fontId="119" fillId="0" borderId="0" applyAlignment="1" pivotButton="0" quotePrefix="0" xfId="4">
      <alignment horizontal="right" vertical="center"/>
    </xf>
    <xf numFmtId="0" fontId="122"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1" applyAlignment="1" pivotButton="0" quotePrefix="0" xfId="3">
      <alignment vertical="center"/>
    </xf>
    <xf numFmtId="0" fontId="82" fillId="0" borderId="0" applyAlignment="1" pivotButton="0" quotePrefix="0" xfId="0">
      <alignment vertical="center"/>
    </xf>
    <xf numFmtId="0" fontId="73" fillId="26" borderId="158" applyAlignment="1" pivotButton="0" quotePrefix="0" xfId="0">
      <alignment vertical="center"/>
    </xf>
    <xf numFmtId="0" fontId="5" fillId="16" borderId="158" applyAlignment="1" pivotButton="0" quotePrefix="0" xfId="0">
      <alignment vertical="center"/>
    </xf>
    <xf numFmtId="0" fontId="31" fillId="20" borderId="342"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0" applyAlignment="1" pivotButton="0" quotePrefix="0" xfId="0">
      <alignment horizontal="center" vertical="center"/>
    </xf>
    <xf numFmtId="0" fontId="73" fillId="26" borderId="157" applyAlignment="1" pivotButton="0" quotePrefix="0" xfId="0">
      <alignment vertical="center"/>
    </xf>
    <xf numFmtId="0" fontId="86" fillId="5" borderId="343" applyAlignment="1" pivotButton="0" quotePrefix="0" xfId="0">
      <alignment horizontal="center" vertical="center"/>
    </xf>
    <xf numFmtId="0" fontId="136" fillId="0" borderId="29" applyAlignment="1" pivotButton="0" quotePrefix="0" xfId="0">
      <alignment vertical="center"/>
    </xf>
    <xf numFmtId="0" fontId="136"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6" fillId="5" borderId="345" applyAlignment="1" pivotButton="0" quotePrefix="0" xfId="0">
      <alignment horizontal="center" vertical="center"/>
    </xf>
    <xf numFmtId="0" fontId="31" fillId="20" borderId="32" applyAlignment="1" pivotButton="0" quotePrefix="0" xfId="0">
      <alignment vertical="center"/>
    </xf>
    <xf numFmtId="0" fontId="85" fillId="5" borderId="32" applyAlignment="1" pivotButton="0" quotePrefix="0" xfId="0">
      <alignment horizontal="center" vertical="center"/>
    </xf>
    <xf numFmtId="0" fontId="31" fillId="20" borderId="29" applyAlignment="1" pivotButton="0" quotePrefix="0" xfId="0">
      <alignment vertical="center"/>
    </xf>
    <xf numFmtId="0" fontId="85"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7" fillId="28" borderId="0" applyAlignment="1" pivotButton="0" quotePrefix="0" xfId="0">
      <alignment vertical="center"/>
    </xf>
    <xf numFmtId="0" fontId="160" fillId="28" borderId="347" applyAlignment="1" pivotButton="0" quotePrefix="0" xfId="0">
      <alignment vertical="center"/>
    </xf>
    <xf numFmtId="0" fontId="116" fillId="28" borderId="172" applyAlignment="1" pivotButton="0" quotePrefix="0" xfId="4">
      <alignment vertical="center"/>
    </xf>
    <xf numFmtId="0" fontId="123" fillId="17" borderId="187" applyAlignment="1" pivotButton="0" quotePrefix="0" xfId="4">
      <alignment vertical="center" wrapText="1"/>
    </xf>
    <xf numFmtId="2" fontId="123" fillId="17" borderId="187" applyAlignment="1" pivotButton="0" quotePrefix="0" xfId="4">
      <alignment vertical="center" wrapText="1"/>
    </xf>
    <xf numFmtId="2" fontId="123" fillId="17" borderId="178" applyAlignment="1" pivotButton="0" quotePrefix="0" xfId="4">
      <alignment vertical="center" wrapText="1"/>
    </xf>
    <xf numFmtId="0" fontId="9" fillId="0" borderId="0" applyAlignment="1" pivotButton="0" quotePrefix="0" xfId="1">
      <alignment horizontal="left" vertical="center"/>
    </xf>
    <xf numFmtId="0" fontId="1" fillId="0" borderId="29" pivotButton="0" quotePrefix="0" xfId="2"/>
    <xf numFmtId="0" fontId="60" fillId="22" borderId="33" applyAlignment="1" pivotButton="0" quotePrefix="0" xfId="2">
      <alignment horizontal="center" vertical="center" wrapText="1"/>
    </xf>
    <xf numFmtId="0" fontId="162" fillId="0" borderId="33" pivotButton="0" quotePrefix="0" xfId="2"/>
    <xf numFmtId="0" fontId="30" fillId="0" borderId="28" pivotButton="0" quotePrefix="0" xfId="2"/>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164" fontId="136" fillId="0" borderId="278" applyAlignment="1" pivotButton="0" quotePrefix="0" xfId="0">
      <alignment vertical="center" wrapText="1"/>
    </xf>
    <xf numFmtId="165" fontId="136" fillId="0" borderId="278" applyAlignment="1" pivotButton="0" quotePrefix="0" xfId="0">
      <alignment vertical="center" wrapText="1"/>
    </xf>
    <xf numFmtId="164" fontId="137" fillId="0" borderId="279"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49" fillId="3" borderId="153" pivotButton="0" quotePrefix="0" xfId="0"/>
    <xf numFmtId="164" fontId="49" fillId="3" borderId="153"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4" fontId="126" fillId="55" borderId="187" applyAlignment="1" pivotButton="0" quotePrefix="0" xfId="4">
      <alignment vertical="center" wrapText="1"/>
    </xf>
    <xf numFmtId="164" fontId="126" fillId="55" borderId="178"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48" fillId="16"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4" fontId="48" fillId="16" borderId="30" pivotButton="0" quotePrefix="0" xfId="0"/>
    <xf numFmtId="164" fontId="44" fillId="18" borderId="129" pivotButton="0" quotePrefix="0" xfId="0"/>
    <xf numFmtId="164" fontId="49" fillId="3" borderId="30" pivotButton="0" quotePrefix="0" xfId="0"/>
    <xf numFmtId="164" fontId="59" fillId="19" borderId="129" pivotButton="0" quotePrefix="0" xfId="0"/>
    <xf numFmtId="164" fontId="36" fillId="16"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4" fontId="36" fillId="17" borderId="0" applyAlignment="1" pivotButton="0" quotePrefix="0" xfId="2">
      <alignment horizontal="center" vertical="center"/>
    </xf>
    <xf numFmtId="164" fontId="57" fillId="19" borderId="28" applyAlignment="1" pivotButton="0" quotePrefix="0" xfId="2">
      <alignment horizont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146" fillId="0" borderId="0" applyAlignment="1" pivotButton="0" quotePrefix="0" xfId="0">
      <alignment vertical="center"/>
    </xf>
    <xf numFmtId="0" fontId="0" fillId="0" borderId="1" pivotButton="0" quotePrefix="0" xfId="0"/>
    <xf numFmtId="0" fontId="0" fillId="0" borderId="159" pivotButton="0" quotePrefix="0" xfId="0"/>
    <xf numFmtId="0" fontId="159" fillId="28" borderId="347"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92" fillId="20" borderId="0" applyAlignment="1" pivotButton="0" quotePrefix="0" xfId="0">
      <alignment horizontal="center" vertical="center"/>
    </xf>
    <xf numFmtId="0" fontId="0" fillId="0" borderId="0" applyAlignment="1" pivotButton="0" quotePrefix="0" xfId="0">
      <alignment vertical="center"/>
    </xf>
    <xf numFmtId="0" fontId="136"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65"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4" fillId="53" borderId="178" applyAlignment="1" pivotButton="0" quotePrefix="0" xfId="4">
      <alignment vertical="center" wrapText="1"/>
    </xf>
    <xf numFmtId="0" fontId="123" fillId="54" borderId="178" applyAlignment="1" pivotButton="0" quotePrefix="0" xfId="4">
      <alignment vertical="center" wrapText="1"/>
    </xf>
    <xf numFmtId="0" fontId="125" fillId="41" borderId="186" applyAlignment="1" pivotButton="0" quotePrefix="0" xfId="4">
      <alignment horizontal="center" vertical="center" wrapText="1"/>
    </xf>
    <xf numFmtId="0" fontId="5" fillId="0" borderId="0" pivotButton="0" quotePrefix="0" xfId="4"/>
    <xf numFmtId="0" fontId="123" fillId="17" borderId="178" applyAlignment="1" pivotButton="0" quotePrefix="0" xfId="4">
      <alignment vertical="center" wrapText="1"/>
    </xf>
    <xf numFmtId="0" fontId="123" fillId="28" borderId="187" applyAlignment="1" pivotButton="0" quotePrefix="0" xfId="4">
      <alignment vertical="center" wrapText="1"/>
    </xf>
    <xf numFmtId="165" fontId="123" fillId="54" borderId="178" applyAlignment="1" pivotButton="0" quotePrefix="0" xfId="4">
      <alignment vertical="center" wrapText="1"/>
    </xf>
    <xf numFmtId="0" fontId="73" fillId="41" borderId="178" applyAlignment="1" pivotButton="0" quotePrefix="0" xfId="4">
      <alignment horizontal="center" vertical="center" wrapText="1"/>
    </xf>
    <xf numFmtId="0" fontId="0" fillId="0" borderId="172"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7" pivotButton="0" quotePrefix="0" xfId="0"/>
    <xf numFmtId="0" fontId="1" fillId="0" borderId="29" applyAlignment="1" pivotButton="0" quotePrefix="0" xfId="2">
      <alignment horizontal="center" vertical="center" wrapText="1"/>
    </xf>
    <xf numFmtId="0" fontId="46" fillId="4" borderId="104" applyAlignment="1" pivotButton="0" quotePrefix="0" xfId="3">
      <alignment horizontal="center" vertical="center"/>
    </xf>
    <xf numFmtId="0" fontId="143" fillId="25" borderId="367" applyAlignment="1" pivotButton="0" quotePrefix="0" xfId="0">
      <alignment horizontal="center" vertical="center" wrapText="1"/>
    </xf>
    <xf numFmtId="0" fontId="143" fillId="25" borderId="368" applyAlignment="1" pivotButton="0" quotePrefix="0" xfId="0">
      <alignment horizontal="center" vertical="center" wrapText="1"/>
    </xf>
    <xf numFmtId="0" fontId="0" fillId="0" borderId="0" pivotButton="0" quotePrefix="0" xfId="0"/>
    <xf numFmtId="0" fontId="33" fillId="50" borderId="250" applyAlignment="1" pivotButton="0" quotePrefix="0" xfId="2">
      <alignment vertical="center" wrapText="1"/>
    </xf>
    <xf numFmtId="0" fontId="0" fillId="0" borderId="250" pivotButton="0" quotePrefix="0" xfId="2"/>
    <xf numFmtId="0" fontId="0" fillId="28" borderId="250" pivotButton="0" quotePrefix="0" xfId="0"/>
    <xf numFmtId="0" fontId="9" fillId="0" borderId="250" applyAlignment="1" pivotButton="0" quotePrefix="0" xfId="1">
      <alignment vertical="center"/>
    </xf>
    <xf numFmtId="0" fontId="12" fillId="45" borderId="0" applyAlignment="1" pivotButton="0" quotePrefix="0" xfId="3">
      <alignment horizontal="center" wrapText="1"/>
    </xf>
    <xf numFmtId="0" fontId="0" fillId="0" borderId="250" pivotButton="0" quotePrefix="0" xfId="3"/>
    <xf numFmtId="0" fontId="0" fillId="0" borderId="251" pivotButton="0" quotePrefix="0" xfId="0"/>
    <xf numFmtId="0" fontId="104" fillId="44" borderId="0" applyAlignment="1" pivotButton="0" quotePrefix="0" xfId="3">
      <alignment vertical="center" wrapText="1"/>
    </xf>
    <xf numFmtId="0" fontId="77" fillId="10" borderId="0" applyAlignment="1" pivotButton="0" quotePrefix="0" xfId="3">
      <alignment vertical="center"/>
    </xf>
    <xf numFmtId="0" fontId="0" fillId="0" borderId="250" applyAlignment="1" pivotButton="0" quotePrefix="0" xfId="0">
      <alignment vertical="center"/>
    </xf>
    <xf numFmtId="0" fontId="0" fillId="0" borderId="251" applyAlignment="1" pivotButton="0" quotePrefix="0" xfId="0">
      <alignment vertical="center"/>
    </xf>
    <xf numFmtId="0" fontId="77" fillId="10" borderId="92" applyAlignment="1" pivotButton="0" quotePrefix="0" xfId="3">
      <alignment horizontal="left" vertical="center"/>
    </xf>
    <xf numFmtId="0" fontId="148" fillId="70" borderId="250" applyAlignment="1" pivotButton="0" quotePrefix="0" xfId="0">
      <alignment vertical="center"/>
    </xf>
    <xf numFmtId="0" fontId="33" fillId="28" borderId="250" applyAlignment="1" pivotButton="0" quotePrefix="0" xfId="0">
      <alignment vertical="center"/>
    </xf>
    <xf numFmtId="0" fontId="55" fillId="60" borderId="262" applyAlignment="1" pivotButton="0" quotePrefix="0" xfId="0">
      <alignment horizontal="center"/>
    </xf>
    <xf numFmtId="0" fontId="128" fillId="70" borderId="250" pivotButton="0" quotePrefix="0" xfId="0"/>
    <xf numFmtId="0" fontId="129" fillId="0" borderId="250" applyAlignment="1" pivotButton="0" quotePrefix="0" xfId="0">
      <alignment vertical="center"/>
    </xf>
    <xf numFmtId="0" fontId="3" fillId="0" borderId="250" pivotButton="0" quotePrefix="0" xfId="0"/>
    <xf numFmtId="0" fontId="0" fillId="0" borderId="250" pivotButton="0" quotePrefix="0" xfId="0"/>
    <xf numFmtId="0" fontId="3" fillId="0" borderId="251" pivotButton="0" quotePrefix="0" xfId="0"/>
    <xf numFmtId="0" fontId="0" fillId="0" borderId="282" pivotButton="0" quotePrefix="0" xfId="0"/>
    <xf numFmtId="0" fontId="135" fillId="25" borderId="262" applyAlignment="1" pivotButton="0" quotePrefix="0" xfId="0">
      <alignment horizontal="center" vertical="center" wrapText="1"/>
    </xf>
    <xf numFmtId="0" fontId="113" fillId="28" borderId="250" applyAlignment="1" pivotButton="0" quotePrefix="0" xfId="2">
      <alignment vertical="center"/>
    </xf>
    <xf numFmtId="0" fontId="0" fillId="0" borderId="261" pivotButton="0" quotePrefix="0" xfId="0"/>
    <xf numFmtId="0" fontId="0" fillId="0" borderId="266"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9" fontId="137" fillId="0" borderId="279" applyAlignment="1" pivotButton="0" quotePrefix="0" xfId="0">
      <alignment vertical="center" wrapText="1"/>
    </xf>
    <xf numFmtId="169" fontId="137" fillId="0" borderId="278" applyAlignment="1" pivotButton="0" quotePrefix="0" xfId="0">
      <alignment vertical="center" wrapText="1"/>
    </xf>
    <xf numFmtId="169" fontId="0" fillId="11" borderId="12" applyAlignment="1" pivotButton="0" quotePrefix="0" xfId="3">
      <alignment horizontal="center" vertical="center"/>
    </xf>
    <xf numFmtId="169" fontId="23" fillId="12" borderId="12" applyAlignment="1" pivotButton="0" quotePrefix="0" xfId="3">
      <alignment vertical="center"/>
    </xf>
    <xf numFmtId="167" fontId="123" fillId="54" borderId="177" applyAlignment="1" pivotButton="0" quotePrefix="0" xfId="4">
      <alignment vertical="center" wrapText="1"/>
    </xf>
    <xf numFmtId="164" fontId="123" fillId="54" borderId="180" applyAlignment="1" pivotButton="0" quotePrefix="0" xfId="4">
      <alignment vertical="center" wrapText="1"/>
    </xf>
    <xf numFmtId="4" fontId="163" fillId="6" borderId="0" applyAlignment="1" pivotButton="0" quotePrefix="0" xfId="0">
      <alignment vertical="center"/>
    </xf>
    <xf numFmtId="0" fontId="164" fillId="0" borderId="0" pivotButton="0" quotePrefix="0" xfId="0"/>
    <xf numFmtId="171" fontId="123" fillId="17" borderId="187" applyAlignment="1" pivotButton="0" quotePrefix="0" xfId="4">
      <alignment vertical="center" wrapText="1"/>
    </xf>
    <xf numFmtId="171" fontId="123" fillId="17" borderId="374" applyAlignment="1" pivotButton="0" quotePrefix="0" xfId="4">
      <alignment vertical="center" wrapText="1"/>
    </xf>
    <xf numFmtId="0" fontId="123" fillId="28" borderId="374" applyAlignment="1" pivotButton="0" quotePrefix="0" xfId="4">
      <alignment vertical="center" wrapText="1"/>
    </xf>
    <xf numFmtId="164" fontId="48" fillId="0" borderId="30" applyAlignment="1" pivotButton="0" quotePrefix="0" xfId="0">
      <alignment horizontal="center"/>
    </xf>
    <xf numFmtId="164" fontId="48" fillId="0" borderId="30" pivotButton="0" quotePrefix="0" xfId="0"/>
    <xf numFmtId="164" fontId="36" fillId="0" borderId="32" applyAlignment="1" pivotButton="0" quotePrefix="0" xfId="2">
      <alignment horizontal="center" vertical="center"/>
    </xf>
    <xf numFmtId="164" fontId="0" fillId="0" borderId="33" pivotButton="0" quotePrefix="0" xfId="0"/>
    <xf numFmtId="164" fontId="0" fillId="0" borderId="32" pivotButton="0" quotePrefix="0" xfId="0"/>
    <xf numFmtId="164" fontId="0" fillId="0" borderId="29" pivotButton="0" quotePrefix="0" xfId="0"/>
    <xf numFmtId="0" fontId="76" fillId="6" borderId="0" applyAlignment="1" pivotButton="0" quotePrefix="0" xfId="0">
      <alignment vertical="center"/>
    </xf>
    <xf numFmtId="0" fontId="0" fillId="0" borderId="0" pivotButton="0" quotePrefix="0" xfId="0"/>
    <xf numFmtId="0" fontId="76" fillId="0" borderId="0" applyAlignment="1" pivotButton="0" quotePrefix="0" xfId="0">
      <alignment vertical="center" wrapText="1"/>
    </xf>
    <xf numFmtId="4" fontId="163" fillId="6" borderId="0" applyAlignment="1" pivotButton="0" quotePrefix="0" xfId="0">
      <alignment vertical="center"/>
    </xf>
    <xf numFmtId="0" fontId="55" fillId="20" borderId="0" applyAlignment="1" pivotButton="0" quotePrefix="0" xfId="0">
      <alignment horizontal="center" vertical="center"/>
    </xf>
    <xf numFmtId="0" fontId="76" fillId="0" borderId="0" applyAlignment="1" pivotButton="0" quotePrefix="0" xfId="0">
      <alignment vertical="center"/>
    </xf>
    <xf numFmtId="0" fontId="46" fillId="0" borderId="0" applyAlignment="1" pivotButton="0" quotePrefix="0" xfId="0">
      <alignment vertical="center"/>
    </xf>
    <xf numFmtId="0" fontId="93" fillId="52" borderId="60" applyAlignment="1" pivotButton="0" quotePrefix="0" xfId="0">
      <alignment horizontal="center" vertical="center" wrapText="1"/>
    </xf>
    <xf numFmtId="0" fontId="0" fillId="0" borderId="60" pivotButton="0" quotePrefix="0" xfId="0"/>
    <xf numFmtId="0" fontId="66" fillId="25" borderId="100" applyAlignment="1" pivotButton="0" quotePrefix="0" xfId="2">
      <alignment horizontal="center" vertical="center"/>
    </xf>
    <xf numFmtId="0" fontId="0" fillId="0" borderId="100" pivotButton="0" quotePrefix="0" xfId="0"/>
    <xf numFmtId="0" fontId="101" fillId="20" borderId="0" applyAlignment="1" pivotButton="0" quotePrefix="0" xfId="0">
      <alignment horizontal="center" vertical="center"/>
    </xf>
    <xf numFmtId="0" fontId="112" fillId="28" borderId="91" applyAlignment="1" pivotButton="0" quotePrefix="0" xfId="2">
      <alignment horizontal="center" vertical="center"/>
    </xf>
    <xf numFmtId="0" fontId="0" fillId="0" borderId="91" pivotButton="0" quotePrefix="0" xfId="0"/>
    <xf numFmtId="0" fontId="92" fillId="20" borderId="0" applyAlignment="1" pivotButton="0" quotePrefix="0" xfId="0">
      <alignment horizontal="center" vertical="center"/>
    </xf>
    <xf numFmtId="0" fontId="113" fillId="28" borderId="91" applyAlignment="1" pivotButton="0" quotePrefix="0" xfId="2">
      <alignment horizontal="center" vertical="center"/>
    </xf>
    <xf numFmtId="0" fontId="0" fillId="0" borderId="58" pivotButton="0" quotePrefix="0" xfId="0"/>
    <xf numFmtId="0" fontId="96" fillId="16" borderId="161" applyAlignment="1" pivotButton="0" quotePrefix="0" xfId="0">
      <alignment vertical="center"/>
    </xf>
    <xf numFmtId="0" fontId="0" fillId="0" borderId="29" pivotButton="0" quotePrefix="0" xfId="0"/>
    <xf numFmtId="0" fontId="154" fillId="26" borderId="64" applyAlignment="1" pivotButton="0" quotePrefix="0" xfId="0">
      <alignment horizontal="left" vertical="center"/>
    </xf>
    <xf numFmtId="0" fontId="33" fillId="20" borderId="0" applyAlignment="1" pivotButton="0" quotePrefix="0" xfId="0">
      <alignment horizontal="center" vertical="center"/>
    </xf>
    <xf numFmtId="0" fontId="97" fillId="28" borderId="348" applyAlignment="1" pivotButton="0" quotePrefix="0" xfId="0">
      <alignment horizontal="center" vertical="center"/>
    </xf>
    <xf numFmtId="0" fontId="0" fillId="0" borderId="348" pivotButton="0" quotePrefix="0" xfId="0"/>
    <xf numFmtId="0" fontId="6" fillId="16" borderId="64" applyAlignment="1" pivotButton="0" quotePrefix="0" xfId="0">
      <alignment vertic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0" fillId="0" borderId="350" pivotButton="0" quotePrefix="0" xfId="0"/>
    <xf numFmtId="0" fontId="115" fillId="41" borderId="0" applyAlignment="1" pivotButton="0" quotePrefix="0" xfId="0">
      <alignment horizontal="center" vertical="center"/>
    </xf>
    <xf numFmtId="0" fontId="39" fillId="3" borderId="29" applyAlignment="1" pivotButton="0" quotePrefix="0" xfId="0">
      <alignment horizontal="center" vertical="center"/>
    </xf>
    <xf numFmtId="0" fontId="157" fillId="28" borderId="131" applyAlignment="1" pivotButton="0" quotePrefix="0" xfId="0">
      <alignment horizontal="center" vertical="center"/>
    </xf>
    <xf numFmtId="0" fontId="0" fillId="0" borderId="131" pivotButton="0" quotePrefix="0" xfId="0"/>
    <xf numFmtId="0" fontId="96" fillId="16" borderId="64" applyAlignment="1" pivotButton="0" quotePrefix="0" xfId="0">
      <alignment vertical="center"/>
    </xf>
    <xf numFmtId="0" fontId="158" fillId="28" borderId="0" applyAlignment="1" pivotButton="0" quotePrefix="0" xfId="0">
      <alignment horizontal="center" vertical="center"/>
    </xf>
    <xf numFmtId="0" fontId="146" fillId="0" borderId="0" applyAlignment="1" pivotButton="0" quotePrefix="0" xfId="0">
      <alignment vertical="center"/>
    </xf>
    <xf numFmtId="0" fontId="0" fillId="0" borderId="99" pivotButton="0" quotePrefix="0" xfId="0"/>
    <xf numFmtId="0" fontId="53" fillId="27" borderId="70" applyAlignment="1" pivotButton="0" quotePrefix="0" xfId="1">
      <alignment horizontal="center" vertical="center"/>
    </xf>
    <xf numFmtId="0" fontId="0" fillId="0" borderId="1" pivotButton="0" quotePrefix="0" xfId="0"/>
    <xf numFmtId="0" fontId="114" fillId="28" borderId="0" applyAlignment="1" pivotButton="0" quotePrefix="0" xfId="0">
      <alignment horizontal="center" vertical="center"/>
    </xf>
    <xf numFmtId="0" fontId="6" fillId="16" borderId="163" applyAlignment="1" pivotButton="0" quotePrefix="0" xfId="0">
      <alignment horizontal="center" vertical="center"/>
    </xf>
    <xf numFmtId="0" fontId="6" fillId="16" borderId="344" applyAlignment="1" pivotButton="0" quotePrefix="0" xfId="0">
      <alignment horizontal="center"/>
    </xf>
    <xf numFmtId="0" fontId="0" fillId="0" borderId="345" pivotButton="0" quotePrefix="0" xfId="0"/>
    <xf numFmtId="0" fontId="0" fillId="0" borderId="357" pivotButton="0" quotePrefix="0" xfId="0"/>
    <xf numFmtId="0" fontId="73" fillId="28" borderId="160" applyAlignment="1" pivotButton="0" quotePrefix="0" xfId="0">
      <alignment horizontal="center" vertical="center"/>
    </xf>
    <xf numFmtId="0" fontId="0" fillId="0" borderId="160" pivotButton="0" quotePrefix="0" xfId="0"/>
    <xf numFmtId="0" fontId="0" fillId="0" borderId="98" pivotButton="0" quotePrefix="0" xfId="0"/>
    <xf numFmtId="0" fontId="53" fillId="41" borderId="158" applyAlignment="1" pivotButton="0" quotePrefix="0" xfId="0">
      <alignment horizontal="center" vertical="center"/>
    </xf>
    <xf numFmtId="0" fontId="0" fillId="0" borderId="158" pivotButton="0" quotePrefix="0" xfId="0"/>
    <xf numFmtId="0" fontId="39" fillId="3" borderId="147"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8" applyAlignment="1" pivotButton="0" quotePrefix="0" xfId="0">
      <alignment horizontal="center" vertical="center"/>
    </xf>
    <xf numFmtId="0" fontId="73" fillId="26" borderId="159" applyAlignment="1" pivotButton="0" quotePrefix="0" xfId="0">
      <alignment vertical="center"/>
    </xf>
    <xf numFmtId="0" fontId="0" fillId="0" borderId="159" pivotButton="0" quotePrefix="0" xfId="0"/>
    <xf numFmtId="0" fontId="29" fillId="25" borderId="0" applyAlignment="1" pivotButton="0" quotePrefix="0" xfId="0">
      <alignment horizontal="center"/>
    </xf>
    <xf numFmtId="0" fontId="30" fillId="16" borderId="159" applyAlignment="1" pivotButton="0" quotePrefix="0" xfId="0">
      <alignment horizontal="center" vertical="center"/>
    </xf>
    <xf numFmtId="0" fontId="159" fillId="28" borderId="347" applyAlignment="1" pivotButton="0" quotePrefix="0" xfId="0">
      <alignment horizontal="center" vertical="center"/>
    </xf>
    <xf numFmtId="0" fontId="0" fillId="0" borderId="351" pivotButton="0" quotePrefix="0" xfId="0"/>
    <xf numFmtId="0" fontId="2" fillId="16" borderId="65" applyAlignment="1" pivotButton="0" quotePrefix="0" xfId="0">
      <alignment horizontal="center" vertical="center"/>
    </xf>
    <xf numFmtId="0" fontId="0" fillId="0" borderId="65" pivotButton="0" quotePrefix="0" xfId="0"/>
    <xf numFmtId="0" fontId="6" fillId="16" borderId="106" applyAlignment="1" pivotButton="0" quotePrefix="0" xfId="0">
      <alignment horizontal="center" vertical="center"/>
    </xf>
    <xf numFmtId="0" fontId="0" fillId="0" borderId="32" pivotButton="0" quotePrefix="0" xfId="0"/>
    <xf numFmtId="0" fontId="0" fillId="0" borderId="106" pivotButton="0" quotePrefix="0" xfId="0"/>
    <xf numFmtId="0" fontId="66" fillId="25" borderId="352" applyAlignment="1" pivotButton="0" quotePrefix="0" xfId="2">
      <alignment horizontal="center"/>
    </xf>
    <xf numFmtId="0" fontId="0" fillId="0" borderId="300"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8" applyAlignment="1" pivotButton="0" quotePrefix="0" xfId="0">
      <alignment horizontal="center"/>
    </xf>
    <xf numFmtId="0" fontId="0" fillId="43" borderId="0" applyAlignment="1" pivotButton="0" quotePrefix="0" xfId="0">
      <alignment horizontal="center"/>
    </xf>
    <xf numFmtId="0" fontId="0" fillId="0" borderId="250" pivotButton="0" quotePrefix="0" xfId="0"/>
    <xf numFmtId="0" fontId="0" fillId="0" borderId="265" pivotButton="0" quotePrefix="0" xfId="0"/>
    <xf numFmtId="0" fontId="0" fillId="0" borderId="266" pivotButton="0" quotePrefix="0" xfId="0"/>
    <xf numFmtId="0" fontId="150" fillId="0" borderId="250" applyAlignment="1" pivotButton="0" quotePrefix="0" xfId="0">
      <alignment horizontal="center" vertical="center"/>
    </xf>
    <xf numFmtId="0" fontId="46" fillId="4" borderId="264" applyAlignment="1" pivotButton="0" quotePrefix="0" xfId="3">
      <alignment horizontal="center" vertical="center"/>
    </xf>
    <xf numFmtId="0" fontId="0" fillId="0" borderId="264" pivotButton="0" quotePrefix="0" xfId="0"/>
    <xf numFmtId="0" fontId="111" fillId="42" borderId="151" applyAlignment="1" pivotButton="0" quotePrefix="0" xfId="3">
      <alignment horizontal="center" vertical="center"/>
    </xf>
    <xf numFmtId="0" fontId="0" fillId="0" borderId="151" pivotButton="0" quotePrefix="0" xfId="0"/>
    <xf numFmtId="0" fontId="33" fillId="25" borderId="34" applyAlignment="1" pivotButton="0" quotePrefix="0" xfId="0">
      <alignment horizontal="center" vertical="center"/>
    </xf>
    <xf numFmtId="0" fontId="46" fillId="4" borderId="144" applyAlignment="1" pivotButton="0" quotePrefix="0" xfId="3">
      <alignment horizontal="center" vertical="center"/>
    </xf>
    <xf numFmtId="0" fontId="0" fillId="0" borderId="144" pivotButton="0" quotePrefix="0" xfId="0"/>
    <xf numFmtId="0" fontId="0" fillId="43" borderId="34" applyAlignment="1" pivotButton="0" quotePrefix="0" xfId="0">
      <alignment horizontal="center"/>
    </xf>
    <xf numFmtId="0" fontId="151" fillId="0" borderId="250" applyAlignment="1" pivotButton="0" quotePrefix="0" xfId="0">
      <alignment horizontal="center" vertical="center"/>
    </xf>
    <xf numFmtId="0" fontId="46" fillId="4" borderId="151" applyAlignment="1" pivotButton="0" quotePrefix="0" xfId="3">
      <alignment horizontal="center" vertical="center"/>
    </xf>
    <xf numFmtId="0" fontId="0" fillId="0" borderId="237" applyAlignment="1" pivotButton="0" quotePrefix="0" xfId="0">
      <alignment horizontal="center"/>
    </xf>
    <xf numFmtId="0" fontId="0" fillId="0" borderId="237" pivotButton="0" quotePrefix="0" xfId="0"/>
    <xf numFmtId="0" fontId="66" fillId="25" borderId="234" applyAlignment="1" pivotButton="0" quotePrefix="0" xfId="2">
      <alignment horizontal="center"/>
    </xf>
    <xf numFmtId="0" fontId="0" fillId="0" borderId="31" pivotButton="0" quotePrefix="0" xfId="0"/>
    <xf numFmtId="0" fontId="0" fillId="0" borderId="234" pivotButton="0" quotePrefix="0" xfId="0"/>
    <xf numFmtId="0" fontId="42" fillId="64" borderId="0" applyAlignment="1" pivotButton="0" quotePrefix="0" xfId="0">
      <alignment horizontal="center" vertical="center"/>
    </xf>
    <xf numFmtId="0" fontId="134" fillId="0" borderId="255" pivotButton="0" quotePrefix="0" xfId="0"/>
    <xf numFmtId="0" fontId="0" fillId="0" borderId="256" pivotButton="0" quotePrefix="0" xfId="0"/>
    <xf numFmtId="0" fontId="0" fillId="0" borderId="283" pivotButton="0" quotePrefix="0" xfId="0"/>
    <xf numFmtId="0" fontId="134" fillId="0" borderId="254" pivotButton="0" quotePrefix="0" xfId="0"/>
    <xf numFmtId="0" fontId="0" fillId="0" borderId="239" pivotButton="0" quotePrefix="0" xfId="0"/>
    <xf numFmtId="0" fontId="0" fillId="0" borderId="240" pivotButton="0" quotePrefix="0" xfId="0"/>
    <xf numFmtId="0" fontId="132" fillId="64" borderId="0" applyAlignment="1" pivotButton="0" quotePrefix="0" xfId="0">
      <alignment horizontal="center" vertical="center"/>
    </xf>
    <xf numFmtId="0" fontId="132" fillId="61" borderId="238" applyAlignment="1" pivotButton="0" quotePrefix="0" xfId="0">
      <alignment horizontal="center" vertical="center"/>
    </xf>
    <xf numFmtId="0" fontId="0" fillId="0" borderId="238" pivotButton="0" quotePrefix="0" xfId="0"/>
    <xf numFmtId="0" fontId="133" fillId="71" borderId="156" applyAlignment="1" pivotButton="0" quotePrefix="0" xfId="0">
      <alignment vertical="center" wrapText="1"/>
    </xf>
    <xf numFmtId="0" fontId="0" fillId="0" borderId="192" pivotButton="0" quotePrefix="0" xfId="0"/>
    <xf numFmtId="0" fontId="0" fillId="0" borderId="257" pivotButton="0" quotePrefix="0" xfId="0"/>
    <xf numFmtId="0" fontId="0" fillId="0" borderId="258" pivotButton="0" quotePrefix="0" xfId="0"/>
    <xf numFmtId="0" fontId="0" fillId="0" borderId="259" pivotButton="0" quotePrefix="0" xfId="0"/>
    <xf numFmtId="0" fontId="0" fillId="0" borderId="242" pivotButton="0" quotePrefix="0" xfId="0"/>
    <xf numFmtId="0" fontId="0" fillId="0" borderId="260" pivotButton="0" quotePrefix="0" xfId="0"/>
    <xf numFmtId="0" fontId="3" fillId="43" borderId="233" applyAlignment="1" pivotButton="0" quotePrefix="0" xfId="0">
      <alignment horizontal="center"/>
    </xf>
    <xf numFmtId="0" fontId="0" fillId="0" borderId="233" pivotButton="0" quotePrefix="0" xfId="0"/>
    <xf numFmtId="0" fontId="41" fillId="66" borderId="250" applyAlignment="1" pivotButton="0" quotePrefix="0" xfId="0">
      <alignment horizontal="center" vertical="center"/>
    </xf>
    <xf numFmtId="0" fontId="41" fillId="60" borderId="262" applyAlignment="1" pivotButton="0" quotePrefix="0" xfId="0">
      <alignment horizontal="center" vertical="center"/>
    </xf>
    <xf numFmtId="0" fontId="131" fillId="60" borderId="282" applyAlignment="1" pivotButton="0" quotePrefix="0" xfId="0">
      <alignment horizontal="center" vertical="center"/>
    </xf>
    <xf numFmtId="0" fontId="0" fillId="0" borderId="277" pivotButton="0" quotePrefix="0" xfId="0"/>
    <xf numFmtId="0" fontId="0" fillId="0" borderId="282" pivotButton="0" quotePrefix="0" xfId="0"/>
    <xf numFmtId="0" fontId="42" fillId="61" borderId="238" applyAlignment="1" pivotButton="0" quotePrefix="0" xfId="0">
      <alignment horizontal="center" vertical="center"/>
    </xf>
    <xf numFmtId="0" fontId="132" fillId="63" borderId="0" applyAlignment="1" pivotButton="0" quotePrefix="0" xfId="0">
      <alignment horizontal="center" vertical="center"/>
    </xf>
    <xf numFmtId="0" fontId="132" fillId="65" borderId="0" applyAlignment="1" pivotButton="0" quotePrefix="0" xfId="0">
      <alignment horizontal="center" vertical="center"/>
    </xf>
    <xf numFmtId="0" fontId="41" fillId="60" borderId="0" applyAlignment="1" pivotButton="0" quotePrefix="0" xfId="0">
      <alignment horizontal="center" vertical="center"/>
    </xf>
    <xf numFmtId="0" fontId="100"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4" fillId="0" borderId="252" pivotButton="0" quotePrefix="0" xfId="0"/>
    <xf numFmtId="0" fontId="0" fillId="0" borderId="253" pivotButton="0" quotePrefix="0" xfId="0"/>
    <xf numFmtId="0" fontId="0" fillId="0" borderId="284" pivotButton="0" quotePrefix="0" xfId="0"/>
    <xf numFmtId="0" fontId="112" fillId="28" borderId="266" applyAlignment="1" pivotButton="0" quotePrefix="0" xfId="2">
      <alignment horizontal="center" vertical="center"/>
    </xf>
    <xf numFmtId="0" fontId="46" fillId="4" borderId="148" applyAlignment="1" pivotButton="0" quotePrefix="0" xfId="3">
      <alignment horizontal="center" vertical="center"/>
    </xf>
    <xf numFmtId="0" fontId="0" fillId="0" borderId="148" pivotButton="0" quotePrefix="0" xfId="0"/>
    <xf numFmtId="0" fontId="113" fillId="28" borderId="266" applyAlignment="1" pivotButton="0" quotePrefix="0" xfId="2">
      <alignment horizontal="center" vertical="center"/>
    </xf>
    <xf numFmtId="0" fontId="151" fillId="0" borderId="266" applyAlignment="1" pivotButton="0" quotePrefix="0" xfId="0">
      <alignment horizontal="center"/>
    </xf>
    <xf numFmtId="0" fontId="66" fillId="25" borderId="272" applyAlignment="1" pivotButton="0" quotePrefix="0" xfId="2">
      <alignment horizontal="center"/>
    </xf>
    <xf numFmtId="0" fontId="0" fillId="0" borderId="26" pivotButton="0" quotePrefix="0" xfId="0"/>
    <xf numFmtId="0" fontId="0" fillId="0" borderId="286" pivotButton="0" quotePrefix="0" xfId="0"/>
    <xf numFmtId="0" fontId="150" fillId="0" borderId="266" applyAlignment="1" pivotButton="0" quotePrefix="0" xfId="0">
      <alignment horizontal="center" vertical="center"/>
    </xf>
    <xf numFmtId="0" fontId="135" fillId="35" borderId="38" applyAlignment="1" pivotButton="0" quotePrefix="0" xfId="0">
      <alignment vertical="center"/>
    </xf>
    <xf numFmtId="0" fontId="135" fillId="35" borderId="30" applyAlignment="1" pivotButton="0" quotePrefix="0" xfId="0">
      <alignment vertical="center"/>
    </xf>
    <xf numFmtId="0" fontId="0" fillId="0" borderId="39" pivotButton="0" quotePrefix="0" xfId="0"/>
    <xf numFmtId="0" fontId="142" fillId="28" borderId="91" applyAlignment="1" pivotButton="0" quotePrefix="0" xfId="2">
      <alignment horizontal="center" vertical="center"/>
    </xf>
    <xf numFmtId="0" fontId="3" fillId="0" borderId="0" applyAlignment="1" pivotButton="0" quotePrefix="0" xfId="0">
      <alignment horizontal="center"/>
    </xf>
    <xf numFmtId="0" fontId="136"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0" fillId="0" borderId="0" applyAlignment="1" pivotButton="0" quotePrefix="0" xfId="0">
      <alignment vertical="center"/>
    </xf>
    <xf numFmtId="0" fontId="91" fillId="25" borderId="274" applyAlignment="1" pivotButton="0" quotePrefix="0" xfId="0">
      <alignment horizontal="center"/>
    </xf>
    <xf numFmtId="0" fontId="0" fillId="0" borderId="287"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7" applyAlignment="1" pivotButton="0" quotePrefix="0" xfId="0">
      <alignment horizontal="center"/>
    </xf>
    <xf numFmtId="0" fontId="33" fillId="60" borderId="0" applyAlignment="1" pivotButton="0" quotePrefix="0" xfId="0">
      <alignment horizontal="center" vertical="center"/>
    </xf>
    <xf numFmtId="0" fontId="145" fillId="0" borderId="0" applyAlignment="1" pivotButton="0" quotePrefix="0" xfId="0">
      <alignment horizontal="center" vertical="center"/>
    </xf>
    <xf numFmtId="0" fontId="108"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8" fillId="61" borderId="0" pivotButton="0" quotePrefix="0" xfId="0"/>
    <xf numFmtId="0" fontId="127" fillId="25" borderId="0" applyAlignment="1" pivotButton="0" quotePrefix="0" xfId="0">
      <alignment horizontal="center"/>
    </xf>
    <xf numFmtId="0" fontId="66" fillId="20" borderId="29" applyAlignment="1" pivotButton="0" quotePrefix="0" xfId="0">
      <alignment vertical="center"/>
    </xf>
    <xf numFmtId="0" fontId="49" fillId="3" borderId="29" applyAlignment="1" pivotButton="0" quotePrefix="0" xfId="0">
      <alignment vertical="center"/>
    </xf>
    <xf numFmtId="0" fontId="109" fillId="28" borderId="91" applyAlignment="1" pivotButton="0" quotePrefix="0" xfId="2">
      <alignment vertical="center"/>
    </xf>
    <xf numFmtId="0" fontId="66" fillId="25" borderId="193" applyAlignment="1" pivotButton="0" quotePrefix="0" xfId="2">
      <alignment horizontal="center"/>
    </xf>
    <xf numFmtId="0" fontId="66" fillId="20" borderId="106" applyAlignment="1" pivotButton="0" quotePrefix="0" xfId="0">
      <alignment vertical="center"/>
    </xf>
    <xf numFmtId="0" fontId="46" fillId="26" borderId="65" applyAlignment="1" pivotButton="0" quotePrefix="0" xfId="0">
      <alignment vertical="center"/>
    </xf>
    <xf numFmtId="0" fontId="73" fillId="27" borderId="61" applyAlignment="1" pivotButton="0" quotePrefix="0" xfId="0">
      <alignment horizontal="left" vertical="center"/>
    </xf>
    <xf numFmtId="0" fontId="0" fillId="0" borderId="62" pivotButton="0" quotePrefix="0" xfId="0"/>
    <xf numFmtId="0" fontId="100" fillId="37" borderId="62" applyAlignment="1" pivotButton="0" quotePrefix="0" xfId="0">
      <alignment horizontal="center" vertical="center"/>
    </xf>
    <xf numFmtId="0" fontId="59" fillId="49" borderId="372" applyAlignment="1" pivotButton="0" quotePrefix="0" xfId="0">
      <alignment horizontal="center" vertical="center" wrapText="1"/>
    </xf>
    <xf numFmtId="0" fontId="0" fillId="0" borderId="370" pivotButton="0" quotePrefix="0" xfId="0"/>
    <xf numFmtId="0" fontId="0" fillId="0" borderId="371" pivotButton="0" quotePrefix="0" xfId="0"/>
    <xf numFmtId="0" fontId="55" fillId="35" borderId="29"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152" fillId="3" borderId="202" applyAlignment="1" pivotButton="0" quotePrefix="0" xfId="0">
      <alignment horizontal="center" vertical="center" wrapText="1"/>
    </xf>
    <xf numFmtId="166" fontId="62" fillId="0" borderId="195" pivotButton="0" quotePrefix="0" xfId="0"/>
    <xf numFmtId="166" fontId="62" fillId="0" borderId="276" pivotButton="0" quotePrefix="0" xfId="0"/>
    <xf numFmtId="0" fontId="46" fillId="4" borderId="134" applyAlignment="1" pivotButton="0" quotePrefix="0" xfId="3">
      <alignment horizontal="center" vertical="center"/>
    </xf>
    <xf numFmtId="0" fontId="46" fillId="0" borderId="151" pivotButton="0" quotePrefix="0" xfId="0"/>
    <xf numFmtId="0" fontId="46" fillId="4" borderId="149" applyAlignment="1" pivotButton="0" quotePrefix="0" xfId="3">
      <alignment horizontal="center" vertical="center"/>
    </xf>
    <xf numFmtId="166" fontId="46" fillId="0" borderId="151" pivotButton="0" quotePrefix="0" xfId="0"/>
    <xf numFmtId="0" fontId="46" fillId="0" borderId="195" pivotButton="0" quotePrefix="0" xfId="0"/>
    <xf numFmtId="0" fontId="99" fillId="52" borderId="0" applyAlignment="1" pivotButton="0" quotePrefix="0" xfId="0">
      <alignment horizontal="center" vertical="center" wrapText="1"/>
    </xf>
    <xf numFmtId="0" fontId="64" fillId="20" borderId="288" applyAlignment="1" pivotButton="0" quotePrefix="0" xfId="0">
      <alignment vertical="center"/>
    </xf>
    <xf numFmtId="166" fontId="49" fillId="3" borderId="195" pivotButton="0" quotePrefix="0" xfId="0"/>
    <xf numFmtId="0" fontId="94" fillId="34" borderId="134" applyAlignment="1" pivotButton="0" quotePrefix="0" xfId="0">
      <alignment horizontal="center" vertical="center"/>
    </xf>
    <xf numFmtId="0" fontId="0" fillId="0" borderId="132" pivotButton="0" quotePrefix="0" xfId="0"/>
    <xf numFmtId="0" fontId="108" fillId="20" borderId="194" applyAlignment="1" pivotButton="0" quotePrefix="0" xfId="0">
      <alignment horizontal="center" vertical="center"/>
    </xf>
    <xf numFmtId="0" fontId="91" fillId="20" borderId="195" applyAlignment="1" pivotButton="0" quotePrefix="0" xfId="0">
      <alignment horizontal="center" vertical="center" wrapText="1"/>
    </xf>
    <xf numFmtId="0" fontId="111" fillId="42" borderId="134" applyAlignment="1" pivotButton="0" quotePrefix="0" xfId="3">
      <alignment horizontal="center" vertical="center"/>
    </xf>
    <xf numFmtId="0" fontId="43" fillId="7" borderId="140" applyAlignment="1" pivotButton="0" quotePrefix="0" xfId="0">
      <alignment horizontal="center"/>
    </xf>
    <xf numFmtId="0" fontId="0" fillId="0" borderId="140" pivotButton="0" quotePrefix="0" xfId="0"/>
    <xf numFmtId="0" fontId="0" fillId="0" borderId="140"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6" applyAlignment="1" pivotButton="0" quotePrefix="0" xfId="0">
      <alignment horizontal="center" vertical="center" wrapText="1"/>
    </xf>
    <xf numFmtId="0" fontId="0" fillId="0" borderId="126" pivotButton="0" quotePrefix="0" xfId="0"/>
    <xf numFmtId="0" fontId="80" fillId="20" borderId="0" applyAlignment="1" pivotButton="0" quotePrefix="0" xfId="0">
      <alignment horizontal="center"/>
    </xf>
    <xf numFmtId="0" fontId="103" fillId="28" borderId="140" applyAlignment="1" pivotButton="0" quotePrefix="0" xfId="1">
      <alignment horizontal="center" vertical="top"/>
    </xf>
    <xf numFmtId="0" fontId="43" fillId="6" borderId="140"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8" applyAlignment="1" pivotButton="0" quotePrefix="0" xfId="3">
      <alignment horizontal="center" vertical="center"/>
    </xf>
    <xf numFmtId="0" fontId="0" fillId="0" borderId="138"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0"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4" applyAlignment="1" pivotButton="0" quotePrefix="0" xfId="0">
      <alignment horizontal="center"/>
    </xf>
    <xf numFmtId="0" fontId="107" fillId="28" borderId="140" applyAlignment="1" pivotButton="0" quotePrefix="0" xfId="1">
      <alignment horizontal="center" vertical="center"/>
    </xf>
    <xf numFmtId="0" fontId="21" fillId="51" borderId="139" applyAlignment="1" pivotButton="0" quotePrefix="0" xfId="3">
      <alignment horizontal="center" vertical="center"/>
    </xf>
    <xf numFmtId="0" fontId="0" fillId="0" borderId="133" pivotButton="0" quotePrefix="0" xfId="0"/>
    <xf numFmtId="0" fontId="0" fillId="0" borderId="139" pivotButton="0" quotePrefix="0" xfId="0"/>
    <xf numFmtId="0" fontId="81" fillId="20" borderId="140" applyAlignment="1" pivotButton="0" quotePrefix="0" xfId="0">
      <alignment horizontal="center"/>
    </xf>
    <xf numFmtId="0" fontId="55" fillId="20" borderId="117" applyAlignment="1" pivotButton="0" quotePrefix="0" xfId="0">
      <alignment horizontal="center" vertical="center"/>
    </xf>
    <xf numFmtId="0" fontId="0" fillId="0" borderId="117" pivotButton="0" quotePrefix="0" xfId="0"/>
    <xf numFmtId="0" fontId="43" fillId="7" borderId="148" applyAlignment="1" pivotButton="0" quotePrefix="0" xfId="0">
      <alignment horizontal="center"/>
    </xf>
    <xf numFmtId="0" fontId="43" fillId="7" borderId="144" applyAlignment="1" pivotButton="0" quotePrefix="0" xfId="0">
      <alignment horizontal="center"/>
    </xf>
    <xf numFmtId="0" fontId="21" fillId="51" borderId="137" applyAlignment="1" pivotButton="0" quotePrefix="0" xfId="3">
      <alignment horizontal="center" vertical="center"/>
    </xf>
    <xf numFmtId="0" fontId="0" fillId="0" borderId="136" pivotButton="0" quotePrefix="0" xfId="0"/>
    <xf numFmtId="0" fontId="0" fillId="0" borderId="137" pivotButton="0" quotePrefix="0" xfId="0"/>
    <xf numFmtId="0" fontId="0" fillId="0" borderId="24" applyAlignment="1" pivotButton="0" quotePrefix="0" xfId="3">
      <alignment horizontal="center" vertical="center"/>
    </xf>
    <xf numFmtId="0" fontId="0" fillId="0" borderId="196" pivotButton="0" quotePrefix="0" xfId="0"/>
    <xf numFmtId="0" fontId="0" fillId="0" borderId="197" pivotButton="0" quotePrefix="0" xfId="0"/>
    <xf numFmtId="0" fontId="0" fillId="0" borderId="199" pivotButton="0" quotePrefix="0" xfId="0"/>
    <xf numFmtId="0" fontId="0" fillId="0" borderId="200" pivotButton="0" quotePrefix="0" xfId="0"/>
    <xf numFmtId="0" fontId="0" fillId="0" borderId="201"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6" applyAlignment="1" pivotButton="0" quotePrefix="0" xfId="3">
      <alignment horizontal="left" vertical="top" wrapText="1"/>
    </xf>
    <xf numFmtId="0" fontId="0" fillId="0" borderId="92" pivotButton="0" quotePrefix="0" xfId="0"/>
    <xf numFmtId="0" fontId="0" fillId="0" borderId="128" applyAlignment="1" pivotButton="0" quotePrefix="0" xfId="3">
      <alignment vertical="center" wrapText="1"/>
    </xf>
    <xf numFmtId="0" fontId="0" fillId="0" borderId="128"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104" fillId="44" borderId="0" applyAlignment="1" pivotButton="0" quotePrefix="0" xfId="3">
      <alignment horizontal="center" vertical="center" wrapText="1"/>
    </xf>
    <xf numFmtId="0" fontId="19" fillId="9" borderId="122" applyAlignment="1" pivotButton="0" quotePrefix="0" xfId="3">
      <alignment vertical="center"/>
    </xf>
    <xf numFmtId="0" fontId="0" fillId="0" borderId="20" pivotButton="0" quotePrefix="0" xfId="0"/>
    <xf numFmtId="0" fontId="77" fillId="10" borderId="120" applyAlignment="1" pivotButton="0" quotePrefix="0" xfId="3">
      <alignment vertical="center"/>
    </xf>
    <xf numFmtId="0" fontId="19" fillId="9" borderId="123" applyAlignment="1" pivotButton="0" quotePrefix="0" xfId="3">
      <alignment vertical="center"/>
    </xf>
    <xf numFmtId="0" fontId="24" fillId="11" borderId="0" applyAlignment="1" pivotButton="0" quotePrefix="0" xfId="3">
      <alignment vertical="center"/>
    </xf>
    <xf numFmtId="0" fontId="19" fillId="9" borderId="118" applyAlignment="1" pivotButton="0" quotePrefix="0" xfId="3">
      <alignment vertical="center"/>
    </xf>
    <xf numFmtId="0" fontId="0" fillId="0" borderId="16" pivotButton="0" quotePrefix="0" xfId="0"/>
    <xf numFmtId="0" fontId="0" fillId="0" borderId="18" pivotButton="0" quotePrefix="0" xfId="0"/>
    <xf numFmtId="0" fontId="46" fillId="10" borderId="207" applyAlignment="1" pivotButton="0" quotePrefix="0" xfId="3">
      <alignment vertical="top" wrapText="1"/>
    </xf>
    <xf numFmtId="0" fontId="77" fillId="10" borderId="16" applyAlignment="1" pivotButton="0" quotePrefix="0" xfId="3">
      <alignment vertical="center"/>
    </xf>
    <xf numFmtId="0" fontId="0" fillId="0" borderId="375" pivotButton="0" quotePrefix="0" xfId="0"/>
    <xf numFmtId="0" fontId="0" fillId="0" borderId="376" pivotButton="0" quotePrefix="0" xfId="0"/>
    <xf numFmtId="0" fontId="0" fillId="0" borderId="377" pivotButton="0" quotePrefix="0" xfId="0"/>
    <xf numFmtId="0" fontId="0" fillId="0" borderId="378" pivotButton="0" quotePrefix="0" xfId="0"/>
    <xf numFmtId="0" fontId="0" fillId="0" borderId="379" pivotButton="0" quotePrefix="0" xfId="0"/>
    <xf numFmtId="0" fontId="0" fillId="0" borderId="380" pivotButton="0" quotePrefix="0" xfId="0"/>
    <xf numFmtId="0" fontId="26" fillId="0" borderId="118"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19" fillId="9" borderId="202" applyAlignment="1" pivotButton="0" quotePrefix="0" xfId="3">
      <alignment vertical="center"/>
    </xf>
    <xf numFmtId="0" fontId="25" fillId="14" borderId="118" applyAlignment="1" pivotButton="0" quotePrefix="0" xfId="3">
      <alignment horizontal="center" vertical="center" wrapText="1"/>
    </xf>
    <xf numFmtId="0" fontId="0" fillId="0" borderId="120" pivotButton="0" quotePrefix="0" xfId="0"/>
    <xf numFmtId="0" fontId="78" fillId="11" borderId="18" applyAlignment="1" pivotButton="0" quotePrefix="0" xfId="3">
      <alignment horizontal="center" vertical="center" wrapText="1"/>
    </xf>
    <xf numFmtId="0" fontId="23" fillId="4" borderId="25" applyAlignment="1" pivotButton="0" quotePrefix="0" xfId="3">
      <alignment horizontal="center" vertical="center" wrapText="1"/>
    </xf>
    <xf numFmtId="0" fontId="0" fillId="0" borderId="204" pivotButton="0" quotePrefix="0" xfId="0"/>
    <xf numFmtId="0" fontId="0" fillId="0" borderId="205" pivotButton="0" quotePrefix="0" xfId="0"/>
    <xf numFmtId="0" fontId="0" fillId="10" borderId="12" applyAlignment="1" pivotButton="0" quotePrefix="0" xfId="3">
      <alignment horizontal="left" vertical="center"/>
    </xf>
    <xf numFmtId="0" fontId="22" fillId="9" borderId="118" applyAlignment="1" pivotButton="0" quotePrefix="0" xfId="3">
      <alignment horizontal="center" vertical="center"/>
    </xf>
    <xf numFmtId="0" fontId="23" fillId="4" borderId="24" applyAlignment="1" pivotButton="0" quotePrefix="0" xfId="3">
      <alignment horizontal="center" vertical="center" wrapText="1"/>
    </xf>
    <xf numFmtId="0" fontId="26" fillId="0" borderId="22" pivotButton="0" quotePrefix="0" xfId="3"/>
    <xf numFmtId="0" fontId="32" fillId="11" borderId="0" applyAlignment="1" pivotButton="0" quotePrefix="0" xfId="3">
      <alignment horizontal="center" vertical="center" wrapText="1"/>
    </xf>
    <xf numFmtId="0" fontId="19" fillId="9" borderId="369" applyAlignment="1" pivotButton="0" quotePrefix="0" xfId="3">
      <alignment vertical="center"/>
    </xf>
    <xf numFmtId="0" fontId="0" fillId="0" borderId="373" pivotButton="0" quotePrefix="0" xfId="0"/>
    <xf numFmtId="0" fontId="19" fillId="9" borderId="121" applyAlignment="1" pivotButton="0" quotePrefix="0" xfId="3">
      <alignment vertical="center"/>
    </xf>
    <xf numFmtId="0" fontId="46" fillId="4" borderId="19" applyAlignment="1" pivotButton="0" quotePrefix="0" xfId="3">
      <alignment horizontal="center" vertical="center"/>
    </xf>
    <xf numFmtId="0" fontId="32" fillId="11" borderId="12" applyAlignment="1" pivotButton="0" quotePrefix="0" xfId="3">
      <alignment horizontal="center" vertical="center" wrapText="1"/>
    </xf>
    <xf numFmtId="0" fontId="0" fillId="0" borderId="118" applyAlignment="1" pivotButton="0" quotePrefix="0" xfId="3">
      <alignment horizontal="center" vertical="center"/>
    </xf>
    <xf numFmtId="0" fontId="32" fillId="11" borderId="15" applyAlignment="1" pivotButton="0" quotePrefix="0" xfId="3">
      <alignment horizontal="center" vertical="center" wrapText="1"/>
    </xf>
    <xf numFmtId="0" fontId="0" fillId="0" borderId="15" pivotButton="0" quotePrefix="0" xfId="0"/>
    <xf numFmtId="0" fontId="23" fillId="4" borderId="18" applyAlignment="1" pivotButton="0" quotePrefix="0" xfId="3">
      <alignment horizontal="center" vertical="center" wrapText="1"/>
    </xf>
    <xf numFmtId="0" fontId="0" fillId="0" borderId="23" applyAlignment="1" pivotButton="0" quotePrefix="0" xfId="3">
      <alignment horizontal="center" vertical="center"/>
    </xf>
    <xf numFmtId="0" fontId="107" fillId="44" borderId="0" applyAlignment="1" pivotButton="0" quotePrefix="0" xfId="3">
      <alignment horizontal="center" vertical="center" wrapText="1"/>
    </xf>
    <xf numFmtId="0" fontId="22" fillId="9" borderId="22" applyAlignment="1" pivotButton="0" quotePrefix="0" xfId="3">
      <alignment horizontal="center" vertical="center"/>
    </xf>
    <xf numFmtId="0" fontId="25" fillId="14" borderId="118" applyAlignment="1" pivotButton="0" quotePrefix="0" xfId="3">
      <alignment horizontal="center" vertical="center"/>
    </xf>
    <xf numFmtId="0" fontId="0" fillId="0" borderId="127" applyAlignment="1" pivotButton="0" quotePrefix="0" xfId="3">
      <alignment vertical="center" wrapText="1"/>
    </xf>
    <xf numFmtId="0" fontId="0" fillId="0" borderId="208" pivotButton="0" quotePrefix="0" xfId="0"/>
    <xf numFmtId="0" fontId="0" fillId="0" borderId="127"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3"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12" fillId="9" borderId="100" applyAlignment="1" pivotButton="0" quotePrefix="0" xfId="3">
      <alignment horizontal="center" wrapText="1"/>
    </xf>
    <xf numFmtId="0" fontId="46" fillId="10" borderId="104" applyAlignment="1" pivotButton="0" quotePrefix="0" xfId="3">
      <alignment horizontal="left" vertical="top" wrapText="1"/>
    </xf>
    <xf numFmtId="0" fontId="0" fillId="0" borderId="104" pivotButton="0" quotePrefix="0" xfId="0"/>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8" applyAlignment="1" pivotButton="0" quotePrefix="0" xfId="3">
      <alignment horizontal="center" vertical="center"/>
    </xf>
    <xf numFmtId="0" fontId="27" fillId="10" borderId="22" applyAlignment="1" pivotButton="0" quotePrefix="0" xfId="3">
      <alignment horizontal="left" vertical="top" wrapText="1"/>
    </xf>
    <xf numFmtId="0" fontId="124" fillId="53" borderId="178" applyAlignment="1" pivotButton="0" quotePrefix="0" xfId="4">
      <alignment vertical="center" wrapText="1"/>
    </xf>
    <xf numFmtId="0" fontId="0" fillId="0" borderId="180" pivotButton="0" quotePrefix="0" xfId="0"/>
    <xf numFmtId="0" fontId="123" fillId="26" borderId="178" applyAlignment="1" pivotButton="0" quotePrefix="0" xfId="4">
      <alignment vertical="center" wrapText="1"/>
    </xf>
    <xf numFmtId="0" fontId="124" fillId="54" borderId="178" applyAlignment="1" pivotButton="0" quotePrefix="0" xfId="4">
      <alignment horizontal="center" wrapText="1"/>
    </xf>
    <xf numFmtId="0" fontId="0" fillId="0" borderId="182" pivotButton="0" quotePrefix="0" xfId="0"/>
    <xf numFmtId="0" fontId="0" fillId="0" borderId="190" pivotButton="0" quotePrefix="0" xfId="0"/>
    <xf numFmtId="0" fontId="0" fillId="0" borderId="191" pivotButton="0" quotePrefix="0" xfId="0"/>
    <xf numFmtId="0" fontId="0" fillId="0" borderId="183" pivotButton="0" quotePrefix="0" xfId="0"/>
    <xf numFmtId="0" fontId="0" fillId="0" borderId="185" pivotButton="0" quotePrefix="0" xfId="0"/>
    <xf numFmtId="0" fontId="124" fillId="53" borderId="170" applyAlignment="1" pivotButton="0" quotePrefix="0" xfId="4">
      <alignment horizontal="left" vertical="center" wrapText="1"/>
    </xf>
    <xf numFmtId="0" fontId="0" fillId="0" borderId="179" pivotButton="0" quotePrefix="0" xfId="0"/>
    <xf numFmtId="0" fontId="123" fillId="54" borderId="178" applyAlignment="1" pivotButton="0" quotePrefix="0" xfId="4">
      <alignment vertical="center" wrapText="1"/>
    </xf>
    <xf numFmtId="0" fontId="41" fillId="25" borderId="175" applyAlignment="1" pivotButton="0" quotePrefix="0" xfId="4">
      <alignment horizontal="left" vertical="center"/>
    </xf>
    <xf numFmtId="0" fontId="0" fillId="0" borderId="175" pivotButton="0" quotePrefix="0" xfId="0"/>
    <xf numFmtId="165" fontId="123" fillId="54" borderId="180" applyAlignment="1" pivotButton="0" quotePrefix="0" xfId="4">
      <alignment horizontal="center" vertical="center" wrapText="1"/>
    </xf>
    <xf numFmtId="0" fontId="123" fillId="54" borderId="209" applyAlignment="1" pivotButton="0" quotePrefix="0" xfId="4">
      <alignment horizontal="center" vertical="center" wrapText="1"/>
    </xf>
    <xf numFmtId="0" fontId="0" fillId="0" borderId="176" pivotButton="0" quotePrefix="0" xfId="0"/>
    <xf numFmtId="0" fontId="0" fillId="0" borderId="177" pivotButton="0" quotePrefix="0" xfId="0"/>
    <xf numFmtId="0" fontId="123" fillId="28" borderId="178" applyAlignment="1" pivotButton="0" quotePrefix="0" xfId="4">
      <alignment vertical="center" wrapText="1"/>
    </xf>
    <xf numFmtId="0" fontId="0" fillId="0" borderId="181" pivotButton="0" quotePrefix="0" xfId="0"/>
    <xf numFmtId="0" fontId="5" fillId="0" borderId="0" pivotButton="0" quotePrefix="0" xfId="4"/>
    <xf numFmtId="0" fontId="0" fillId="0" borderId="184" pivotButton="0" quotePrefix="0" xfId="0"/>
    <xf numFmtId="0" fontId="124" fillId="53" borderId="178" applyAlignment="1" pivotButton="0" quotePrefix="0" xfId="4">
      <alignment horizontal="left" vertical="center" wrapText="1"/>
    </xf>
    <xf numFmtId="0" fontId="121" fillId="56" borderId="178" applyAlignment="1" pivotButton="0" quotePrefix="0" xfId="4">
      <alignment horizontal="center" vertical="center" wrapText="1"/>
    </xf>
    <xf numFmtId="0" fontId="123" fillId="54" borderId="209" applyAlignment="1" pivotButton="0" quotePrefix="0" xfId="4">
      <alignment vertical="center" wrapText="1"/>
    </xf>
    <xf numFmtId="0" fontId="123" fillId="54" borderId="180" applyAlignment="1" pivotButton="0" quotePrefix="0" xfId="4">
      <alignment vertical="center" wrapText="1"/>
    </xf>
    <xf numFmtId="0" fontId="123" fillId="54" borderId="212" applyAlignment="1" pivotButton="0" quotePrefix="0" xfId="4">
      <alignment horizontal="center" vertical="center"/>
    </xf>
    <xf numFmtId="0" fontId="0" fillId="0" borderId="171" pivotButton="0" quotePrefix="0" xfId="0"/>
    <xf numFmtId="0" fontId="123" fillId="54" borderId="178" applyAlignment="1" pivotButton="0" quotePrefix="0" xfId="4">
      <alignment horizontal="center" vertical="center" wrapText="1"/>
    </xf>
    <xf numFmtId="0" fontId="124" fillId="53" borderId="168" applyAlignment="1" pivotButton="0" quotePrefix="0" xfId="4">
      <alignment vertical="center" wrapText="1"/>
    </xf>
    <xf numFmtId="0" fontId="0" fillId="16" borderId="177" pivotButton="0" quotePrefix="0" xfId="0"/>
    <xf numFmtId="0" fontId="120" fillId="28" borderId="353" applyAlignment="1" pivotButton="0" quotePrefix="0" xfId="4">
      <alignment horizontal="center" vertical="center"/>
    </xf>
    <xf numFmtId="0" fontId="0" fillId="0" borderId="358" pivotButton="0" quotePrefix="0" xfId="0"/>
    <xf numFmtId="0" fontId="0" fillId="0" borderId="361" pivotButton="0" quotePrefix="0" xfId="0"/>
    <xf numFmtId="0" fontId="0" fillId="0" borderId="355" pivotButton="0" quotePrefix="0" xfId="0"/>
    <xf numFmtId="0" fontId="123" fillId="17" borderId="178" applyAlignment="1" pivotButton="0" quotePrefix="0" xfId="4">
      <alignment vertical="center" wrapText="1"/>
    </xf>
    <xf numFmtId="0" fontId="124" fillId="53" borderId="168" applyAlignment="1" pivotButton="0" quotePrefix="0" xfId="4">
      <alignment horizontal="left" vertical="center" wrapText="1"/>
    </xf>
    <xf numFmtId="0" fontId="161" fillId="54" borderId="0" applyAlignment="1" pivotButton="0" quotePrefix="0" xfId="4">
      <alignment horizontal="center" vertical="center" wrapText="1"/>
    </xf>
    <xf numFmtId="165" fontId="123" fillId="54" borderId="178" applyAlignment="1" pivotButton="0" quotePrefix="0" xfId="4">
      <alignment vertical="center" wrapText="1"/>
    </xf>
    <xf numFmtId="0" fontId="123" fillId="53" borderId="178" applyAlignment="1" pivotButton="0" quotePrefix="0" xfId="4">
      <alignment vertical="center" wrapText="1"/>
    </xf>
    <xf numFmtId="0" fontId="119" fillId="28" borderId="134" applyAlignment="1" pivotButton="0" quotePrefix="0" xfId="4">
      <alignment horizontal="center" vertical="center" wrapText="1"/>
    </xf>
    <xf numFmtId="0" fontId="0" fillId="0" borderId="359" pivotButton="0" quotePrefix="0" xfId="0"/>
    <xf numFmtId="0" fontId="119" fillId="28" borderId="360" applyAlignment="1" pivotButton="0" quotePrefix="0" xfId="4">
      <alignment horizontal="center" vertical="center" wrapText="1"/>
    </xf>
    <xf numFmtId="0" fontId="0" fillId="0" borderId="188" pivotButton="0" quotePrefix="0" xfId="0"/>
    <xf numFmtId="0" fontId="0" fillId="0" borderId="354" pivotButton="0" quotePrefix="0" xfId="0"/>
    <xf numFmtId="0" fontId="123" fillId="54" borderId="211" applyAlignment="1" pivotButton="0" quotePrefix="0" xfId="4">
      <alignment horizontal="center" vertical="center"/>
    </xf>
    <xf numFmtId="0" fontId="0" fillId="0" borderId="169" pivotButton="0" quotePrefix="0" xfId="0"/>
    <xf numFmtId="0" fontId="0" fillId="16" borderId="178" pivotButton="0" quotePrefix="0" xfId="0"/>
    <xf numFmtId="0" fontId="117" fillId="0" borderId="91" applyAlignment="1" pivotButton="0" quotePrefix="0" xfId="4">
      <alignment horizontal="center" vertical="center"/>
    </xf>
    <xf numFmtId="0" fontId="73" fillId="41" borderId="178" applyAlignment="1" pivotButton="0" quotePrefix="0" xfId="4">
      <alignment horizontal="center" vertical="center" wrapText="1"/>
    </xf>
    <xf numFmtId="0" fontId="105" fillId="0" borderId="91" applyAlignment="1" pivotButton="0" quotePrefix="0" xfId="4">
      <alignment horizontal="center" vertical="center"/>
    </xf>
    <xf numFmtId="0" fontId="123" fillId="28" borderId="178" applyAlignment="1" pivotButton="0" quotePrefix="0" xfId="4">
      <alignment horizontal="center" vertical="center" wrapText="1"/>
    </xf>
    <xf numFmtId="0" fontId="4" fillId="0" borderId="178" applyAlignment="1" pivotButton="0" quotePrefix="0" xfId="4">
      <alignment horizontal="center"/>
    </xf>
    <xf numFmtId="0" fontId="123" fillId="54" borderId="213" applyAlignment="1" pivotButton="0" quotePrefix="0" xfId="4">
      <alignment horizontal="center" vertical="center"/>
    </xf>
    <xf numFmtId="0" fontId="0" fillId="0" borderId="174" pivotButton="0" quotePrefix="0" xfId="0"/>
    <xf numFmtId="0" fontId="5" fillId="0" borderId="91" applyAlignment="1" pivotButton="0" quotePrefix="0" xfId="4">
      <alignment horizontal="center"/>
    </xf>
    <xf numFmtId="0" fontId="124" fillId="53" borderId="170" applyAlignment="1" pivotButton="0" quotePrefix="0" xfId="4">
      <alignment vertical="center" wrapText="1"/>
    </xf>
    <xf numFmtId="0" fontId="41" fillId="25" borderId="0" applyAlignment="1" pivotButton="0" quotePrefix="0" xfId="4">
      <alignment horizontal="center" vertical="center"/>
    </xf>
    <xf numFmtId="0" fontId="0" fillId="16" borderId="177" applyAlignment="1" pivotButton="0" quotePrefix="0" xfId="0">
      <alignment horizontal="center"/>
    </xf>
    <xf numFmtId="0" fontId="125" fillId="41" borderId="186" applyAlignment="1" pivotButton="0" quotePrefix="0" xfId="4">
      <alignment horizontal="center" vertical="center" wrapText="1"/>
    </xf>
    <xf numFmtId="0" fontId="0" fillId="0" borderId="186" pivotButton="0" quotePrefix="0" xfId="0"/>
    <xf numFmtId="0" fontId="5" fillId="18" borderId="0" applyAlignment="1" pivotButton="0" quotePrefix="0" xfId="4">
      <alignment horizontal="center"/>
    </xf>
    <xf numFmtId="0" fontId="124" fillId="53" borderId="209" applyAlignment="1" pivotButton="0" quotePrefix="0" xfId="4">
      <alignment horizontal="left" vertical="center" wrapText="1"/>
    </xf>
    <xf numFmtId="0" fontId="123" fillId="54" borderId="178" applyAlignment="1" pivotButton="0" quotePrefix="0" xfId="4">
      <alignment horizontal="left" vertical="center" wrapText="1"/>
    </xf>
    <xf numFmtId="0" fontId="123" fillId="54" borderId="180" applyAlignment="1" pivotButton="0" quotePrefix="0" xfId="4">
      <alignment horizontal="center" vertical="center" wrapText="1"/>
    </xf>
    <xf numFmtId="0" fontId="41" fillId="25" borderId="210" applyAlignment="1" pivotButton="0" quotePrefix="0" xfId="4">
      <alignment horizontal="center" vertical="center"/>
    </xf>
    <xf numFmtId="0" fontId="0" fillId="0" borderId="165" pivotButton="0" quotePrefix="0" xfId="0"/>
    <xf numFmtId="0" fontId="0" fillId="0" borderId="166" pivotButton="0" quotePrefix="0" xfId="0"/>
    <xf numFmtId="0" fontId="123" fillId="54" borderId="177" applyAlignment="1" pivotButton="0" quotePrefix="0" xfId="4">
      <alignment horizontal="center" vertical="center" wrapText="1"/>
    </xf>
    <xf numFmtId="0" fontId="123" fillId="28" borderId="187" applyAlignment="1" pivotButton="0" quotePrefix="0" xfId="4">
      <alignment vertical="center" wrapText="1"/>
    </xf>
    <xf numFmtId="0" fontId="0" fillId="0" borderId="214" pivotButton="0" quotePrefix="0" xfId="0"/>
    <xf numFmtId="0" fontId="0" fillId="0" borderId="215" pivotButton="0" quotePrefix="0" xfId="0"/>
    <xf numFmtId="0" fontId="116" fillId="25" borderId="0" applyAlignment="1" pivotButton="0" quotePrefix="0" xfId="4">
      <alignment horizontal="center" vertical="center"/>
    </xf>
    <xf numFmtId="0" fontId="0" fillId="0" borderId="356" applyAlignment="1" pivotButton="0" quotePrefix="0" xfId="0">
      <alignment horizontal="center"/>
    </xf>
    <xf numFmtId="0" fontId="0" fillId="0" borderId="172" pivotButton="0" quotePrefix="0" xfId="0"/>
    <xf numFmtId="0" fontId="0" fillId="0" borderId="356" pivotButton="0" quotePrefix="0" xfId="0"/>
    <xf numFmtId="0" fontId="4" fillId="0" borderId="189" pivotButton="0" quotePrefix="0" xfId="4"/>
    <xf numFmtId="0" fontId="0" fillId="0" borderId="189" pivotButton="0" quotePrefix="0" xfId="0"/>
    <xf numFmtId="0" fontId="124" fillId="53" borderId="209"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9"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69" fillId="20" borderId="0" applyAlignment="1" pivotButton="0" quotePrefix="0" xfId="1">
      <alignment horizontal="center" vertical="center" wrapText="1"/>
    </xf>
    <xf numFmtId="0" fontId="9" fillId="0" borderId="0"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29" pivotButton="0" quotePrefix="0" xfId="0"/>
    <xf numFmtId="0" fontId="0" fillId="0" borderId="230"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2" pivotButton="0" quotePrefix="0" xfId="0"/>
    <xf numFmtId="0" fontId="58" fillId="3" borderId="218"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0"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19"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89"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1" pivotButton="0" quotePrefix="0" xfId="0"/>
    <xf numFmtId="0" fontId="0" fillId="0" borderId="232"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9"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3" pivotButton="0" quotePrefix="0" xfId="0"/>
    <xf numFmtId="0" fontId="106" fillId="28" borderId="0" applyAlignment="1" pivotButton="0" quotePrefix="0" xfId="1">
      <alignment horizontal="center" vertical="center"/>
    </xf>
    <xf numFmtId="0" fontId="102" fillId="3" borderId="218"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6"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8"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4" pivotButton="0" quotePrefix="0" xfId="0"/>
    <xf numFmtId="0" fontId="38" fillId="0" borderId="87" applyAlignment="1" pivotButton="0" quotePrefix="0" xfId="1">
      <alignment horizontal="center" vertical="center" wrapText="1"/>
    </xf>
    <xf numFmtId="0" fontId="0" fillId="0" borderId="227" pivotButton="0" quotePrefix="0" xfId="0"/>
    <xf numFmtId="0" fontId="0" fillId="0" borderId="228" pivotButton="0" quotePrefix="0" xfId="0"/>
    <xf numFmtId="169"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8"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1" applyAlignment="1" pivotButton="0" quotePrefix="0" xfId="1">
      <alignment horizontal="center" vertical="center"/>
    </xf>
    <xf numFmtId="0" fontId="38" fillId="0" borderId="82" applyAlignment="1" pivotButton="0" quotePrefix="0" xfId="1">
      <alignment horizontal="center" vertical="center" wrapText="1"/>
    </xf>
    <xf numFmtId="0" fontId="46" fillId="4" borderId="117"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7"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7" applyAlignment="1" pivotButton="0" quotePrefix="0" xfId="1">
      <alignment horizontal="center" vertical="center" wrapText="1"/>
    </xf>
    <xf numFmtId="0" fontId="0" fillId="0" borderId="73" pivotButton="0" quotePrefix="0" xfId="0"/>
    <xf numFmtId="0" fontId="103"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5" pivotButton="0" quotePrefix="0" xfId="0"/>
    <xf numFmtId="0" fontId="0" fillId="0" borderId="226" pivotButton="0" quotePrefix="0" xfId="0"/>
    <xf numFmtId="0" fontId="46" fillId="16" borderId="29" applyAlignment="1" pivotButton="0" quotePrefix="0" xfId="0">
      <alignment vertical="center" wrapText="1"/>
    </xf>
    <xf numFmtId="0" fontId="54" fillId="30" borderId="106" applyAlignment="1" pivotButton="0" quotePrefix="0" xfId="0">
      <alignment horizontal="center" vertical="center" wrapText="1"/>
    </xf>
    <xf numFmtId="0" fontId="48" fillId="0" borderId="30" applyAlignment="1" pivotButton="0" quotePrefix="0" xfId="0">
      <alignment horizontal="left" vertical="center" wrapText="1"/>
    </xf>
    <xf numFmtId="0" fontId="49" fillId="3" borderId="30" applyAlignment="1" pivotButton="0" quotePrefix="0" xfId="0">
      <alignment horizontal="center" vertical="center" wrapText="1"/>
    </xf>
    <xf numFmtId="166" fontId="46" fillId="0" borderId="30" applyAlignment="1" pivotButton="0" quotePrefix="0" xfId="0">
      <alignment vertical="center" wrapText="1"/>
    </xf>
    <xf numFmtId="0" fontId="46" fillId="0" borderId="38" applyAlignment="1" pivotButton="0" quotePrefix="0" xfId="0">
      <alignment vertical="center" wrapText="1"/>
    </xf>
    <xf numFmtId="164" fontId="47" fillId="16" borderId="332" applyAlignment="1" pivotButton="0" quotePrefix="0" xfId="0">
      <alignment horizontal="center" vertical="center" wrapText="1"/>
    </xf>
    <xf numFmtId="0" fontId="87" fillId="24" borderId="293" applyAlignment="1" pivotButton="0" quotePrefix="0" xfId="0">
      <alignment horizontal="center" vertical="center" wrapText="1"/>
    </xf>
    <xf numFmtId="0" fontId="0" fillId="0" borderId="33" pivotButton="0" quotePrefix="0" xfId="0"/>
    <xf numFmtId="0" fontId="0" fillId="0" borderId="115" pivotButton="0" quotePrefix="0" xfId="0"/>
    <xf numFmtId="0" fontId="0" fillId="0" borderId="40" pivotButton="0" quotePrefix="0" xfId="0"/>
    <xf numFmtId="0" fontId="0" fillId="0" borderId="116" pivotButton="0" quotePrefix="0" xfId="0"/>
    <xf numFmtId="0" fontId="67" fillId="0" borderId="30" applyAlignment="1" pivotButton="0" quotePrefix="0" xfId="0">
      <alignment horizontal="left" vertical="center"/>
    </xf>
    <xf numFmtId="0" fontId="0" fillId="0" borderId="125" pivotButton="0" quotePrefix="0" xfId="0"/>
    <xf numFmtId="0" fontId="54" fillId="29" borderId="328" applyAlignment="1" pivotButton="0" quotePrefix="0" xfId="0">
      <alignment horizontal="left" vertical="center" wrapText="1"/>
    </xf>
    <xf numFmtId="0" fontId="46" fillId="0" borderId="294"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3" applyAlignment="1" pivotButton="0" quotePrefix="0" xfId="0">
      <alignment horizontal="center" vertical="center" wrapText="1"/>
    </xf>
    <xf numFmtId="0" fontId="0" fillId="0" borderId="243"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0" applyAlignment="1" pivotButton="0" quotePrefix="0" xfId="0">
      <alignment horizontal="center" vertical="center" wrapText="1"/>
    </xf>
    <xf numFmtId="0" fontId="0" fillId="0" borderId="298"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6" fontId="48" fillId="0" borderId="125" applyAlignment="1" pivotButton="0" quotePrefix="0" xfId="0">
      <alignment horizontal="center" vertical="center" wrapText="1"/>
    </xf>
    <xf numFmtId="0" fontId="46" fillId="0" borderId="30" applyAlignment="1" pivotButton="0" quotePrefix="0" xfId="0">
      <alignment vertical="center" wrapText="1"/>
    </xf>
    <xf numFmtId="0" fontId="61" fillId="3" borderId="245" applyAlignment="1" pivotButton="0" quotePrefix="0" xfId="0">
      <alignment horizontal="center" vertical="center" wrapText="1"/>
    </xf>
    <xf numFmtId="0" fontId="0" fillId="0" borderId="244" pivotButton="0" quotePrefix="0" xfId="0"/>
    <xf numFmtId="0" fontId="0" fillId="0" borderId="245" pivotButton="0" quotePrefix="0" xfId="0"/>
    <xf numFmtId="0" fontId="46" fillId="16" borderId="29" applyAlignment="1" pivotButton="0" quotePrefix="0" xfId="0">
      <alignment horizontal="center" vertical="center" wrapText="1"/>
    </xf>
    <xf numFmtId="0" fontId="46" fillId="0" borderId="292"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5" applyAlignment="1" pivotButton="0" quotePrefix="0" xfId="0">
      <alignment horizontal="center" vertical="center" wrapText="1"/>
    </xf>
    <xf numFmtId="166" fontId="46" fillId="0" borderId="30" applyAlignment="1" pivotButton="0" quotePrefix="0" xfId="0">
      <alignment horizontal="center" vertical="center" wrapText="1"/>
    </xf>
    <xf numFmtId="166" fontId="49" fillId="3" borderId="291" applyAlignment="1" pivotButton="0" quotePrefix="0" xfId="0">
      <alignment vertical="center" wrapText="1"/>
    </xf>
    <xf numFmtId="0" fontId="63" fillId="30" borderId="333" applyAlignment="1" pivotButton="0" quotePrefix="0" xfId="0">
      <alignment horizontal="center" vertical="center" wrapText="1"/>
    </xf>
    <xf numFmtId="0" fontId="0" fillId="0" borderId="318" pivotButton="0" quotePrefix="0" xfId="0"/>
    <xf numFmtId="166" fontId="48" fillId="0" borderId="363"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2" applyAlignment="1" pivotButton="0" quotePrefix="0" xfId="0">
      <alignment horizontal="center" vertical="center" wrapText="1"/>
    </xf>
    <xf numFmtId="0" fontId="66" fillId="20" borderId="294"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8" fillId="14" borderId="294" applyAlignment="1" pivotButton="0" quotePrefix="0" xfId="3">
      <alignment horizontal="center" vertical="center"/>
    </xf>
    <xf numFmtId="0" fontId="67" fillId="0" borderId="296" applyAlignment="1" pivotButton="0" quotePrefix="0" xfId="0">
      <alignment horizontal="center" vertical="center" wrapText="1"/>
    </xf>
    <xf numFmtId="166" fontId="48" fillId="0" borderId="363" applyAlignment="1" pivotButton="0" quotePrefix="0" xfId="0">
      <alignment vertical="center" wrapText="1"/>
    </xf>
    <xf numFmtId="0" fontId="55" fillId="21" borderId="292"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6" fontId="46" fillId="0" borderId="291" applyAlignment="1" pivotButton="0" quotePrefix="0" xfId="0">
      <alignment horizontal="center" vertical="center" wrapText="1"/>
    </xf>
    <xf numFmtId="0" fontId="49" fillId="15" borderId="299" applyAlignment="1" pivotButton="0" quotePrefix="0" xfId="0">
      <alignment horizontal="center" vertical="center" wrapText="1"/>
    </xf>
    <xf numFmtId="0" fontId="57" fillId="25" borderId="292" applyAlignment="1" pivotButton="0" quotePrefix="0" xfId="1">
      <alignment horizontal="center" vertical="center"/>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39" applyAlignment="1" pivotButton="0" quotePrefix="0" xfId="0">
      <alignment horizontal="center" vertical="center" wrapText="1"/>
    </xf>
    <xf numFmtId="0" fontId="0" fillId="0" borderId="362"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5" applyAlignment="1" pivotButton="0" quotePrefix="0" xfId="0">
      <alignment vertical="center" wrapText="1"/>
    </xf>
    <xf numFmtId="0" fontId="63" fillId="22" borderId="322" applyAlignment="1" pivotButton="0" quotePrefix="0" xfId="0">
      <alignment horizontal="center" vertical="center" wrapText="1"/>
    </xf>
    <xf numFmtId="0" fontId="0" fillId="0" borderId="248" pivotButton="0" quotePrefix="0" xfId="0"/>
    <xf numFmtId="0" fontId="33" fillId="20" borderId="0" applyAlignment="1" pivotButton="0" quotePrefix="0" xfId="0">
      <alignment horizontal="center" vertical="center" wrapText="1"/>
    </xf>
    <xf numFmtId="166" fontId="65" fillId="3" borderId="91" applyAlignment="1" pivotButton="0" quotePrefix="0" xfId="0">
      <alignment horizontal="right" vertical="center" wrapText="1"/>
    </xf>
    <xf numFmtId="166" fontId="65" fillId="3" borderId="29" applyAlignment="1" pivotButton="0" quotePrefix="0" xfId="0">
      <alignment horizontal="right" vertical="center" wrapText="1"/>
    </xf>
    <xf numFmtId="164" fontId="47" fillId="16" borderId="158" applyAlignment="1" pivotButton="0" quotePrefix="0" xfId="0">
      <alignment horizontal="center" vertical="center" wrapText="1"/>
    </xf>
    <xf numFmtId="0" fontId="55" fillId="21" borderId="363" applyAlignment="1" pivotButton="0" quotePrefix="0" xfId="0">
      <alignment horizontal="center" vertical="center" wrapText="1"/>
    </xf>
    <xf numFmtId="164" fontId="38" fillId="16" borderId="334" applyAlignment="1" pivotButton="0" quotePrefix="0" xfId="2">
      <alignment horizontal="center" vertical="center" wrapText="1"/>
    </xf>
    <xf numFmtId="0" fontId="0" fillId="0" borderId="334" pivotButton="0" quotePrefix="0" xfId="0"/>
    <xf numFmtId="166" fontId="53" fillId="23" borderId="65" applyAlignment="1" pivotButton="0" quotePrefix="0" xfId="2">
      <alignment horizontal="center" vertical="center" wrapText="1"/>
    </xf>
    <xf numFmtId="0" fontId="46" fillId="0" borderId="290" applyAlignment="1" pivotButton="0" quotePrefix="0" xfId="0">
      <alignment vertical="center" wrapText="1"/>
    </xf>
    <xf numFmtId="0" fontId="0" fillId="0" borderId="269" pivotButton="0" quotePrefix="0" xfId="0"/>
    <xf numFmtId="0" fontId="0" fillId="0" borderId="271" pivotButton="0" quotePrefix="0" xfId="0"/>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0" fontId="0" fillId="0" borderId="110" pivotButton="0" quotePrefix="0" xfId="0"/>
    <xf numFmtId="0" fontId="67" fillId="0" borderId="292"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6" applyAlignment="1" pivotButton="0" quotePrefix="0" xfId="0">
      <alignment horizontal="center" vertical="center" wrapText="1"/>
    </xf>
    <xf numFmtId="0" fontId="0" fillId="0" borderId="34" pivotButton="0" quotePrefix="0" xfId="0"/>
    <xf numFmtId="0" fontId="61" fillId="3" borderId="244" applyAlignment="1" pivotButton="0" quotePrefix="0" xfId="0">
      <alignment horizontal="center" vertical="center" wrapText="1"/>
    </xf>
    <xf numFmtId="0" fontId="61" fillId="3" borderId="331"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4" applyAlignment="1" pivotButton="0" quotePrefix="0" xfId="0">
      <alignment horizontal="center" vertical="center" wrapText="1"/>
    </xf>
    <xf numFmtId="0" fontId="0" fillId="0" borderId="329" pivotButton="0" quotePrefix="0" xfId="0"/>
    <xf numFmtId="0" fontId="49" fillId="34" borderId="327" applyAlignment="1" pivotButton="0" quotePrefix="0" xfId="0">
      <alignment horizontal="center" vertical="center" wrapText="1"/>
    </xf>
    <xf numFmtId="0" fontId="61" fillId="57" borderId="91" applyAlignment="1" pivotButton="0" quotePrefix="0" xfId="0">
      <alignment horizontal="center" vertical="center" wrapText="1"/>
    </xf>
    <xf numFmtId="166" fontId="46" fillId="0" borderId="290" applyAlignment="1" pivotButton="0" quotePrefix="0" xfId="0">
      <alignment vertical="center" wrapText="1"/>
    </xf>
    <xf numFmtId="0" fontId="46" fillId="0" borderId="291" applyAlignment="1" pivotButton="0" quotePrefix="0" xfId="0">
      <alignment horizontal="center" vertical="center" wrapText="1"/>
    </xf>
    <xf numFmtId="0" fontId="66" fillId="20" borderId="336" applyAlignment="1" pivotButton="0" quotePrefix="0" xfId="0">
      <alignment horizontal="center" vertical="center" wrapText="1"/>
    </xf>
    <xf numFmtId="0" fontId="46" fillId="17" borderId="29" applyAlignment="1" pivotButton="0" quotePrefix="0" xfId="0">
      <alignment vertical="center" wrapText="1"/>
    </xf>
    <xf numFmtId="0" fontId="49" fillId="34" borderId="111" applyAlignment="1" pivotButton="0" quotePrefix="0" xfId="0">
      <alignment horizontal="center" vertical="center" wrapText="1"/>
    </xf>
    <xf numFmtId="0" fontId="0" fillId="0" borderId="111" pivotButton="0" quotePrefix="0" xfId="0"/>
    <xf numFmtId="0" fontId="88" fillId="14" borderId="30" applyAlignment="1" pivotButton="0" quotePrefix="0" xfId="3">
      <alignment horizontal="center" vertical="center"/>
    </xf>
    <xf numFmtId="0" fontId="46" fillId="0" borderId="337"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5" applyAlignment="1" pivotButton="0" quotePrefix="0" xfId="0">
      <alignment horizontal="center" vertical="center" wrapText="1"/>
    </xf>
    <xf numFmtId="0" fontId="0" fillId="0" borderId="268" pivotButton="0" quotePrefix="0" xfId="0"/>
    <xf numFmtId="0" fontId="0" fillId="16" borderId="32" pivotButton="0" quotePrefix="0" xfId="0"/>
    <xf numFmtId="0" fontId="87" fillId="24" borderId="338" applyAlignment="1" pivotButton="0" quotePrefix="0" xfId="0">
      <alignment horizontal="center" vertical="center" wrapText="1"/>
    </xf>
    <xf numFmtId="0" fontId="0" fillId="0" borderId="130" pivotButton="0" quotePrefix="0" xfId="0"/>
    <xf numFmtId="0" fontId="63" fillId="22" borderId="248" applyAlignment="1" pivotButton="0" quotePrefix="0" xfId="0">
      <alignment horizontal="center" vertical="center" wrapText="1"/>
    </xf>
    <xf numFmtId="166" fontId="48" fillId="0" borderId="125" applyAlignment="1" pivotButton="0" quotePrefix="0" xfId="0">
      <alignment vertical="center" wrapText="1"/>
    </xf>
    <xf numFmtId="0" fontId="46" fillId="0" borderId="290" applyAlignment="1" pivotButton="0" quotePrefix="0" xfId="0">
      <alignment horizontal="center" vertical="center" wrapText="1"/>
    </xf>
    <xf numFmtId="166" fontId="46" fillId="0" borderId="290" applyAlignment="1" pivotButton="0" quotePrefix="0" xfId="0">
      <alignment horizontal="center" vertical="center" wrapText="1"/>
    </xf>
    <xf numFmtId="0" fontId="65" fillId="3" borderId="38" applyAlignment="1" pivotButton="0" quotePrefix="0" xfId="0">
      <alignment horizontal="center" vertical="center" wrapText="1"/>
    </xf>
    <xf numFmtId="0" fontId="54" fillId="23" borderId="37" applyAlignment="1" pivotButton="0" quotePrefix="0" xfId="0">
      <alignment horizontal="center" vertical="center" wrapText="1"/>
    </xf>
    <xf numFmtId="0" fontId="55" fillId="21" borderId="296" applyAlignment="1" pivotButton="0" quotePrefix="0" xfId="0">
      <alignment horizontal="center" vertical="center" wrapText="1"/>
    </xf>
    <xf numFmtId="164" fontId="47" fillId="16" borderId="247" applyAlignment="1" pivotButton="0" quotePrefix="0" xfId="0">
      <alignment horizontal="center" vertical="center" wrapText="1"/>
    </xf>
    <xf numFmtId="0" fontId="0" fillId="0" borderId="247" pivotButton="0" quotePrefix="0" xfId="0"/>
    <xf numFmtId="0" fontId="55" fillId="21" borderId="330" applyAlignment="1" pivotButton="0" quotePrefix="0" xfId="0">
      <alignment horizontal="center" vertical="center" wrapText="1"/>
    </xf>
    <xf numFmtId="0" fontId="6" fillId="16" borderId="29" applyAlignment="1" pivotButton="0" quotePrefix="0" xfId="2">
      <alignment vertical="center" wrapText="1"/>
    </xf>
    <xf numFmtId="0" fontId="53" fillId="0" borderId="327"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2"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3" applyAlignment="1" pivotButton="0" quotePrefix="0" xfId="2">
      <alignment vertical="center" wrapText="1"/>
    </xf>
    <xf numFmtId="166" fontId="1" fillId="0" borderId="29" applyAlignment="1" pivotButton="0" quotePrefix="0" xfId="2">
      <alignment vertical="center" wrapText="1"/>
    </xf>
    <xf numFmtId="0" fontId="41" fillId="21" borderId="365" applyAlignment="1" pivotButton="0" quotePrefix="0" xfId="2">
      <alignment horizontal="center" vertical="center" wrapText="1"/>
    </xf>
    <xf numFmtId="0" fontId="53" fillId="30" borderId="31" applyAlignment="1" pivotButton="0" quotePrefix="0" xfId="2">
      <alignment horizontal="center" vertical="center" wrapText="1"/>
    </xf>
    <xf numFmtId="164" fontId="56" fillId="16" borderId="40" applyAlignment="1" pivotButton="0" quotePrefix="0" xfId="2">
      <alignment horizontal="center" vertical="center" wrapText="1"/>
    </xf>
    <xf numFmtId="0" fontId="90"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6" applyAlignment="1" pivotButton="0" quotePrefix="0" xfId="2">
      <alignment horizontal="center" vertical="center" wrapText="1"/>
    </xf>
    <xf numFmtId="0" fontId="6" fillId="17" borderId="29" applyAlignment="1" pivotButton="0" quotePrefix="0" xfId="2">
      <alignment horizontal="center" vertical="center" wrapText="1"/>
    </xf>
    <xf numFmtId="166" fontId="36" fillId="0" borderId="91" applyAlignment="1" pivotButton="0" quotePrefix="0" xfId="2">
      <alignment horizontal="center" vertical="center" wrapText="1"/>
    </xf>
    <xf numFmtId="0" fontId="53" fillId="0" borderId="110"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6" fontId="36" fillId="0" borderId="319" applyAlignment="1" pivotButton="0" quotePrefix="0" xfId="2">
      <alignment horizontal="center" vertical="center" wrapText="1"/>
    </xf>
    <xf numFmtId="0" fontId="0" fillId="0" borderId="319" pivotButton="0" quotePrefix="0" xfId="0"/>
    <xf numFmtId="0" fontId="29" fillId="20" borderId="292" applyAlignment="1" pivotButton="0" quotePrefix="0" xfId="2">
      <alignment horizontal="center" vertical="center" wrapText="1"/>
    </xf>
    <xf numFmtId="0" fontId="90" fillId="14" borderId="324" applyAlignment="1" pivotButton="0" quotePrefix="0" xfId="3">
      <alignment horizontal="center" vertical="center"/>
    </xf>
    <xf numFmtId="0" fontId="0" fillId="0" borderId="325"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0" applyAlignment="1" pivotButton="0" quotePrefix="0" xfId="2">
      <alignment horizontal="left" vertical="center" wrapText="1"/>
    </xf>
    <xf numFmtId="0" fontId="6" fillId="0" borderId="65" applyAlignment="1" pivotButton="0" quotePrefix="0" xfId="2">
      <alignment vertical="center" wrapText="1"/>
    </xf>
    <xf numFmtId="166"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7" applyAlignment="1" pivotButton="0" quotePrefix="0" xfId="2">
      <alignment horizontal="center" vertical="center" wrapText="1"/>
    </xf>
    <xf numFmtId="0" fontId="0" fillId="0" borderId="267"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4" applyAlignment="1" pivotButton="0" quotePrefix="0" xfId="2">
      <alignment horizontal="center" vertical="center" wrapText="1"/>
    </xf>
    <xf numFmtId="0" fontId="53" fillId="30" borderId="32" applyAlignment="1" pivotButton="0" quotePrefix="0" xfId="2">
      <alignment horizontal="center" vertical="center" wrapText="1"/>
    </xf>
    <xf numFmtId="0" fontId="57" fillId="25" borderId="202" applyAlignment="1" pivotButton="0" quotePrefix="0" xfId="1">
      <alignment horizontal="center" vertical="center"/>
    </xf>
    <xf numFmtId="0" fontId="6" fillId="0" borderId="270" applyAlignment="1" pivotButton="0" quotePrefix="0" xfId="2">
      <alignment vertical="center" wrapText="1"/>
    </xf>
    <xf numFmtId="0" fontId="0" fillId="0" borderId="270" pivotButton="0" quotePrefix="0" xfId="0"/>
    <xf numFmtId="0" fontId="0" fillId="0" borderId="297" pivotButton="0" quotePrefix="0" xfId="0"/>
    <xf numFmtId="0" fontId="53" fillId="30" borderId="243"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8" pivotButton="0" quotePrefix="0" xfId="2"/>
    <xf numFmtId="0" fontId="68" fillId="0" borderId="117" applyAlignment="1" pivotButton="0" quotePrefix="0" xfId="2">
      <alignment horizontal="left" vertical="center" wrapText="1"/>
    </xf>
    <xf numFmtId="0" fontId="33" fillId="20" borderId="0" applyAlignment="1" pivotButton="0" quotePrefix="0" xfId="2">
      <alignment horizontal="center" vertical="center" wrapText="1"/>
    </xf>
    <xf numFmtId="164" fontId="56" fillId="16" borderId="0" applyAlignment="1" pivotButton="0" quotePrefix="0" xfId="2">
      <alignment horizontal="center" vertical="center" wrapText="1"/>
    </xf>
    <xf numFmtId="0" fontId="53" fillId="30" borderId="318" applyAlignment="1" pivotButton="0" quotePrefix="0" xfId="2">
      <alignment horizontal="center" vertical="center" wrapText="1"/>
    </xf>
    <xf numFmtId="0" fontId="39" fillId="3" borderId="33" applyAlignment="1" pivotButton="0" quotePrefix="0" xfId="2">
      <alignment horizontal="center" vertical="center" wrapText="1"/>
    </xf>
    <xf numFmtId="166"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6" fontId="39" fillId="3" borderId="115" applyAlignment="1" pivotButton="0" quotePrefix="0" xfId="2">
      <alignment horizontal="center" vertical="center" wrapText="1"/>
    </xf>
    <xf numFmtId="0" fontId="46" fillId="4" borderId="104" applyAlignment="1" pivotButton="0" quotePrefix="0" xfId="3">
      <alignment horizontal="center" vertical="center"/>
    </xf>
    <xf numFmtId="0" fontId="39" fillId="3" borderId="321"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6" applyAlignment="1" pivotButton="0" quotePrefix="0" xfId="2">
      <alignment horizontal="center" vertical="center" wrapText="1"/>
    </xf>
    <xf numFmtId="0" fontId="6" fillId="0" borderId="202" applyAlignment="1" pivotButton="0" quotePrefix="0" xfId="2">
      <alignment horizontal="center" vertical="center" wrapText="1"/>
    </xf>
    <xf numFmtId="164" fontId="40" fillId="3" borderId="41" applyAlignment="1" pivotButton="0" quotePrefix="0" xfId="2">
      <alignment horizontal="center" vertical="center" wrapText="1"/>
    </xf>
    <xf numFmtId="0" fontId="29" fillId="20" borderId="317" applyAlignment="1" pivotButton="0" quotePrefix="0" xfId="2">
      <alignment horizontal="left" vertical="center" wrapText="1"/>
    </xf>
    <xf numFmtId="166"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69" applyAlignment="1" pivotButton="0" quotePrefix="0" xfId="2">
      <alignment vertical="center" wrapText="1"/>
    </xf>
    <xf numFmtId="0" fontId="41" fillId="21" borderId="363"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2" applyAlignment="1" pivotButton="0" quotePrefix="0" xfId="2">
      <alignment horizontal="center" vertical="center" wrapText="1"/>
    </xf>
    <xf numFmtId="0" fontId="36" fillId="0" borderId="320" applyAlignment="1" pivotButton="0" quotePrefix="0" xfId="2">
      <alignment horizontal="left" vertical="center" wrapText="1"/>
    </xf>
    <xf numFmtId="0" fontId="0" fillId="0" borderId="326" pivotButton="0" quotePrefix="0" xfId="0"/>
    <xf numFmtId="0" fontId="53" fillId="0" borderId="38" applyAlignment="1" pivotButton="0" quotePrefix="0" xfId="2">
      <alignment horizontal="left" vertical="center"/>
    </xf>
    <xf numFmtId="0" fontId="6" fillId="0" borderId="294" applyAlignment="1" pivotButton="0" quotePrefix="0" xfId="2">
      <alignment horizontal="center" vertical="center" wrapText="1"/>
    </xf>
    <xf numFmtId="0" fontId="39" fillId="3" borderId="366"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2" pivotButton="0" quotePrefix="0" xfId="0"/>
    <xf numFmtId="0" fontId="60" fillId="22" borderId="32" applyAlignment="1" pivotButton="0" quotePrefix="0" xfId="2">
      <alignment horizontal="center" vertical="center" wrapText="1"/>
    </xf>
    <xf numFmtId="0" fontId="60" fillId="22" borderId="106" applyAlignment="1" pivotButton="0" quotePrefix="0" xfId="2">
      <alignment horizontal="center" vertical="center" wrapText="1"/>
    </xf>
    <xf numFmtId="0" fontId="29" fillId="20" borderId="202" applyAlignment="1" pivotButton="0" quotePrefix="0" xfId="2">
      <alignment horizontal="center" vertical="center" wrapText="1"/>
    </xf>
    <xf numFmtId="164" fontId="40" fillId="3" borderId="113" applyAlignment="1" pivotButton="0" quotePrefix="0" xfId="2">
      <alignment horizontal="center" vertical="center" wrapText="1"/>
    </xf>
    <xf numFmtId="0" fontId="0" fillId="0" borderId="113" pivotButton="0" quotePrefix="0" xfId="0"/>
    <xf numFmtId="164" fontId="56" fillId="16" borderId="91" applyAlignment="1" pivotButton="0" quotePrefix="0" xfId="2">
      <alignment horizontal="center" vertical="center" wrapText="1"/>
    </xf>
    <xf numFmtId="0" fontId="41" fillId="21" borderId="315" applyAlignment="1" pivotButton="0" quotePrefix="0" xfId="2">
      <alignment horizontal="center" vertical="center" wrapText="1"/>
    </xf>
    <xf numFmtId="0" fontId="53" fillId="0" borderId="58" applyAlignment="1" pivotButton="0" quotePrefix="0" xfId="1">
      <alignment horizontal="left" vertical="center"/>
    </xf>
    <xf numFmtId="0" fontId="53" fillId="0" borderId="58" applyAlignment="1" pivotButton="0" quotePrefix="0" xfId="1">
      <alignment vertical="center"/>
    </xf>
    <xf numFmtId="0" fontId="53" fillId="0" borderId="98" applyAlignment="1" pivotButton="0" quotePrefix="0" xfId="1">
      <alignment vertical="center"/>
    </xf>
    <xf numFmtId="0" fontId="96" fillId="16" borderId="29" applyAlignment="1" pivotButton="0" quotePrefix="0" xfId="0">
      <alignment vertical="center"/>
    </xf>
    <xf numFmtId="0" fontId="6" fillId="16" borderId="147" applyAlignment="1" pivotButton="0" quotePrefix="0" xfId="0">
      <alignment horizontal="center" vertical="center"/>
    </xf>
    <xf numFmtId="0" fontId="6" fillId="16" borderId="29" applyAlignment="1" pivotButton="0" quotePrefix="0" xfId="0">
      <alignment vertical="center"/>
    </xf>
    <xf numFmtId="0" fontId="29" fillId="20" borderId="349" applyAlignment="1" pivotButton="0" quotePrefix="0" xfId="0">
      <alignment horizontal="center" vertical="center"/>
    </xf>
    <xf numFmtId="0" fontId="29" fillId="20" borderId="381" applyAlignment="1" pivotButton="0" quotePrefix="0" xfId="0">
      <alignment horizontal="center" vertical="center"/>
    </xf>
    <xf numFmtId="0" fontId="154" fillId="26" borderId="29" applyAlignment="1" pivotButton="0" quotePrefix="0" xfId="0">
      <alignment horizontal="left" vertical="center"/>
    </xf>
    <xf numFmtId="0" fontId="86" fillId="49" borderId="366" applyAlignment="1" pivotButton="0" quotePrefix="0" xfId="0">
      <alignment horizontal="center" vertical="center"/>
    </xf>
    <xf numFmtId="0" fontId="86" fillId="49" borderId="267" applyAlignment="1" pivotButton="0" quotePrefix="0" xfId="0">
      <alignment horizontal="center" vertical="center"/>
    </xf>
    <xf numFmtId="0" fontId="119" fillId="0" borderId="99" applyAlignment="1" pivotButton="0" quotePrefix="0" xfId="1">
      <alignment horizontal="center" vertical="center"/>
    </xf>
    <xf numFmtId="0" fontId="33" fillId="20" borderId="34" applyAlignment="1" pivotButton="0" quotePrefix="0" xfId="0">
      <alignment horizontal="center" vertical="center"/>
    </xf>
    <xf numFmtId="0" fontId="0" fillId="43" borderId="91" pivotButton="0" quotePrefix="0" xfId="0"/>
    <xf numFmtId="0" fontId="0" fillId="43" borderId="34" pivotButton="0" quotePrefix="0" xfId="0"/>
    <xf numFmtId="0" fontId="0" fillId="43" borderId="0" pivotButton="0" quotePrefix="0" xfId="0"/>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0" fontId="29" fillId="20" borderId="383" applyAlignment="1" pivotButton="0" quotePrefix="0" xfId="0">
      <alignment horizontal="center" vertical="center"/>
    </xf>
    <xf numFmtId="0" fontId="0" fillId="0" borderId="381"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0" fontId="0" fillId="0" borderId="147" pivotButton="0" quotePrefix="0" xfId="0"/>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4" fontId="136" fillId="0" borderId="278" applyAlignment="1" pivotButton="0" quotePrefix="0" xfId="0">
      <alignment vertical="center" wrapText="1"/>
    </xf>
    <xf numFmtId="165" fontId="136" fillId="0" borderId="278" applyAlignment="1" pivotButton="0" quotePrefix="0" xfId="0">
      <alignment vertical="center" wrapText="1"/>
    </xf>
    <xf numFmtId="169" fontId="137" fillId="0" borderId="279" applyAlignment="1" pivotButton="0" quotePrefix="0" xfId="0">
      <alignment vertical="center" wrapText="1"/>
    </xf>
    <xf numFmtId="164" fontId="137" fillId="0" borderId="279" applyAlignment="1" pivotButton="0" quotePrefix="0" xfId="0">
      <alignment vertical="center" wrapText="1"/>
    </xf>
    <xf numFmtId="169" fontId="137" fillId="0" borderId="278"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62" fillId="0" borderId="195" pivotButton="0" quotePrefix="0" xfId="0"/>
    <xf numFmtId="166" fontId="62" fillId="0" borderId="276" pivotButton="0" quotePrefix="0" xfId="0"/>
    <xf numFmtId="166" fontId="49" fillId="3" borderId="153" pivotButton="0" quotePrefix="0" xfId="0"/>
    <xf numFmtId="164" fontId="49" fillId="3" borderId="153" pivotButton="0" quotePrefix="0" xfId="0"/>
    <xf numFmtId="166" fontId="49" fillId="3" borderId="195" pivotButton="0" quotePrefix="0" xfId="0"/>
    <xf numFmtId="166" fontId="46" fillId="0" borderId="151"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9" fontId="0" fillId="11" borderId="12" applyAlignment="1" pivotButton="0" quotePrefix="0" xfId="3">
      <alignment horizontal="center" vertical="center"/>
    </xf>
    <xf numFmtId="169" fontId="23" fillId="12" borderId="12" applyAlignment="1" pivotButton="0" quotePrefix="0" xfId="3">
      <alignment vertical="center"/>
    </xf>
    <xf numFmtId="0" fontId="123" fillId="54" borderId="374" applyAlignment="1" pivotButton="0" quotePrefix="0" xfId="4">
      <alignment vertical="center" wrapText="1"/>
    </xf>
    <xf numFmtId="165" fontId="123" fillId="54" borderId="180" applyAlignment="1" pivotButton="0" quotePrefix="0" xfId="4">
      <alignment horizontal="center" vertical="center" wrapText="1"/>
    </xf>
    <xf numFmtId="165" fontId="123" fillId="54" borderId="178" applyAlignment="1" pivotButton="0" quotePrefix="0" xfId="4">
      <alignment vertical="center" wrapText="1"/>
    </xf>
    <xf numFmtId="165" fontId="123" fillId="54" borderId="374" applyAlignment="1" pivotButton="0" quotePrefix="0" xfId="4">
      <alignment vertical="center" wrapText="1"/>
    </xf>
    <xf numFmtId="0" fontId="124" fillId="53" borderId="374" applyAlignment="1" pivotButton="0" quotePrefix="0" xfId="4">
      <alignment horizontal="left" vertical="center" wrapText="1"/>
    </xf>
    <xf numFmtId="0" fontId="4" fillId="0" borderId="374" applyAlignment="1" pivotButton="0" quotePrefix="0" xfId="4">
      <alignment horizontal="center"/>
    </xf>
    <xf numFmtId="0" fontId="123" fillId="54" borderId="374" applyAlignment="1" pivotButton="0" quotePrefix="0" xfId="4">
      <alignment horizontal="center" vertical="center" wrapText="1"/>
    </xf>
    <xf numFmtId="0" fontId="124" fillId="53" borderId="374" applyAlignment="1" pivotButton="0" quotePrefix="0" xfId="4">
      <alignment vertical="center" wrapText="1"/>
    </xf>
    <xf numFmtId="0" fontId="0" fillId="16" borderId="374" pivotButton="0" quotePrefix="0" xfId="0"/>
    <xf numFmtId="164" fontId="126" fillId="55" borderId="187" applyAlignment="1" pivotButton="0" quotePrefix="0" xfId="4">
      <alignment vertical="center" wrapText="1"/>
    </xf>
    <xf numFmtId="164" fontId="126" fillId="55" borderId="178" applyAlignment="1" pivotButton="0" quotePrefix="0" xfId="4">
      <alignment vertical="center" wrapText="1"/>
    </xf>
    <xf numFmtId="0" fontId="123" fillId="28" borderId="374" applyAlignment="1" pivotButton="0" quotePrefix="0" xfId="4">
      <alignment horizontal="center" vertical="center" wrapText="1"/>
    </xf>
    <xf numFmtId="167" fontId="123" fillId="54" borderId="177"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123" fillId="54" borderId="180" applyAlignment="1" pivotButton="0" quotePrefix="0" xfId="4">
      <alignment vertical="center" wrapText="1"/>
    </xf>
    <xf numFmtId="0" fontId="123" fillId="54" borderId="374" applyAlignment="1" pivotButton="0" quotePrefix="0" xfId="4">
      <alignment horizontal="left" vertical="center" wrapText="1"/>
    </xf>
    <xf numFmtId="0" fontId="73" fillId="41" borderId="374" applyAlignment="1" pivotButton="0" quotePrefix="0" xfId="4">
      <alignment horizontal="center" vertical="center" wrapText="1"/>
    </xf>
    <xf numFmtId="0" fontId="123" fillId="17" borderId="374" applyAlignment="1" pivotButton="0" quotePrefix="0" xfId="4">
      <alignment vertical="center" wrapText="1"/>
    </xf>
    <xf numFmtId="0" fontId="123" fillId="26" borderId="374" applyAlignment="1" pivotButton="0" quotePrefix="0" xfId="4">
      <alignment vertical="center" wrapText="1"/>
    </xf>
    <xf numFmtId="0" fontId="123" fillId="53" borderId="374" applyAlignment="1" pivotButton="0" quotePrefix="0" xfId="4">
      <alignment vertical="center" wrapText="1"/>
    </xf>
    <xf numFmtId="0" fontId="121" fillId="56" borderId="374" applyAlignment="1" pivotButton="0" quotePrefix="0" xfId="4">
      <alignment horizontal="center" vertical="center" wrapText="1"/>
    </xf>
    <xf numFmtId="0" fontId="124" fillId="54" borderId="374" applyAlignment="1" pivotButton="0" quotePrefix="0" xfId="4">
      <alignment horizontal="center" wrapText="1"/>
    </xf>
    <xf numFmtId="169" fontId="38" fillId="4" borderId="75" applyAlignment="1" pivotButton="0" quotePrefix="0" xfId="1">
      <alignment vertical="center" wrapText="1"/>
    </xf>
    <xf numFmtId="169" fontId="38" fillId="4" borderId="65" applyAlignment="1" pivotButton="0" quotePrefix="0" xfId="1">
      <alignment vertical="center" wrapText="1"/>
    </xf>
    <xf numFmtId="169" fontId="38" fillId="4" borderId="77" applyAlignment="1" pivotButton="0" quotePrefix="0" xfId="1">
      <alignment vertical="center" wrapText="1"/>
    </xf>
    <xf numFmtId="166" fontId="53" fillId="23" borderId="65" applyAlignment="1" pivotButton="0" quotePrefix="0" xfId="2">
      <alignment horizontal="center" vertical="center" wrapText="1"/>
    </xf>
    <xf numFmtId="164" fontId="47" fillId="16" borderId="332" applyAlignment="1" pivotButton="0" quotePrefix="0" xfId="0">
      <alignment horizontal="center" vertical="center" wrapText="1"/>
    </xf>
    <xf numFmtId="164" fontId="47" fillId="16" borderId="158" applyAlignment="1" pivotButton="0" quotePrefix="0" xfId="0">
      <alignment horizontal="center" vertical="center" wrapText="1"/>
    </xf>
    <xf numFmtId="164" fontId="47" fillId="16" borderId="247" applyAlignment="1" pivotButton="0" quotePrefix="0" xfId="0">
      <alignment horizontal="center" vertical="center" wrapText="1"/>
    </xf>
    <xf numFmtId="164" fontId="48" fillId="16" borderId="30" applyAlignment="1" pivotButton="0" quotePrefix="0" xfId="0">
      <alignment horizontal="center"/>
    </xf>
    <xf numFmtId="164" fontId="48" fillId="0"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6" fontId="48" fillId="0" borderId="125" applyAlignment="1" pivotButton="0" quotePrefix="0" xfId="0">
      <alignment horizontal="center" vertical="center" wrapText="1"/>
    </xf>
    <xf numFmtId="164" fontId="48" fillId="16" borderId="30" pivotButton="0" quotePrefix="0" xfId="0"/>
    <xf numFmtId="164" fontId="48" fillId="0" borderId="30" pivotButton="0" quotePrefix="0" xfId="0"/>
    <xf numFmtId="164" fontId="44" fillId="18" borderId="129" pivotButton="0" quotePrefix="0" xfId="0"/>
    <xf numFmtId="166" fontId="48" fillId="0" borderId="363" applyAlignment="1" pivotButton="0" quotePrefix="0" xfId="0">
      <alignment horizontal="center" vertical="center" wrapText="1"/>
    </xf>
    <xf numFmtId="166" fontId="48" fillId="0" borderId="363" applyAlignment="1" pivotButton="0" quotePrefix="0" xfId="0">
      <alignment vertical="center" wrapText="1"/>
    </xf>
    <xf numFmtId="166" fontId="48" fillId="0" borderId="125" applyAlignment="1" pivotButton="0" quotePrefix="0" xfId="0">
      <alignment vertical="center" wrapText="1"/>
    </xf>
    <xf numFmtId="164" fontId="49" fillId="3" borderId="30" pivotButton="0" quotePrefix="0" xfId="0"/>
    <xf numFmtId="164" fontId="59" fillId="19" borderId="129" pivotButton="0" quotePrefix="0" xfId="0"/>
    <xf numFmtId="166" fontId="49" fillId="3" borderId="291" applyAlignment="1" pivotButton="0" quotePrefix="0" xfId="0">
      <alignment vertical="center" wrapText="1"/>
    </xf>
    <xf numFmtId="0" fontId="0" fillId="17" borderId="32" applyAlignment="1" pivotButton="0" quotePrefix="0" xfId="0">
      <alignment horizontal="center" vertical="center" wrapText="1"/>
    </xf>
    <xf numFmtId="0" fontId="0" fillId="0" borderId="420" applyAlignment="1" pivotButton="0" quotePrefix="0" xfId="0">
      <alignment horizontal="left" vertical="center" wrapText="1"/>
    </xf>
    <xf numFmtId="0" fontId="46" fillId="0" borderId="421" applyAlignment="1" pivotButton="0" quotePrefix="0" xfId="0">
      <alignment horizontal="left" vertical="center" wrapText="1"/>
    </xf>
    <xf numFmtId="0" fontId="63" fillId="22" borderId="248" applyAlignment="1" pivotButton="0" quotePrefix="0" xfId="0">
      <alignment horizontal="center" vertical="center"/>
    </xf>
    <xf numFmtId="0" fontId="46" fillId="0" borderId="125" applyAlignment="1" pivotButton="0" quotePrefix="0" xfId="0">
      <alignment horizontal="center" vertical="center"/>
    </xf>
    <xf numFmtId="172" fontId="46" fillId="0" borderId="290" applyAlignment="1" pivotButton="0" quotePrefix="0" xfId="0">
      <alignment horizontal="right" vertical="center"/>
    </xf>
    <xf numFmtId="0" fontId="46" fillId="0" borderId="30" applyAlignment="1" pivotButton="0" quotePrefix="0" xfId="0">
      <alignment horizontal="center" vertical="center"/>
    </xf>
    <xf numFmtId="172" fontId="46" fillId="0" borderId="30" applyAlignment="1" pivotButton="0" quotePrefix="0" xfId="0">
      <alignment horizontal="right" vertical="center"/>
    </xf>
    <xf numFmtId="172" fontId="46" fillId="0" borderId="291" applyAlignment="1" pivotButton="0" quotePrefix="0" xfId="0">
      <alignment horizontal="right" vertical="center"/>
    </xf>
    <xf numFmtId="166" fontId="65" fillId="3" borderId="29" applyAlignment="1" pivotButton="0" quotePrefix="0" xfId="0">
      <alignment horizontal="right" vertical="center" wrapText="1"/>
    </xf>
    <xf numFmtId="166" fontId="65" fillId="3" borderId="91" applyAlignment="1" pivotButton="0" quotePrefix="0" xfId="0">
      <alignment horizontal="right" vertical="center" wrapText="1"/>
    </xf>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164" fontId="38" fillId="16" borderId="334" applyAlignment="1" pivotButton="0" quotePrefix="0" xfId="2">
      <alignment horizontal="center" vertical="center" wrapText="1"/>
    </xf>
    <xf numFmtId="0" fontId="46" fillId="0" borderId="337" applyAlignment="1" pivotButton="0" quotePrefix="0" xfId="0">
      <alignment horizontal="left" vertical="top" wrapText="1"/>
    </xf>
    <xf numFmtId="0" fontId="46" fillId="0" borderId="294" applyAlignment="1" pivotButton="0" quotePrefix="0" xfId="0">
      <alignment horizontal="left" vertical="top" wrapText="1"/>
    </xf>
    <xf numFmtId="0" fontId="165" fillId="0" borderId="0" applyAlignment="1" pivotButton="0" quotePrefix="0" xfId="0">
      <alignment horizontal="center" vertical="center" wrapText="1"/>
    </xf>
    <xf numFmtId="166" fontId="53" fillId="23" borderId="39" applyAlignment="1" pivotButton="0" quotePrefix="0" xfId="2">
      <alignment horizontal="center" vertical="center" wrapText="1"/>
    </xf>
    <xf numFmtId="164" fontId="56" fillId="16" borderId="40" applyAlignment="1" pivotButton="0" quotePrefix="0" xfId="2">
      <alignment horizontal="center" vertical="center" wrapText="1"/>
    </xf>
    <xf numFmtId="164" fontId="56" fillId="16" borderId="0" applyAlignment="1" pivotButton="0" quotePrefix="0" xfId="2">
      <alignment horizontal="center" vertical="center" wrapText="1"/>
    </xf>
    <xf numFmtId="164" fontId="56" fillId="16" borderId="91" applyAlignment="1" pivotButton="0" quotePrefix="0" xfId="2">
      <alignment horizontal="center" vertical="center" wrapText="1"/>
    </xf>
    <xf numFmtId="164" fontId="40" fillId="3" borderId="41" applyAlignment="1" pivotButton="0" quotePrefix="0" xfId="2">
      <alignment horizontal="center" vertical="center" wrapText="1"/>
    </xf>
    <xf numFmtId="164" fontId="40" fillId="3" borderId="113" applyAlignment="1" pivotButton="0" quotePrefix="0" xfId="2">
      <alignment horizontal="center" vertical="center" wrapText="1"/>
    </xf>
    <xf numFmtId="164" fontId="36" fillId="16" borderId="32" applyAlignment="1" pivotButton="0" quotePrefix="0" xfId="2">
      <alignment horizontal="center" vertical="center"/>
    </xf>
    <xf numFmtId="164" fontId="36" fillId="0"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6" fontId="36" fillId="0" borderId="319" applyAlignment="1" pivotButton="0" quotePrefix="0" xfId="2">
      <alignment horizontal="center" vertical="center" wrapText="1"/>
    </xf>
    <xf numFmtId="166" fontId="36" fillId="0" borderId="91" applyAlignment="1" pivotButton="0" quotePrefix="0" xfId="2">
      <alignment horizontal="center" vertical="center" wrapText="1"/>
    </xf>
    <xf numFmtId="164" fontId="0" fillId="0" borderId="33" pivotButton="0" quotePrefix="0" xfId="0"/>
    <xf numFmtId="164" fontId="36" fillId="17" borderId="0" applyAlignment="1" pivotButton="0" quotePrefix="0" xfId="2">
      <alignment horizontal="center" vertical="center"/>
    </xf>
    <xf numFmtId="164" fontId="0" fillId="0" borderId="32" pivotButton="0" quotePrefix="0" xfId="0"/>
    <xf numFmtId="164" fontId="0" fillId="0" borderId="29" pivotButton="0" quotePrefix="0" xfId="0"/>
    <xf numFmtId="164" fontId="57" fillId="19" borderId="28" applyAlignment="1" pivotButton="0" quotePrefix="0" xfId="2">
      <alignment horizontal="center"/>
    </xf>
    <xf numFmtId="166" fontId="58" fillId="3" borderId="91" applyAlignment="1" pivotButton="0" quotePrefix="0" xfId="2">
      <alignment horizontal="center" vertical="center" wrapText="1"/>
    </xf>
    <xf numFmtId="0" fontId="53" fillId="30" borderId="420" applyAlignment="1" pivotButton="0" quotePrefix="0" xfId="2">
      <alignment horizontal="left" vertical="center" wrapText="1"/>
    </xf>
    <xf numFmtId="0" fontId="0" fillId="0" borderId="421" applyAlignment="1" pivotButton="0" quotePrefix="0" xfId="2">
      <alignment horizontal="left" vertical="center" wrapText="1"/>
    </xf>
    <xf numFmtId="0" fontId="6" fillId="0" borderId="421" applyAlignment="1" pivotButton="0" quotePrefix="0" xfId="2">
      <alignment horizontal="left" vertical="center" wrapText="1"/>
    </xf>
    <xf numFmtId="0" fontId="60" fillId="22" borderId="33" applyAlignment="1" pivotButton="0" quotePrefix="0" xfId="2">
      <alignment horizontal="center" vertical="center"/>
    </xf>
    <xf numFmtId="172" fontId="60" fillId="22" borderId="29" applyAlignment="1" pivotButton="0" quotePrefix="0" xfId="2">
      <alignment horizontal="right" vertical="center"/>
    </xf>
    <xf numFmtId="172" fontId="60" fillId="22" borderId="106" applyAlignment="1" pivotButton="0" quotePrefix="0" xfId="2">
      <alignment horizontal="right" vertical="center"/>
    </xf>
    <xf numFmtId="0" fontId="1" fillId="0" borderId="29" applyAlignment="1" pivotButton="0" quotePrefix="0" xfId="2">
      <alignment horizontal="center" vertical="center"/>
    </xf>
    <xf numFmtId="172" fontId="1" fillId="0" borderId="29" applyAlignment="1" pivotButton="0" quotePrefix="0" xfId="2">
      <alignment horizontal="right" vertical="center"/>
    </xf>
    <xf numFmtId="172" fontId="1" fillId="0" borderId="65" applyAlignment="1" pivotButton="0" quotePrefix="0" xfId="2">
      <alignment horizontal="right" vertical="center"/>
    </xf>
    <xf numFmtId="0" fontId="0" fillId="0" borderId="267" applyAlignment="1" pivotButton="0" quotePrefix="0" xfId="0">
      <alignment horizontal="center" vertical="center"/>
    </xf>
    <xf numFmtId="172" fontId="39" fillId="3" borderId="267" applyAlignment="1" pivotButton="0" quotePrefix="0" xfId="2">
      <alignment horizontal="right" vertical="center"/>
    </xf>
    <xf numFmtId="172" fontId="39" fillId="3" borderId="115" applyAlignment="1" pivotButton="0" quotePrefix="0" xfId="2">
      <alignment horizontal="right" vertical="center"/>
    </xf>
    <xf numFmtId="0" fontId="29" fillId="20" borderId="292" applyAlignment="1" pivotButton="0" quotePrefix="0" xfId="2">
      <alignment horizontal="left" vertical="top" wrapText="1"/>
    </xf>
    <xf numFmtId="0" fontId="6" fillId="0" borderId="292" applyAlignment="1" pivotButton="0" quotePrefix="0" xfId="2">
      <alignment horizontal="left" vertical="top" wrapText="1"/>
    </xf>
    <xf numFmtId="2" fontId="96" fillId="17" borderId="29" applyAlignment="1" pivotButton="0" quotePrefix="0" xfId="0">
      <alignment horizontal="center" vertical="center"/>
    </xf>
    <xf numFmtId="2" fontId="136" fillId="0" borderId="278" applyAlignment="1" pivotButton="0" quotePrefix="0" xfId="0">
      <alignment vertical="center" wrapText="1"/>
    </xf>
    <xf numFmtId="2" fontId="137" fillId="0" borderId="279" applyAlignment="1" pivotButton="0" quotePrefix="0" xfId="0">
      <alignment vertical="center" wrapText="1"/>
    </xf>
    <xf numFmtId="2" fontId="137" fillId="0" borderId="278" applyAlignment="1" pivotButton="0" quotePrefix="0" xfId="0">
      <alignment vertical="center" wrapText="1"/>
    </xf>
    <xf numFmtId="2" fontId="0" fillId="11" borderId="12" applyAlignment="1" pivotButton="0" quotePrefix="0" xfId="3">
      <alignment horizontal="center" vertical="center"/>
    </xf>
    <xf numFmtId="2" fontId="23" fillId="12" borderId="12" applyAlignment="1" pivotButton="0" quotePrefix="0" xfId="3">
      <alignment vertical="center"/>
    </xf>
    <xf numFmtId="2" fontId="38" fillId="4" borderId="75" applyAlignment="1" pivotButton="0" quotePrefix="0" xfId="1">
      <alignment vertical="center" wrapText="1"/>
    </xf>
    <xf numFmtId="2" fontId="38" fillId="4" borderId="65" applyAlignment="1" pivotButton="0" quotePrefix="0" xfId="1">
      <alignment vertical="center" wrapText="1"/>
    </xf>
    <xf numFmtId="2" fontId="38" fillId="4" borderId="77" applyAlignment="1" pivotButton="0" quotePrefix="0" xfId="1">
      <alignment vertical="center" wrapText="1"/>
    </xf>
    <xf numFmtId="0" fontId="166" fillId="0" borderId="0" pivotButton="0" quotePrefix="0" xfId="0"/>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12.xml" Id="rId12"/><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8.xml.rels><Relationships xmlns="http://schemas.openxmlformats.org/package/2006/relationships"><Relationship Type="http://schemas.openxmlformats.org/officeDocument/2006/relationships/image" Target="/xl/media/image20.png" Id="rId1"/><Relationship Type="http://schemas.openxmlformats.org/officeDocument/2006/relationships/image" Target="/xl/media/image21.png" Id="rId2"/></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130</xdr:row>
      <xdr:rowOff>66959</xdr:rowOff>
    </xdr:from>
    <xdr:to>
      <xdr:col>6</xdr:col>
      <xdr:colOff>725921</xdr:colOff>
      <xdr:row>135</xdr:row>
      <xdr:rowOff>28591</xdr:rowOff>
    </xdr:to>
    <xdr:pic>
      <xdr:nvPicPr>
        <xdr:cNvPr id="23" name="Image 2" descr="Picture"/>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24049906"/>
          <a:ext cx="5328000" cy="864000"/>
        </a:xfrm>
        <a:prstGeom xmlns:a="http://schemas.openxmlformats.org/drawingml/2006/main" prst="rect">
          <avLst/>
        </a:prstGeom>
        <a:ln xmlns:a="http://schemas.openxmlformats.org/drawingml/2006/main" w="0">
          <a:noFill/>
          <a:prstDash val="solid"/>
        </a:ln>
      </xdr:spPr>
    </xdr:pic>
    <xdr:clientData/>
  </xdr:twoCellAnchor>
  <xdr:twoCellAnchor editAs="oneCell">
    <xdr:from>
      <xdr:col>0</xdr:col>
      <xdr:colOff>0</xdr:colOff>
      <xdr:row>0</xdr:row>
      <xdr:rowOff>0</xdr:rowOff>
    </xdr:from>
    <xdr:to>
      <xdr:col>3</xdr:col>
      <xdr:colOff>749842</xdr:colOff>
      <xdr:row>8</xdr:row>
      <xdr:rowOff>148421</xdr:rowOff>
    </xdr:to>
    <xdr:pic>
      <xdr:nvPicPr>
        <xdr:cNvPr id="4" name="Imagen 2"/>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3096000" cy="1512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sheet1.xml><?xml version="1.0" encoding="utf-8"?>
<worksheet xmlns="http://schemas.openxmlformats.org/spreadsheetml/2006/main">
  <sheetPr>
    <tabColor rgb="FFFFFF00"/>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550" min="1" max="1"/>
    <col width="20.77734375" customWidth="1" style="550" min="2" max="2"/>
    <col width="50.77734375" customWidth="1" style="550" min="3" max="3"/>
    <col width="15.77734375" customWidth="1" style="550" min="4" max="5"/>
  </cols>
  <sheetData>
    <row r="1" ht="25.5" customHeight="1" s="550">
      <c r="A1" s="3" t="n"/>
      <c r="B1" s="560" t="inlineStr">
        <is>
          <t>FICHA TÉCNICA DEL PROYECTO</t>
        </is>
      </c>
    </row>
    <row r="2" ht="4.95" customHeight="1" s="550">
      <c r="A2" s="4" t="n"/>
      <c r="B2" s="556" t="n"/>
      <c r="C2" s="557" t="n"/>
      <c r="D2" s="557" t="n"/>
      <c r="E2" s="557" t="n"/>
    </row>
    <row r="3" ht="18" customHeight="1" s="550">
      <c r="A3" s="4" t="n"/>
      <c r="B3" s="183" t="n"/>
      <c r="C3" s="184" t="n"/>
      <c r="D3" s="558" t="inlineStr">
        <is>
          <t>CONTROL DOCUMENTAL</t>
        </is>
      </c>
      <c r="E3" s="559" t="n"/>
    </row>
    <row r="4" ht="15" customHeight="1" s="550">
      <c r="A4" s="4" t="n"/>
      <c r="B4" s="564" t="inlineStr">
        <is>
          <t>REFORMAS Y REMODELACIONES</t>
        </is>
      </c>
      <c r="C4" s="562" t="n"/>
      <c r="D4" s="94" t="inlineStr">
        <is>
          <t>Código</t>
        </is>
      </c>
      <c r="E4" s="1209" t="inlineStr">
        <is>
          <t>RYR-FT-001</t>
        </is>
      </c>
    </row>
    <row r="5" ht="15" customHeight="1" s="550">
      <c r="A5" s="4" t="n"/>
      <c r="B5" s="561" t="inlineStr">
        <is>
          <t>DISEÑAMOS, RENOVAMOS Y CONSTRUIMOS ESPACIOS QUE INSPIRAN</t>
        </is>
      </c>
      <c r="C5" s="562" t="n"/>
      <c r="D5" s="94" t="inlineStr">
        <is>
          <t>Versión</t>
        </is>
      </c>
      <c r="E5" s="1195" t="n">
        <v>1</v>
      </c>
    </row>
    <row r="6" ht="15" customHeight="1" s="550">
      <c r="A6" s="4" t="n"/>
      <c r="B6" s="185" t="n"/>
      <c r="C6" s="186" t="n"/>
      <c r="D6" s="94" t="inlineStr">
        <is>
          <t>Fecha de Emisión</t>
        </is>
      </c>
      <c r="E6" s="165" t="inlineStr">
        <is>
          <t>10/09/2026</t>
        </is>
      </c>
    </row>
    <row r="7" ht="15" customHeight="1" s="550">
      <c r="B7" s="185" t="n"/>
      <c r="C7" s="186" t="n"/>
      <c r="D7" s="95" t="inlineStr">
        <is>
          <t>Página</t>
        </is>
      </c>
      <c r="E7" s="1240" t="inlineStr">
        <is>
          <t>1 de 1</t>
        </is>
      </c>
    </row>
    <row r="8">
      <c r="A8" s="563" t="inlineStr">
        <is>
          <t>IDENTIFICACIÓN DEL PROYECTO</t>
        </is>
      </c>
    </row>
    <row r="9">
      <c r="A9" s="97" t="inlineStr">
        <is>
          <t>Proyecto</t>
        </is>
      </c>
      <c r="B9" s="552" t="n"/>
    </row>
    <row r="10">
      <c r="A10" s="97" t="inlineStr">
        <is>
          <t>No de Contrato</t>
        </is>
      </c>
      <c r="B10" s="552" t="n"/>
      <c r="C10" s="97" t="inlineStr">
        <is>
          <t>Fecha de Emisión</t>
        </is>
      </c>
      <c r="D10" s="552" t="n"/>
    </row>
    <row r="11">
      <c r="A11" s="97" t="inlineStr">
        <is>
          <t>Contratista</t>
        </is>
      </c>
      <c r="B11" s="552" t="n"/>
    </row>
    <row r="12">
      <c r="A12" s="97" t="inlineStr">
        <is>
          <t>Ubicación</t>
        </is>
      </c>
      <c r="B12" s="552" t="n"/>
    </row>
    <row r="13" ht="15" customHeight="1" s="550">
      <c r="A13" s="563" t="inlineStr">
        <is>
          <t>DATOS GENERALES DEL PROYECTO</t>
        </is>
      </c>
    </row>
    <row r="14" ht="15" customHeight="1" s="550">
      <c r="A14" s="97" t="inlineStr">
        <is>
          <t>Número de pisos (torre)</t>
        </is>
      </c>
      <c r="B14" s="98" t="n"/>
      <c r="C14" s="549" t="inlineStr">
        <is>
          <t>pisos</t>
        </is>
      </c>
    </row>
    <row r="15" ht="15" customHeight="1" s="550">
      <c r="A15" s="99" t="inlineStr">
        <is>
          <t>Número de sótanos (parqueaderos)</t>
        </is>
      </c>
      <c r="B15" s="100" t="n"/>
      <c r="C15" s="554" t="inlineStr">
        <is>
          <t>niveles</t>
        </is>
      </c>
    </row>
    <row r="16" ht="15" customHeight="1" s="550">
      <c r="A16" s="97" t="inlineStr">
        <is>
          <t>Área del lote</t>
        </is>
      </c>
      <c r="B16" s="98" t="n"/>
      <c r="C16" s="549" t="inlineStr">
        <is>
          <t>m²</t>
        </is>
      </c>
    </row>
    <row r="17" ht="15" customHeight="1" s="550">
      <c r="A17" s="99" t="inlineStr">
        <is>
          <t>Área construida típica por piso</t>
        </is>
      </c>
      <c r="B17" s="100" t="n"/>
      <c r="C17" s="554" t="inlineStr">
        <is>
          <t>m²</t>
        </is>
      </c>
    </row>
    <row r="18" ht="15" customHeight="1" s="550">
      <c r="A18" s="97" t="inlineStr">
        <is>
          <t>Área construida - torre (12 pisos)</t>
        </is>
      </c>
      <c r="B18" s="101">
        <f>B14*B17</f>
        <v/>
      </c>
      <c r="C18" s="549" t="inlineStr">
        <is>
          <t>m²</t>
        </is>
      </c>
    </row>
    <row r="19" ht="15" customHeight="1" s="550">
      <c r="A19" s="99" t="inlineStr">
        <is>
          <t>Área construida - sótanos (2 niveles)</t>
        </is>
      </c>
      <c r="B19" s="100" t="n"/>
      <c r="C19" s="554" t="inlineStr">
        <is>
          <t>m²</t>
        </is>
      </c>
    </row>
    <row r="20" ht="15" customHeight="1" s="550">
      <c r="A20" s="97" t="inlineStr">
        <is>
          <t>Área cubierta / cuarto de máquinas / tanques</t>
        </is>
      </c>
      <c r="B20" s="98" t="n"/>
      <c r="C20" s="549" t="inlineStr">
        <is>
          <t>m²</t>
        </is>
      </c>
    </row>
    <row r="21" ht="15" customHeight="1" s="550">
      <c r="A21" s="99" t="inlineStr">
        <is>
          <t>ÁREA TOTAL CONSTRUIDA</t>
        </is>
      </c>
      <c r="B21" s="102">
        <f>B18+B19+B20</f>
        <v/>
      </c>
      <c r="C21" s="554" t="inlineStr">
        <is>
          <t>m²</t>
        </is>
      </c>
    </row>
    <row r="22" ht="15" customHeight="1" s="550">
      <c r="A22" s="97" t="inlineStr">
        <is>
          <t>Número de apartamentos</t>
        </is>
      </c>
      <c r="B22" s="98" t="n"/>
      <c r="C22" s="549" t="inlineStr">
        <is>
          <t>und</t>
        </is>
      </c>
    </row>
    <row r="23" ht="15" customHeight="1" s="550">
      <c r="A23" s="99" t="inlineStr">
        <is>
          <t>Área promedio por apartamento (vendible)</t>
        </is>
      </c>
      <c r="B23" s="100" t="n"/>
      <c r="C23" s="554" t="inlineStr">
        <is>
          <t>m²</t>
        </is>
      </c>
    </row>
    <row r="24" ht="15" customHeight="1" s="550">
      <c r="A24" s="97" t="inlineStr">
        <is>
          <t>Número de parqueaderos</t>
        </is>
      </c>
      <c r="B24" s="98" t="n"/>
      <c r="C24" s="549" t="inlineStr">
        <is>
          <t>und</t>
        </is>
      </c>
    </row>
    <row r="25" ht="15" customHeight="1" s="550">
      <c r="A25" s="99" t="inlineStr">
        <is>
          <t>Número de ascensores</t>
        </is>
      </c>
      <c r="B25" s="100" t="n"/>
      <c r="C25" s="554" t="inlineStr">
        <is>
          <t>und</t>
        </is>
      </c>
    </row>
    <row r="26" ht="15" customHeight="1" s="550">
      <c r="A26" s="97" t="inlineStr">
        <is>
          <t>Altura total aproximada (sótano a cubierta)</t>
        </is>
      </c>
      <c r="B26" s="98" t="n"/>
      <c r="C26" s="549" t="inlineStr">
        <is>
          <t>m</t>
        </is>
      </c>
    </row>
    <row r="27">
      <c r="A27" s="555" t="n"/>
      <c r="B27" s="555" t="n"/>
      <c r="C27" s="555" t="n"/>
    </row>
    <row r="28" ht="15" customHeight="1" s="550">
      <c r="A28" s="553" t="inlineStr">
        <is>
          <t>PARÁMETROS ECONÓMICOS DEL PRESUPUESTO</t>
        </is>
      </c>
    </row>
    <row r="29" ht="15" customHeight="1" s="550">
      <c r="A29" s="97" t="inlineStr">
        <is>
          <t>Administración (A)</t>
        </is>
      </c>
      <c r="B29" s="1283" t="n">
        <v>0.1</v>
      </c>
      <c r="C29" s="549" t="inlineStr">
        <is>
          <t>% s/costo directo</t>
        </is>
      </c>
    </row>
    <row r="30" ht="15" customHeight="1" s="550">
      <c r="A30" s="99" t="inlineStr">
        <is>
          <t>Imprevistos (I)</t>
        </is>
      </c>
      <c r="B30" s="1284" t="n">
        <v>0.04</v>
      </c>
      <c r="C30" s="554" t="inlineStr">
        <is>
          <t>% s/costo directo</t>
        </is>
      </c>
    </row>
    <row r="31" ht="15" customHeight="1" s="550">
      <c r="A31" s="97" t="inlineStr">
        <is>
          <t>Utilidad (U)</t>
        </is>
      </c>
      <c r="B31" s="1283" t="n">
        <v>0.12</v>
      </c>
      <c r="C31" s="549" t="inlineStr">
        <is>
          <t>% s/costo directo</t>
        </is>
      </c>
    </row>
    <row r="32" ht="15" customHeight="1" s="550">
      <c r="A32" s="99" t="inlineStr">
        <is>
          <t>IVA sobre Utilidad</t>
        </is>
      </c>
      <c r="B32" s="1284" t="n">
        <v>0.19</v>
      </c>
      <c r="C32" s="554" t="inlineStr">
        <is>
          <t>% s/utilidad (Ley 1943 / práctica AIU en Colombia)</t>
        </is>
      </c>
    </row>
    <row r="33">
      <c r="A33" s="555" t="n"/>
      <c r="B33" s="555" t="n"/>
      <c r="C33" s="555" t="n"/>
    </row>
    <row r="34" ht="15" customHeight="1" s="550">
      <c r="A34" s="103" t="inlineStr">
        <is>
          <t>AIU TOTAL (A+I+U)</t>
        </is>
      </c>
      <c r="B34" s="1285">
        <f>B29+B30+B31</f>
        <v/>
      </c>
      <c r="C34" s="555" t="n"/>
    </row>
    <row r="35">
      <c r="A35" s="555" t="n"/>
      <c r="B35" s="555" t="n"/>
      <c r="C35" s="555" t="n"/>
    </row>
    <row r="36" ht="15" customHeight="1" s="550">
      <c r="A36" s="553" t="inlineStr">
        <is>
          <t>FUENTES Y NOTAS METODOLÓGICAS</t>
        </is>
      </c>
    </row>
    <row r="37" ht="15" customFormat="1" customHeight="1" s="199">
      <c r="A37" s="200" t="inlineStr">
        <is>
          <t>REV. 10/09/2026</t>
        </is>
      </c>
      <c r="B37" s="198" t="n"/>
      <c r="C37" s="198" t="n"/>
      <c r="D37" s="198" t="n"/>
      <c r="E37" s="337">
        <f>E4</f>
        <v/>
      </c>
    </row>
    <row r="38" ht="25.5" customHeight="1" s="550">
      <c r="A38" s="551" t="inlineStr">
        <is>
          <t>1. Precios de referencia investigados para Bogotá D.C., 2026 (2° semestre). Son precios promedio de mercado; cada obra requiere cotización formal con proveedores.</t>
        </is>
      </c>
    </row>
    <row r="39" ht="25.5" customHeight="1" s="550">
      <c r="A39" s="551" t="inlineStr">
        <is>
          <t>2. Rango de costo directo de construcción en Bogotá 2026 según fuentes de mercado: $2.200.000 - $3.800.000 COP/m² (Aliados de Obras, 2026); promedio de estabilización Ene-Abr 2026: ~$3.050.000 COP/m².</t>
        </is>
      </c>
    </row>
    <row r="40" ht="25.5" customHeight="1" s="550">
      <c r="A40" s="551" t="inlineStr">
        <is>
          <t>3. Concreto 3000 PSI para estructura con formaletería: referencia ~$868.306 COP/m³ (Listado de Precios Unitarios, Secretaría de Infraestructura / Fidubogotá, ajustado a 2026).</t>
        </is>
      </c>
    </row>
    <row r="41" ht="25.5" customHeight="1" s="550">
      <c r="A41" s="551" t="inlineStr">
        <is>
          <t>4. Acero de refuerzo figurado e instalado: referencia ~$6.500-7.000 COP/kg (Comando Construcciones, 2026; incremento por alza del 23,7% en el SMMLV 2026 según DANE-ICOCED).</t>
        </is>
      </c>
    </row>
    <row r="42" ht="25.5" customHeight="1" s="550">
      <c r="A42" s="551" t="inlineStr">
        <is>
          <t>5. Ascensor eléctrico para edificio de 10+ pisos, alta velocidad, instalado: $450M-$750M COP por unidad (OTA Vertical, 2026). Se tomó valor medio.</t>
        </is>
      </c>
    </row>
    <row r="43" ht="25.5" customHeight="1" s="550">
      <c r="A43" s="551" t="inlineStr">
        <is>
          <t>6. Índice de Costos de la Construcción de Edificaciones (ICOCED-DANE): variación interanual ene.2025-ene.2026 de +8,7% en Bogotá, impulsada por incremento salarial.</t>
        </is>
      </c>
    </row>
    <row r="44" ht="25.5" customHeight="1" s="550">
      <c r="A44" s="551" t="inlineStr">
        <is>
          <t>7. AIU recomendado para edificaciones en Colombia: 25%-30% sobre costos directos (Administración 10-12%, Imprevistos 3-5%, Utilidad 10-15%). Se usó 26% (10%+4%+12%).</t>
        </is>
      </c>
    </row>
    <row r="45" ht="25.5" customHeight="1" s="550">
      <c r="A45" s="55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550">
      <c r="A46" s="55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550">
      <c r="A47" s="55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C29:E2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B1:E1"/>
    <mergeCell ref="C14:E14"/>
    <mergeCell ref="A43:E43"/>
    <mergeCell ref="A38:E38"/>
    <mergeCell ref="B5:C5"/>
    <mergeCell ref="A28:E28"/>
    <mergeCell ref="C26:E26"/>
    <mergeCell ref="A13:E13"/>
    <mergeCell ref="C35:E35"/>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pageSetUpPr/>
  </sheetPr>
  <dimension ref="A1:F259"/>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614" min="1" max="1"/>
    <col width="60.77734375" customWidth="1" style="550" min="2" max="2"/>
    <col width="50.77734375" customWidth="1" style="550" min="3" max="3"/>
    <col width="20.77734375" customWidth="1" style="550" min="4" max="6"/>
  </cols>
  <sheetData>
    <row r="1">
      <c r="A1" s="502" t="n"/>
      <c r="B1" s="502" t="n"/>
      <c r="C1" s="569" t="inlineStr">
        <is>
          <t>PRESUPUESTO DE OBRA</t>
        </is>
      </c>
    </row>
    <row r="2">
      <c r="A2" s="502" t="n"/>
      <c r="B2" s="618" t="n"/>
    </row>
    <row r="3">
      <c r="A3" s="502" t="n"/>
      <c r="B3" s="618" t="n"/>
    </row>
    <row r="4" ht="4.95" customHeight="1" s="550">
      <c r="A4" s="502" t="n"/>
      <c r="B4" s="618" t="n"/>
      <c r="C4" s="180" t="n"/>
      <c r="D4" s="180" t="n"/>
      <c r="E4" s="180" t="n"/>
      <c r="F4" s="180" t="n"/>
    </row>
    <row r="5">
      <c r="A5" s="502" t="n"/>
      <c r="B5" s="618" t="n"/>
      <c r="C5" s="705" t="n"/>
      <c r="D5" s="562" t="n"/>
      <c r="E5" s="706" t="inlineStr">
        <is>
          <t>CONTROL DOCUMENTAL</t>
        </is>
      </c>
      <c r="F5" s="559" t="n"/>
    </row>
    <row r="6" ht="21" customHeight="1" s="550">
      <c r="A6" s="502" t="n"/>
      <c r="B6" s="618" t="n"/>
      <c r="C6" s="564" t="inlineStr">
        <is>
          <t>REFORMAS Y REMODELACIONES</t>
        </is>
      </c>
      <c r="D6" s="562" t="n"/>
      <c r="E6" s="181" t="inlineStr">
        <is>
          <t>Código</t>
        </is>
      </c>
      <c r="F6" s="1209" t="inlineStr">
        <is>
          <t>RYR-PP-001</t>
        </is>
      </c>
    </row>
    <row r="7" ht="15" customHeight="1" s="550">
      <c r="A7" s="502" t="n"/>
      <c r="B7" s="618" t="n"/>
      <c r="C7" s="561" t="inlineStr">
        <is>
          <t>DISEÑAMOS, RENOVAMOS Y CONSTRUIMOS ESPACIOS QUE INSPIRAN</t>
        </is>
      </c>
      <c r="D7" s="562" t="n"/>
      <c r="E7" s="181" t="inlineStr">
        <is>
          <t>Versión</t>
        </is>
      </c>
      <c r="F7" s="1195" t="n">
        <v>1</v>
      </c>
    </row>
    <row r="8" ht="15" customHeight="1" s="550">
      <c r="A8" s="502" t="n"/>
      <c r="B8" s="618" t="n"/>
      <c r="C8" s="705" t="n"/>
      <c r="D8" s="562" t="n"/>
      <c r="E8" s="181" t="inlineStr">
        <is>
          <t>Fecha de Emisión</t>
        </is>
      </c>
      <c r="F8" s="165" t="inlineStr">
        <is>
          <t>10/09/2026</t>
        </is>
      </c>
    </row>
    <row r="9" ht="15" customHeight="1" s="550">
      <c r="A9" s="503" t="n"/>
      <c r="B9" s="499" t="n"/>
      <c r="C9" s="705" t="n"/>
      <c r="D9" s="562" t="n"/>
      <c r="E9" s="504" t="inlineStr">
        <is>
          <t>Página</t>
        </is>
      </c>
      <c r="F9" s="1240" t="inlineStr">
        <is>
          <t>1 de 1</t>
        </is>
      </c>
    </row>
    <row r="10" ht="15" customHeight="1" s="550">
      <c r="A10" s="712" t="inlineStr">
        <is>
          <t>IDENTIFICACIÓN DE PROYECTO</t>
        </is>
      </c>
      <c r="B10" s="713" t="n"/>
      <c r="C10" s="713" t="n"/>
      <c r="D10" s="713" t="n"/>
      <c r="E10" s="713" t="n"/>
      <c r="F10" s="714" t="n"/>
    </row>
    <row r="11" ht="15" customHeight="1" s="550">
      <c r="A11" s="718" t="inlineStr">
        <is>
          <t>Bogotá D.C. - Precios de referencia de mercado 2026 - Valores en pesos colombianos (COP), sin decimales</t>
        </is>
      </c>
      <c r="F11" s="562" t="n"/>
    </row>
    <row r="12">
      <c r="A12" s="709" t="inlineStr">
        <is>
          <t>Proyecto</t>
        </is>
      </c>
      <c r="B12" s="710" t="n"/>
      <c r="C12" s="711" t="n"/>
      <c r="D12" s="710" t="n"/>
      <c r="E12" s="116" t="inlineStr">
        <is>
          <t>Fecha de Emisión</t>
        </is>
      </c>
      <c r="F12" s="273" t="inlineStr">
        <is>
          <t>10/09/2026</t>
        </is>
      </c>
    </row>
    <row r="13" ht="15" customHeight="1" s="550">
      <c r="A13" s="190" t="inlineStr">
        <is>
          <t>Ítem</t>
        </is>
      </c>
      <c r="B13" s="191" t="inlineStr">
        <is>
          <t>Descripción</t>
        </is>
      </c>
      <c r="C13" s="191" t="inlineStr">
        <is>
          <t>Unidad</t>
        </is>
      </c>
      <c r="D13" s="191" t="inlineStr">
        <is>
          <t>Cantidad</t>
        </is>
      </c>
      <c r="E13" s="191" t="inlineStr">
        <is>
          <t>Precio Unitario</t>
        </is>
      </c>
      <c r="F13" s="192" t="inlineStr">
        <is>
          <t>Valor Total</t>
        </is>
      </c>
    </row>
    <row r="14">
      <c r="A14" s="182" t="inlineStr">
        <is>
          <t>1</t>
        </is>
      </c>
      <c r="B14" s="707" t="inlineStr">
        <is>
          <t>PRELIMINARES</t>
        </is>
      </c>
      <c r="C14" s="609" t="n"/>
      <c r="D14" s="609" t="n"/>
      <c r="E14" s="609" t="n"/>
      <c r="F14" s="610" t="n"/>
    </row>
    <row r="15">
      <c r="A15" s="80" t="inlineStr">
        <is>
          <t>1.1</t>
        </is>
      </c>
      <c r="B15" s="364" t="inlineStr">
        <is>
          <t>Localización y Replanteo</t>
        </is>
      </c>
      <c r="C15" s="257" t="inlineStr">
        <is>
          <t>M²</t>
        </is>
      </c>
      <c r="D15" s="258" t="n"/>
      <c r="E15" s="1310" t="n"/>
      <c r="F15" s="1311">
        <f>D15*E15</f>
        <v/>
      </c>
    </row>
    <row r="16">
      <c r="A16" s="80" t="inlineStr">
        <is>
          <t>1.2</t>
        </is>
      </c>
      <c r="B16" s="364" t="inlineStr">
        <is>
          <t>Cerramiento provisional de obra</t>
        </is>
      </c>
      <c r="C16" s="257" t="inlineStr">
        <is>
          <t>ML</t>
        </is>
      </c>
      <c r="D16" s="258" t="n"/>
      <c r="E16" s="1310" t="n"/>
      <c r="F16" s="1311">
        <f>D16*E16</f>
        <v/>
      </c>
    </row>
    <row r="17">
      <c r="A17" s="80" t="inlineStr">
        <is>
          <t>1.3</t>
        </is>
      </c>
      <c r="B17" s="364" t="inlineStr">
        <is>
          <t>Instalación de campamento y oficinas provisionales</t>
        </is>
      </c>
      <c r="C17" s="257" t="inlineStr">
        <is>
          <t>M²</t>
        </is>
      </c>
      <c r="D17" s="258" t="n"/>
      <c r="E17" s="1310" t="n"/>
      <c r="F17" s="1311">
        <f>D17*E17</f>
        <v/>
      </c>
    </row>
    <row r="18">
      <c r="A18" s="80" t="inlineStr">
        <is>
          <t>1.4</t>
        </is>
      </c>
      <c r="B18" s="364" t="inlineStr">
        <is>
          <t>Adecuación de área de almacenamiento</t>
        </is>
      </c>
      <c r="C18" s="257" t="inlineStr">
        <is>
          <t>M²</t>
        </is>
      </c>
      <c r="D18" s="258" t="n"/>
      <c r="E18" s="1310" t="n"/>
      <c r="F18" s="1311">
        <f>D18*E18</f>
        <v/>
      </c>
    </row>
    <row r="19">
      <c r="A19" s="80" t="inlineStr">
        <is>
          <t>1.5</t>
        </is>
      </c>
      <c r="B19" s="364" t="inlineStr">
        <is>
          <t>Señalización preventiva e informativa de obra</t>
        </is>
      </c>
      <c r="C19" s="257" t="inlineStr">
        <is>
          <t>UND</t>
        </is>
      </c>
      <c r="D19" s="258" t="n"/>
      <c r="E19" s="1310" t="n"/>
      <c r="F19" s="1311">
        <f>D19*E19</f>
        <v/>
      </c>
    </row>
    <row r="20">
      <c r="A20" s="80" t="inlineStr">
        <is>
          <t>1.6</t>
        </is>
      </c>
      <c r="B20" s="364" t="inlineStr">
        <is>
          <t>Instalaciones provisionales de agua y energía</t>
        </is>
      </c>
      <c r="C20" s="257" t="inlineStr">
        <is>
          <t>GL</t>
        </is>
      </c>
      <c r="D20" s="258" t="n"/>
      <c r="E20" s="1310" t="n"/>
      <c r="F20" s="1311">
        <f>D20*E20</f>
        <v/>
      </c>
    </row>
    <row r="21">
      <c r="A21" s="80" t="inlineStr">
        <is>
          <t>1.7</t>
        </is>
      </c>
      <c r="B21" s="364" t="inlineStr">
        <is>
          <t>Protección de elementos existentes</t>
        </is>
      </c>
      <c r="C21" s="257" t="inlineStr">
        <is>
          <t>M²</t>
        </is>
      </c>
      <c r="D21" s="258" t="n"/>
      <c r="E21" s="1310" t="n"/>
      <c r="F21" s="1311">
        <f>D21*E21</f>
        <v/>
      </c>
    </row>
    <row r="22">
      <c r="A22" s="80" t="inlineStr">
        <is>
          <t>1.8</t>
        </is>
      </c>
      <c r="B22" s="364" t="inlineStr">
        <is>
          <t>Desmonte y limpieza inicial</t>
        </is>
      </c>
      <c r="C22" s="257" t="inlineStr">
        <is>
          <t>M²</t>
        </is>
      </c>
      <c r="D22" s="258" t="n"/>
      <c r="E22" s="1310" t="n"/>
      <c r="F22" s="1311">
        <f>D22*E22</f>
        <v/>
      </c>
    </row>
    <row r="23">
      <c r="A23" s="80" t="inlineStr">
        <is>
          <t>1.9</t>
        </is>
      </c>
      <c r="B23" s="364" t="inlineStr">
        <is>
          <t>Demoliciones preliminares</t>
        </is>
      </c>
      <c r="C23" s="257" t="inlineStr">
        <is>
          <t>M³</t>
        </is>
      </c>
      <c r="D23" s="258" t="n"/>
      <c r="E23" s="1310" t="n"/>
      <c r="F23" s="1311">
        <f>D23*E23</f>
        <v/>
      </c>
    </row>
    <row r="24">
      <c r="A24" s="80" t="inlineStr">
        <is>
          <t>1.10</t>
        </is>
      </c>
      <c r="B24" s="364" t="inlineStr">
        <is>
          <t>Desmantelamiento de estructuras metálicas existentes</t>
        </is>
      </c>
      <c r="C24" s="257" t="inlineStr">
        <is>
          <t>KG</t>
        </is>
      </c>
      <c r="D24" s="258" t="n"/>
      <c r="E24" s="1310" t="n"/>
      <c r="F24" s="1311">
        <f>D24*E24</f>
        <v/>
      </c>
    </row>
    <row r="25">
      <c r="A25" s="81" t="n"/>
      <c r="B25" s="704" t="inlineStr">
        <is>
          <t>SUBTOTAL CAPÍTULO 1 - PRELIMINARES</t>
        </is>
      </c>
      <c r="C25" s="567" t="n"/>
      <c r="D25" s="567" t="n"/>
      <c r="E25" s="567" t="n"/>
      <c r="F25" s="1312">
        <f>SUM(F15:F24)</f>
        <v/>
      </c>
    </row>
    <row r="26">
      <c r="A26" s="82" t="n"/>
      <c r="B26" s="716" t="n"/>
      <c r="C26" s="716" t="n"/>
      <c r="D26" s="716" t="n"/>
      <c r="E26" s="716" t="n"/>
      <c r="F26" s="708" t="n"/>
    </row>
    <row r="27">
      <c r="A27" s="182" t="inlineStr">
        <is>
          <t>2</t>
        </is>
      </c>
      <c r="B27" s="707" t="inlineStr">
        <is>
          <t>MOVIMIENTO DE TIERRAS</t>
        </is>
      </c>
      <c r="C27" s="609" t="n"/>
      <c r="D27" s="609" t="n"/>
      <c r="E27" s="609" t="n"/>
      <c r="F27" s="610" t="n"/>
    </row>
    <row r="28">
      <c r="A28" s="80" t="inlineStr">
        <is>
          <t>2.1</t>
        </is>
      </c>
      <c r="B28" s="364" t="inlineStr">
        <is>
          <t>Excavación manual en material común</t>
        </is>
      </c>
      <c r="C28" s="257" t="inlineStr">
        <is>
          <t>M³</t>
        </is>
      </c>
      <c r="D28" s="258" t="n"/>
      <c r="E28" s="1310" t="n"/>
      <c r="F28" s="1311">
        <f>D28*E28</f>
        <v/>
      </c>
    </row>
    <row r="29">
      <c r="A29" s="80" t="inlineStr">
        <is>
          <t>2.2</t>
        </is>
      </c>
      <c r="B29" s="364" t="inlineStr">
        <is>
          <t>Excavación mecánica</t>
        </is>
      </c>
      <c r="C29" s="257" t="inlineStr">
        <is>
          <t>M³</t>
        </is>
      </c>
      <c r="D29" s="258" t="n"/>
      <c r="E29" s="1310" t="n"/>
      <c r="F29" s="1311">
        <f>D29*E29</f>
        <v/>
      </c>
    </row>
    <row r="30">
      <c r="A30" s="80" t="inlineStr">
        <is>
          <t>2.3</t>
        </is>
      </c>
      <c r="B30" s="364" t="inlineStr">
        <is>
          <t>Excavación en roca</t>
        </is>
      </c>
      <c r="C30" s="257" t="inlineStr">
        <is>
          <t>M³</t>
        </is>
      </c>
      <c r="D30" s="258" t="n"/>
      <c r="E30" s="1310" t="n"/>
      <c r="F30" s="1311">
        <f>D30*E30</f>
        <v/>
      </c>
    </row>
    <row r="31">
      <c r="A31" s="80" t="inlineStr">
        <is>
          <t>2.4</t>
        </is>
      </c>
      <c r="B31" s="364" t="inlineStr">
        <is>
          <t>Perfilado y conformación de excavaciones</t>
        </is>
      </c>
      <c r="C31" s="257" t="inlineStr">
        <is>
          <t>M²</t>
        </is>
      </c>
      <c r="D31" s="258" t="n"/>
      <c r="E31" s="1310" t="n"/>
      <c r="F31" s="1311">
        <f>D31*E31</f>
        <v/>
      </c>
    </row>
    <row r="32">
      <c r="A32" s="80" t="inlineStr">
        <is>
          <t>2.5</t>
        </is>
      </c>
      <c r="B32" s="364" t="inlineStr">
        <is>
          <t>Relleno con material seleccionado compactado</t>
        </is>
      </c>
      <c r="C32" s="257" t="inlineStr">
        <is>
          <t>M³</t>
        </is>
      </c>
      <c r="D32" s="258" t="n"/>
      <c r="E32" s="1310" t="n"/>
      <c r="F32" s="1311">
        <f>D32*E32</f>
        <v/>
      </c>
    </row>
    <row r="33">
      <c r="A33" s="80" t="inlineStr">
        <is>
          <t>2.6</t>
        </is>
      </c>
      <c r="B33" s="364" t="inlineStr">
        <is>
          <t>Relleno con material proveniente de excavación</t>
        </is>
      </c>
      <c r="C33" s="257" t="inlineStr">
        <is>
          <t>M³</t>
        </is>
      </c>
      <c r="D33" s="258" t="n"/>
      <c r="E33" s="1310" t="n"/>
      <c r="F33" s="1311">
        <f>D33*E33</f>
        <v/>
      </c>
    </row>
    <row r="34">
      <c r="A34" s="80" t="inlineStr">
        <is>
          <t>2.7</t>
        </is>
      </c>
      <c r="B34" s="364" t="inlineStr">
        <is>
          <t>Suministro, extendido y compactación de subbase</t>
        </is>
      </c>
      <c r="C34" s="257" t="inlineStr">
        <is>
          <t>M³</t>
        </is>
      </c>
      <c r="D34" s="258" t="n"/>
      <c r="E34" s="1310" t="n"/>
      <c r="F34" s="1311">
        <f>D34*E34</f>
        <v/>
      </c>
    </row>
    <row r="35">
      <c r="A35" s="80" t="inlineStr">
        <is>
          <t>2.8</t>
        </is>
      </c>
      <c r="B35" s="364" t="inlineStr">
        <is>
          <t>Suministro, extendido y compactación de base granular</t>
        </is>
      </c>
      <c r="C35" s="257" t="inlineStr">
        <is>
          <t>M³</t>
        </is>
      </c>
      <c r="D35" s="258" t="n"/>
      <c r="E35" s="1310" t="n"/>
      <c r="F35" s="1311">
        <f>D35*E35</f>
        <v/>
      </c>
    </row>
    <row r="36">
      <c r="A36" s="80" t="inlineStr">
        <is>
          <t>2.9</t>
        </is>
      </c>
      <c r="B36" s="364" t="inlineStr">
        <is>
          <t>Cargue de material sobrante</t>
        </is>
      </c>
      <c r="C36" s="257" t="inlineStr">
        <is>
          <t>M³</t>
        </is>
      </c>
      <c r="D36" s="258" t="n"/>
      <c r="E36" s="1310" t="n"/>
      <c r="F36" s="1311">
        <f>D36*E36</f>
        <v/>
      </c>
    </row>
    <row r="37">
      <c r="A37" s="80" t="inlineStr">
        <is>
          <t>2.10</t>
        </is>
      </c>
      <c r="B37" s="364" t="inlineStr">
        <is>
          <t>Transporte de material sobrante</t>
        </is>
      </c>
      <c r="C37" s="257" t="inlineStr">
        <is>
          <t>M³</t>
        </is>
      </c>
      <c r="D37" s="258" t="n"/>
      <c r="E37" s="1310" t="n"/>
      <c r="F37" s="1311">
        <f>D37*E37</f>
        <v/>
      </c>
    </row>
    <row r="38">
      <c r="A38" s="80" t="inlineStr">
        <is>
          <t>2.11</t>
        </is>
      </c>
      <c r="B38" s="364" t="inlineStr">
        <is>
          <t>Disposición final de sobrantes</t>
        </is>
      </c>
      <c r="C38" s="257" t="inlineStr">
        <is>
          <t>M³</t>
        </is>
      </c>
      <c r="D38" s="258" t="n"/>
      <c r="E38" s="1310" t="n"/>
      <c r="F38" s="1311">
        <f>D38*E38</f>
        <v/>
      </c>
    </row>
    <row r="39">
      <c r="A39" s="81" t="n"/>
      <c r="B39" s="704" t="inlineStr">
        <is>
          <t>SUBTOTAL CAPÍTULO 2 - MOVIMIENTO DE TIERRAS</t>
        </is>
      </c>
      <c r="C39" s="567" t="n"/>
      <c r="D39" s="567" t="n"/>
      <c r="E39" s="567" t="n"/>
      <c r="F39" s="1312">
        <f>SUM(F28:F38)</f>
        <v/>
      </c>
    </row>
    <row r="40">
      <c r="A40" s="82" t="n"/>
      <c r="B40" s="716" t="n"/>
      <c r="C40" s="716" t="n"/>
      <c r="D40" s="716" t="n"/>
      <c r="E40" s="716" t="n"/>
      <c r="F40" s="708" t="n"/>
    </row>
    <row r="41">
      <c r="A41" s="182" t="inlineStr">
        <is>
          <t>3</t>
        </is>
      </c>
      <c r="B41" s="707" t="inlineStr">
        <is>
          <t>CIMENTACIONES</t>
        </is>
      </c>
      <c r="C41" s="609" t="n"/>
      <c r="D41" s="609" t="n"/>
      <c r="E41" s="609" t="n"/>
      <c r="F41" s="610" t="n"/>
    </row>
    <row r="42">
      <c r="A42" s="80" t="inlineStr">
        <is>
          <t>3.1</t>
        </is>
      </c>
      <c r="B42" s="364" t="inlineStr">
        <is>
          <t>Concreto de limpieza / solado</t>
        </is>
      </c>
      <c r="C42" s="257" t="inlineStr">
        <is>
          <t>M³</t>
        </is>
      </c>
      <c r="D42" s="258" t="n"/>
      <c r="E42" s="1310" t="n"/>
      <c r="F42" s="1311">
        <f>D42*E42</f>
        <v/>
      </c>
    </row>
    <row r="43">
      <c r="A43" s="80" t="inlineStr">
        <is>
          <t>3.2</t>
        </is>
      </c>
      <c r="B43" s="364" t="inlineStr">
        <is>
          <t>Concreto para zapatas</t>
        </is>
      </c>
      <c r="C43" s="257" t="inlineStr">
        <is>
          <t>M³</t>
        </is>
      </c>
      <c r="D43" s="258" t="n"/>
      <c r="E43" s="1310" t="n"/>
      <c r="F43" s="1311">
        <f>D43*E43</f>
        <v/>
      </c>
    </row>
    <row r="44">
      <c r="A44" s="80" t="inlineStr">
        <is>
          <t>3.3</t>
        </is>
      </c>
      <c r="B44" s="364" t="inlineStr">
        <is>
          <t>Concreto para vigas de cimentación</t>
        </is>
      </c>
      <c r="C44" s="257" t="inlineStr">
        <is>
          <t>M³</t>
        </is>
      </c>
      <c r="D44" s="258" t="n"/>
      <c r="E44" s="1310" t="n"/>
      <c r="F44" s="1311">
        <f>D44*E44</f>
        <v/>
      </c>
    </row>
    <row r="45">
      <c r="A45" s="80" t="inlineStr">
        <is>
          <t>3.4</t>
        </is>
      </c>
      <c r="B45" s="364" t="inlineStr">
        <is>
          <t>Concreto para losas de cimentación</t>
        </is>
      </c>
      <c r="C45" s="257" t="inlineStr">
        <is>
          <t>M³</t>
        </is>
      </c>
      <c r="D45" s="258" t="n"/>
      <c r="E45" s="1310" t="n"/>
      <c r="F45" s="1311">
        <f>D45*E45</f>
        <v/>
      </c>
    </row>
    <row r="46">
      <c r="A46" s="80" t="inlineStr">
        <is>
          <t>3.5</t>
        </is>
      </c>
      <c r="B46" s="364" t="inlineStr">
        <is>
          <t>Concreto para pedestales</t>
        </is>
      </c>
      <c r="C46" s="257" t="inlineStr">
        <is>
          <t>M³</t>
        </is>
      </c>
      <c r="D46" s="258" t="n"/>
      <c r="E46" s="1310" t="n"/>
      <c r="F46" s="1311">
        <f>D46*E46</f>
        <v/>
      </c>
    </row>
    <row r="47">
      <c r="A47" s="80" t="inlineStr">
        <is>
          <t>3.6</t>
        </is>
      </c>
      <c r="B47" s="364" t="inlineStr">
        <is>
          <t>Acero de refuerzo en cimentación</t>
        </is>
      </c>
      <c r="C47" s="257" t="inlineStr">
        <is>
          <t>KG</t>
        </is>
      </c>
      <c r="D47" s="258" t="n"/>
      <c r="E47" s="1310" t="n"/>
      <c r="F47" s="1311">
        <f>D47*E47</f>
        <v/>
      </c>
    </row>
    <row r="48">
      <c r="A48" s="80" t="inlineStr">
        <is>
          <t>3.7</t>
        </is>
      </c>
      <c r="B48" s="364" t="inlineStr">
        <is>
          <t>Formaleta para elementos de cimentación</t>
        </is>
      </c>
      <c r="C48" s="257" t="inlineStr">
        <is>
          <t>M²</t>
        </is>
      </c>
      <c r="D48" s="258" t="n"/>
      <c r="E48" s="1310" t="n"/>
      <c r="F48" s="1311">
        <f>D48*E48</f>
        <v/>
      </c>
    </row>
    <row r="49">
      <c r="A49" s="81" t="n"/>
      <c r="B49" s="704" t="inlineStr">
        <is>
          <t>SUBTOTAL CAPÍTULO 3 - CIMENTACIONES</t>
        </is>
      </c>
      <c r="C49" s="567" t="n"/>
      <c r="D49" s="567" t="n"/>
      <c r="E49" s="567" t="n"/>
      <c r="F49" s="1312">
        <f>SUM(F42:F48)</f>
        <v/>
      </c>
    </row>
    <row r="50">
      <c r="A50" s="82" t="n"/>
      <c r="B50" s="716" t="n"/>
      <c r="C50" s="716" t="n"/>
      <c r="D50" s="716" t="n"/>
      <c r="E50" s="716" t="n"/>
      <c r="F50" s="708" t="n"/>
    </row>
    <row r="51">
      <c r="A51" s="182" t="inlineStr">
        <is>
          <t>4</t>
        </is>
      </c>
      <c r="B51" s="703" t="inlineStr">
        <is>
          <t>ESTRUCTURA</t>
        </is>
      </c>
      <c r="C51" s="567" t="n"/>
      <c r="D51" s="567" t="n"/>
      <c r="E51" s="567" t="n"/>
      <c r="F51" s="567" t="n"/>
    </row>
    <row r="52">
      <c r="A52" s="80" t="inlineStr">
        <is>
          <t>4.1</t>
        </is>
      </c>
      <c r="B52" s="364" t="inlineStr">
        <is>
          <t>Concreto para columnas</t>
        </is>
      </c>
      <c r="C52" s="257" t="inlineStr">
        <is>
          <t>M³</t>
        </is>
      </c>
      <c r="D52" s="258" t="n"/>
      <c r="E52" s="1310" t="n"/>
      <c r="F52" s="1311">
        <f>D52*E52</f>
        <v/>
      </c>
    </row>
    <row r="53">
      <c r="A53" s="80" t="inlineStr">
        <is>
          <t>4.2</t>
        </is>
      </c>
      <c r="B53" s="365" t="inlineStr">
        <is>
          <t>Concreto para vigas</t>
        </is>
      </c>
      <c r="C53" s="257" t="inlineStr">
        <is>
          <t>M³</t>
        </is>
      </c>
      <c r="F53">
        <f>D53*E53</f>
        <v/>
      </c>
    </row>
    <row r="54">
      <c r="A54" s="80" t="inlineStr">
        <is>
          <t>4.3</t>
        </is>
      </c>
      <c r="B54" s="364" t="inlineStr">
        <is>
          <t>Concreto para losas</t>
        </is>
      </c>
      <c r="C54" s="257" t="inlineStr">
        <is>
          <t>M³</t>
        </is>
      </c>
      <c r="D54" s="258" t="n"/>
      <c r="E54" s="1310" t="n"/>
      <c r="F54" s="1311">
        <f>D54*E54</f>
        <v/>
      </c>
    </row>
    <row r="55">
      <c r="A55" s="80" t="inlineStr">
        <is>
          <t>4.4</t>
        </is>
      </c>
      <c r="B55" s="364" t="inlineStr">
        <is>
          <t>Concreto para escaleras</t>
        </is>
      </c>
      <c r="C55" s="257" t="inlineStr">
        <is>
          <t>M³</t>
        </is>
      </c>
      <c r="D55" s="258" t="n"/>
      <c r="E55" s="1310" t="n"/>
      <c r="F55" s="1311">
        <f>D55*E55</f>
        <v/>
      </c>
    </row>
    <row r="56">
      <c r="A56" s="80" t="inlineStr">
        <is>
          <t>4.5</t>
        </is>
      </c>
      <c r="B56" s="364" t="inlineStr">
        <is>
          <t>Concreto para muros estructurales</t>
        </is>
      </c>
      <c r="C56" s="257" t="inlineStr">
        <is>
          <t>M³</t>
        </is>
      </c>
      <c r="D56" s="258" t="n"/>
      <c r="E56" s="1310" t="n"/>
      <c r="F56" s="1311">
        <f>D56*E56</f>
        <v/>
      </c>
    </row>
    <row r="57">
      <c r="A57" s="80" t="inlineStr">
        <is>
          <t>4.6</t>
        </is>
      </c>
      <c r="B57" s="364" t="inlineStr">
        <is>
          <t>Acero de refuerzo de columnas</t>
        </is>
      </c>
      <c r="C57" s="257" t="inlineStr">
        <is>
          <t>KG</t>
        </is>
      </c>
      <c r="D57" s="258" t="n"/>
      <c r="E57" s="1310" t="n"/>
      <c r="F57" s="1311">
        <f>D57*E57</f>
        <v/>
      </c>
    </row>
    <row r="58">
      <c r="A58" s="80" t="inlineStr">
        <is>
          <t>4.7</t>
        </is>
      </c>
      <c r="B58" s="364" t="inlineStr">
        <is>
          <t>Acero de refuerzo de vigas</t>
        </is>
      </c>
      <c r="C58" s="257" t="inlineStr">
        <is>
          <t>KG</t>
        </is>
      </c>
      <c r="D58" s="258" t="n"/>
      <c r="E58" s="1310" t="n"/>
      <c r="F58" s="1311">
        <f>D58*E58</f>
        <v/>
      </c>
    </row>
    <row r="59">
      <c r="A59" s="80" t="inlineStr">
        <is>
          <t>4.8</t>
        </is>
      </c>
      <c r="B59" s="364" t="inlineStr">
        <is>
          <t>Acero de refuerzo de losas</t>
        </is>
      </c>
      <c r="C59" s="257" t="inlineStr">
        <is>
          <t>KG</t>
        </is>
      </c>
      <c r="F59" s="1311">
        <f>D59*E59</f>
        <v/>
      </c>
    </row>
    <row r="60">
      <c r="A60" s="80" t="inlineStr">
        <is>
          <t>4.9</t>
        </is>
      </c>
      <c r="B60" s="364" t="inlineStr">
        <is>
          <t>Formaleta de columnas</t>
        </is>
      </c>
      <c r="C60" s="257" t="inlineStr">
        <is>
          <t>M²</t>
        </is>
      </c>
      <c r="D60" s="258" t="n"/>
      <c r="E60" s="1310" t="n"/>
      <c r="F60" s="1311">
        <f>D60*E60</f>
        <v/>
      </c>
    </row>
    <row r="61">
      <c r="A61" s="80" t="inlineStr">
        <is>
          <t>4.10</t>
        </is>
      </c>
      <c r="B61" s="365" t="inlineStr">
        <is>
          <t>Formaleta de vigas</t>
        </is>
      </c>
      <c r="C61" s="257" t="inlineStr">
        <is>
          <t>M²</t>
        </is>
      </c>
      <c r="F61">
        <f>D61*E61</f>
        <v/>
      </c>
    </row>
    <row r="62">
      <c r="A62" s="80" t="inlineStr">
        <is>
          <t>4.11</t>
        </is>
      </c>
      <c r="B62" s="364" t="inlineStr">
        <is>
          <t>Formaleta de losas</t>
        </is>
      </c>
      <c r="C62" s="257" t="inlineStr">
        <is>
          <t>M²</t>
        </is>
      </c>
      <c r="D62" s="258" t="n"/>
      <c r="E62" s="1310" t="n"/>
      <c r="F62" s="1311">
        <f>D62*E62</f>
        <v/>
      </c>
    </row>
    <row r="63">
      <c r="A63" s="80" t="inlineStr">
        <is>
          <t>4.12</t>
        </is>
      </c>
      <c r="B63" s="364" t="inlineStr">
        <is>
          <t>Formaleta de escaleras</t>
        </is>
      </c>
      <c r="C63" s="257" t="inlineStr">
        <is>
          <t>M²</t>
        </is>
      </c>
      <c r="D63" s="258" t="n"/>
      <c r="E63" s="1310" t="n"/>
      <c r="F63" s="1311">
        <f>D63*E63</f>
        <v/>
      </c>
    </row>
    <row r="64">
      <c r="A64" s="80" t="inlineStr">
        <is>
          <t>4.13</t>
        </is>
      </c>
      <c r="B64" s="364" t="inlineStr">
        <is>
          <t>Suministro y montaje de perfiles metálicos</t>
        </is>
      </c>
      <c r="C64" s="257" t="inlineStr">
        <is>
          <t>KG</t>
        </is>
      </c>
      <c r="D64" s="258" t="n"/>
      <c r="E64" s="1310" t="n"/>
      <c r="F64" s="1311">
        <f>D64*E64</f>
        <v/>
      </c>
    </row>
    <row r="65">
      <c r="A65" s="80" t="inlineStr">
        <is>
          <t>4.14</t>
        </is>
      </c>
      <c r="B65" s="364" t="inlineStr">
        <is>
          <t>Placas, pernos y conexiones metálicas</t>
        </is>
      </c>
      <c r="C65" s="257" t="inlineStr">
        <is>
          <t>KG</t>
        </is>
      </c>
      <c r="D65" s="258" t="n"/>
      <c r="E65" s="1310" t="n"/>
      <c r="F65" s="1311">
        <f>D65*E65</f>
        <v/>
      </c>
    </row>
    <row r="66">
      <c r="A66" s="80" t="inlineStr">
        <is>
          <t>4.15</t>
        </is>
      </c>
      <c r="B66" s="364" t="inlineStr">
        <is>
          <t>Grouting cementoso para reparación estructural</t>
        </is>
      </c>
      <c r="C66" s="257" t="inlineStr">
        <is>
          <t>M²</t>
        </is>
      </c>
      <c r="D66" s="258" t="n"/>
      <c r="E66" s="1310" t="n"/>
      <c r="F66" s="1311">
        <f>D66*E66</f>
        <v/>
      </c>
    </row>
    <row r="67">
      <c r="A67" s="80" t="inlineStr">
        <is>
          <t>4.16</t>
        </is>
      </c>
      <c r="B67" s="364" t="inlineStr">
        <is>
          <t>Grouting epóxico para reparación estructural</t>
        </is>
      </c>
      <c r="C67" s="257" t="inlineStr">
        <is>
          <t>M²</t>
        </is>
      </c>
      <c r="D67" s="258" t="n"/>
      <c r="E67" s="1310" t="n"/>
      <c r="F67" s="1311">
        <f>D67*E67</f>
        <v/>
      </c>
    </row>
    <row r="68">
      <c r="A68" s="80" t="inlineStr">
        <is>
          <t>4.17</t>
        </is>
      </c>
      <c r="B68" s="364" t="inlineStr">
        <is>
          <t>Concreto premezclado o de planta (suministro)</t>
        </is>
      </c>
      <c r="C68" s="257" t="inlineStr">
        <is>
          <t>M³</t>
        </is>
      </c>
      <c r="D68" s="258" t="n"/>
      <c r="E68" s="1310" t="n"/>
      <c r="F68" s="1311">
        <f>D68*E68</f>
        <v/>
      </c>
    </row>
    <row r="69">
      <c r="A69" s="81" t="n"/>
      <c r="B69" s="704" t="inlineStr">
        <is>
          <t>SUBTOTAL CAPÍTULO 4 - ESTRUCTURA</t>
        </is>
      </c>
      <c r="C69" s="567" t="n"/>
      <c r="D69" s="567" t="n"/>
      <c r="E69" s="567" t="n"/>
      <c r="F69" s="1312">
        <f>SUM(F51:F68)</f>
        <v/>
      </c>
    </row>
    <row r="70">
      <c r="A70" s="82" t="n"/>
      <c r="B70" s="716" t="n"/>
      <c r="C70" s="716" t="n"/>
      <c r="D70" s="716" t="n"/>
      <c r="E70" s="716" t="n"/>
      <c r="F70" s="708" t="n"/>
    </row>
    <row r="71">
      <c r="A71" s="182" t="inlineStr">
        <is>
          <t>5</t>
        </is>
      </c>
      <c r="B71" s="707" t="inlineStr">
        <is>
          <t>MAMPOSTERÍA</t>
        </is>
      </c>
      <c r="C71" s="609" t="n"/>
      <c r="D71" s="609" t="n"/>
      <c r="E71" s="609" t="n"/>
      <c r="F71" s="610" t="n"/>
    </row>
    <row r="72">
      <c r="A72" s="80" t="inlineStr">
        <is>
          <t>5.1</t>
        </is>
      </c>
      <c r="B72" s="364" t="inlineStr">
        <is>
          <t>Mampostería en bloque de concreto</t>
        </is>
      </c>
      <c r="C72" s="257" t="inlineStr">
        <is>
          <t>M²</t>
        </is>
      </c>
      <c r="D72" s="258" t="n"/>
      <c r="E72" s="1310" t="n"/>
      <c r="F72" s="1311">
        <f>D72*E72</f>
        <v/>
      </c>
    </row>
    <row r="73">
      <c r="A73" s="80" t="inlineStr">
        <is>
          <t>5.2</t>
        </is>
      </c>
      <c r="B73" s="364" t="inlineStr">
        <is>
          <t>Mampostería en ladrillo</t>
        </is>
      </c>
      <c r="C73" s="257" t="inlineStr">
        <is>
          <t>M²</t>
        </is>
      </c>
      <c r="D73" s="258" t="n"/>
      <c r="E73" s="1310" t="n"/>
      <c r="F73" s="1311">
        <f>D73*E73</f>
        <v/>
      </c>
    </row>
    <row r="74">
      <c r="A74" s="80" t="inlineStr">
        <is>
          <t>5.3</t>
        </is>
      </c>
      <c r="B74" s="364" t="inlineStr">
        <is>
          <t>Mampostería estructural</t>
        </is>
      </c>
      <c r="C74" s="257" t="inlineStr">
        <is>
          <t>M²</t>
        </is>
      </c>
      <c r="D74" s="258" t="n"/>
      <c r="E74" s="1310" t="n"/>
      <c r="F74" s="1311">
        <f>D74*E74</f>
        <v/>
      </c>
    </row>
    <row r="75">
      <c r="A75" s="80" t="inlineStr">
        <is>
          <t>5.4</t>
        </is>
      </c>
      <c r="B75" s="364" t="inlineStr">
        <is>
          <t>Muros en sistema liviano / drywall</t>
        </is>
      </c>
      <c r="C75" s="257" t="inlineStr">
        <is>
          <t>M²</t>
        </is>
      </c>
      <c r="D75" s="258" t="n"/>
      <c r="E75" s="1310" t="n"/>
      <c r="F75" s="1311">
        <f>D75*E75</f>
        <v/>
      </c>
    </row>
    <row r="76">
      <c r="A76" s="80" t="inlineStr">
        <is>
          <t>5.5</t>
        </is>
      </c>
      <c r="B76" s="364" t="inlineStr">
        <is>
          <t>Dinteles sobre vanos</t>
        </is>
      </c>
      <c r="C76" s="257" t="inlineStr">
        <is>
          <t>ML</t>
        </is>
      </c>
      <c r="D76" s="258" t="n"/>
      <c r="E76" s="1310" t="n"/>
      <c r="F76" s="1311">
        <f>D76*E76</f>
        <v/>
      </c>
    </row>
    <row r="77">
      <c r="A77" s="80" t="inlineStr">
        <is>
          <t>5.6</t>
        </is>
      </c>
      <c r="B77" s="364" t="inlineStr">
        <is>
          <t>Alfajías y remates</t>
        </is>
      </c>
      <c r="C77" s="257" t="inlineStr">
        <is>
          <t>ML</t>
        </is>
      </c>
      <c r="D77" s="258" t="n"/>
      <c r="E77" s="1310" t="n"/>
      <c r="F77" s="1311">
        <f>D77*E77</f>
        <v/>
      </c>
    </row>
    <row r="78">
      <c r="A78" s="80" t="inlineStr">
        <is>
          <t>5.7</t>
        </is>
      </c>
      <c r="B78" s="364" t="inlineStr">
        <is>
          <t>Anclajes y refuerzos de mampostería</t>
        </is>
      </c>
      <c r="C78" s="257" t="inlineStr">
        <is>
          <t>UND</t>
        </is>
      </c>
      <c r="D78" s="258" t="n"/>
      <c r="E78" s="1310" t="n"/>
      <c r="F78" s="1311">
        <f>D78*E78</f>
        <v/>
      </c>
    </row>
    <row r="79">
      <c r="A79" s="80" t="inlineStr">
        <is>
          <t>5.8</t>
        </is>
      </c>
      <c r="B79" s="364" t="inlineStr">
        <is>
          <t>Mampostería en ladrillo tolete a la vista (reforzada)</t>
        </is>
      </c>
      <c r="C79" s="257" t="inlineStr">
        <is>
          <t>M²</t>
        </is>
      </c>
      <c r="D79" s="258" t="n"/>
      <c r="E79" s="1310" t="n"/>
      <c r="F79" s="1311">
        <f>D79*E79</f>
        <v/>
      </c>
    </row>
    <row r="80">
      <c r="A80" s="80" t="inlineStr">
        <is>
          <t>5.9</t>
        </is>
      </c>
      <c r="B80" s="364" t="inlineStr">
        <is>
          <t>Mampostería en ladrillo a la vista (no reforzada)</t>
        </is>
      </c>
      <c r="C80" s="257" t="inlineStr">
        <is>
          <t>M²</t>
        </is>
      </c>
      <c r="D80" s="258" t="n"/>
      <c r="E80" s="1310" t="n"/>
      <c r="F80" s="1311">
        <f>D80*E80</f>
        <v/>
      </c>
    </row>
    <row r="81">
      <c r="A81" s="81" t="n"/>
      <c r="B81" s="704" t="inlineStr">
        <is>
          <t>SUBTOTAL CAPÍTULO 5 - MAMPOSTERÍA</t>
        </is>
      </c>
      <c r="C81" s="567" t="n"/>
      <c r="D81" s="567" t="n"/>
      <c r="E81" s="567" t="n"/>
      <c r="F81" s="1312">
        <f>SUM(F72:F80)</f>
        <v/>
      </c>
    </row>
    <row r="82">
      <c r="A82" s="82" t="n"/>
      <c r="B82" s="716" t="n"/>
      <c r="C82" s="567" t="n"/>
      <c r="D82" s="567" t="n"/>
      <c r="E82" s="567" t="n"/>
      <c r="F82" s="708" t="n"/>
    </row>
    <row r="83">
      <c r="A83" s="182" t="inlineStr">
        <is>
          <t>6</t>
        </is>
      </c>
      <c r="B83" s="717" t="inlineStr">
        <is>
          <t>CUBIERTAS</t>
        </is>
      </c>
      <c r="C83" s="567" t="n"/>
      <c r="D83" s="567" t="n"/>
      <c r="E83" s="567" t="n"/>
      <c r="F83" s="567" t="n"/>
    </row>
    <row r="84">
      <c r="A84" s="80" t="inlineStr">
        <is>
          <t>6.1</t>
        </is>
      </c>
      <c r="B84" s="365" t="inlineStr">
        <is>
          <t>Estructura metálica o de madera para cubierta</t>
        </is>
      </c>
      <c r="C84" s="257" t="inlineStr">
        <is>
          <t>KG</t>
        </is>
      </c>
      <c r="F84">
        <f>D84*E84</f>
        <v/>
      </c>
    </row>
    <row r="85">
      <c r="A85" s="80" t="inlineStr">
        <is>
          <t>6.2</t>
        </is>
      </c>
      <c r="B85" s="364" t="inlineStr">
        <is>
          <t>Cerchas y elementos estructurales</t>
        </is>
      </c>
      <c r="C85" s="257" t="inlineStr">
        <is>
          <t>KG</t>
        </is>
      </c>
      <c r="D85" s="258" t="n"/>
      <c r="E85" s="1310" t="n"/>
      <c r="F85" s="1311">
        <f>D85*E85</f>
        <v/>
      </c>
    </row>
    <row r="86">
      <c r="A86" s="80" t="inlineStr">
        <is>
          <t>6.3</t>
        </is>
      </c>
      <c r="B86" s="364" t="inlineStr">
        <is>
          <t>Suministro e instalación de teja</t>
        </is>
      </c>
      <c r="C86" s="257" t="inlineStr">
        <is>
          <t>M²</t>
        </is>
      </c>
      <c r="D86" s="258" t="n"/>
      <c r="E86" s="1310" t="n"/>
      <c r="F86" s="1311">
        <f>D86*E86</f>
        <v/>
      </c>
    </row>
    <row r="87">
      <c r="A87" s="80" t="inlineStr">
        <is>
          <t>6.4</t>
        </is>
      </c>
      <c r="B87" s="364" t="inlineStr">
        <is>
          <t>Impermeabilización de cubierta</t>
        </is>
      </c>
      <c r="C87" s="257" t="inlineStr">
        <is>
          <t>M²</t>
        </is>
      </c>
      <c r="D87" s="258" t="n"/>
      <c r="E87" s="1310" t="n"/>
      <c r="F87" s="1311">
        <f>D87*E87</f>
        <v/>
      </c>
    </row>
    <row r="88">
      <c r="A88" s="80" t="inlineStr">
        <is>
          <t>6.5</t>
        </is>
      </c>
      <c r="B88" s="364" t="inlineStr">
        <is>
          <t>Aislamiento térmico/acústico</t>
        </is>
      </c>
      <c r="C88" s="257" t="inlineStr">
        <is>
          <t>M²</t>
        </is>
      </c>
      <c r="D88" s="258" t="n"/>
      <c r="E88" s="1310" t="n"/>
      <c r="F88" s="1311">
        <f>D88*E88</f>
        <v/>
      </c>
    </row>
    <row r="89">
      <c r="A89" s="80" t="inlineStr">
        <is>
          <t>6.6</t>
        </is>
      </c>
      <c r="B89" s="364" t="inlineStr">
        <is>
          <t>Canales de aguas lluvias</t>
        </is>
      </c>
      <c r="C89" s="257" t="inlineStr">
        <is>
          <t>ML</t>
        </is>
      </c>
      <c r="D89" s="258" t="n"/>
      <c r="E89" s="1310" t="n"/>
      <c r="F89" s="1311">
        <f>D89*E89</f>
        <v/>
      </c>
    </row>
    <row r="90">
      <c r="A90" s="80" t="inlineStr">
        <is>
          <t>6.7</t>
        </is>
      </c>
      <c r="B90" s="364" t="inlineStr">
        <is>
          <t>Bajantes de aguas lluvias</t>
        </is>
      </c>
      <c r="C90" s="257" t="inlineStr">
        <is>
          <t>ML</t>
        </is>
      </c>
      <c r="D90" s="258" t="n"/>
      <c r="E90" s="1310" t="n"/>
      <c r="F90" s="1311">
        <f>D90*E90</f>
        <v/>
      </c>
    </row>
    <row r="91">
      <c r="A91" s="80" t="inlineStr">
        <is>
          <t>6.8</t>
        </is>
      </c>
      <c r="B91" s="364" t="inlineStr">
        <is>
          <t>Cielo raso Dry Wall</t>
        </is>
      </c>
      <c r="C91" s="257" t="inlineStr">
        <is>
          <t>M²</t>
        </is>
      </c>
      <c r="D91" s="258" t="n"/>
      <c r="E91" s="1310" t="n"/>
      <c r="F91" s="1311">
        <f>D91*E91</f>
        <v/>
      </c>
    </row>
    <row r="92">
      <c r="A92" s="80" t="inlineStr">
        <is>
          <t>6.9</t>
        </is>
      </c>
      <c r="B92" s="364" t="inlineStr">
        <is>
          <t>Cielo raso en lámina acústica de fibra mineral</t>
        </is>
      </c>
      <c r="C92" s="257" t="inlineStr">
        <is>
          <t>M²</t>
        </is>
      </c>
      <c r="D92" s="258" t="n"/>
      <c r="E92" s="1310" t="n"/>
      <c r="F92" s="1311">
        <f>D92*E92</f>
        <v/>
      </c>
    </row>
    <row r="93">
      <c r="A93" s="81" t="n"/>
      <c r="B93" s="704" t="inlineStr">
        <is>
          <t>SUBTOTAL CAPÍTULO 6 - CUBIERTAS</t>
        </is>
      </c>
      <c r="C93" s="567" t="n"/>
      <c r="D93" s="567" t="n"/>
      <c r="E93" s="567" t="n"/>
      <c r="F93" s="1312">
        <f>SUM(F84:F92)</f>
        <v/>
      </c>
    </row>
    <row r="94">
      <c r="A94" s="82" t="n"/>
      <c r="B94" s="716" t="n"/>
      <c r="C94" s="716" t="n"/>
      <c r="D94" s="716" t="n"/>
      <c r="E94" s="716" t="n"/>
      <c r="F94" s="708" t="n"/>
    </row>
    <row r="95">
      <c r="A95" s="182" t="inlineStr">
        <is>
          <t>7</t>
        </is>
      </c>
      <c r="B95" s="703" t="inlineStr">
        <is>
          <t>IMPERMEABILIZACIONES</t>
        </is>
      </c>
      <c r="C95" s="567" t="n"/>
      <c r="D95" s="567" t="n"/>
      <c r="E95" s="567" t="n"/>
      <c r="F95" s="567" t="n"/>
    </row>
    <row r="96">
      <c r="A96" s="80" t="inlineStr">
        <is>
          <t>7.1</t>
        </is>
      </c>
      <c r="B96" s="364" t="inlineStr">
        <is>
          <t>Impermeabilización de losas y terrazas</t>
        </is>
      </c>
      <c r="C96" s="257" t="inlineStr">
        <is>
          <t>M²</t>
        </is>
      </c>
      <c r="D96" s="258" t="n"/>
      <c r="E96" s="1310" t="n"/>
      <c r="F96" s="1311">
        <f>D96*E96</f>
        <v/>
      </c>
    </row>
    <row r="97">
      <c r="A97" s="80" t="inlineStr">
        <is>
          <t>7.2</t>
        </is>
      </c>
      <c r="B97" s="365" t="inlineStr">
        <is>
          <t>Impermeabilización de muros</t>
        </is>
      </c>
      <c r="C97" s="257" t="inlineStr">
        <is>
          <t>M²</t>
        </is>
      </c>
      <c r="F97">
        <f>D97*E97</f>
        <v/>
      </c>
    </row>
    <row r="98">
      <c r="A98" s="80" t="inlineStr">
        <is>
          <t>7.3</t>
        </is>
      </c>
      <c r="B98" s="364" t="inlineStr">
        <is>
          <t>Impermeabilización de zonas húmedas</t>
        </is>
      </c>
      <c r="C98" s="257" t="inlineStr">
        <is>
          <t>M²</t>
        </is>
      </c>
      <c r="D98" s="258" t="n"/>
      <c r="E98" s="1310" t="n"/>
      <c r="F98" s="1311">
        <f>D98*E98</f>
        <v/>
      </c>
    </row>
    <row r="99">
      <c r="A99" s="80" t="inlineStr">
        <is>
          <t>7.4</t>
        </is>
      </c>
      <c r="B99" s="364" t="inlineStr">
        <is>
          <t>Geomembrana HDPE para impermeabilización de terrenos</t>
        </is>
      </c>
      <c r="C99" s="257" t="inlineStr">
        <is>
          <t>M²</t>
        </is>
      </c>
      <c r="D99" s="258" t="n"/>
      <c r="E99" s="1310" t="n"/>
      <c r="F99" s="1311">
        <f>D99*E99</f>
        <v/>
      </c>
    </row>
    <row r="100">
      <c r="A100" s="81" t="n"/>
      <c r="B100" s="704" t="inlineStr">
        <is>
          <t>SUBTOTAL CAPÍTULO 7 - IMPERMEABILIZACIONES</t>
        </is>
      </c>
      <c r="C100" s="567" t="n"/>
      <c r="D100" s="567" t="n"/>
      <c r="E100" s="567" t="n"/>
      <c r="F100" s="1312">
        <f>SUM(F96:F99)</f>
        <v/>
      </c>
    </row>
    <row r="101">
      <c r="A101" s="82" t="n"/>
      <c r="B101" s="716" t="n"/>
      <c r="C101" s="567" t="n"/>
      <c r="D101" s="567" t="n"/>
      <c r="E101" s="567" t="n"/>
      <c r="F101" s="708" t="n"/>
    </row>
    <row r="102">
      <c r="A102" s="182" t="inlineStr">
        <is>
          <t>8</t>
        </is>
      </c>
      <c r="B102" s="703" t="inlineStr">
        <is>
          <t>PAÑETES Y REVOQUES</t>
        </is>
      </c>
      <c r="C102" s="567" t="n"/>
      <c r="D102" s="567" t="n"/>
      <c r="E102" s="567" t="n"/>
      <c r="F102" s="567" t="n"/>
    </row>
    <row r="103">
      <c r="A103" s="80" t="inlineStr">
        <is>
          <t>8.1</t>
        </is>
      </c>
      <c r="B103" s="365" t="inlineStr">
        <is>
          <t>Pañete / revoque interior</t>
        </is>
      </c>
      <c r="C103" s="257" t="inlineStr">
        <is>
          <t>M²</t>
        </is>
      </c>
      <c r="F103">
        <f>D103*E103</f>
        <v/>
      </c>
    </row>
    <row r="104">
      <c r="A104" s="80" t="inlineStr">
        <is>
          <t>8.2</t>
        </is>
      </c>
      <c r="B104" s="364" t="inlineStr">
        <is>
          <t>Pañete / revoque exterior</t>
        </is>
      </c>
      <c r="C104" s="257" t="inlineStr">
        <is>
          <t>M²</t>
        </is>
      </c>
      <c r="D104" s="258" t="n"/>
      <c r="E104" s="1310" t="n"/>
      <c r="F104" s="1311">
        <f>D104*E104</f>
        <v/>
      </c>
    </row>
    <row r="105">
      <c r="A105" s="80" t="inlineStr">
        <is>
          <t>8.3</t>
        </is>
      </c>
      <c r="B105" s="364" t="inlineStr">
        <is>
          <t>Pañete impermeabilizado</t>
        </is>
      </c>
      <c r="C105" s="257" t="inlineStr">
        <is>
          <t>M²</t>
        </is>
      </c>
      <c r="D105" s="258" t="n"/>
      <c r="E105" s="1310" t="n"/>
      <c r="F105" s="1311">
        <f>D105*E105</f>
        <v/>
      </c>
    </row>
    <row r="106">
      <c r="A106" s="80" t="inlineStr">
        <is>
          <t>8.4</t>
        </is>
      </c>
      <c r="B106" s="364" t="inlineStr">
        <is>
          <t>Estuco plástico o tradicional</t>
        </is>
      </c>
      <c r="C106" s="257" t="inlineStr">
        <is>
          <t>M²</t>
        </is>
      </c>
      <c r="F106" s="1311">
        <f>D106*E106</f>
        <v/>
      </c>
    </row>
    <row r="107">
      <c r="A107" s="81" t="n"/>
      <c r="B107" s="704" t="inlineStr">
        <is>
          <t>SUBTOTAL CAPÍTULO 8 - PAÑETES Y REVOQUES</t>
        </is>
      </c>
      <c r="C107" s="567" t="n"/>
      <c r="D107" s="567" t="n"/>
      <c r="E107" s="567" t="n"/>
      <c r="F107" s="1312">
        <f>SUM(F103:F106)</f>
        <v/>
      </c>
    </row>
    <row r="108">
      <c r="A108" s="82" t="n"/>
      <c r="B108" s="708" t="n"/>
      <c r="C108" s="567" t="n"/>
      <c r="D108" s="567" t="n"/>
      <c r="E108" s="567" t="n"/>
      <c r="F108" s="607" t="n"/>
    </row>
    <row r="109">
      <c r="A109" s="182" t="inlineStr">
        <is>
          <t>9</t>
        </is>
      </c>
      <c r="B109" s="703" t="inlineStr">
        <is>
          <t>PISOS Y ENCHAPES</t>
        </is>
      </c>
      <c r="C109" s="567" t="n"/>
      <c r="D109" s="567" t="n"/>
      <c r="E109" s="567" t="n"/>
      <c r="F109" s="567" t="n"/>
    </row>
    <row r="110">
      <c r="A110" s="80" t="inlineStr">
        <is>
          <t>9.1</t>
        </is>
      </c>
      <c r="B110" s="364" t="inlineStr">
        <is>
          <t>Mortero de nivelación</t>
        </is>
      </c>
      <c r="C110" s="257" t="inlineStr">
        <is>
          <t>M²</t>
        </is>
      </c>
      <c r="D110" s="258" t="n"/>
      <c r="E110" s="1310" t="n"/>
      <c r="F110" s="1311">
        <f>D110*E110</f>
        <v/>
      </c>
    </row>
    <row r="111">
      <c r="A111" s="80" t="inlineStr">
        <is>
          <t>9.2</t>
        </is>
      </c>
      <c r="B111" s="364" t="inlineStr">
        <is>
          <t>Piso cerámico</t>
        </is>
      </c>
      <c r="C111" s="257" t="inlineStr">
        <is>
          <t>M²</t>
        </is>
      </c>
      <c r="D111" s="258" t="n"/>
      <c r="E111" s="1310" t="n"/>
      <c r="F111" s="1311">
        <f>D111*E111</f>
        <v/>
      </c>
    </row>
    <row r="112">
      <c r="A112" s="80" t="inlineStr">
        <is>
          <t>9.3</t>
        </is>
      </c>
      <c r="B112" s="364" t="inlineStr">
        <is>
          <t>Piso en porcelanato</t>
        </is>
      </c>
      <c r="C112" s="257" t="inlineStr">
        <is>
          <t>M²</t>
        </is>
      </c>
      <c r="D112" s="258" t="n"/>
      <c r="E112" s="1310" t="n"/>
      <c r="F112" s="1311">
        <f>D112*E112</f>
        <v/>
      </c>
    </row>
    <row r="113">
      <c r="A113" s="80" t="inlineStr">
        <is>
          <t>9.4</t>
        </is>
      </c>
      <c r="B113" s="364" t="inlineStr">
        <is>
          <t>Piso vinílico</t>
        </is>
      </c>
      <c r="C113" s="257" t="inlineStr">
        <is>
          <t>M²</t>
        </is>
      </c>
      <c r="D113" s="258" t="n"/>
      <c r="E113" s="1310" t="n"/>
      <c r="F113" s="1311">
        <f>D113*E113</f>
        <v/>
      </c>
    </row>
    <row r="114">
      <c r="A114" s="80" t="inlineStr">
        <is>
          <t>9.5</t>
        </is>
      </c>
      <c r="B114" s="364" t="inlineStr">
        <is>
          <t>Piso laminado</t>
        </is>
      </c>
      <c r="C114" s="257" t="inlineStr">
        <is>
          <t>M²</t>
        </is>
      </c>
      <c r="D114" s="258" t="n"/>
      <c r="E114" s="1310" t="n"/>
      <c r="F114" s="1311">
        <f>D114*E114</f>
        <v/>
      </c>
    </row>
    <row r="115">
      <c r="A115" s="80" t="inlineStr">
        <is>
          <t>9.6</t>
        </is>
      </c>
      <c r="B115" s="364" t="inlineStr">
        <is>
          <t>Enchape cerámico en muros</t>
        </is>
      </c>
      <c r="C115" s="257" t="inlineStr">
        <is>
          <t>M²</t>
        </is>
      </c>
      <c r="F115" s="1311">
        <f>D115*E115</f>
        <v/>
      </c>
    </row>
    <row r="116">
      <c r="A116" s="80" t="inlineStr">
        <is>
          <t>9.7</t>
        </is>
      </c>
      <c r="B116" s="364" t="inlineStr">
        <is>
          <t>Guardaescoba</t>
        </is>
      </c>
      <c r="C116" s="257" t="inlineStr">
        <is>
          <t>ML</t>
        </is>
      </c>
      <c r="D116" s="258" t="n"/>
      <c r="E116" s="1310" t="n"/>
      <c r="F116" s="1311">
        <f>D116*E116</f>
        <v/>
      </c>
    </row>
    <row r="117">
      <c r="A117" s="80" t="inlineStr">
        <is>
          <t>9.8</t>
        </is>
      </c>
      <c r="B117" s="365" t="inlineStr">
        <is>
          <t>Juntas de dilatación / construcción</t>
        </is>
      </c>
      <c r="C117" s="257" t="inlineStr">
        <is>
          <t>ML</t>
        </is>
      </c>
      <c r="F117">
        <f>D117*E117</f>
        <v/>
      </c>
    </row>
    <row r="118">
      <c r="A118" s="80" t="inlineStr">
        <is>
          <t>9.9</t>
        </is>
      </c>
      <c r="B118" s="365" t="inlineStr">
        <is>
          <t>Piso en concreto afinado con endurecedor de cuarzo</t>
        </is>
      </c>
      <c r="C118" s="257" t="inlineStr">
        <is>
          <t>M²</t>
        </is>
      </c>
      <c r="F118">
        <f>D118*E118</f>
        <v/>
      </c>
    </row>
    <row r="119">
      <c r="A119" s="80" t="inlineStr">
        <is>
          <t>9.10</t>
        </is>
      </c>
      <c r="B119" s="365" t="inlineStr">
        <is>
          <t>Baldosa de granito</t>
        </is>
      </c>
      <c r="C119" s="257" t="inlineStr">
        <is>
          <t>M²</t>
        </is>
      </c>
      <c r="F119">
        <f>D119*E119</f>
        <v/>
      </c>
    </row>
    <row r="120">
      <c r="A120" s="80" t="inlineStr">
        <is>
          <t>9.11</t>
        </is>
      </c>
      <c r="B120" s="365" t="inlineStr">
        <is>
          <t>Enchape en granito pulido</t>
        </is>
      </c>
      <c r="C120" s="257" t="inlineStr">
        <is>
          <t>M²</t>
        </is>
      </c>
      <c r="F120">
        <f>D120*E120</f>
        <v/>
      </c>
    </row>
    <row r="121">
      <c r="A121" s="81" t="n"/>
      <c r="B121" s="704" t="inlineStr">
        <is>
          <t>SUBTOTAL CAPÍTULO 9 - PISOS Y ENCHAPES</t>
        </is>
      </c>
      <c r="C121" s="567" t="n"/>
      <c r="D121" s="567" t="n"/>
      <c r="E121" s="567" t="n"/>
      <c r="F121" s="1312">
        <f>SUM(F110:F120)</f>
        <v/>
      </c>
    </row>
    <row r="122">
      <c r="A122" s="82" t="n"/>
      <c r="B122" s="716" t="n"/>
      <c r="C122" s="716" t="n"/>
      <c r="D122" s="716" t="n"/>
      <c r="E122" s="716" t="n"/>
      <c r="F122" s="708" t="n"/>
    </row>
    <row r="123">
      <c r="A123" s="182" t="inlineStr">
        <is>
          <t>10</t>
        </is>
      </c>
      <c r="B123" s="703" t="inlineStr">
        <is>
          <t>PINTURA</t>
        </is>
      </c>
      <c r="C123" s="567" t="n"/>
      <c r="D123" s="567" t="n"/>
      <c r="E123" s="567" t="n"/>
      <c r="F123" s="567" t="n"/>
    </row>
    <row r="124">
      <c r="A124" s="80" t="inlineStr">
        <is>
          <t>10.1</t>
        </is>
      </c>
      <c r="B124" s="364" t="inlineStr">
        <is>
          <t>Pintura vinílica interior</t>
        </is>
      </c>
      <c r="C124" s="257" t="inlineStr">
        <is>
          <t>M²</t>
        </is>
      </c>
      <c r="D124" s="258" t="n"/>
      <c r="E124" s="1310" t="n"/>
      <c r="F124" s="1311">
        <f>D124*E124</f>
        <v/>
      </c>
    </row>
    <row r="125">
      <c r="A125" s="80" t="inlineStr">
        <is>
          <t>10.2</t>
        </is>
      </c>
      <c r="B125" s="364" t="inlineStr">
        <is>
          <t>Pintura exterior</t>
        </is>
      </c>
      <c r="C125" s="257" t="inlineStr">
        <is>
          <t>M²</t>
        </is>
      </c>
      <c r="D125" s="258" t="n"/>
      <c r="E125" s="1310" t="n"/>
      <c r="F125" s="1311">
        <f>D125*E125</f>
        <v/>
      </c>
    </row>
    <row r="126">
      <c r="A126" s="80" t="inlineStr">
        <is>
          <t>10.3</t>
        </is>
      </c>
      <c r="B126" s="364" t="inlineStr">
        <is>
          <t>Pintura esmalte en superficies metálicas/madera</t>
        </is>
      </c>
      <c r="C126" s="257" t="inlineStr">
        <is>
          <t>M²</t>
        </is>
      </c>
      <c r="D126" s="258" t="n"/>
      <c r="E126" s="1310" t="n"/>
      <c r="F126" s="1311">
        <f>D126*E126</f>
        <v/>
      </c>
    </row>
    <row r="127">
      <c r="A127" s="80" t="inlineStr">
        <is>
          <t>10.4</t>
        </is>
      </c>
      <c r="B127" s="364" t="inlineStr">
        <is>
          <t>Pintura anticorrosiva</t>
        </is>
      </c>
      <c r="C127" s="257" t="inlineStr">
        <is>
          <t>M²</t>
        </is>
      </c>
      <c r="D127" s="258" t="n"/>
      <c r="E127" s="1310" t="n"/>
      <c r="F127" s="1311">
        <f>D127*E127</f>
        <v/>
      </c>
    </row>
    <row r="128">
      <c r="A128" s="80" t="inlineStr">
        <is>
          <t>10.5</t>
        </is>
      </c>
      <c r="B128" s="364" t="inlineStr">
        <is>
          <t>Sellador / imprimante</t>
        </is>
      </c>
      <c r="C128" s="257" t="inlineStr">
        <is>
          <t>M²</t>
        </is>
      </c>
      <c r="F128" s="1311">
        <f>D128*E128</f>
        <v/>
      </c>
    </row>
    <row r="129">
      <c r="A129" s="81" t="n"/>
      <c r="B129" s="704" t="inlineStr">
        <is>
          <t>SUBTOTAL CAPÍTULO 10 - PINTURA</t>
        </is>
      </c>
      <c r="C129" s="567" t="n"/>
      <c r="D129" s="567" t="n"/>
      <c r="E129" s="567" t="n"/>
      <c r="F129" s="1312">
        <f>SUM(F124:F128)</f>
        <v/>
      </c>
    </row>
    <row r="130">
      <c r="A130" s="82" t="n"/>
      <c r="B130" s="708" t="n"/>
      <c r="C130" s="567" t="n"/>
      <c r="D130" s="567" t="n"/>
      <c r="E130" s="567" t="n"/>
      <c r="F130" s="607" t="n"/>
    </row>
    <row r="131">
      <c r="A131" s="182" t="inlineStr">
        <is>
          <t>11</t>
        </is>
      </c>
      <c r="B131" s="703" t="inlineStr">
        <is>
          <t>CARPINTERÍA</t>
        </is>
      </c>
      <c r="C131" s="567" t="n"/>
      <c r="D131" s="567" t="n"/>
      <c r="E131" s="567" t="n"/>
      <c r="F131" s="567" t="n"/>
    </row>
    <row r="132">
      <c r="A132" s="80" t="inlineStr">
        <is>
          <t>11.1</t>
        </is>
      </c>
      <c r="B132" s="364" t="inlineStr">
        <is>
          <t>Puertas de madera</t>
        </is>
      </c>
      <c r="C132" s="257" t="inlineStr">
        <is>
          <t>UND</t>
        </is>
      </c>
      <c r="D132" s="258" t="n"/>
      <c r="E132" s="1310" t="n"/>
      <c r="F132" s="1311">
        <f>D132*E132</f>
        <v/>
      </c>
    </row>
    <row r="133">
      <c r="A133" s="80" t="inlineStr">
        <is>
          <t>11.2</t>
        </is>
      </c>
      <c r="B133" s="364" t="inlineStr">
        <is>
          <t>Muebles fijos de madera</t>
        </is>
      </c>
      <c r="C133" s="257" t="inlineStr">
        <is>
          <t>ML</t>
        </is>
      </c>
      <c r="F133" s="1311">
        <f>D133*E133</f>
        <v/>
      </c>
    </row>
    <row r="134">
      <c r="A134" s="80" t="inlineStr">
        <is>
          <t>11.3</t>
        </is>
      </c>
      <c r="B134" s="364" t="inlineStr">
        <is>
          <t>Puertas metálicas</t>
        </is>
      </c>
      <c r="C134" s="257" t="inlineStr">
        <is>
          <t>UND</t>
        </is>
      </c>
      <c r="D134" s="258" t="n"/>
      <c r="E134" s="1310" t="n"/>
      <c r="F134" s="1311">
        <f>D134*E134</f>
        <v/>
      </c>
    </row>
    <row r="135">
      <c r="A135" s="80" t="inlineStr">
        <is>
          <t>11.4</t>
        </is>
      </c>
      <c r="B135" s="365" t="inlineStr">
        <is>
          <t>Barandas metálicas</t>
        </is>
      </c>
      <c r="C135" s="257" t="inlineStr">
        <is>
          <t>ML</t>
        </is>
      </c>
      <c r="F135">
        <f>D135*E135</f>
        <v/>
      </c>
    </row>
    <row r="136">
      <c r="A136" s="80" t="inlineStr">
        <is>
          <t>11.5</t>
        </is>
      </c>
      <c r="B136" s="364" t="inlineStr">
        <is>
          <t>Pasamanos</t>
        </is>
      </c>
      <c r="C136" s="257" t="inlineStr">
        <is>
          <t>ML</t>
        </is>
      </c>
      <c r="D136" s="258" t="n"/>
      <c r="E136" s="1310" t="n"/>
      <c r="F136" s="1311">
        <f>D136*E136</f>
        <v/>
      </c>
    </row>
    <row r="137">
      <c r="A137" s="80" t="inlineStr">
        <is>
          <t>11.6</t>
        </is>
      </c>
      <c r="B137" s="364" t="inlineStr">
        <is>
          <t>Ventanas de aluminio</t>
        </is>
      </c>
      <c r="C137" s="257" t="inlineStr">
        <is>
          <t>M²</t>
        </is>
      </c>
      <c r="D137" s="258" t="n"/>
      <c r="E137" s="1310" t="n"/>
      <c r="F137" s="1311">
        <f>D137*E137</f>
        <v/>
      </c>
    </row>
    <row r="138">
      <c r="A138" s="80" t="inlineStr">
        <is>
          <t>11.7</t>
        </is>
      </c>
      <c r="B138" s="364" t="inlineStr">
        <is>
          <t>Divisiones de aluminio</t>
        </is>
      </c>
      <c r="C138" s="257" t="inlineStr">
        <is>
          <t>M²</t>
        </is>
      </c>
      <c r="D138" s="258" t="n"/>
      <c r="E138" s="1310" t="n"/>
      <c r="F138" s="1311">
        <f>D138*E138</f>
        <v/>
      </c>
    </row>
    <row r="139">
      <c r="A139" s="80" t="inlineStr">
        <is>
          <t>11.8</t>
        </is>
      </c>
      <c r="B139" s="364" t="inlineStr">
        <is>
          <t>Puerta antipánico</t>
        </is>
      </c>
      <c r="C139" s="257" t="inlineStr">
        <is>
          <t>UND</t>
        </is>
      </c>
      <c r="D139" s="258" t="n"/>
      <c r="E139" s="1310" t="n"/>
      <c r="F139" s="1311">
        <f>D139*E139</f>
        <v/>
      </c>
    </row>
    <row r="140">
      <c r="A140" s="81" t="n"/>
      <c r="B140" s="704" t="inlineStr">
        <is>
          <t>SUBTOTAL CAPÍTULO 11 - CARPINTERÍA</t>
        </is>
      </c>
      <c r="C140" s="567" t="n"/>
      <c r="D140" s="567" t="n"/>
      <c r="E140" s="567" t="n"/>
      <c r="F140" s="1312">
        <f>SUM(F132:F139)</f>
        <v/>
      </c>
    </row>
    <row r="141">
      <c r="A141" s="82" t="n"/>
      <c r="B141" s="716" t="n"/>
      <c r="C141" s="716" t="n"/>
      <c r="D141" s="716" t="n"/>
      <c r="E141" s="716" t="n"/>
      <c r="F141" s="708" t="n"/>
    </row>
    <row r="142">
      <c r="A142" s="182" t="inlineStr">
        <is>
          <t>12</t>
        </is>
      </c>
      <c r="B142" s="703" t="inlineStr">
        <is>
          <t>VIDRIOS</t>
        </is>
      </c>
      <c r="C142" s="567" t="n"/>
      <c r="D142" s="567" t="n"/>
      <c r="E142" s="567" t="n"/>
      <c r="F142" s="567" t="n"/>
    </row>
    <row r="143">
      <c r="A143" s="80" t="inlineStr">
        <is>
          <t>12.1</t>
        </is>
      </c>
      <c r="B143" s="364" t="inlineStr">
        <is>
          <t>Vidrio templado</t>
        </is>
      </c>
      <c r="C143" s="257" t="inlineStr">
        <is>
          <t>M²</t>
        </is>
      </c>
      <c r="F143" s="1311">
        <f>D143*E143</f>
        <v/>
      </c>
    </row>
    <row r="144">
      <c r="A144" s="80" t="inlineStr">
        <is>
          <t>12.2</t>
        </is>
      </c>
      <c r="B144" s="364" t="inlineStr">
        <is>
          <t>Vidrio laminado</t>
        </is>
      </c>
      <c r="C144" s="257" t="inlineStr">
        <is>
          <t>M²</t>
        </is>
      </c>
      <c r="D144" s="258" t="n"/>
      <c r="E144" s="1310" t="n"/>
      <c r="F144" s="1311">
        <f>D144*E144</f>
        <v/>
      </c>
    </row>
    <row r="145">
      <c r="A145" s="80" t="inlineStr">
        <is>
          <t>12.3</t>
        </is>
      </c>
      <c r="B145" s="365" t="inlineStr">
        <is>
          <t>Espejos</t>
        </is>
      </c>
      <c r="C145" s="257" t="inlineStr">
        <is>
          <t>M²</t>
        </is>
      </c>
      <c r="F145">
        <f>D145*E145</f>
        <v/>
      </c>
    </row>
    <row r="146">
      <c r="A146" s="80" t="inlineStr">
        <is>
          <t>12.4</t>
        </is>
      </c>
      <c r="B146" s="364" t="inlineStr">
        <is>
          <t>Sellos y silicona</t>
        </is>
      </c>
      <c r="C146" s="257" t="inlineStr">
        <is>
          <t>ML</t>
        </is>
      </c>
      <c r="D146" s="258" t="n"/>
      <c r="E146" s="1310" t="n"/>
      <c r="F146" s="1311">
        <f>D146*E146</f>
        <v/>
      </c>
    </row>
    <row r="147">
      <c r="A147" s="81" t="n"/>
      <c r="B147" s="704" t="inlineStr">
        <is>
          <t>SUBTOTAL CAPÍTULO 12 - VIDRIOS</t>
        </is>
      </c>
      <c r="C147" s="567" t="n"/>
      <c r="D147" s="567" t="n"/>
      <c r="E147" s="567" t="n"/>
      <c r="F147" s="1312">
        <f>SUM(F143:F146)</f>
        <v/>
      </c>
    </row>
    <row r="148">
      <c r="A148" s="82" t="n"/>
      <c r="B148" s="716" t="n"/>
      <c r="C148" s="716" t="n"/>
      <c r="D148" s="716" t="n"/>
      <c r="E148" s="716" t="n"/>
      <c r="F148" s="708" t="n"/>
    </row>
    <row r="149">
      <c r="A149" s="182" t="inlineStr">
        <is>
          <t>13</t>
        </is>
      </c>
      <c r="B149" s="703" t="inlineStr">
        <is>
          <t>INSTALACIONES HIDROSANITARIAS</t>
        </is>
      </c>
      <c r="C149" s="567" t="n"/>
      <c r="D149" s="567" t="n"/>
      <c r="E149" s="567" t="n"/>
      <c r="F149" s="567" t="n"/>
    </row>
    <row r="150">
      <c r="A150" s="80" t="inlineStr">
        <is>
          <t>13.1</t>
        </is>
      </c>
      <c r="B150" s="364" t="inlineStr">
        <is>
          <t>Tubería de agua fría</t>
        </is>
      </c>
      <c r="C150" s="257" t="inlineStr">
        <is>
          <t>ML</t>
        </is>
      </c>
      <c r="F150" s="1311">
        <f>D150*E150</f>
        <v/>
      </c>
    </row>
    <row r="151">
      <c r="A151" s="80" t="inlineStr">
        <is>
          <t>13.2</t>
        </is>
      </c>
      <c r="B151" s="364" t="inlineStr">
        <is>
          <t>Tubería de agua caliente</t>
        </is>
      </c>
      <c r="C151" s="257" t="inlineStr">
        <is>
          <t>ML</t>
        </is>
      </c>
      <c r="D151" s="258" t="n"/>
      <c r="E151" s="1310" t="n"/>
      <c r="F151" s="1311">
        <f>D151*E151</f>
        <v/>
      </c>
    </row>
    <row r="152">
      <c r="A152" s="80" t="inlineStr">
        <is>
          <t>13.3</t>
        </is>
      </c>
      <c r="B152" s="364" t="inlineStr">
        <is>
          <t>Válvulas y accesorios hidrosanitarios</t>
        </is>
      </c>
      <c r="C152" s="257" t="inlineStr">
        <is>
          <t>UND</t>
        </is>
      </c>
      <c r="F152" s="1311">
        <f>D152*E152</f>
        <v/>
      </c>
    </row>
    <row r="153">
      <c r="A153" s="80" t="inlineStr">
        <is>
          <t>13.4</t>
        </is>
      </c>
      <c r="B153" s="364" t="inlineStr">
        <is>
          <t>Tubería sanitaria</t>
        </is>
      </c>
      <c r="C153" s="257" t="inlineStr">
        <is>
          <t>ML</t>
        </is>
      </c>
      <c r="D153" s="258" t="n"/>
      <c r="E153" s="1310" t="n"/>
      <c r="F153" s="1311">
        <f>D153*E153</f>
        <v/>
      </c>
    </row>
    <row r="154">
      <c r="A154" s="80" t="inlineStr">
        <is>
          <t>13.5</t>
        </is>
      </c>
      <c r="B154" s="364" t="inlineStr">
        <is>
          <t>Tubería de aguas lluvias</t>
        </is>
      </c>
      <c r="C154" s="257" t="inlineStr">
        <is>
          <t>ML</t>
        </is>
      </c>
      <c r="D154" s="258" t="n"/>
      <c r="E154" s="1310" t="n"/>
      <c r="F154" s="1311">
        <f>D154*E154</f>
        <v/>
      </c>
    </row>
    <row r="155">
      <c r="A155" s="80" t="inlineStr">
        <is>
          <t>13.6</t>
        </is>
      </c>
      <c r="B155" s="364" t="inlineStr">
        <is>
          <t>Cajas de inspección</t>
        </is>
      </c>
      <c r="C155" s="257" t="inlineStr">
        <is>
          <t>UND</t>
        </is>
      </c>
      <c r="D155" s="258" t="n"/>
      <c r="E155" s="1310" t="n"/>
      <c r="F155" s="1311">
        <f>D155*E155</f>
        <v/>
      </c>
    </row>
    <row r="156">
      <c r="A156" s="80" t="inlineStr">
        <is>
          <t>13.7</t>
        </is>
      </c>
      <c r="B156" s="364" t="inlineStr">
        <is>
          <t>Aparatos sanitarios</t>
        </is>
      </c>
      <c r="C156" s="257" t="inlineStr">
        <is>
          <t>UND</t>
        </is>
      </c>
      <c r="D156" s="258" t="n"/>
      <c r="E156" s="1310" t="n"/>
      <c r="F156" s="1311">
        <f>D156*E156</f>
        <v/>
      </c>
    </row>
    <row r="157">
      <c r="A157" s="80" t="inlineStr">
        <is>
          <t>13.8</t>
        </is>
      </c>
      <c r="B157" s="364" t="inlineStr">
        <is>
          <t>Lavamanos</t>
        </is>
      </c>
      <c r="C157" s="257" t="inlineStr">
        <is>
          <t>UND</t>
        </is>
      </c>
      <c r="D157" s="258" t="n"/>
      <c r="E157" s="1310" t="n"/>
      <c r="F157" s="1311">
        <f>D157*E157</f>
        <v/>
      </c>
    </row>
    <row r="158">
      <c r="A158" s="80" t="inlineStr">
        <is>
          <t>13.9</t>
        </is>
      </c>
      <c r="B158" s="364" t="inlineStr">
        <is>
          <t>Griferías</t>
        </is>
      </c>
      <c r="C158" s="257" t="inlineStr">
        <is>
          <t>UND</t>
        </is>
      </c>
      <c r="D158" s="258" t="n"/>
      <c r="E158" s="1310" t="n"/>
      <c r="F158" s="1311">
        <f>D158*E158</f>
        <v/>
      </c>
    </row>
    <row r="159">
      <c r="A159" s="80" t="inlineStr">
        <is>
          <t>13.10</t>
        </is>
      </c>
      <c r="B159" s="364" t="inlineStr">
        <is>
          <t>Duchas</t>
        </is>
      </c>
      <c r="C159" s="257" t="inlineStr">
        <is>
          <t>UND</t>
        </is>
      </c>
      <c r="D159" s="258" t="n"/>
      <c r="E159" s="1310" t="n"/>
      <c r="F159" s="1311">
        <f>D159*E159</f>
        <v/>
      </c>
    </row>
    <row r="160">
      <c r="A160" s="80" t="inlineStr">
        <is>
          <t>13.11</t>
        </is>
      </c>
      <c r="B160" s="364" t="inlineStr">
        <is>
          <t>Pruebas hidráulicas y de estanqueidad</t>
        </is>
      </c>
      <c r="C160" s="257" t="inlineStr">
        <is>
          <t>GL</t>
        </is>
      </c>
      <c r="D160" s="258" t="n"/>
      <c r="E160" s="1310" t="n"/>
      <c r="F160" s="1311">
        <f>D160*E160</f>
        <v/>
      </c>
    </row>
    <row r="161">
      <c r="A161" s="80" t="inlineStr">
        <is>
          <t>13.12</t>
        </is>
      </c>
      <c r="B161" s="364" t="inlineStr">
        <is>
          <t>Orinal institucional</t>
        </is>
      </c>
      <c r="C161" s="257" t="inlineStr">
        <is>
          <t>UND</t>
        </is>
      </c>
      <c r="D161" s="258" t="n"/>
      <c r="E161" s="1310" t="n"/>
      <c r="F161" s="1311">
        <f>D161*E161</f>
        <v/>
      </c>
    </row>
    <row r="162">
      <c r="A162" s="81" t="n"/>
      <c r="B162" s="704" t="inlineStr">
        <is>
          <t>SUBTOTAL CAPÍTULO 13 - INSTALACIONES HIDROSANITARIAS</t>
        </is>
      </c>
      <c r="C162" s="567" t="n"/>
      <c r="D162" s="567" t="n"/>
      <c r="E162" s="567" t="n"/>
      <c r="F162" s="1312">
        <f>SUM(F150:F161)</f>
        <v/>
      </c>
    </row>
    <row r="163">
      <c r="A163" s="82" t="n"/>
      <c r="B163" s="716" t="n"/>
      <c r="C163" s="716" t="n"/>
      <c r="D163" s="716" t="n"/>
      <c r="E163" s="716" t="n"/>
      <c r="F163" s="708" t="n"/>
    </row>
    <row r="164">
      <c r="A164" s="182" t="inlineStr">
        <is>
          <t>14</t>
        </is>
      </c>
      <c r="B164" s="703" t="inlineStr">
        <is>
          <t>INSTALACIONES ELÉCTRICAS</t>
        </is>
      </c>
      <c r="C164" s="567" t="n"/>
      <c r="D164" s="567" t="n"/>
      <c r="E164" s="567" t="n"/>
      <c r="F164" s="567" t="n"/>
    </row>
    <row r="165">
      <c r="A165" s="80" t="inlineStr">
        <is>
          <t>14.1</t>
        </is>
      </c>
      <c r="B165" s="364" t="inlineStr">
        <is>
          <t>Tubería/conduit eléctrica</t>
        </is>
      </c>
      <c r="C165" s="257" t="inlineStr">
        <is>
          <t>ML</t>
        </is>
      </c>
      <c r="D165" s="258" t="n"/>
      <c r="E165" s="1310" t="n"/>
      <c r="F165" s="1311">
        <f>D165*E165</f>
        <v/>
      </c>
    </row>
    <row r="166">
      <c r="A166" s="80" t="inlineStr">
        <is>
          <t>14.2</t>
        </is>
      </c>
      <c r="B166" s="364" t="inlineStr">
        <is>
          <t>Bandejas portacables</t>
        </is>
      </c>
      <c r="C166" s="257" t="inlineStr">
        <is>
          <t>ML</t>
        </is>
      </c>
      <c r="D166" s="258" t="n"/>
      <c r="E166" s="1310" t="n"/>
      <c r="F166" s="1311">
        <f>D166*E166</f>
        <v/>
      </c>
    </row>
    <row r="167">
      <c r="A167" s="80" t="inlineStr">
        <is>
          <t>14.3</t>
        </is>
      </c>
      <c r="B167" s="364" t="inlineStr">
        <is>
          <t>Cajas eléctricas</t>
        </is>
      </c>
      <c r="C167" s="257" t="inlineStr">
        <is>
          <t>UND</t>
        </is>
      </c>
      <c r="D167" s="258" t="n"/>
      <c r="E167" s="1310" t="n"/>
      <c r="F167" s="1311">
        <f>D167*E167</f>
        <v/>
      </c>
    </row>
    <row r="168">
      <c r="A168" s="80" t="inlineStr">
        <is>
          <t>14.4</t>
        </is>
      </c>
      <c r="B168" s="364" t="inlineStr">
        <is>
          <t>Cableado de fuerza</t>
        </is>
      </c>
      <c r="C168" s="257" t="inlineStr">
        <is>
          <t>ML</t>
        </is>
      </c>
      <c r="D168" s="258" t="n"/>
      <c r="E168" s="1310" t="n"/>
      <c r="F168" s="1311">
        <f>D168*E168</f>
        <v/>
      </c>
    </row>
    <row r="169">
      <c r="A169" s="80" t="inlineStr">
        <is>
          <t>14.5</t>
        </is>
      </c>
      <c r="B169" s="364" t="inlineStr">
        <is>
          <t>Cableado de iluminación</t>
        </is>
      </c>
      <c r="C169" s="257" t="inlineStr">
        <is>
          <t>ML</t>
        </is>
      </c>
      <c r="D169" s="258" t="n"/>
      <c r="E169" s="1310" t="n"/>
      <c r="F169" s="1311">
        <f>D169*E169</f>
        <v/>
      </c>
    </row>
    <row r="170">
      <c r="A170" s="80" t="inlineStr">
        <is>
          <t>14.6</t>
        </is>
      </c>
      <c r="B170" s="364" t="inlineStr">
        <is>
          <t>Tableros eléctricos</t>
        </is>
      </c>
      <c r="C170" s="257" t="inlineStr">
        <is>
          <t>UND</t>
        </is>
      </c>
      <c r="D170" s="258" t="n"/>
      <c r="E170" s="1310" t="n"/>
      <c r="F170" s="1311">
        <f>D170*E170</f>
        <v/>
      </c>
    </row>
    <row r="171">
      <c r="A171" s="80" t="inlineStr">
        <is>
          <t>14.7</t>
        </is>
      </c>
      <c r="B171" s="364" t="inlineStr">
        <is>
          <t>Tomacorrientes</t>
        </is>
      </c>
      <c r="C171" s="257" t="inlineStr">
        <is>
          <t>UND</t>
        </is>
      </c>
      <c r="D171" s="258" t="n"/>
      <c r="E171" s="1310" t="n"/>
      <c r="F171" s="1311">
        <f>D171*E171</f>
        <v/>
      </c>
    </row>
    <row r="172">
      <c r="A172" s="80" t="inlineStr">
        <is>
          <t>14.8</t>
        </is>
      </c>
      <c r="B172" s="364" t="inlineStr">
        <is>
          <t>Interruptores</t>
        </is>
      </c>
      <c r="C172" s="257" t="inlineStr">
        <is>
          <t>UND</t>
        </is>
      </c>
      <c r="D172" s="258" t="n"/>
      <c r="E172" s="1310" t="n"/>
      <c r="F172" s="1311">
        <f>D172*E172</f>
        <v/>
      </c>
    </row>
    <row r="173">
      <c r="A173" s="80" t="inlineStr">
        <is>
          <t>14.9</t>
        </is>
      </c>
      <c r="B173" s="364" t="inlineStr">
        <is>
          <t>Luminarias</t>
        </is>
      </c>
      <c r="C173" s="257" t="inlineStr">
        <is>
          <t>UND</t>
        </is>
      </c>
      <c r="D173" s="258" t="n"/>
      <c r="E173" s="1310" t="n"/>
      <c r="F173" s="1311">
        <f>D173*E173</f>
        <v/>
      </c>
    </row>
    <row r="174">
      <c r="A174" s="80" t="inlineStr">
        <is>
          <t>14.10</t>
        </is>
      </c>
      <c r="B174" s="364" t="inlineStr">
        <is>
          <t>Sistema de puesta a tierra</t>
        </is>
      </c>
      <c r="C174" s="257" t="inlineStr">
        <is>
          <t>GL</t>
        </is>
      </c>
      <c r="D174" s="258" t="n"/>
      <c r="E174" s="1310" t="n"/>
      <c r="F174" s="1311">
        <f>D174*E174</f>
        <v/>
      </c>
    </row>
    <row r="175">
      <c r="A175" s="80" t="inlineStr">
        <is>
          <t>14.11</t>
        </is>
      </c>
      <c r="B175" s="364" t="inlineStr">
        <is>
          <t>Pruebas y certificaciones</t>
        </is>
      </c>
      <c r="C175" s="257" t="inlineStr">
        <is>
          <t>GL</t>
        </is>
      </c>
      <c r="D175" s="258" t="n"/>
      <c r="E175" s="1310" t="n"/>
      <c r="F175" s="1311">
        <f>D175*E175</f>
        <v/>
      </c>
    </row>
    <row r="176">
      <c r="A176" s="81" t="n"/>
      <c r="B176" s="704" t="inlineStr">
        <is>
          <t>SUBTOTAL CAPÍTULO 14 - INSTALACIONES ELÉCTRICAS</t>
        </is>
      </c>
      <c r="C176" s="567" t="n"/>
      <c r="D176" s="567" t="n"/>
      <c r="E176" s="567" t="n"/>
      <c r="F176" s="1312">
        <f>SUM(F165:F175)</f>
        <v/>
      </c>
    </row>
    <row r="177">
      <c r="A177" s="82" t="n"/>
      <c r="B177" s="716" t="n"/>
      <c r="C177" s="716" t="n"/>
      <c r="D177" s="716" t="n"/>
      <c r="E177" s="716" t="n"/>
      <c r="F177" s="708" t="n"/>
    </row>
    <row r="178">
      <c r="A178" s="182" t="inlineStr">
        <is>
          <t>15</t>
        </is>
      </c>
      <c r="B178" s="703" t="inlineStr">
        <is>
          <t>COMUNICACIONES Y SEGURIDAD</t>
        </is>
      </c>
      <c r="C178" s="567" t="n"/>
      <c r="D178" s="567" t="n"/>
      <c r="E178" s="567" t="n"/>
      <c r="F178" s="567" t="n"/>
    </row>
    <row r="179">
      <c r="A179" s="80" t="inlineStr">
        <is>
          <t>15.1</t>
        </is>
      </c>
      <c r="B179" s="364" t="inlineStr">
        <is>
          <t>Cableado estructurado de datos</t>
        </is>
      </c>
      <c r="C179" s="257" t="inlineStr">
        <is>
          <t>ML</t>
        </is>
      </c>
      <c r="D179" s="258" t="n"/>
      <c r="E179" s="1310" t="n"/>
      <c r="F179" s="1311">
        <f>D179*E179</f>
        <v/>
      </c>
    </row>
    <row r="180">
      <c r="A180" s="80" t="inlineStr">
        <is>
          <t>15.2</t>
        </is>
      </c>
      <c r="B180" s="364" t="inlineStr">
        <is>
          <t>Rack de comunicaciones</t>
        </is>
      </c>
      <c r="C180" s="257" t="inlineStr">
        <is>
          <t>UND</t>
        </is>
      </c>
      <c r="D180" s="258" t="n"/>
      <c r="E180" s="1310" t="n"/>
      <c r="F180" s="1311">
        <f>D180*E180</f>
        <v/>
      </c>
    </row>
    <row r="181">
      <c r="A181" s="80" t="inlineStr">
        <is>
          <t>15.3</t>
        </is>
      </c>
      <c r="B181" s="364" t="inlineStr">
        <is>
          <t>Cámaras y sistema CCTV</t>
        </is>
      </c>
      <c r="C181" s="257" t="inlineStr">
        <is>
          <t>UND</t>
        </is>
      </c>
      <c r="D181" s="258" t="n"/>
      <c r="E181" s="1310" t="n"/>
      <c r="F181" s="1311">
        <f>D181*E181</f>
        <v/>
      </c>
    </row>
    <row r="182">
      <c r="A182" s="80" t="inlineStr">
        <is>
          <t>15.4</t>
        </is>
      </c>
      <c r="B182" s="364" t="inlineStr">
        <is>
          <t>Control de acceso</t>
        </is>
      </c>
      <c r="C182" s="257" t="inlineStr">
        <is>
          <t>UND</t>
        </is>
      </c>
      <c r="D182" s="258" t="n"/>
      <c r="E182" s="1310" t="n"/>
      <c r="F182" s="1311">
        <f>D182*E182</f>
        <v/>
      </c>
    </row>
    <row r="183">
      <c r="A183" s="80" t="inlineStr">
        <is>
          <t>15.5</t>
        </is>
      </c>
      <c r="B183" s="364" t="inlineStr">
        <is>
          <t>Sistema de citofonía</t>
        </is>
      </c>
      <c r="C183" s="257" t="inlineStr">
        <is>
          <t>UND</t>
        </is>
      </c>
      <c r="D183" s="258" t="n"/>
      <c r="E183" s="1310" t="n"/>
      <c r="F183" s="1311">
        <f>D183*E183</f>
        <v/>
      </c>
    </row>
    <row r="184">
      <c r="A184" s="80" t="inlineStr">
        <is>
          <t>15.6</t>
        </is>
      </c>
      <c r="B184" s="364" t="inlineStr">
        <is>
          <t>Sistema de detección de incendios</t>
        </is>
      </c>
      <c r="C184" s="257" t="inlineStr">
        <is>
          <t>GL</t>
        </is>
      </c>
      <c r="D184" s="258" t="n"/>
      <c r="E184" s="1310" t="n"/>
      <c r="F184" s="1311">
        <f>D184*E184</f>
        <v/>
      </c>
    </row>
    <row r="185">
      <c r="A185" s="81" t="n"/>
      <c r="B185" s="704" t="inlineStr">
        <is>
          <t>SUBTOTAL CAPÍTULO 15 - COMUNICACIONES Y SEGURIDAD</t>
        </is>
      </c>
      <c r="C185" s="567" t="n"/>
      <c r="D185" s="567" t="n"/>
      <c r="E185" s="567" t="n"/>
      <c r="F185" s="1312">
        <f>SUM(F179:F184)</f>
        <v/>
      </c>
    </row>
    <row r="186">
      <c r="A186" s="82" t="n"/>
      <c r="B186" s="716" t="n"/>
      <c r="C186" s="716" t="n"/>
      <c r="D186" s="716" t="n"/>
      <c r="E186" s="716" t="n"/>
      <c r="F186" s="708" t="n"/>
    </row>
    <row r="187">
      <c r="A187" s="182" t="inlineStr">
        <is>
          <t>16</t>
        </is>
      </c>
      <c r="B187" s="703" t="inlineStr">
        <is>
          <t>CLIMATIZACIÓN Y VENTILACIÓN</t>
        </is>
      </c>
      <c r="C187" s="567" t="n"/>
      <c r="D187" s="567" t="n"/>
      <c r="E187" s="567" t="n"/>
      <c r="F187" s="567" t="n"/>
    </row>
    <row r="188">
      <c r="A188" s="80" t="inlineStr">
        <is>
          <t>16.1</t>
        </is>
      </c>
      <c r="B188" s="364" t="inlineStr">
        <is>
          <t>Equipos de aire acondicionado</t>
        </is>
      </c>
      <c r="C188" s="257" t="inlineStr">
        <is>
          <t>UND</t>
        </is>
      </c>
      <c r="D188" s="258" t="n"/>
      <c r="E188" s="1310" t="n"/>
      <c r="F188" s="1311">
        <f>D188*E188</f>
        <v/>
      </c>
    </row>
    <row r="189">
      <c r="A189" s="80" t="inlineStr">
        <is>
          <t>16.2</t>
        </is>
      </c>
      <c r="B189" s="364" t="inlineStr">
        <is>
          <t>Ductos de ventilación</t>
        </is>
      </c>
      <c r="C189" s="257" t="inlineStr">
        <is>
          <t>M²</t>
        </is>
      </c>
      <c r="D189" s="258" t="n"/>
      <c r="E189" s="1310" t="n"/>
      <c r="F189" s="1311">
        <f>D189*E189</f>
        <v/>
      </c>
    </row>
    <row r="190">
      <c r="A190" s="80" t="inlineStr">
        <is>
          <t>16.3</t>
        </is>
      </c>
      <c r="B190" s="364" t="inlineStr">
        <is>
          <t>Tubería de refrigerante</t>
        </is>
      </c>
      <c r="C190" s="257" t="inlineStr">
        <is>
          <t>ML</t>
        </is>
      </c>
      <c r="D190" s="258" t="n"/>
      <c r="E190" s="1310" t="n"/>
      <c r="F190" s="1311">
        <f>D190*E190</f>
        <v/>
      </c>
    </row>
    <row r="191">
      <c r="A191" s="80" t="inlineStr">
        <is>
          <t>16.4</t>
        </is>
      </c>
      <c r="B191" s="364" t="inlineStr">
        <is>
          <t>Rejillas y difusores</t>
        </is>
      </c>
      <c r="C191" s="257" t="inlineStr">
        <is>
          <t>UND</t>
        </is>
      </c>
      <c r="D191" s="258" t="n"/>
      <c r="E191" s="1310" t="n"/>
      <c r="F191" s="1311">
        <f>D191*E191</f>
        <v/>
      </c>
    </row>
    <row r="192">
      <c r="A192" s="81" t="n"/>
      <c r="B192" s="704" t="inlineStr">
        <is>
          <t>SUBTOTAL CAPÍTULO 16 - CLIMATIZACIÓN Y VENTILACIÓN</t>
        </is>
      </c>
      <c r="C192" s="567" t="n"/>
      <c r="D192" s="567" t="n"/>
      <c r="E192" s="567" t="n"/>
      <c r="F192" s="1312">
        <f>SUM(F188:F191)</f>
        <v/>
      </c>
    </row>
    <row r="193">
      <c r="A193" s="82" t="n"/>
      <c r="B193" s="716" t="n"/>
      <c r="C193" s="716" t="n"/>
      <c r="D193" s="716" t="n"/>
      <c r="E193" s="716" t="n"/>
      <c r="F193" s="708" t="n"/>
    </row>
    <row r="194">
      <c r="A194" s="182" t="inlineStr">
        <is>
          <t>17</t>
        </is>
      </c>
      <c r="B194" s="703" t="inlineStr">
        <is>
          <t>GAS</t>
        </is>
      </c>
      <c r="C194" s="567" t="n"/>
      <c r="D194" s="567" t="n"/>
      <c r="E194" s="567" t="n"/>
      <c r="F194" s="567" t="n"/>
    </row>
    <row r="195">
      <c r="A195" s="80" t="inlineStr">
        <is>
          <t>17.1</t>
        </is>
      </c>
      <c r="B195" s="364" t="inlineStr">
        <is>
          <t>Red interna de gas</t>
        </is>
      </c>
      <c r="C195" s="257" t="inlineStr">
        <is>
          <t>ML</t>
        </is>
      </c>
      <c r="D195" s="258" t="n"/>
      <c r="E195" s="1310" t="n"/>
      <c r="F195" s="1311">
        <f>D195*E195</f>
        <v/>
      </c>
    </row>
    <row r="196">
      <c r="A196" s="80" t="inlineStr">
        <is>
          <t>17.2</t>
        </is>
      </c>
      <c r="B196" s="364" t="inlineStr">
        <is>
          <t>Válvulas y accesorios de gas</t>
        </is>
      </c>
      <c r="C196" s="257" t="inlineStr">
        <is>
          <t>UND</t>
        </is>
      </c>
      <c r="D196" s="258" t="n"/>
      <c r="E196" s="1310" t="n"/>
      <c r="F196" s="1311">
        <f>D196*E196</f>
        <v/>
      </c>
    </row>
    <row r="197">
      <c r="A197" s="80" t="inlineStr">
        <is>
          <t>17.3</t>
        </is>
      </c>
      <c r="B197" s="364" t="inlineStr">
        <is>
          <t>Pruebas y certificación</t>
        </is>
      </c>
      <c r="C197" s="257" t="inlineStr">
        <is>
          <t>GL</t>
        </is>
      </c>
      <c r="D197" s="258" t="n"/>
      <c r="E197" s="1310" t="n"/>
      <c r="F197" s="1311">
        <f>D197*E197</f>
        <v/>
      </c>
    </row>
    <row r="198">
      <c r="A198" s="81" t="n"/>
      <c r="B198" s="704" t="inlineStr">
        <is>
          <t>SUBTOTAL CAPÍTULO 17 - GAS</t>
        </is>
      </c>
      <c r="C198" s="567" t="n"/>
      <c r="D198" s="567" t="n"/>
      <c r="E198" s="567" t="n"/>
      <c r="F198" s="1312">
        <f>SUM(F195:F197)</f>
        <v/>
      </c>
    </row>
    <row r="199">
      <c r="A199" s="82" t="n"/>
      <c r="B199" s="716" t="n"/>
      <c r="C199" s="716" t="n"/>
      <c r="D199" s="716" t="n"/>
      <c r="E199" s="716" t="n"/>
      <c r="F199" s="708" t="n"/>
    </row>
    <row r="200">
      <c r="A200" s="182" t="inlineStr">
        <is>
          <t>18</t>
        </is>
      </c>
      <c r="B200" s="703" t="inlineStr">
        <is>
          <t>URBANISMO Y EXTERIORES</t>
        </is>
      </c>
      <c r="C200" s="567" t="n"/>
      <c r="D200" s="567" t="n"/>
      <c r="E200" s="567" t="n"/>
      <c r="F200" s="567" t="n"/>
    </row>
    <row r="201">
      <c r="A201" s="80" t="inlineStr">
        <is>
          <t>18.1</t>
        </is>
      </c>
      <c r="B201" s="364" t="inlineStr">
        <is>
          <t>Construcción de andenes</t>
        </is>
      </c>
      <c r="C201" s="257" t="inlineStr">
        <is>
          <t>M²</t>
        </is>
      </c>
      <c r="D201" s="258" t="n"/>
      <c r="E201" s="1310" t="n"/>
      <c r="F201" s="1311">
        <f>D201*E201</f>
        <v/>
      </c>
    </row>
    <row r="202">
      <c r="A202" s="80" t="inlineStr">
        <is>
          <t>18.2</t>
        </is>
      </c>
      <c r="B202" s="364" t="inlineStr">
        <is>
          <t>Placas de concreto exteriores</t>
        </is>
      </c>
      <c r="C202" s="257" t="inlineStr">
        <is>
          <t>M³</t>
        </is>
      </c>
      <c r="D202" s="258" t="n"/>
      <c r="E202" s="1310" t="n"/>
      <c r="F202" s="1311">
        <f>D202*E202</f>
        <v/>
      </c>
    </row>
    <row r="203">
      <c r="A203" s="80" t="inlineStr">
        <is>
          <t>18.3</t>
        </is>
      </c>
      <c r="B203" s="364" t="inlineStr">
        <is>
          <t>Pavimento en adoquín</t>
        </is>
      </c>
      <c r="C203" s="257" t="inlineStr">
        <is>
          <t>M²</t>
        </is>
      </c>
      <c r="D203" s="258" t="n"/>
      <c r="E203" s="1310" t="n"/>
      <c r="F203" s="1311">
        <f>D203*E203</f>
        <v/>
      </c>
    </row>
    <row r="204">
      <c r="A204" s="80" t="inlineStr">
        <is>
          <t>18.4</t>
        </is>
      </c>
      <c r="B204" s="364" t="inlineStr">
        <is>
          <t>Sardineles y bordillos</t>
        </is>
      </c>
      <c r="C204" s="257" t="inlineStr">
        <is>
          <t>ML</t>
        </is>
      </c>
      <c r="D204" s="258" t="n"/>
      <c r="E204" s="1310" t="n"/>
      <c r="F204" s="1311">
        <f>D204*E204</f>
        <v/>
      </c>
    </row>
    <row r="205">
      <c r="A205" s="80" t="inlineStr">
        <is>
          <t>18.5</t>
        </is>
      </c>
      <c r="B205" s="364" t="inlineStr">
        <is>
          <t>Sumideros exteriores</t>
        </is>
      </c>
      <c r="C205" s="257" t="inlineStr">
        <is>
          <t>UND</t>
        </is>
      </c>
      <c r="D205" s="258" t="n"/>
      <c r="E205" s="1310" t="n"/>
      <c r="F205" s="1311">
        <f>D205*E205</f>
        <v/>
      </c>
    </row>
    <row r="206">
      <c r="A206" s="80" t="inlineStr">
        <is>
          <t>18.6</t>
        </is>
      </c>
      <c r="B206" s="364" t="inlineStr">
        <is>
          <t>Suministro y extendido de tierra vegetal</t>
        </is>
      </c>
      <c r="C206" s="257" t="inlineStr">
        <is>
          <t>M³</t>
        </is>
      </c>
      <c r="D206" s="258" t="n"/>
      <c r="E206" s="1310" t="n"/>
      <c r="F206" s="1311">
        <f>D206*E206</f>
        <v/>
      </c>
    </row>
    <row r="207">
      <c r="A207" s="80" t="inlineStr">
        <is>
          <t>18.7</t>
        </is>
      </c>
      <c r="B207" s="364" t="inlineStr">
        <is>
          <t>Siembra y jardinería</t>
        </is>
      </c>
      <c r="C207" s="257" t="inlineStr">
        <is>
          <t>M²</t>
        </is>
      </c>
      <c r="D207" s="258" t="n"/>
      <c r="E207" s="1310" t="n"/>
      <c r="F207" s="1311">
        <f>D207*E207</f>
        <v/>
      </c>
    </row>
    <row r="208">
      <c r="A208" s="80" t="inlineStr">
        <is>
          <t>18.8</t>
        </is>
      </c>
      <c r="B208" s="364" t="inlineStr">
        <is>
          <t>Geotextil para drenaje y filtración</t>
        </is>
      </c>
      <c r="C208" s="257" t="inlineStr">
        <is>
          <t>M²</t>
        </is>
      </c>
      <c r="D208" s="258" t="n"/>
      <c r="E208" s="1310" t="n"/>
      <c r="F208" s="1311">
        <f>D208*E208</f>
        <v/>
      </c>
    </row>
    <row r="209">
      <c r="A209" s="80" t="inlineStr">
        <is>
          <t>18.9</t>
        </is>
      </c>
      <c r="B209" s="364" t="inlineStr">
        <is>
          <t>Gaviones para obras de contención</t>
        </is>
      </c>
      <c r="C209" s="257" t="inlineStr">
        <is>
          <t>M³</t>
        </is>
      </c>
      <c r="D209" s="258" t="n"/>
      <c r="E209" s="1310" t="n"/>
      <c r="F209" s="1311">
        <f>D209*E209</f>
        <v/>
      </c>
    </row>
    <row r="210">
      <c r="A210" s="80" t="inlineStr">
        <is>
          <t>18.10</t>
        </is>
      </c>
      <c r="B210" s="364" t="inlineStr">
        <is>
          <t>Filtro francés (drenaje de terrenos)</t>
        </is>
      </c>
      <c r="C210" s="257" t="inlineStr">
        <is>
          <t>ML</t>
        </is>
      </c>
      <c r="D210" s="258" t="n"/>
      <c r="E210" s="1310" t="n"/>
      <c r="F210" s="1311">
        <f>D210*E210</f>
        <v/>
      </c>
    </row>
    <row r="211">
      <c r="A211" s="80" t="inlineStr">
        <is>
          <t>18.11</t>
        </is>
      </c>
      <c r="B211" s="364" t="inlineStr">
        <is>
          <t>Revegetalización / empradización</t>
        </is>
      </c>
      <c r="C211" s="257" t="inlineStr">
        <is>
          <t>M²</t>
        </is>
      </c>
      <c r="D211" s="258" t="n"/>
      <c r="E211" s="1310" t="n"/>
      <c r="F211" s="1311">
        <f>D211*E211</f>
        <v/>
      </c>
    </row>
    <row r="212">
      <c r="A212" s="81" t="n"/>
      <c r="B212" s="704" t="inlineStr">
        <is>
          <t>SUBTOTAL CAPÍTULO 18 - URBANISMO Y EXTERIORES</t>
        </is>
      </c>
      <c r="C212" s="567" t="n"/>
      <c r="D212" s="567" t="n"/>
      <c r="E212" s="567" t="n"/>
      <c r="F212" s="1312">
        <f>SUM(F201:F211)</f>
        <v/>
      </c>
    </row>
    <row r="213">
      <c r="A213" s="82" t="n"/>
      <c r="B213" s="716" t="n"/>
      <c r="C213" s="716" t="n"/>
      <c r="D213" s="716" t="n"/>
      <c r="E213" s="716" t="n"/>
      <c r="F213" s="708" t="n"/>
    </row>
    <row r="214">
      <c r="A214" s="182" t="inlineStr">
        <is>
          <t>19</t>
        </is>
      </c>
      <c r="B214" s="703" t="inlineStr">
        <is>
          <t>OBRAS COMPLEMENTARIAS</t>
        </is>
      </c>
      <c r="C214" s="567" t="n"/>
      <c r="D214" s="567" t="n"/>
      <c r="E214" s="567" t="n"/>
      <c r="F214" s="567" t="n"/>
    </row>
    <row r="215">
      <c r="A215" s="80" t="inlineStr">
        <is>
          <t>19.1</t>
        </is>
      </c>
      <c r="B215" s="364" t="inlineStr">
        <is>
          <t>Rejas metálicas</t>
        </is>
      </c>
      <c r="C215" s="257" t="inlineStr">
        <is>
          <t>M²</t>
        </is>
      </c>
      <c r="D215" s="258" t="n"/>
      <c r="E215" s="1310" t="n"/>
      <c r="F215" s="1311">
        <f>D215*E215</f>
        <v/>
      </c>
    </row>
    <row r="216">
      <c r="A216" s="80" t="inlineStr">
        <is>
          <t>19.2</t>
        </is>
      </c>
      <c r="B216" s="364" t="inlineStr">
        <is>
          <t>Escaleras metálicas</t>
        </is>
      </c>
      <c r="C216" s="257" t="inlineStr">
        <is>
          <t>KG</t>
        </is>
      </c>
      <c r="D216" s="258" t="n"/>
      <c r="E216" s="1310" t="n"/>
      <c r="F216" s="1311">
        <f>D216*E216</f>
        <v/>
      </c>
    </row>
    <row r="217">
      <c r="A217" s="80" t="inlineStr">
        <is>
          <t>19.3</t>
        </is>
      </c>
      <c r="B217" s="364" t="inlineStr">
        <is>
          <t>Elementos metálicos especiales</t>
        </is>
      </c>
      <c r="C217" s="257" t="inlineStr">
        <is>
          <t>KG</t>
        </is>
      </c>
      <c r="D217" s="258" t="n"/>
      <c r="E217" s="1310" t="n"/>
      <c r="F217" s="1311">
        <f>D217*E217</f>
        <v/>
      </c>
    </row>
    <row r="218">
      <c r="A218" s="80" t="inlineStr">
        <is>
          <t>19.4</t>
        </is>
      </c>
      <c r="B218" s="364" t="inlineStr">
        <is>
          <t>Mobiliario fijo de obra</t>
        </is>
      </c>
      <c r="C218" s="257" t="inlineStr">
        <is>
          <t>UND</t>
        </is>
      </c>
      <c r="D218" s="258" t="n"/>
      <c r="E218" s="1310" t="n"/>
      <c r="F218" s="1311">
        <f>D218*E218</f>
        <v/>
      </c>
    </row>
    <row r="219">
      <c r="A219" s="81" t="n"/>
      <c r="B219" s="704" t="inlineStr">
        <is>
          <t>SUBTOTAL CAPÍTULO 19 - OBRAS COMPLEMENTARIAS</t>
        </is>
      </c>
      <c r="C219" s="567" t="n"/>
      <c r="D219" s="567" t="n"/>
      <c r="E219" s="567" t="n"/>
      <c r="F219" s="1312">
        <f>SUM(F215:F218)</f>
        <v/>
      </c>
    </row>
    <row r="220">
      <c r="A220" s="82" t="n"/>
      <c r="B220" s="716" t="n"/>
      <c r="C220" s="716" t="n"/>
      <c r="D220" s="716" t="n"/>
      <c r="E220" s="716" t="n"/>
      <c r="F220" s="708" t="n"/>
    </row>
    <row r="221">
      <c r="A221" s="182" t="inlineStr">
        <is>
          <t>20</t>
        </is>
      </c>
      <c r="B221" s="703" t="inlineStr">
        <is>
          <t>ASEO, ENTREGA Y CIERRE</t>
        </is>
      </c>
      <c r="C221" s="567" t="n"/>
      <c r="D221" s="567" t="n"/>
      <c r="E221" s="567" t="n"/>
      <c r="F221" s="567" t="n"/>
    </row>
    <row r="222">
      <c r="A222" s="80" t="inlineStr">
        <is>
          <t>20.1</t>
        </is>
      </c>
      <c r="B222" s="364" t="inlineStr">
        <is>
          <t>Limpieza gruesa y fina de obra</t>
        </is>
      </c>
      <c r="C222" s="257" t="inlineStr">
        <is>
          <t>M²</t>
        </is>
      </c>
      <c r="D222" s="258" t="n"/>
      <c r="E222" s="1310" t="n"/>
      <c r="F222" s="1311">
        <f>D222*E222</f>
        <v/>
      </c>
    </row>
    <row r="223">
      <c r="A223" s="80" t="inlineStr">
        <is>
          <t>20.2</t>
        </is>
      </c>
      <c r="B223" s="364" t="inlineStr">
        <is>
          <t>Limpieza final para entrega</t>
        </is>
      </c>
      <c r="C223" s="257" t="inlineStr">
        <is>
          <t>M²</t>
        </is>
      </c>
      <c r="D223" s="258" t="n"/>
      <c r="E223" s="1310" t="n"/>
      <c r="F223" s="1311">
        <f>D223*E223</f>
        <v/>
      </c>
    </row>
    <row r="224">
      <c r="A224" s="80" t="inlineStr">
        <is>
          <t>20.3</t>
        </is>
      </c>
      <c r="B224" s="364" t="inlineStr">
        <is>
          <t>Pruebas, puesta en marcha y ajustes</t>
        </is>
      </c>
      <c r="C224" s="257" t="inlineStr">
        <is>
          <t>GL</t>
        </is>
      </c>
      <c r="D224" s="258" t="n"/>
      <c r="E224" s="1310" t="n"/>
      <c r="F224" s="1311">
        <f>D224*E224</f>
        <v/>
      </c>
    </row>
    <row r="225">
      <c r="A225" s="80" t="inlineStr">
        <is>
          <t>20.4</t>
        </is>
      </c>
      <c r="B225" s="364" t="inlineStr">
        <is>
          <t>Actualización de planos récord / as-built</t>
        </is>
      </c>
      <c r="C225" s="257" t="inlineStr">
        <is>
          <t>GL</t>
        </is>
      </c>
      <c r="D225" s="258" t="n"/>
      <c r="E225" s="1310" t="n"/>
      <c r="F225" s="1311">
        <f>D225*E225</f>
        <v/>
      </c>
    </row>
    <row r="226">
      <c r="A226" s="80" t="inlineStr">
        <is>
          <t>20.5</t>
        </is>
      </c>
      <c r="B226" s="364" t="inlineStr">
        <is>
          <t>Entrega, manuales y acta de recibo</t>
        </is>
      </c>
      <c r="C226" s="257" t="inlineStr">
        <is>
          <t>GL</t>
        </is>
      </c>
      <c r="D226" s="258" t="n"/>
      <c r="E226" s="1310" t="n"/>
      <c r="F226" s="1311">
        <f>D226*E226</f>
        <v/>
      </c>
    </row>
    <row r="227">
      <c r="A227" s="81" t="n"/>
      <c r="B227" s="704" t="inlineStr">
        <is>
          <t>SUBTOTAL CAPÍTULO 20 - ASEO, ENTREGA Y CIERRE</t>
        </is>
      </c>
      <c r="C227" s="567" t="n"/>
      <c r="D227" s="567" t="n"/>
      <c r="E227" s="567" t="n"/>
      <c r="F227" s="1312">
        <f>SUM(F222:F226)</f>
        <v/>
      </c>
    </row>
    <row r="228">
      <c r="A228" s="82" t="n"/>
      <c r="B228" s="716" t="n"/>
      <c r="C228" s="716" t="n"/>
      <c r="D228" s="716" t="n"/>
      <c r="E228" s="716" t="n"/>
      <c r="F228" s="708" t="n"/>
    </row>
    <row r="229">
      <c r="A229" s="182" t="inlineStr">
        <is>
          <t>21</t>
        </is>
      </c>
      <c r="B229" s="703" t="inlineStr">
        <is>
          <t>ASCENSORES</t>
        </is>
      </c>
      <c r="C229" s="567" t="n"/>
      <c r="D229" s="567" t="n"/>
      <c r="E229" s="567" t="n"/>
      <c r="F229" s="567" t="n"/>
    </row>
    <row r="230">
      <c r="A230" s="80" t="inlineStr">
        <is>
          <t>21.1</t>
        </is>
      </c>
      <c r="B230" s="364" t="inlineStr">
        <is>
          <t>Suministro e instalación de ascensor eléctrico</t>
        </is>
      </c>
      <c r="C230" s="257" t="inlineStr">
        <is>
          <t>UND</t>
        </is>
      </c>
      <c r="D230" s="258" t="n"/>
      <c r="E230" s="1310" t="n"/>
      <c r="F230" s="1311">
        <f>D230*E230</f>
        <v/>
      </c>
    </row>
    <row r="231">
      <c r="A231" s="81" t="n"/>
      <c r="B231" s="704" t="inlineStr">
        <is>
          <t>SUBTOTAL CAPÍTULO 21 - ASCENSORES</t>
        </is>
      </c>
      <c r="C231" s="567" t="n"/>
      <c r="D231" s="567" t="n"/>
      <c r="E231" s="567" t="n"/>
      <c r="F231" s="1312">
        <f>SUM(F230:F230)</f>
        <v/>
      </c>
    </row>
    <row r="232">
      <c r="A232" s="82" t="n"/>
      <c r="B232" s="716" t="n"/>
      <c r="C232" s="716" t="n"/>
      <c r="D232" s="716" t="n"/>
      <c r="E232" s="716" t="n"/>
      <c r="F232" s="708" t="n"/>
    </row>
    <row r="233">
      <c r="A233" s="182" t="inlineStr">
        <is>
          <t>22</t>
        </is>
      </c>
      <c r="B233" s="703" t="inlineStr">
        <is>
          <t>GESTIÓN, DISEÑO Y ADMINISTRACIÓN</t>
        </is>
      </c>
      <c r="C233" s="567" t="n"/>
      <c r="D233" s="567" t="n"/>
      <c r="E233" s="567" t="n"/>
      <c r="F233" s="567" t="n"/>
    </row>
    <row r="234">
      <c r="A234" s="80" t="inlineStr">
        <is>
          <t>22.1</t>
        </is>
      </c>
      <c r="B234" s="364" t="inlineStr">
        <is>
          <t>Estudio de suelos y geotecnia</t>
        </is>
      </c>
      <c r="C234" s="257" t="inlineStr">
        <is>
          <t>GL</t>
        </is>
      </c>
      <c r="D234" s="258" t="n"/>
      <c r="E234" s="1310" t="n"/>
      <c r="F234" s="1311">
        <f>D234*E234</f>
        <v/>
      </c>
    </row>
    <row r="235">
      <c r="A235" s="80" t="inlineStr">
        <is>
          <t>22.2</t>
        </is>
      </c>
      <c r="B235" s="364" t="inlineStr">
        <is>
          <t>Diseños arquitectónicos, estructurales, hidrosanitarios y eléctricos</t>
        </is>
      </c>
      <c r="C235" s="257" t="inlineStr">
        <is>
          <t>GL</t>
        </is>
      </c>
      <c r="D235" s="258" t="n"/>
      <c r="E235" s="1310" t="n"/>
      <c r="F235" s="1311">
        <f>D235*E235</f>
        <v/>
      </c>
    </row>
    <row r="236">
      <c r="A236" s="80" t="inlineStr">
        <is>
          <t>22.3</t>
        </is>
      </c>
      <c r="B236" s="364" t="inlineStr">
        <is>
          <t>Licencia de construcción y trámites de curaduría urbana</t>
        </is>
      </c>
      <c r="C236" s="257" t="inlineStr">
        <is>
          <t>GL</t>
        </is>
      </c>
      <c r="D236" s="258" t="n"/>
      <c r="E236" s="1310" t="n"/>
      <c r="F236" s="1311">
        <f>D236*E236</f>
        <v/>
      </c>
    </row>
    <row r="237">
      <c r="A237" s="80" t="inlineStr">
        <is>
          <t>22.4</t>
        </is>
      </c>
      <c r="B237" s="364" t="inlineStr">
        <is>
          <t>Póliza de estabilidad de obra y seguros de construcción (todo riesgo)</t>
        </is>
      </c>
      <c r="C237" s="257" t="inlineStr">
        <is>
          <t>GL</t>
        </is>
      </c>
      <c r="D237" s="258" t="n"/>
      <c r="E237" s="1310" t="n"/>
      <c r="F237" s="1311">
        <f>D237*E237</f>
        <v/>
      </c>
    </row>
    <row r="238">
      <c r="A238" s="81" t="n"/>
      <c r="B238" s="704" t="inlineStr">
        <is>
          <t>SUBTOTAL CAPÍTULO 22 - GESTIÓN, DISEÑO Y ADMINISTRACIÓN</t>
        </is>
      </c>
      <c r="C238" s="567" t="n"/>
      <c r="D238" s="567" t="n"/>
      <c r="E238" s="567" t="n"/>
      <c r="F238" s="1312">
        <f>SUM(F234:F237)</f>
        <v/>
      </c>
    </row>
    <row r="239">
      <c r="A239" s="82" t="n"/>
      <c r="B239" s="716" t="n"/>
      <c r="C239" s="716" t="n"/>
      <c r="D239" s="716" t="n"/>
      <c r="E239" s="716" t="n"/>
      <c r="F239" s="708" t="n"/>
    </row>
    <row r="240" ht="15" customHeight="1" s="550">
      <c r="A240" s="83" t="n"/>
      <c r="B240" s="715" t="inlineStr">
        <is>
          <t>COSTO DIRECTO TOTAL (suma de capítulos 1 a 22)</t>
        </is>
      </c>
      <c r="C240" s="567" t="n"/>
      <c r="D240" s="567" t="n"/>
      <c r="E240" s="567" t="n"/>
      <c r="F240" s="1313">
        <f>F25+F39+F49+F69+F81+F93+F100+F107+F121+F129+F140+F147+F162+F176+F185+F192+F198+F212+F219+F227+F231+F238</f>
        <v/>
      </c>
    </row>
    <row r="241">
      <c r="A241" s="84" t="n"/>
      <c r="B241" s="28" t="n"/>
      <c r="C241" s="28" t="n"/>
      <c r="D241" s="28" t="n"/>
      <c r="E241" s="28" t="n"/>
      <c r="F241" s="85" t="n"/>
    </row>
    <row r="242" ht="15" customHeight="1" s="550">
      <c r="A242" s="82" t="n"/>
      <c r="B242" s="46" t="inlineStr">
        <is>
          <t>Administración (A)</t>
        </is>
      </c>
      <c r="C242" s="716" t="n"/>
      <c r="D242" s="716" t="n"/>
      <c r="E242" s="1314">
        <f>'Ficha Técnica del Proyecto'!$B$29</f>
        <v/>
      </c>
      <c r="F242" s="1315">
        <f>F240*E242</f>
        <v/>
      </c>
    </row>
    <row r="243" ht="15" customHeight="1" s="550">
      <c r="A243" s="82" t="n"/>
      <c r="B243" s="46" t="inlineStr">
        <is>
          <t>Imprevistos (I)</t>
        </is>
      </c>
      <c r="C243" s="716" t="n"/>
      <c r="D243" s="716" t="n"/>
      <c r="E243" s="1314">
        <f>'Ficha Técnica del Proyecto'!$B$30</f>
        <v/>
      </c>
      <c r="F243" s="1315">
        <f>F240*E243</f>
        <v/>
      </c>
    </row>
    <row r="244" ht="15" customHeight="1" s="550">
      <c r="A244" s="82" t="n"/>
      <c r="B244" s="46" t="inlineStr">
        <is>
          <t>Utilidad (U)</t>
        </is>
      </c>
      <c r="C244" s="716" t="n"/>
      <c r="D244" s="716" t="n"/>
      <c r="E244" s="1314">
        <f>'Ficha Técnica del Proyecto'!$B$31</f>
        <v/>
      </c>
      <c r="F244" s="1315">
        <f>F240*E244</f>
        <v/>
      </c>
    </row>
    <row r="245" ht="15" customHeight="1" s="550">
      <c r="A245" s="81" t="n"/>
      <c r="B245" s="704" t="inlineStr">
        <is>
          <t>SUBTOTAL AIU (A+I+U)</t>
        </is>
      </c>
      <c r="C245" s="29" t="n"/>
      <c r="D245" s="29" t="n"/>
      <c r="E245" s="30" t="n"/>
      <c r="F245" s="1312">
        <f>F242+F243+F244</f>
        <v/>
      </c>
    </row>
    <row r="246" ht="15" customHeight="1" s="550">
      <c r="A246" s="82" t="n"/>
      <c r="B246" s="46" t="inlineStr">
        <is>
          <t>COSTO DIRECTO + AIU</t>
        </is>
      </c>
      <c r="C246" s="716" t="n"/>
      <c r="D246" s="716" t="n"/>
      <c r="E246" s="47" t="n"/>
      <c r="F246" s="1315">
        <f>F240+F245</f>
        <v/>
      </c>
    </row>
    <row r="247" ht="15" customHeight="1" s="550">
      <c r="A247" s="82" t="n"/>
      <c r="B247" s="46" t="inlineStr">
        <is>
          <t>IVA sobre Utilidad (19%)</t>
        </is>
      </c>
      <c r="C247" s="716" t="n"/>
      <c r="D247" s="716" t="n"/>
      <c r="E247" s="1314">
        <f>'Ficha Técnica del Proyecto'!$B$32</f>
        <v/>
      </c>
      <c r="F247" s="1315">
        <f>F244*E247</f>
        <v/>
      </c>
    </row>
    <row r="248">
      <c r="A248" s="82" t="n"/>
      <c r="B248" s="716" t="n"/>
      <c r="C248" s="716" t="n"/>
      <c r="D248" s="716" t="n"/>
      <c r="E248" s="716" t="n"/>
      <c r="F248" s="708" t="n"/>
    </row>
    <row r="249" ht="24" customHeight="1" s="550">
      <c r="A249" s="86" t="n"/>
      <c r="B249" s="703" t="inlineStr">
        <is>
          <t>PRESUPUESTO TOTAL DE OBRA</t>
        </is>
      </c>
      <c r="C249" s="567" t="n"/>
      <c r="D249" s="567" t="n"/>
      <c r="E249" s="567" t="n"/>
      <c r="F249" s="1316">
        <f>F246+F247</f>
        <v/>
      </c>
    </row>
    <row r="250">
      <c r="A250" s="87" t="n"/>
      <c r="B250" s="203" t="inlineStr">
        <is>
          <t>REV. 10/09/2026</t>
        </is>
      </c>
      <c r="C250" s="277" t="n"/>
      <c r="D250" s="277" t="n"/>
      <c r="E250" s="277" t="n"/>
      <c r="F250" s="345">
        <f>F6</f>
        <v/>
      </c>
    </row>
    <row r="251">
      <c r="A251" s="87" t="n"/>
      <c r="B251" s="203" t="n"/>
      <c r="C251" s="277" t="n"/>
      <c r="D251" s="277" t="n"/>
      <c r="E251" s="277" t="n"/>
      <c r="F251" s="201" t="n"/>
    </row>
    <row r="252" ht="15" customHeight="1" s="550">
      <c r="A252" s="87" t="n"/>
      <c r="B252" s="89" t="inlineStr">
        <is>
          <t>Costo por m² construido (sobre Costo Directo Total)</t>
        </is>
      </c>
      <c r="C252" s="90" t="n"/>
      <c r="D252" s="90" t="n"/>
      <c r="E252" s="90" t="n"/>
      <c r="F252" s="1317">
        <f>F240/'Ficha Técnica del Proyecto'!$B$21</f>
        <v/>
      </c>
    </row>
    <row r="253" ht="15" customHeight="1" s="550">
      <c r="A253" s="88" t="n"/>
      <c r="B253" s="91" t="inlineStr">
        <is>
          <t>Costo por m² construido (sobre Presupuesto Total)</t>
        </is>
      </c>
      <c r="C253" s="92" t="n"/>
      <c r="D253" s="92" t="n"/>
      <c r="E253" s="92" t="n"/>
      <c r="F253" s="1318">
        <f>F249/'Ficha Técnica del Proyecto'!$B$21</f>
        <v/>
      </c>
    </row>
    <row r="254">
      <c r="A254" s="27" t="n"/>
      <c r="B254" s="277" t="n"/>
      <c r="C254" s="277" t="n"/>
      <c r="D254" s="277" t="n"/>
      <c r="E254" s="277" t="n"/>
      <c r="F254" s="277" t="n"/>
    </row>
    <row r="255">
      <c r="A255" s="27" t="n"/>
      <c r="B255" s="277" t="n"/>
      <c r="C255" s="277" t="n"/>
      <c r="D255" s="277" t="n"/>
      <c r="E255" s="277" t="n"/>
      <c r="F255" s="277" t="n"/>
    </row>
    <row r="256">
      <c r="A256" s="27" t="n"/>
      <c r="B256" s="277" t="n"/>
      <c r="C256" s="277" t="n"/>
      <c r="D256" s="277" t="n"/>
      <c r="E256" s="277" t="n"/>
      <c r="F256" s="277" t="n"/>
    </row>
    <row r="257">
      <c r="A257" s="27" t="n"/>
      <c r="B257" s="277" t="n"/>
      <c r="C257" s="277" t="n"/>
      <c r="D257" s="277" t="n"/>
      <c r="E257" s="277" t="n"/>
      <c r="F257" s="277" t="n"/>
    </row>
    <row r="258">
      <c r="A258" s="27" t="n"/>
      <c r="B258" s="277" t="n"/>
      <c r="C258" s="277" t="n"/>
      <c r="D258" s="277" t="n"/>
      <c r="E258" s="277" t="n"/>
      <c r="F258" s="277" t="n"/>
    </row>
    <row r="259">
      <c r="A259" s="27" t="n"/>
      <c r="B259" s="277" t="n"/>
      <c r="C259" s="277" t="n"/>
      <c r="D259" s="277" t="n"/>
      <c r="E259" s="277" t="n"/>
      <c r="F259" s="277" t="n"/>
    </row>
  </sheetData>
  <mergeCells count="61">
    <mergeCell ref="B233:F233"/>
    <mergeCell ref="C6:D6"/>
    <mergeCell ref="B109:F109"/>
    <mergeCell ref="B49:E49"/>
    <mergeCell ref="B200:F200"/>
    <mergeCell ref="B194:F194"/>
    <mergeCell ref="B192:E192"/>
    <mergeCell ref="C5:D5"/>
    <mergeCell ref="E5:F5"/>
    <mergeCell ref="B71:F71"/>
    <mergeCell ref="B131:F131"/>
    <mergeCell ref="B149:F149"/>
    <mergeCell ref="B214:F214"/>
    <mergeCell ref="B198:E198"/>
    <mergeCell ref="B102:F102"/>
    <mergeCell ref="B27:F27"/>
    <mergeCell ref="B130:F130"/>
    <mergeCell ref="B212:E212"/>
    <mergeCell ref="B129:E129"/>
    <mergeCell ref="B100:E100"/>
    <mergeCell ref="B229:F229"/>
    <mergeCell ref="B227:E227"/>
    <mergeCell ref="B25:E25"/>
    <mergeCell ref="B185:E185"/>
    <mergeCell ref="B81:E81"/>
    <mergeCell ref="C9:D9"/>
    <mergeCell ref="B14:F14"/>
    <mergeCell ref="B121:E121"/>
    <mergeCell ref="B93:E93"/>
    <mergeCell ref="A12:B12"/>
    <mergeCell ref="C12:D12"/>
    <mergeCell ref="B140:E140"/>
    <mergeCell ref="A10:F10"/>
    <mergeCell ref="B238:E238"/>
    <mergeCell ref="B178:F178"/>
    <mergeCell ref="B176:E176"/>
    <mergeCell ref="B219:E219"/>
    <mergeCell ref="B108:F108"/>
    <mergeCell ref="B39:E39"/>
    <mergeCell ref="B231:E231"/>
    <mergeCell ref="B107:E107"/>
    <mergeCell ref="B240:E240"/>
    <mergeCell ref="B187:F187"/>
    <mergeCell ref="C8:D8"/>
    <mergeCell ref="B101:E101"/>
    <mergeCell ref="B83:F83"/>
    <mergeCell ref="A11:F11"/>
    <mergeCell ref="C7:D7"/>
    <mergeCell ref="B164:F164"/>
    <mergeCell ref="B95:F95"/>
    <mergeCell ref="C1:F3"/>
    <mergeCell ref="B69:E69"/>
    <mergeCell ref="B142:F142"/>
    <mergeCell ref="B82:E82"/>
    <mergeCell ref="B51:F51"/>
    <mergeCell ref="B249:E249"/>
    <mergeCell ref="B162:E162"/>
    <mergeCell ref="B147:E147"/>
    <mergeCell ref="B123:F123"/>
    <mergeCell ref="B221:F221"/>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9.xml><?xml version="1.0" encoding="utf-8"?>
<worksheet xmlns="http://schemas.openxmlformats.org/spreadsheetml/2006/main">
  <sheetPr>
    <tabColor rgb="FF7030A0"/>
    <pageSetUpPr fitToPage="1"/>
  </sheetPr>
  <dimension ref="A1:S131"/>
  <sheetViews>
    <sheetView zoomScale="76" zoomScaleNormal="76" workbookViewId="0">
      <selection activeCell="T15" sqref="T15"/>
    </sheetView>
  </sheetViews>
  <sheetFormatPr baseColWidth="10" defaultColWidth="8.88671875" defaultRowHeight="14.4"/>
  <cols>
    <col width="11.33203125" customWidth="1" style="1182" min="1" max="3"/>
    <col width="11" customWidth="1" style="1182" min="4" max="14"/>
    <col width="8.88671875" customWidth="1" style="1182" min="15" max="19"/>
    <col width="8.88671875" customWidth="1" style="1182" min="20" max="16384"/>
  </cols>
  <sheetData>
    <row r="1" ht="15" customHeight="1" s="550">
      <c r="A1" s="493" t="n"/>
      <c r="B1" s="494" t="n"/>
      <c r="C1" s="494" t="n"/>
      <c r="D1" s="494" t="n"/>
      <c r="E1" s="1232" t="inlineStr">
        <is>
          <t>INFORME MENSUAL DE AVANCE DE OBRA</t>
        </is>
      </c>
    </row>
    <row r="2" ht="14.4" customHeight="1" s="550">
      <c r="A2" s="494" t="n"/>
      <c r="B2" s="494" t="n"/>
      <c r="C2" s="494" t="n"/>
      <c r="D2" s="494" t="n"/>
    </row>
    <row r="3" ht="14.4" customHeight="1" s="550">
      <c r="A3" s="494" t="n"/>
      <c r="B3" s="494" t="n"/>
      <c r="C3" s="494" t="n"/>
      <c r="D3" s="494" t="n"/>
    </row>
    <row r="4" ht="14.4" customHeight="1" s="550">
      <c r="A4" s="494" t="n"/>
      <c r="B4" s="494" t="n"/>
      <c r="C4" s="494" t="n"/>
      <c r="D4" s="494" t="n"/>
    </row>
    <row r="5" ht="15" customHeight="1" s="550">
      <c r="A5" s="494" t="n"/>
      <c r="B5" s="494" t="n"/>
      <c r="C5" s="494" t="n"/>
      <c r="D5" s="494" t="n"/>
    </row>
    <row r="6" ht="4.95" customHeight="1" s="550">
      <c r="A6" s="494" t="n"/>
      <c r="B6" s="494" t="n"/>
      <c r="C6" s="494" t="n"/>
      <c r="D6" s="494" t="n"/>
      <c r="E6" s="135" t="n"/>
      <c r="F6" s="135" t="n"/>
      <c r="G6" s="135" t="n"/>
      <c r="H6" s="135" t="n"/>
      <c r="I6" s="135" t="n"/>
      <c r="J6" s="135" t="n"/>
      <c r="K6" s="135" t="n"/>
      <c r="L6" s="135" t="n"/>
      <c r="M6" s="135" t="n"/>
      <c r="N6" s="135" t="n"/>
    </row>
    <row r="7" ht="15" customHeight="1" s="550">
      <c r="A7" s="494" t="n"/>
      <c r="B7" s="494" t="n"/>
      <c r="C7" s="494" t="n"/>
      <c r="D7" s="494" t="n"/>
      <c r="E7" s="133" t="n"/>
      <c r="F7" s="133" t="n"/>
      <c r="G7" s="133" t="n"/>
      <c r="H7" s="133" t="n"/>
      <c r="I7" s="133" t="n"/>
      <c r="J7" s="133" t="n"/>
      <c r="K7" s="133" t="n"/>
      <c r="L7" s="1001" t="inlineStr">
        <is>
          <t>CONTROL DOCUMENTAL</t>
        </is>
      </c>
      <c r="M7" s="583" t="n"/>
      <c r="N7" s="559" t="n"/>
    </row>
    <row r="8" ht="15" customHeight="1" s="550">
      <c r="A8" s="494" t="n"/>
      <c r="B8" s="494" t="n"/>
      <c r="C8" s="494" t="n"/>
      <c r="D8" s="494" t="n"/>
      <c r="E8" s="1042" t="inlineStr">
        <is>
          <t>REFORMAS Y REMODELACIONES</t>
        </is>
      </c>
      <c r="L8" s="784" t="inlineStr">
        <is>
          <t>Código</t>
        </is>
      </c>
      <c r="M8" s="1209" t="inlineStr">
        <is>
          <t>RYR-IM-001</t>
        </is>
      </c>
      <c r="N8" s="810" t="n"/>
    </row>
    <row r="9" ht="15" customHeight="1" s="550">
      <c r="A9" s="494" t="n"/>
      <c r="B9" s="494" t="n"/>
      <c r="C9" s="494" t="n"/>
      <c r="D9" s="494" t="n"/>
      <c r="L9" s="784" t="inlineStr">
        <is>
          <t>Versión</t>
        </is>
      </c>
      <c r="M9" s="1195" t="n">
        <v>1</v>
      </c>
      <c r="N9" s="1196" t="n"/>
    </row>
    <row r="10" ht="15" customHeight="1" s="550">
      <c r="A10" s="494" t="n"/>
      <c r="B10" s="494" t="n"/>
      <c r="C10" s="494" t="n"/>
      <c r="D10" s="494" t="n"/>
      <c r="E10" s="991" t="inlineStr">
        <is>
          <t>DISEÑAMOS, RENOVAMOS Y CONSTRUIMOS ESPACIOS QUE INSPIRAN.</t>
        </is>
      </c>
      <c r="L10" s="784" t="inlineStr">
        <is>
          <t>Fecha de Emisión</t>
        </is>
      </c>
      <c r="M10" s="1195" t="inlineStr">
        <is>
          <t>10/09/2026</t>
        </is>
      </c>
      <c r="N10" s="1196" t="n"/>
    </row>
    <row r="11" ht="15" customHeight="1" s="550">
      <c r="A11" s="618" t="n"/>
      <c r="B11" s="618" t="n"/>
      <c r="C11" s="618" t="n"/>
      <c r="D11" s="618" t="n"/>
      <c r="E11" s="134" t="n"/>
      <c r="F11" s="134" t="n"/>
      <c r="G11" s="134" t="n"/>
      <c r="H11" s="134" t="n"/>
      <c r="I11" s="134" t="n"/>
      <c r="J11" s="134" t="n"/>
      <c r="K11" s="134" t="n"/>
      <c r="L11" s="501" t="inlineStr">
        <is>
          <t>Página</t>
        </is>
      </c>
      <c r="M11" s="1240" t="inlineStr">
        <is>
          <t>1 de 1</t>
        </is>
      </c>
      <c r="N11" s="849" t="n"/>
    </row>
    <row r="12" ht="15" customHeight="1" s="550">
      <c r="A12" s="1223" t="inlineStr">
        <is>
          <t>IDENTIFICACIÓN DEL INFORME Y DEL PROYECTO</t>
        </is>
      </c>
      <c r="N12" s="562" t="n"/>
    </row>
    <row r="13" ht="15" customHeight="1" s="550">
      <c r="A13" s="1190" t="inlineStr">
        <is>
          <t>Proyecto</t>
        </is>
      </c>
      <c r="B13" s="567" t="n"/>
      <c r="C13" s="567" t="n"/>
      <c r="D13" s="567" t="n"/>
      <c r="E13" s="1215" t="n"/>
      <c r="F13" s="567" t="n"/>
      <c r="G13" s="567" t="n"/>
      <c r="H13" s="567" t="n"/>
      <c r="I13" s="567" t="n"/>
      <c r="J13" s="567" t="n"/>
      <c r="K13" s="567" t="n"/>
      <c r="L13" s="567" t="n"/>
      <c r="M13" s="567" t="n"/>
      <c r="N13" s="682" t="n"/>
    </row>
    <row r="14" ht="15" customHeight="1" s="550">
      <c r="A14" s="1190" t="inlineStr">
        <is>
          <t>No de Contrato</t>
        </is>
      </c>
      <c r="B14" s="567" t="n"/>
      <c r="C14" s="567" t="n"/>
      <c r="D14" s="567" t="n"/>
      <c r="E14" s="1114" t="n"/>
      <c r="F14" s="567" t="n"/>
      <c r="G14" s="567" t="n"/>
      <c r="H14" s="682" t="n"/>
      <c r="I14" s="1112" t="inlineStr">
        <is>
          <t>Presupuesto Total del Contrato</t>
        </is>
      </c>
      <c r="J14" s="567" t="n"/>
      <c r="K14" s="567" t="n"/>
      <c r="L14" s="1405">
        <f>'Presupuesto '!F249</f>
        <v/>
      </c>
      <c r="M14" s="567" t="n"/>
      <c r="N14" s="682" t="n"/>
    </row>
    <row r="15" ht="15" customHeight="1" s="550">
      <c r="A15" s="1190" t="inlineStr">
        <is>
          <t>Contratista</t>
        </is>
      </c>
      <c r="B15" s="567" t="n"/>
      <c r="C15" s="567" t="n"/>
      <c r="D15" s="567" t="n"/>
      <c r="E15" s="1114" t="inlineStr">
        <is>
          <t>REFORMAS Y REMODELACIONES</t>
        </is>
      </c>
      <c r="F15" s="567" t="n"/>
      <c r="G15" s="567" t="n"/>
      <c r="H15" s="682" t="n"/>
      <c r="I15" s="1112" t="inlineStr">
        <is>
          <t>Mes</t>
        </is>
      </c>
      <c r="J15" s="567" t="n"/>
      <c r="K15" s="567" t="n"/>
      <c r="L15" s="1215" t="n"/>
      <c r="M15" s="567" t="n"/>
      <c r="N15" s="682" t="n"/>
    </row>
    <row r="16" ht="15" customHeight="1" s="550">
      <c r="A16" s="1190" t="inlineStr">
        <is>
          <t>Elaborado por</t>
        </is>
      </c>
      <c r="B16" s="567" t="n"/>
      <c r="C16" s="567" t="n"/>
      <c r="D16" s="567" t="n"/>
      <c r="E16" s="1114" t="n"/>
      <c r="F16" s="567" t="n"/>
      <c r="G16" s="567" t="n"/>
      <c r="H16" s="682" t="n"/>
      <c r="I16" s="1112" t="inlineStr">
        <is>
          <t>Fecha de Emisión</t>
        </is>
      </c>
      <c r="J16" s="567" t="n"/>
      <c r="K16" s="567" t="n"/>
      <c r="L16" s="1215" t="n"/>
      <c r="M16" s="567" t="n"/>
      <c r="N16" s="682" t="n"/>
    </row>
    <row r="17" ht="15.75" customHeight="1" s="550">
      <c r="A17" s="1262" t="inlineStr">
        <is>
          <t>RESUMEN EJECUTIVO</t>
        </is>
      </c>
      <c r="N17" s="562" t="n"/>
    </row>
    <row r="18" ht="15" customHeight="1" s="550">
      <c r="A18" s="1244" t="n"/>
      <c r="N18" s="562" t="n"/>
    </row>
    <row r="19" ht="15.75" customHeight="1" s="550">
      <c r="A19" s="1266" t="inlineStr">
        <is>
          <t>AVANCE TÉCNICO Y ECONÓMICO DEL PROYECTO (POR CAPÍTULO)</t>
        </is>
      </c>
      <c r="B19" s="1064" t="n"/>
      <c r="C19" s="1064" t="n"/>
      <c r="D19" s="1064" t="n"/>
      <c r="E19" s="1064" t="n"/>
      <c r="F19" s="1064" t="n"/>
      <c r="G19" s="1064" t="n"/>
      <c r="H19" s="1064" t="n"/>
      <c r="I19" s="1064" t="n"/>
      <c r="J19" s="1064" t="n"/>
      <c r="K19" s="1064" t="n"/>
      <c r="L19" s="1064" t="n"/>
      <c r="M19" s="1064" t="n"/>
      <c r="N19" s="1065" t="n"/>
    </row>
    <row r="20" ht="14.25" customHeight="1" s="550">
      <c r="A20" s="1243" t="inlineStr">
        <is>
          <t>AVANCE PROGRAMADO GLOBAL</t>
        </is>
      </c>
      <c r="B20" s="585" t="n"/>
      <c r="C20" s="585" t="n"/>
      <c r="D20" s="1242" t="inlineStr">
        <is>
          <t>AVANCE REAL GLOBAL</t>
        </is>
      </c>
      <c r="E20" s="585" t="n"/>
      <c r="F20" s="585" t="n"/>
      <c r="G20" s="1242" t="inlineStr">
        <is>
          <t>DIFERENCIA</t>
        </is>
      </c>
      <c r="H20" s="585" t="n"/>
      <c r="I20" s="585" t="n"/>
      <c r="J20" s="1203" t="inlineStr">
        <is>
          <t>% EJECUTADO FINANCIERO</t>
        </is>
      </c>
      <c r="N20" s="562" t="n"/>
    </row>
    <row r="21">
      <c r="A21" s="1406">
        <f>H47</f>
        <v/>
      </c>
      <c r="D21" s="1407">
        <f>I47</f>
        <v/>
      </c>
      <c r="G21" s="1407">
        <f>D21-A21</f>
        <v/>
      </c>
      <c r="J21" s="1408">
        <f>IFERROR(J47/$L$14,0)</f>
        <v/>
      </c>
      <c r="N21" s="562" t="n"/>
    </row>
    <row r="22" ht="14.25" customHeight="1" s="550">
      <c r="A22" s="1246" t="inlineStr">
        <is>
          <t>AVANCE REAL ACUMULADO AL INICIO DEL PERÍODO (%)</t>
        </is>
      </c>
      <c r="B22" s="1194" t="n"/>
      <c r="C22" s="1194" t="n"/>
      <c r="D22" s="1194" t="n"/>
      <c r="E22" s="1194" t="n"/>
      <c r="F22" s="1409" t="n">
        <v>0</v>
      </c>
      <c r="G22" s="1194" t="n"/>
      <c r="H22" s="1193" t="inlineStr">
        <is>
          <t>AVANCE DE ESTE PERÍODO (%)</t>
        </is>
      </c>
      <c r="I22" s="1194" t="n"/>
      <c r="J22" s="1194" t="n"/>
      <c r="K22" s="1410">
        <f>D21-F22</f>
        <v/>
      </c>
      <c r="L22" s="1194" t="n"/>
      <c r="M22" s="1194" t="n"/>
      <c r="N22" s="1264" t="n"/>
    </row>
    <row r="23" ht="14.25" customHeight="1" s="550">
      <c r="A23" s="1234" t="inlineStr">
        <is>
          <t>CAPÍTULO</t>
        </is>
      </c>
      <c r="D23" s="1187" t="inlineStr">
        <is>
          <t>PESO %</t>
        </is>
      </c>
      <c r="E23" s="1187" t="inlineStr">
        <is>
          <t>PROG. %</t>
        </is>
      </c>
      <c r="F23" s="1187" t="inlineStr">
        <is>
          <t>REAL %</t>
        </is>
      </c>
      <c r="G23" s="1187" t="inlineStr">
        <is>
          <t>DIF. %</t>
        </is>
      </c>
      <c r="H23" s="1187" t="inlineStr">
        <is>
          <t>PROG. POND. %</t>
        </is>
      </c>
      <c r="I23" s="1187" t="inlineStr">
        <is>
          <t>REAL POND. %</t>
        </is>
      </c>
      <c r="J23" s="1227" t="inlineStr">
        <is>
          <t>VALOR EJECUTADO ($)</t>
        </is>
      </c>
      <c r="N23" s="562" t="n"/>
    </row>
    <row r="24">
      <c r="A24" s="1098" t="n"/>
      <c r="B24" s="635" t="n"/>
      <c r="C24" s="635" t="n"/>
      <c r="D24" s="635" t="n"/>
      <c r="E24" s="635" t="n"/>
      <c r="F24" s="635" t="n"/>
      <c r="G24" s="635" t="n"/>
      <c r="H24" s="635" t="n"/>
      <c r="I24" s="635" t="n"/>
      <c r="J24" s="652" t="n"/>
      <c r="K24" s="652" t="n"/>
      <c r="L24" s="652" t="n"/>
      <c r="M24" s="652" t="n"/>
      <c r="N24" s="1074" t="n"/>
    </row>
    <row r="25">
      <c r="A25" s="1180">
        <f>'Presupuesto '!B14</f>
        <v/>
      </c>
      <c r="B25" s="609" t="n"/>
      <c r="C25" s="609" t="n"/>
      <c r="D25" s="1411">
        <f>'Presupuesto '!F25/'Presupuesto '!$F$240</f>
        <v/>
      </c>
      <c r="E25" s="1412" t="n"/>
      <c r="F25" s="1412" t="n"/>
      <c r="G25" s="1413">
        <f>F25-E25</f>
        <v/>
      </c>
      <c r="H25" s="1414">
        <f>D25*E25</f>
        <v/>
      </c>
      <c r="I25" s="1414">
        <f>D25*F25</f>
        <v/>
      </c>
      <c r="J25" s="1415">
        <f>D25*$L$14*G25</f>
        <v/>
      </c>
      <c r="K25" s="592" t="n"/>
      <c r="L25" s="592" t="n"/>
      <c r="M25" s="592" t="n"/>
      <c r="N25" s="1205" t="n"/>
    </row>
    <row r="26">
      <c r="A26" s="1180">
        <f>'Presupuesto '!B27</f>
        <v/>
      </c>
      <c r="B26" s="609" t="n"/>
      <c r="C26" s="609" t="n"/>
      <c r="D26" s="1411">
        <f>'Presupuesto '!F39/'Presupuesto '!$F$240</f>
        <v/>
      </c>
      <c r="E26" s="1412" t="n"/>
      <c r="F26" s="1412" t="n"/>
      <c r="G26" s="1413">
        <f>F26-E26</f>
        <v/>
      </c>
      <c r="H26" s="1414">
        <f>D26*E26</f>
        <v/>
      </c>
      <c r="I26" s="1414">
        <f>D26*F26</f>
        <v/>
      </c>
      <c r="J26" s="1416">
        <f>D26*$L$14*G26</f>
        <v/>
      </c>
      <c r="N26" s="562" t="n"/>
    </row>
    <row r="27">
      <c r="A27" s="1180">
        <f>'Presupuesto '!B41</f>
        <v/>
      </c>
      <c r="B27" s="609" t="n"/>
      <c r="C27" s="609" t="n"/>
      <c r="D27" s="1411">
        <f>'Presupuesto '!F49/'Presupuesto '!$F$240</f>
        <v/>
      </c>
      <c r="E27" s="1412" t="n"/>
      <c r="F27" s="1412" t="n"/>
      <c r="G27" s="1413">
        <f>F27-E27</f>
        <v/>
      </c>
      <c r="H27" s="1414">
        <f>D27*E27</f>
        <v/>
      </c>
      <c r="I27" s="1414">
        <f>D27*F27</f>
        <v/>
      </c>
      <c r="J27" s="1416">
        <f>D27*$L$14*G27</f>
        <v/>
      </c>
      <c r="N27" s="562" t="n"/>
    </row>
    <row r="28">
      <c r="A28" s="1180">
        <f>'Presupuesto '!B51</f>
        <v/>
      </c>
      <c r="B28" s="609" t="n"/>
      <c r="C28" s="609" t="n"/>
      <c r="D28" s="1411">
        <f>'Presupuesto '!F69/'Presupuesto '!$F$240</f>
        <v/>
      </c>
      <c r="E28" s="1412" t="n"/>
      <c r="F28" s="1412" t="n"/>
      <c r="G28" s="1413">
        <f>F28-E28</f>
        <v/>
      </c>
      <c r="H28" s="1414">
        <f>D28*E28</f>
        <v/>
      </c>
      <c r="I28" s="1414">
        <f>D28*F28</f>
        <v/>
      </c>
      <c r="J28" s="1416">
        <f>D28*$L$14*G28</f>
        <v/>
      </c>
      <c r="N28" s="562" t="n"/>
    </row>
    <row r="29">
      <c r="A29" s="1180">
        <f>'Presupuesto '!B71</f>
        <v/>
      </c>
      <c r="B29" s="609" t="n"/>
      <c r="C29" s="609" t="n"/>
      <c r="D29" s="1411">
        <f>'Presupuesto '!F81/'Presupuesto '!$F$240</f>
        <v/>
      </c>
      <c r="E29" s="1412" t="n"/>
      <c r="F29" s="1412" t="n"/>
      <c r="G29" s="1413">
        <f>F29-E29</f>
        <v/>
      </c>
      <c r="H29" s="1414">
        <f>D29*E29</f>
        <v/>
      </c>
      <c r="I29" s="1414">
        <f>D29*F29</f>
        <v/>
      </c>
      <c r="J29" s="1416">
        <f>D29*$L$14*G29</f>
        <v/>
      </c>
      <c r="N29" s="562" t="n"/>
    </row>
    <row r="30">
      <c r="A30" s="1180">
        <f>'Presupuesto '!B83</f>
        <v/>
      </c>
      <c r="B30" s="609" t="n"/>
      <c r="C30" s="609" t="n"/>
      <c r="D30" s="1411">
        <f>'Presupuesto '!F93/'Presupuesto '!$F$240</f>
        <v/>
      </c>
      <c r="E30" s="1412" t="n"/>
      <c r="F30" s="1412" t="n"/>
      <c r="G30" s="1413">
        <f>F30-E30</f>
        <v/>
      </c>
      <c r="H30" s="1414">
        <f>D30*E30</f>
        <v/>
      </c>
      <c r="I30" s="1414">
        <f>D30*F30</f>
        <v/>
      </c>
      <c r="J30" s="1416">
        <f>D30*$L$14*G30</f>
        <v/>
      </c>
      <c r="N30" s="562" t="n"/>
    </row>
    <row r="31">
      <c r="A31" s="1180">
        <f>'Presupuesto '!B95</f>
        <v/>
      </c>
      <c r="B31" s="609" t="n"/>
      <c r="C31" s="609" t="n"/>
      <c r="D31" s="1411">
        <f>'Presupuesto '!F100/'Presupuesto '!$F$240</f>
        <v/>
      </c>
      <c r="E31" s="1412" t="n"/>
      <c r="F31" s="1412" t="n"/>
      <c r="G31" s="1413">
        <f>F31-E31</f>
        <v/>
      </c>
      <c r="H31" s="1414">
        <f>D31*E31</f>
        <v/>
      </c>
      <c r="I31" s="1414">
        <f>D31*F31</f>
        <v/>
      </c>
      <c r="J31" s="1416">
        <f>D31*$L$14*G31</f>
        <v/>
      </c>
      <c r="N31" s="562" t="n"/>
    </row>
    <row r="32">
      <c r="A32" s="1180">
        <f>'Presupuesto '!B102</f>
        <v/>
      </c>
      <c r="B32" s="609" t="n"/>
      <c r="C32" s="609" t="n"/>
      <c r="D32" s="1411">
        <f>'Presupuesto '!F107/'Presupuesto '!$F$240</f>
        <v/>
      </c>
      <c r="E32" s="1412" t="n"/>
      <c r="F32" s="1412" t="n"/>
      <c r="G32" s="1413">
        <f>F32-E32</f>
        <v/>
      </c>
      <c r="H32" s="1414">
        <f>D32*E32</f>
        <v/>
      </c>
      <c r="I32" s="1414">
        <f>D32*F32</f>
        <v/>
      </c>
      <c r="J32" s="1416">
        <f>D32*$L$14*G32</f>
        <v/>
      </c>
      <c r="N32" s="562" t="n"/>
    </row>
    <row r="33">
      <c r="A33" s="1180">
        <f>'Presupuesto '!B109</f>
        <v/>
      </c>
      <c r="B33" s="609" t="n"/>
      <c r="C33" s="609" t="n"/>
      <c r="D33" s="1411">
        <f>'Presupuesto '!F121/'Presupuesto '!$F$240</f>
        <v/>
      </c>
      <c r="E33" s="1412" t="n"/>
      <c r="F33" s="1412" t="n"/>
      <c r="G33" s="1413">
        <f>F33-E33</f>
        <v/>
      </c>
      <c r="H33" s="1414">
        <f>D33*E33</f>
        <v/>
      </c>
      <c r="I33" s="1414">
        <f>D33*F33</f>
        <v/>
      </c>
      <c r="J33" s="1416">
        <f>D33*$L$14*G33</f>
        <v/>
      </c>
      <c r="N33" s="562" t="n"/>
    </row>
    <row r="34">
      <c r="A34" s="1180">
        <f>'Presupuesto '!B123</f>
        <v/>
      </c>
      <c r="B34" s="609" t="n"/>
      <c r="C34" s="609" t="n"/>
      <c r="D34" s="1411">
        <f>'Presupuesto '!F129/'Presupuesto '!$F$240</f>
        <v/>
      </c>
      <c r="E34" s="1412" t="n"/>
      <c r="F34" s="1412" t="n"/>
      <c r="G34" s="1413">
        <f>F34-E34</f>
        <v/>
      </c>
      <c r="H34" s="1414">
        <f>D34*E34</f>
        <v/>
      </c>
      <c r="I34" s="1414">
        <f>D34*F34</f>
        <v/>
      </c>
      <c r="J34" s="1416">
        <f>D34*$L$14*G34</f>
        <v/>
      </c>
      <c r="N34" s="562" t="n"/>
    </row>
    <row r="35">
      <c r="A35" s="1180">
        <f>'Presupuesto '!B131</f>
        <v/>
      </c>
      <c r="B35" s="609" t="n"/>
      <c r="C35" s="609" t="n"/>
      <c r="D35" s="1411">
        <f>'Presupuesto '!F140/'Presupuesto '!$F$240</f>
        <v/>
      </c>
      <c r="E35" s="1412" t="n"/>
      <c r="F35" s="1412" t="n"/>
      <c r="G35" s="1413">
        <f>F35-E35</f>
        <v/>
      </c>
      <c r="H35" s="1414">
        <f>D35*E35</f>
        <v/>
      </c>
      <c r="I35" s="1414">
        <f>D35*F35</f>
        <v/>
      </c>
      <c r="J35" s="1416">
        <f>D35*$L$14*G35</f>
        <v/>
      </c>
      <c r="N35" s="562" t="n"/>
    </row>
    <row r="36">
      <c r="A36" s="1180">
        <f>'Presupuesto '!B142</f>
        <v/>
      </c>
      <c r="B36" s="609" t="n"/>
      <c r="C36" s="609" t="n"/>
      <c r="D36" s="1411">
        <f>'Presupuesto '!F147/'Presupuesto '!$F$240</f>
        <v/>
      </c>
      <c r="E36" s="1412" t="n"/>
      <c r="F36" s="1412" t="n"/>
      <c r="G36" s="1413">
        <f>F36-E36</f>
        <v/>
      </c>
      <c r="H36" s="1414">
        <f>D36*E36</f>
        <v/>
      </c>
      <c r="I36" s="1414">
        <f>D36*F36</f>
        <v/>
      </c>
      <c r="J36" s="1416">
        <f>D36*$L$14*G36</f>
        <v/>
      </c>
      <c r="N36" s="562" t="n"/>
    </row>
    <row r="37">
      <c r="A37" s="1180">
        <f>'Presupuesto '!B149</f>
        <v/>
      </c>
      <c r="B37" s="609" t="n"/>
      <c r="C37" s="609" t="n"/>
      <c r="D37" s="1411">
        <f>'Presupuesto '!F162/'Presupuesto '!$F$240</f>
        <v/>
      </c>
      <c r="E37" s="1412" t="n"/>
      <c r="F37" s="1412" t="n"/>
      <c r="G37" s="1413">
        <f>F37-E37</f>
        <v/>
      </c>
      <c r="H37" s="1414">
        <f>D37*E37</f>
        <v/>
      </c>
      <c r="I37" s="1414">
        <f>D37*F37</f>
        <v/>
      </c>
      <c r="J37" s="1416">
        <f>D37*$L$14*G37</f>
        <v/>
      </c>
      <c r="N37" s="562" t="n"/>
    </row>
    <row r="38">
      <c r="A38" s="1180">
        <f>'Presupuesto '!B164</f>
        <v/>
      </c>
      <c r="B38" s="609" t="n"/>
      <c r="C38" s="609" t="n"/>
      <c r="D38" s="1411">
        <f>'Presupuesto '!F176/'Presupuesto '!$F$240</f>
        <v/>
      </c>
      <c r="E38" s="1412" t="n"/>
      <c r="F38" s="1412" t="n"/>
      <c r="G38" s="1413">
        <f>F38-E38</f>
        <v/>
      </c>
      <c r="H38" s="1414">
        <f>D38*E38</f>
        <v/>
      </c>
      <c r="I38" s="1414">
        <f>D38*F38</f>
        <v/>
      </c>
      <c r="J38" s="1416">
        <f>D38*$L$14*G38</f>
        <v/>
      </c>
      <c r="N38" s="562" t="n"/>
    </row>
    <row r="39">
      <c r="A39" s="1180">
        <f>'Presupuesto '!B178</f>
        <v/>
      </c>
      <c r="B39" s="609" t="n"/>
      <c r="C39" s="609" t="n"/>
      <c r="D39" s="1411">
        <f>'Presupuesto '!F185/'Presupuesto '!$F$240</f>
        <v/>
      </c>
      <c r="E39" s="1412" t="n"/>
      <c r="F39" s="1412" t="n"/>
      <c r="G39" s="1413">
        <f>F39-E39</f>
        <v/>
      </c>
      <c r="H39" s="1414">
        <f>D39*E39</f>
        <v/>
      </c>
      <c r="I39" s="1414">
        <f>D39*F39</f>
        <v/>
      </c>
      <c r="J39" s="1416">
        <f>D39*$L$14*G39</f>
        <v/>
      </c>
      <c r="N39" s="562" t="n"/>
    </row>
    <row r="40" ht="14.4" customHeight="1" s="550">
      <c r="A40" s="1183">
        <f>'Presupuesto '!B187</f>
        <v/>
      </c>
      <c r="B40" s="567" t="n"/>
      <c r="C40" s="567" t="n"/>
      <c r="D40" s="1411">
        <f>'Presupuesto '!F192/'Presupuesto '!$F$240</f>
        <v/>
      </c>
      <c r="E40" s="1412" t="n"/>
      <c r="F40" s="1412" t="n"/>
      <c r="G40" s="1413">
        <f>F40-E40</f>
        <v/>
      </c>
      <c r="H40" s="1414">
        <f>D40*E40</f>
        <v/>
      </c>
      <c r="I40" s="1414">
        <f>D40*F40</f>
        <v/>
      </c>
      <c r="J40" s="1416">
        <f>D40*$L$14*G40</f>
        <v/>
      </c>
      <c r="N40" s="562" t="n"/>
    </row>
    <row r="41">
      <c r="A41" s="1253">
        <f>'Presupuesto '!B194</f>
        <v/>
      </c>
      <c r="B41" s="1064" t="n"/>
      <c r="C41" s="1064" t="n"/>
      <c r="D41" s="1411">
        <f>'Presupuesto '!F198/'Presupuesto '!$F$240</f>
        <v/>
      </c>
      <c r="E41" s="1417" t="n"/>
      <c r="F41" s="1417" t="n"/>
      <c r="G41" s="1418">
        <f>F41-E41</f>
        <v/>
      </c>
      <c r="H41" s="1414">
        <f>D41*E41</f>
        <v/>
      </c>
      <c r="I41" s="1414">
        <f>D41*F41</f>
        <v/>
      </c>
      <c r="J41" s="1416">
        <f>D41*$L$14*G41</f>
        <v/>
      </c>
      <c r="N41" s="562" t="n"/>
    </row>
    <row r="42" ht="14.4" customHeight="1" s="550">
      <c r="A42" s="1180">
        <f>'Presupuesto '!B200</f>
        <v/>
      </c>
      <c r="B42" s="609" t="n"/>
      <c r="C42" s="609" t="n"/>
      <c r="D42" s="1411">
        <f>'Presupuesto '!F212/'Presupuesto '!$F$240</f>
        <v/>
      </c>
      <c r="E42" s="1419" t="n"/>
      <c r="F42" s="1419" t="n"/>
      <c r="G42" s="1418">
        <f>F42-E42</f>
        <v/>
      </c>
      <c r="H42" s="1414">
        <f>D42*E42</f>
        <v/>
      </c>
      <c r="I42" s="1414">
        <f>D42*F42</f>
        <v/>
      </c>
      <c r="J42" s="1416">
        <f>D42*$L$14*G42</f>
        <v/>
      </c>
      <c r="N42" s="562" t="n"/>
    </row>
    <row r="43" ht="14.4" customHeight="1" s="550">
      <c r="A43" s="1183">
        <f>'Presupuesto '!B214</f>
        <v/>
      </c>
      <c r="B43" s="567" t="n"/>
      <c r="C43" s="567" t="n"/>
      <c r="D43" s="1411">
        <f>'Presupuesto '!F219/'Presupuesto '!$F$240</f>
        <v/>
      </c>
      <c r="E43" s="1412" t="n"/>
      <c r="F43" s="1412" t="n"/>
      <c r="G43" s="1418">
        <f>F43-E43</f>
        <v/>
      </c>
      <c r="H43" s="1414">
        <f>D43*E43</f>
        <v/>
      </c>
      <c r="I43" s="1414">
        <f>D43*F43</f>
        <v/>
      </c>
      <c r="J43" s="1416">
        <f>D43*$L$14*G43</f>
        <v/>
      </c>
      <c r="N43" s="562" t="n"/>
    </row>
    <row r="44" ht="14.4" customHeight="1" s="550">
      <c r="A44" s="1183">
        <f>'Presupuesto '!B221</f>
        <v/>
      </c>
      <c r="B44" s="567" t="n"/>
      <c r="C44" s="567" t="n"/>
      <c r="D44" s="1411">
        <f>'Presupuesto '!F227/'Presupuesto '!$F$240</f>
        <v/>
      </c>
      <c r="E44" s="1412" t="n"/>
      <c r="F44" s="1412" t="n"/>
      <c r="G44" s="1413">
        <f>F44-E44</f>
        <v/>
      </c>
      <c r="H44" s="1414">
        <f>D44*E44</f>
        <v/>
      </c>
      <c r="I44" s="1414">
        <f>D44*F44</f>
        <v/>
      </c>
      <c r="J44" s="1416">
        <f>D44*$L$14*G44</f>
        <v/>
      </c>
      <c r="N44" s="562" t="n"/>
    </row>
    <row r="45">
      <c r="A45" s="1183">
        <f>'Presupuesto '!B229</f>
        <v/>
      </c>
      <c r="B45" s="567" t="n"/>
      <c r="C45" s="567" t="n"/>
      <c r="D45" s="1411">
        <f>'Presupuesto '!F231/'Presupuesto '!$F$240</f>
        <v/>
      </c>
      <c r="E45" s="1420" t="n"/>
      <c r="F45" s="1420" t="n"/>
      <c r="G45" s="1413">
        <f>F45-E45</f>
        <v/>
      </c>
      <c r="H45" s="1414">
        <f>D45*E45</f>
        <v/>
      </c>
      <c r="I45" s="1414">
        <f>D45*F45</f>
        <v/>
      </c>
      <c r="J45" s="1416">
        <f>D45*$L$14*G45</f>
        <v/>
      </c>
      <c r="N45" s="562" t="n"/>
    </row>
    <row r="46" ht="14.4" customHeight="1" s="550">
      <c r="A46" s="1183">
        <f>'Presupuesto '!B233</f>
        <v/>
      </c>
      <c r="B46" s="567" t="n"/>
      <c r="C46" s="567" t="n"/>
      <c r="D46" s="1411">
        <f>'Presupuesto '!F238/'Presupuesto '!$F$240</f>
        <v/>
      </c>
      <c r="E46" s="1412" t="n"/>
      <c r="F46" s="1412" t="n"/>
      <c r="G46" s="1413">
        <f>F46-E46</f>
        <v/>
      </c>
      <c r="H46" s="1414">
        <f>D46*E46</f>
        <v/>
      </c>
      <c r="I46" s="1414">
        <f>D46*F46</f>
        <v/>
      </c>
      <c r="J46" s="1416">
        <f>D46*$L$14*G46</f>
        <v/>
      </c>
      <c r="N46" s="562" t="n"/>
    </row>
    <row r="47">
      <c r="A47" s="1241" t="inlineStr">
        <is>
          <t>TOTAL</t>
        </is>
      </c>
      <c r="B47" s="1217" t="n"/>
      <c r="C47" s="1217" t="n"/>
      <c r="D47" s="269">
        <f>SUM(D25:D46)</f>
        <v/>
      </c>
      <c r="E47" s="1217" t="n"/>
      <c r="F47" s="1217" t="n"/>
      <c r="G47" s="15" t="n"/>
      <c r="H47" s="1421">
        <f>SUM(H25:H46)</f>
        <v/>
      </c>
      <c r="I47" s="1421">
        <f>SUM(I25:I46)</f>
        <v/>
      </c>
      <c r="J47" s="1422">
        <f>SUM(J25:J46)</f>
        <v/>
      </c>
      <c r="N47" s="562" t="n"/>
    </row>
    <row r="48" ht="15.75" customHeight="1" s="550">
      <c r="A48" s="1181" t="inlineStr">
        <is>
          <t>ACTIVIDADES MÁS RELEVANTES DEL PERÍODO</t>
        </is>
      </c>
      <c r="N48" s="562" t="n"/>
    </row>
    <row r="49" ht="14.25" customHeight="1" s="550">
      <c r="A49" s="1237" t="inlineStr">
        <is>
          <t>UBICACIÓN</t>
        </is>
      </c>
      <c r="B49" s="609" t="n"/>
      <c r="C49" s="1222" t="inlineStr">
        <is>
          <t>DESCRIPCIÓN DE LA ACTIVIDAD</t>
        </is>
      </c>
      <c r="D49" s="609" t="n"/>
      <c r="E49" s="609" t="n"/>
      <c r="F49" s="609" t="n"/>
      <c r="G49" s="1222" t="inlineStr">
        <is>
          <t>AVANCE DEL PERÍODO</t>
        </is>
      </c>
      <c r="H49" s="609" t="n"/>
      <c r="I49" s="1222" t="inlineStr">
        <is>
          <t>RESPONSABLE</t>
        </is>
      </c>
      <c r="J49" s="609" t="n"/>
      <c r="K49" s="1423" t="inlineStr">
        <is>
          <t>OBSERVACIONES</t>
        </is>
      </c>
      <c r="L49" s="609" t="n"/>
      <c r="M49" s="609" t="n"/>
      <c r="N49" s="610" t="n"/>
    </row>
    <row r="50">
      <c r="A50" s="1259" t="n"/>
      <c r="B50" s="1126" t="n"/>
      <c r="C50" s="1177" t="n"/>
      <c r="D50" s="567" t="n"/>
      <c r="E50" s="567" t="n"/>
      <c r="F50" s="567" t="n"/>
      <c r="G50" s="1198" t="n"/>
      <c r="H50" s="567" t="n"/>
      <c r="I50" s="1126" t="n"/>
      <c r="J50" s="1126" t="n"/>
      <c r="K50" s="1424" t="n"/>
      <c r="L50" s="567" t="n"/>
      <c r="M50" s="567" t="n"/>
      <c r="N50" s="607" t="n"/>
    </row>
    <row r="51">
      <c r="A51" s="1184" t="n"/>
      <c r="B51" s="1136" t="n"/>
      <c r="C51" s="1177" t="n"/>
      <c r="D51" s="567" t="n"/>
      <c r="E51" s="567" t="n"/>
      <c r="F51" s="567" t="n"/>
      <c r="G51" s="1198" t="n"/>
      <c r="H51" s="567" t="n"/>
      <c r="I51" s="1249" t="n"/>
      <c r="J51" s="1136" t="n"/>
      <c r="K51" s="1425" t="n"/>
      <c r="L51" s="567" t="n"/>
      <c r="M51" s="567" t="n"/>
      <c r="N51" s="607" t="n"/>
    </row>
    <row r="52">
      <c r="A52" s="1191" t="n"/>
      <c r="B52" s="567" t="n"/>
      <c r="C52" s="1177" t="n"/>
      <c r="D52" s="567" t="n"/>
      <c r="E52" s="567" t="n"/>
      <c r="F52" s="567" t="n"/>
      <c r="G52" s="1198" t="n"/>
      <c r="H52" s="567" t="n"/>
      <c r="I52" s="1201" t="n"/>
      <c r="J52" s="567" t="n"/>
      <c r="K52" s="1425" t="n"/>
      <c r="L52" s="567" t="n"/>
      <c r="M52" s="567" t="n"/>
      <c r="N52" s="607" t="n"/>
    </row>
    <row r="53">
      <c r="A53" s="1191" t="n"/>
      <c r="B53" s="567" t="n"/>
      <c r="C53" s="1177" t="n"/>
      <c r="D53" s="567" t="n"/>
      <c r="E53" s="567" t="n"/>
      <c r="F53" s="567" t="n"/>
      <c r="G53" s="1198" t="n"/>
      <c r="H53" s="567" t="n"/>
      <c r="I53" s="1201" t="n"/>
      <c r="J53" s="567" t="n"/>
      <c r="K53" s="1425" t="n"/>
      <c r="L53" s="567" t="n"/>
      <c r="M53" s="567" t="n"/>
      <c r="N53" s="607" t="n"/>
      <c r="S53" s="13" t="n"/>
    </row>
    <row r="54">
      <c r="A54" s="1191" t="n"/>
      <c r="B54" s="567" t="n"/>
      <c r="C54" s="1177" t="n"/>
      <c r="D54" s="567" t="n"/>
      <c r="E54" s="567" t="n"/>
      <c r="F54" s="567" t="n"/>
      <c r="G54" s="1198" t="n"/>
      <c r="H54" s="567" t="n"/>
      <c r="I54" s="1201" t="n"/>
      <c r="J54" s="567" t="n"/>
      <c r="K54" s="1425" t="n"/>
      <c r="L54" s="567" t="n"/>
      <c r="M54" s="567" t="n"/>
      <c r="N54" s="607" t="n"/>
    </row>
    <row r="55">
      <c r="A55" s="1191" t="n"/>
      <c r="B55" s="567" t="n"/>
      <c r="C55" s="1177" t="n"/>
      <c r="D55" s="567" t="n"/>
      <c r="E55" s="567" t="n"/>
      <c r="F55" s="567" t="n"/>
      <c r="G55" s="1198" t="n"/>
      <c r="H55" s="567" t="n"/>
      <c r="I55" s="1201" t="n"/>
      <c r="J55" s="567" t="n"/>
      <c r="K55" s="1425" t="n"/>
      <c r="L55" s="567" t="n"/>
      <c r="M55" s="567" t="n"/>
      <c r="N55" s="607" t="n"/>
    </row>
    <row r="56">
      <c r="A56" s="1191" t="n"/>
      <c r="B56" s="567" t="n"/>
      <c r="C56" s="1177" t="n"/>
      <c r="D56" s="567" t="n"/>
      <c r="E56" s="567" t="n"/>
      <c r="F56" s="567" t="n"/>
      <c r="G56" s="1198" t="n"/>
      <c r="H56" s="567" t="n"/>
      <c r="I56" s="1201" t="n"/>
      <c r="J56" s="567" t="n"/>
      <c r="K56" s="1425" t="n"/>
      <c r="L56" s="567" t="n"/>
      <c r="M56" s="567" t="n"/>
      <c r="N56" s="607" t="n"/>
    </row>
    <row r="57">
      <c r="A57" s="1191" t="n"/>
      <c r="B57" s="567" t="n"/>
      <c r="C57" s="1177" t="n"/>
      <c r="D57" s="567" t="n"/>
      <c r="E57" s="567" t="n"/>
      <c r="F57" s="567" t="n"/>
      <c r="G57" s="1198" t="n"/>
      <c r="H57" s="567" t="n"/>
      <c r="I57" s="1201" t="n"/>
      <c r="J57" s="567" t="n"/>
      <c r="K57" s="1425" t="n"/>
      <c r="L57" s="567" t="n"/>
      <c r="M57" s="567" t="n"/>
      <c r="N57" s="607" t="n"/>
    </row>
    <row r="58">
      <c r="A58" s="1191" t="n"/>
      <c r="B58" s="567" t="n"/>
      <c r="C58" s="1177" t="n"/>
      <c r="D58" s="567" t="n"/>
      <c r="E58" s="567" t="n"/>
      <c r="F58" s="567" t="n"/>
      <c r="G58" s="1198" t="n"/>
      <c r="H58" s="567" t="n"/>
      <c r="I58" s="1201" t="n"/>
      <c r="J58" s="567" t="n"/>
      <c r="K58" s="1425" t="n"/>
      <c r="L58" s="567" t="n"/>
      <c r="M58" s="567" t="n"/>
      <c r="N58" s="607" t="n"/>
    </row>
    <row r="59" ht="14.4" customHeight="1" s="550">
      <c r="A59" s="1186" t="inlineStr">
        <is>
          <t>AVANCE FINANCIERO Y ADMINISTRATIVO</t>
        </is>
      </c>
      <c r="B59" s="1064" t="n"/>
      <c r="C59" s="1064" t="n"/>
      <c r="D59" s="1064" t="n"/>
      <c r="E59" s="1064" t="n"/>
      <c r="F59" s="1064" t="n"/>
      <c r="G59" s="1064" t="n"/>
      <c r="H59" s="1064" t="n"/>
      <c r="I59" s="1064" t="n"/>
      <c r="J59" s="1064" t="n"/>
      <c r="K59" s="1064" t="n"/>
      <c r="L59" s="1064" t="n"/>
      <c r="M59" s="1064" t="n"/>
      <c r="N59" s="1065" t="n"/>
    </row>
    <row r="60" ht="14.4" customHeight="1" s="550">
      <c r="A60" s="1210" t="inlineStr">
        <is>
          <t>INGRESOS DEL PERÍODO</t>
        </is>
      </c>
      <c r="B60" s="567" t="n"/>
      <c r="C60" s="567" t="n"/>
      <c r="D60" s="567" t="n"/>
      <c r="E60" s="567" t="n"/>
      <c r="F60" s="567" t="n"/>
      <c r="G60" s="383" t="n"/>
      <c r="H60" s="1228" t="inlineStr">
        <is>
          <t>EGRESOS / GASTOS DEL PERÍODO</t>
        </is>
      </c>
      <c r="N60" s="562" t="n"/>
    </row>
    <row r="61">
      <c r="A61" s="1251" t="inlineStr">
        <is>
          <t>CONCEPTO</t>
        </is>
      </c>
      <c r="B61" s="567" t="n"/>
      <c r="C61" s="567" t="n"/>
      <c r="D61" s="1426" t="inlineStr">
        <is>
          <t>FECHA</t>
        </is>
      </c>
      <c r="E61" s="1427" t="inlineStr">
        <is>
          <t>VALOR ($)</t>
        </is>
      </c>
      <c r="F61" s="567" t="n"/>
      <c r="G61" s="385" t="n"/>
      <c r="H61" s="1238" t="inlineStr">
        <is>
          <t>CONCEPTO</t>
        </is>
      </c>
      <c r="I61" s="567" t="n"/>
      <c r="J61" s="567" t="n"/>
      <c r="K61" s="1260" t="inlineStr">
        <is>
          <t>FECHA</t>
        </is>
      </c>
      <c r="L61" s="609" t="n"/>
      <c r="M61" s="1428" t="inlineStr">
        <is>
          <t>VALOR ($)</t>
        </is>
      </c>
      <c r="N61" s="610" t="n"/>
    </row>
    <row r="62">
      <c r="A62" s="1202" t="n"/>
      <c r="B62" s="567" t="n"/>
      <c r="C62" s="567" t="n"/>
      <c r="D62" s="1429" t="n"/>
      <c r="E62" s="1430" t="n"/>
      <c r="F62" s="567" t="n"/>
      <c r="G62" s="383" t="n"/>
      <c r="H62" s="1192" t="n"/>
      <c r="I62" s="567" t="n"/>
      <c r="J62" s="567" t="n"/>
      <c r="K62" s="1219" t="n"/>
      <c r="L62" s="567" t="n"/>
      <c r="M62" s="1431" t="n"/>
      <c r="N62" s="607" t="n"/>
    </row>
    <row r="63">
      <c r="A63" s="1202" t="n"/>
      <c r="B63" s="567" t="n"/>
      <c r="C63" s="567" t="n"/>
      <c r="D63" s="1429" t="n"/>
      <c r="E63" s="1430" t="n"/>
      <c r="F63" s="567" t="n"/>
      <c r="G63" s="383" t="n"/>
      <c r="H63" s="1192" t="n"/>
      <c r="I63" s="567" t="n"/>
      <c r="J63" s="567" t="n"/>
      <c r="K63" s="1219" t="n"/>
      <c r="L63" s="567" t="n"/>
      <c r="M63" s="1431" t="n"/>
      <c r="N63" s="607" t="n"/>
    </row>
    <row r="64">
      <c r="A64" s="1202" t="n"/>
      <c r="B64" s="567" t="n"/>
      <c r="C64" s="567" t="n"/>
      <c r="D64" s="1429" t="n"/>
      <c r="E64" s="1430" t="n"/>
      <c r="F64" s="567" t="n"/>
      <c r="G64" s="383" t="n"/>
      <c r="H64" s="1192" t="n"/>
      <c r="I64" s="567" t="n"/>
      <c r="J64" s="567" t="n"/>
      <c r="K64" s="1219" t="n"/>
      <c r="L64" s="567" t="n"/>
      <c r="M64" s="1431" t="n"/>
      <c r="N64" s="607" t="n"/>
    </row>
    <row r="65">
      <c r="A65" s="1202" t="n"/>
      <c r="B65" s="567" t="n"/>
      <c r="C65" s="567" t="n"/>
      <c r="D65" s="1429" t="n"/>
      <c r="E65" s="1430" t="n"/>
      <c r="F65" s="567" t="n"/>
      <c r="G65" s="383" t="n"/>
      <c r="H65" s="1192" t="n"/>
      <c r="I65" s="567" t="n"/>
      <c r="J65" s="567" t="n"/>
      <c r="K65" s="1219" t="n"/>
      <c r="L65" s="567" t="n"/>
      <c r="M65" s="1431" t="n"/>
      <c r="N65" s="607" t="n"/>
    </row>
    <row r="66">
      <c r="A66" s="1202" t="n"/>
      <c r="B66" s="567" t="n"/>
      <c r="C66" s="567" t="n"/>
      <c r="D66" s="1429" t="n"/>
      <c r="E66" s="1430" t="n"/>
      <c r="F66" s="567" t="n"/>
      <c r="G66" s="383" t="n"/>
      <c r="H66" s="1192" t="n"/>
      <c r="I66" s="567" t="n"/>
      <c r="J66" s="567" t="n"/>
      <c r="K66" s="1219" t="n"/>
      <c r="L66" s="567" t="n"/>
      <c r="M66" s="1431" t="n"/>
      <c r="N66" s="607" t="n"/>
    </row>
    <row r="67" ht="14.4" customHeight="1" s="550">
      <c r="A67" s="1257" t="inlineStr">
        <is>
          <t>TOTAL INGRESOS</t>
        </is>
      </c>
      <c r="B67" s="1217" t="n"/>
      <c r="C67" s="1217" t="n"/>
      <c r="D67" s="1217" t="n"/>
      <c r="E67" s="1433">
        <f>SUM(E62:F66)</f>
        <v/>
      </c>
      <c r="F67" s="1217" t="n"/>
      <c r="G67" s="386" t="n"/>
      <c r="H67" s="1235" t="inlineStr">
        <is>
          <t>TOTAL EGRESOS</t>
        </is>
      </c>
      <c r="I67" s="1064" t="n"/>
      <c r="J67" s="1064" t="n"/>
      <c r="K67" s="1064" t="n"/>
      <c r="L67" s="1064" t="n"/>
      <c r="M67" s="1434">
        <f>SUM(M62:N66)</f>
        <v/>
      </c>
      <c r="N67" s="1065" t="n"/>
    </row>
    <row r="68" ht="15.75" customHeight="1" s="550">
      <c r="A68" s="1181" t="inlineStr">
        <is>
          <t>ASPECTOS HSE Y AMBIENTALES</t>
        </is>
      </c>
      <c r="N68" s="562" t="n"/>
    </row>
    <row r="69" ht="14.25" customHeight="1" s="550">
      <c r="A69" s="1221" t="inlineStr">
        <is>
          <t>HORAS HOMBRE TRABAJADAS</t>
        </is>
      </c>
      <c r="B69" s="567" t="n"/>
      <c r="C69" s="567" t="n"/>
      <c r="D69" s="567" t="n"/>
      <c r="E69" s="567" t="n"/>
      <c r="F69" s="567" t="n"/>
      <c r="G69" s="567" t="n"/>
      <c r="H69" s="567" t="n"/>
      <c r="I69" s="567" t="n"/>
      <c r="J69" s="567" t="n"/>
      <c r="K69" s="567" t="n"/>
      <c r="L69" s="567" t="n"/>
      <c r="M69" s="567" t="n"/>
      <c r="N69" s="607" t="n"/>
    </row>
    <row r="70">
      <c r="A70" s="1256" t="n"/>
      <c r="B70" s="567" t="n"/>
      <c r="C70" s="567" t="n"/>
      <c r="D70" s="567" t="n"/>
      <c r="E70" s="567" t="n"/>
      <c r="F70" s="567" t="n"/>
      <c r="G70" s="567" t="n"/>
      <c r="H70" s="567" t="n"/>
      <c r="I70" s="567" t="n"/>
      <c r="J70" s="567" t="n"/>
      <c r="K70" s="567" t="n"/>
      <c r="L70" s="567" t="n"/>
      <c r="M70" s="567" t="n"/>
      <c r="N70" s="607" t="n"/>
    </row>
    <row r="71" ht="14.25" customHeight="1" s="550">
      <c r="A71" s="1435" t="inlineStr">
        <is>
          <t>OBSERVACIONES HSE</t>
        </is>
      </c>
      <c r="N71" s="562" t="n"/>
    </row>
    <row r="72">
      <c r="A72" s="1436" t="n"/>
      <c r="N72" s="562" t="n"/>
    </row>
    <row r="73">
      <c r="A73" s="1207" t="inlineStr">
        <is>
          <t>INSERTAR FOTOGRAFÍA</t>
        </is>
      </c>
      <c r="B73" s="776" t="n"/>
      <c r="C73" s="776" t="n"/>
      <c r="D73" s="776" t="n"/>
      <c r="E73" s="776" t="n"/>
      <c r="F73" s="776" t="n"/>
      <c r="G73" s="777" t="n"/>
      <c r="H73" s="1189" t="inlineStr">
        <is>
          <t>INSERTAR FOTOGRAFÍA</t>
        </is>
      </c>
      <c r="I73" s="776" t="n"/>
      <c r="J73" s="776" t="n"/>
      <c r="K73" s="776" t="n"/>
      <c r="L73" s="776" t="n"/>
      <c r="M73" s="776" t="n"/>
      <c r="N73" s="777" t="n"/>
    </row>
    <row r="74" ht="14.25" customHeight="1" s="550">
      <c r="A74" s="1066" t="n"/>
      <c r="G74" s="780" t="n"/>
      <c r="H74" s="778" t="n"/>
      <c r="N74" s="780" t="n"/>
    </row>
    <row r="75">
      <c r="A75" s="1066" t="n"/>
      <c r="G75" s="780" t="n"/>
      <c r="H75" s="778" t="n"/>
      <c r="N75" s="780" t="n"/>
    </row>
    <row r="76">
      <c r="A76" s="1066" t="n"/>
      <c r="G76" s="780" t="n"/>
      <c r="H76" s="778" t="n"/>
      <c r="N76" s="780" t="n"/>
    </row>
    <row r="77" ht="14.25" customHeight="1" s="550">
      <c r="A77" s="1066" t="n"/>
      <c r="G77" s="780" t="n"/>
      <c r="H77" s="778" t="n"/>
      <c r="N77" s="780" t="n"/>
    </row>
    <row r="78">
      <c r="A78" s="1066" t="n"/>
      <c r="G78" s="780" t="n"/>
      <c r="H78" s="778" t="n"/>
      <c r="N78" s="780" t="n"/>
    </row>
    <row r="79">
      <c r="A79" s="1066" t="n"/>
      <c r="G79" s="780" t="n"/>
      <c r="H79" s="778" t="n"/>
      <c r="N79" s="780" t="n"/>
    </row>
    <row r="80" ht="15.75" customHeight="1" s="550">
      <c r="A80" s="1066" t="n"/>
      <c r="G80" s="780" t="n"/>
      <c r="H80" s="778" t="n"/>
      <c r="N80" s="780" t="n"/>
    </row>
    <row r="81" ht="14.4" customHeight="1" s="550">
      <c r="A81" s="1066" t="n"/>
      <c r="G81" s="780" t="n"/>
      <c r="H81" s="778" t="n"/>
      <c r="N81" s="780" t="n"/>
    </row>
    <row r="82">
      <c r="A82" s="1066" t="n"/>
      <c r="G82" s="780" t="n"/>
      <c r="H82" s="778" t="n"/>
      <c r="N82" s="780" t="n"/>
    </row>
    <row r="83">
      <c r="A83" s="1066" t="n"/>
      <c r="G83" s="780" t="n"/>
      <c r="H83" s="778" t="n"/>
      <c r="N83" s="780" t="n"/>
    </row>
    <row r="84">
      <c r="A84" s="1066" t="n"/>
      <c r="G84" s="780" t="n"/>
      <c r="H84" s="778" t="n"/>
      <c r="N84" s="780" t="n"/>
    </row>
    <row r="85">
      <c r="A85" s="1066" t="n"/>
      <c r="G85" s="780" t="n"/>
      <c r="H85" s="778" t="n"/>
      <c r="N85" s="780" t="n"/>
    </row>
    <row r="86">
      <c r="A86" s="1208" t="n"/>
      <c r="B86" s="782" t="n"/>
      <c r="C86" s="782" t="n"/>
      <c r="D86" s="782" t="n"/>
      <c r="E86" s="782" t="n"/>
      <c r="F86" s="782" t="n"/>
      <c r="G86" s="783" t="n"/>
      <c r="H86" s="781" t="n"/>
      <c r="I86" s="782" t="n"/>
      <c r="J86" s="782" t="n"/>
      <c r="K86" s="782" t="n"/>
      <c r="L86" s="782" t="n"/>
      <c r="M86" s="782" t="n"/>
      <c r="N86" s="783" t="n"/>
    </row>
    <row r="87">
      <c r="A87" s="1404" t="n"/>
      <c r="H87" s="1404" t="n"/>
    </row>
    <row r="88"/>
    <row r="89">
      <c r="A89" s="1207" t="inlineStr">
        <is>
          <t>INSERTAR FOTOGRAFÍA</t>
        </is>
      </c>
      <c r="B89" s="776" t="n"/>
      <c r="C89" s="776" t="n"/>
      <c r="D89" s="776" t="n"/>
      <c r="E89" s="776" t="n"/>
      <c r="F89" s="776" t="n"/>
      <c r="G89" s="777" t="n"/>
      <c r="H89" s="1189" t="inlineStr">
        <is>
          <t>INSERTAR FOTOGRAFÍA</t>
        </is>
      </c>
      <c r="I89" s="776" t="n"/>
      <c r="J89" s="776" t="n"/>
      <c r="K89" s="776" t="n"/>
      <c r="L89" s="776" t="n"/>
      <c r="M89" s="776" t="n"/>
      <c r="N89" s="777" t="n"/>
    </row>
    <row r="90">
      <c r="A90" s="1066" t="n"/>
      <c r="G90" s="780" t="n"/>
      <c r="H90" s="778" t="n"/>
      <c r="N90" s="780" t="n"/>
    </row>
    <row r="91">
      <c r="A91" s="1066" t="n"/>
      <c r="G91" s="780" t="n"/>
      <c r="H91" s="778" t="n"/>
      <c r="N91" s="780" t="n"/>
    </row>
    <row r="92">
      <c r="A92" s="1066" t="n"/>
      <c r="G92" s="780" t="n"/>
      <c r="H92" s="778" t="n"/>
      <c r="N92" s="780" t="n"/>
    </row>
    <row r="93">
      <c r="A93" s="1066" t="n"/>
      <c r="G93" s="780" t="n"/>
      <c r="H93" s="778" t="n"/>
      <c r="N93" s="780" t="n"/>
    </row>
    <row r="94">
      <c r="A94" s="1066" t="n"/>
      <c r="G94" s="780" t="n"/>
      <c r="H94" s="778" t="n"/>
      <c r="N94" s="780" t="n"/>
    </row>
    <row r="95">
      <c r="A95" s="1066" t="n"/>
      <c r="G95" s="780" t="n"/>
      <c r="H95" s="778" t="n"/>
      <c r="N95" s="780" t="n"/>
    </row>
    <row r="96">
      <c r="A96" s="1066" t="n"/>
      <c r="G96" s="780" t="n"/>
      <c r="H96" s="778" t="n"/>
      <c r="N96" s="780" t="n"/>
    </row>
    <row r="97">
      <c r="A97" s="1066" t="n"/>
      <c r="G97" s="780" t="n"/>
      <c r="H97" s="778" t="n"/>
      <c r="N97" s="780" t="n"/>
    </row>
    <row r="98">
      <c r="A98" s="1066" t="n"/>
      <c r="G98" s="780" t="n"/>
      <c r="H98" s="778" t="n"/>
      <c r="N98" s="780" t="n"/>
    </row>
    <row r="99">
      <c r="A99" s="1066" t="n"/>
      <c r="G99" s="780" t="n"/>
      <c r="H99" s="778" t="n"/>
      <c r="N99" s="780" t="n"/>
    </row>
    <row r="100">
      <c r="A100" s="1066" t="n"/>
      <c r="G100" s="780" t="n"/>
      <c r="H100" s="778" t="n"/>
      <c r="N100" s="780" t="n"/>
    </row>
    <row r="101">
      <c r="A101" s="1066" t="n"/>
      <c r="G101" s="780" t="n"/>
      <c r="H101" s="778" t="n"/>
      <c r="N101" s="780" t="n"/>
    </row>
    <row r="102">
      <c r="A102" s="1208" t="n"/>
      <c r="B102" s="782" t="n"/>
      <c r="C102" s="782" t="n"/>
      <c r="D102" s="782" t="n"/>
      <c r="E102" s="782" t="n"/>
      <c r="F102" s="782" t="n"/>
      <c r="G102" s="783" t="n"/>
      <c r="H102" s="781" t="n"/>
      <c r="I102" s="782" t="n"/>
      <c r="J102" s="782" t="n"/>
      <c r="K102" s="782" t="n"/>
      <c r="L102" s="782" t="n"/>
      <c r="M102" s="782" t="n"/>
      <c r="N102" s="783" t="n"/>
    </row>
    <row r="103">
      <c r="A103" s="1404" t="n"/>
      <c r="H103" s="1404" t="n"/>
    </row>
    <row r="104"/>
    <row r="105">
      <c r="A105" s="1207" t="inlineStr">
        <is>
          <t>INSERTAR FOTOGRAFÍA</t>
        </is>
      </c>
      <c r="B105" s="776" t="n"/>
      <c r="C105" s="776" t="n"/>
      <c r="D105" s="776" t="n"/>
      <c r="E105" s="776" t="n"/>
      <c r="F105" s="776" t="n"/>
      <c r="G105" s="777" t="n"/>
      <c r="H105" s="1189" t="inlineStr">
        <is>
          <t>INSERTAR FOTOGRAFÍA</t>
        </is>
      </c>
      <c r="I105" s="776" t="n"/>
      <c r="J105" s="776" t="n"/>
      <c r="K105" s="776" t="n"/>
      <c r="L105" s="776" t="n"/>
      <c r="M105" s="776" t="n"/>
      <c r="N105" s="777" t="n"/>
    </row>
    <row r="106">
      <c r="A106" s="1066" t="n"/>
      <c r="G106" s="780" t="n"/>
      <c r="H106" s="778" t="n"/>
      <c r="N106" s="780" t="n"/>
    </row>
    <row r="107">
      <c r="A107" s="1066" t="n"/>
      <c r="G107" s="780" t="n"/>
      <c r="H107" s="778" t="n"/>
      <c r="N107" s="780" t="n"/>
    </row>
    <row r="108">
      <c r="A108" s="1066" t="n"/>
      <c r="G108" s="780" t="n"/>
      <c r="H108" s="778" t="n"/>
      <c r="N108" s="780" t="n"/>
    </row>
    <row r="109">
      <c r="A109" s="1066" t="n"/>
      <c r="G109" s="780" t="n"/>
      <c r="H109" s="778" t="n"/>
      <c r="N109" s="780" t="n"/>
    </row>
    <row r="110">
      <c r="A110" s="1066" t="n"/>
      <c r="G110" s="780" t="n"/>
      <c r="H110" s="778" t="n"/>
      <c r="N110" s="780" t="n"/>
    </row>
    <row r="111">
      <c r="A111" s="1066" t="n"/>
      <c r="G111" s="780" t="n"/>
      <c r="H111" s="778" t="n"/>
      <c r="N111" s="780" t="n"/>
    </row>
    <row r="112">
      <c r="A112" s="1066" t="n"/>
      <c r="G112" s="780" t="n"/>
      <c r="H112" s="778" t="n"/>
      <c r="N112" s="780" t="n"/>
    </row>
    <row r="113">
      <c r="A113" s="1066" t="n"/>
      <c r="G113" s="780" t="n"/>
      <c r="H113" s="778" t="n"/>
      <c r="N113" s="780" t="n"/>
    </row>
    <row r="114">
      <c r="A114" s="1066" t="n"/>
      <c r="G114" s="780" t="n"/>
      <c r="H114" s="778" t="n"/>
      <c r="N114" s="780" t="n"/>
    </row>
    <row r="115">
      <c r="A115" s="1066" t="n"/>
      <c r="G115" s="780" t="n"/>
      <c r="H115" s="778" t="n"/>
      <c r="N115" s="780" t="n"/>
    </row>
    <row r="116">
      <c r="A116" s="1066" t="n"/>
      <c r="G116" s="780" t="n"/>
      <c r="H116" s="778" t="n"/>
      <c r="N116" s="780" t="n"/>
    </row>
    <row r="117">
      <c r="A117" s="1066" t="n"/>
      <c r="G117" s="780" t="n"/>
      <c r="H117" s="778" t="n"/>
      <c r="N117" s="780" t="n"/>
    </row>
    <row r="118">
      <c r="A118" s="1208" t="n"/>
      <c r="B118" s="782" t="n"/>
      <c r="C118" s="782" t="n"/>
      <c r="D118" s="782" t="n"/>
      <c r="E118" s="782" t="n"/>
      <c r="F118" s="782" t="n"/>
      <c r="G118" s="783" t="n"/>
      <c r="H118" s="781" t="n"/>
      <c r="I118" s="782" t="n"/>
      <c r="J118" s="782" t="n"/>
      <c r="K118" s="782" t="n"/>
      <c r="L118" s="782" t="n"/>
      <c r="M118" s="782" t="n"/>
      <c r="N118" s="783" t="n"/>
    </row>
    <row r="119">
      <c r="A119" s="1404" t="n"/>
      <c r="H119" s="1404" t="n"/>
    </row>
    <row r="120"/>
    <row r="121">
      <c r="A121" s="1254" t="n"/>
      <c r="G121" s="780" t="n"/>
      <c r="H121" s="1226" t="n"/>
      <c r="N121" s="780" t="n"/>
    </row>
    <row r="122">
      <c r="A122" s="1250" t="inlineStr">
        <is>
          <t>FIRMAS</t>
        </is>
      </c>
      <c r="N122" s="1100" t="n"/>
    </row>
    <row r="123" ht="14.4" customHeight="1" s="550">
      <c r="A123" s="1258" t="inlineStr">
        <is>
          <t>ELABORADO POR</t>
        </is>
      </c>
      <c r="E123" s="1218" t="inlineStr">
        <is>
          <t>REVISADO POR</t>
        </is>
      </c>
      <c r="J123" s="1220" t="inlineStr">
        <is>
          <t>APROBADO POR</t>
        </is>
      </c>
      <c r="N123" s="562" t="n"/>
    </row>
    <row r="124">
      <c r="A124" s="1255" t="inlineStr">
        <is>
          <t>FIRMA:</t>
        </is>
      </c>
      <c r="B124" s="1179" t="n"/>
      <c r="C124" s="1064" t="n"/>
      <c r="D124" s="1064" t="n"/>
      <c r="E124" s="1229" t="inlineStr">
        <is>
          <t>FIRMA:</t>
        </is>
      </c>
      <c r="F124" s="1179" t="n"/>
      <c r="G124" s="1064" t="n"/>
      <c r="H124" s="1064" t="n"/>
      <c r="I124" s="1064" t="n"/>
      <c r="J124" s="1229" t="inlineStr">
        <is>
          <t>FIRMA:</t>
        </is>
      </c>
      <c r="K124" s="1214" t="n"/>
      <c r="N124" s="562" t="n"/>
    </row>
    <row r="125">
      <c r="A125" s="1077" t="n"/>
      <c r="B125" s="609" t="n"/>
      <c r="C125" s="609" t="n"/>
      <c r="D125" s="609" t="n"/>
      <c r="E125" s="609" t="n"/>
      <c r="F125" s="609" t="n"/>
      <c r="G125" s="609" t="n"/>
      <c r="H125" s="609" t="n"/>
      <c r="I125" s="609" t="n"/>
      <c r="J125" s="609" t="n"/>
      <c r="N125" s="562" t="n"/>
    </row>
    <row r="126">
      <c r="A126" s="1255" t="inlineStr">
        <is>
          <t>NOMBRE:</t>
        </is>
      </c>
      <c r="B126" s="1179" t="n"/>
      <c r="C126" s="1064" t="n"/>
      <c r="D126" s="1064" t="n"/>
      <c r="E126" s="1229" t="inlineStr">
        <is>
          <t>NOMBRE:</t>
        </is>
      </c>
      <c r="F126" s="1179" t="n"/>
      <c r="G126" s="1064" t="n"/>
      <c r="H126" s="1064" t="n"/>
      <c r="I126" s="1064" t="n"/>
      <c r="J126" s="1229" t="inlineStr">
        <is>
          <t>NOMBRE:</t>
        </is>
      </c>
      <c r="K126" s="1214" t="n"/>
      <c r="N126" s="562" t="n"/>
    </row>
    <row r="127">
      <c r="A127" s="1077" t="n"/>
      <c r="B127" s="609" t="n"/>
      <c r="C127" s="609" t="n"/>
      <c r="D127" s="609" t="n"/>
      <c r="E127" s="609" t="n"/>
      <c r="F127" s="609" t="n"/>
      <c r="G127" s="609" t="n"/>
      <c r="H127" s="609" t="n"/>
      <c r="I127" s="609" t="n"/>
      <c r="J127" s="609" t="n"/>
      <c r="N127" s="562" t="n"/>
    </row>
    <row r="128">
      <c r="A128" s="1178" t="inlineStr">
        <is>
          <t>CARGO:</t>
        </is>
      </c>
      <c r="B128" s="1211" t="n"/>
      <c r="C128" s="1064" t="n"/>
      <c r="D128" s="1064" t="n"/>
      <c r="E128" s="1200" t="inlineStr">
        <is>
          <t>CARGO:</t>
        </is>
      </c>
      <c r="F128" s="1211" t="n"/>
      <c r="G128" s="1064" t="n"/>
      <c r="H128" s="1064" t="n"/>
      <c r="I128" s="1064" t="n"/>
      <c r="J128" s="1200" t="inlineStr">
        <is>
          <t>CARGO:</t>
        </is>
      </c>
      <c r="K128" s="1231" t="n"/>
      <c r="N128" s="562" t="n"/>
    </row>
    <row r="129">
      <c r="A129" s="1067" t="n"/>
      <c r="B129" s="557" t="n"/>
      <c r="C129" s="557" t="n"/>
      <c r="D129" s="557" t="n"/>
      <c r="E129" s="557" t="n"/>
      <c r="F129" s="557" t="n"/>
      <c r="G129" s="557" t="n"/>
      <c r="H129" s="557" t="n"/>
      <c r="I129" s="557" t="n"/>
      <c r="J129" s="557" t="n"/>
      <c r="K129" s="557" t="n"/>
      <c r="L129" s="557" t="n"/>
      <c r="M129" s="557" t="n"/>
      <c r="N129" s="763" t="n"/>
    </row>
    <row r="130">
      <c r="A130" s="205" t="inlineStr">
        <is>
          <t>REV. 10/09/2026</t>
        </is>
      </c>
      <c r="N130" s="215">
        <f>M8</f>
        <v/>
      </c>
      <c r="O130" s="24" t="n"/>
    </row>
    <row r="131">
      <c r="N131" s="216" t="n"/>
      <c r="O131" s="25" t="n"/>
    </row>
  </sheetData>
  <mergeCells count="221">
    <mergeCell ref="C52:F52"/>
    <mergeCell ref="A128:A129"/>
    <mergeCell ref="B124:D125"/>
    <mergeCell ref="A37:C37"/>
    <mergeCell ref="A48:N48"/>
    <mergeCell ref="A46:C46"/>
    <mergeCell ref="A51:B51"/>
    <mergeCell ref="E62:F62"/>
    <mergeCell ref="A59:N59"/>
    <mergeCell ref="E23:E24"/>
    <mergeCell ref="A21:C21"/>
    <mergeCell ref="F124:I125"/>
    <mergeCell ref="A26:C26"/>
    <mergeCell ref="A13:D13"/>
    <mergeCell ref="E64:F64"/>
    <mergeCell ref="A54:B54"/>
    <mergeCell ref="H105:N118"/>
    <mergeCell ref="H66:J66"/>
    <mergeCell ref="H22:J22"/>
    <mergeCell ref="F126:I127"/>
    <mergeCell ref="M10:N10"/>
    <mergeCell ref="E63:F63"/>
    <mergeCell ref="K49:N49"/>
    <mergeCell ref="G57:H57"/>
    <mergeCell ref="A15:D15"/>
    <mergeCell ref="A56:B56"/>
    <mergeCell ref="J27:N27"/>
    <mergeCell ref="J128:J129"/>
    <mergeCell ref="A43:C43"/>
    <mergeCell ref="I58:J58"/>
    <mergeCell ref="E65:F65"/>
    <mergeCell ref="J35:N35"/>
    <mergeCell ref="A63:C63"/>
    <mergeCell ref="J20:N20"/>
    <mergeCell ref="J25:N25"/>
    <mergeCell ref="G58:H58"/>
    <mergeCell ref="C54:F54"/>
    <mergeCell ref="A71:N71"/>
    <mergeCell ref="A16:D16"/>
    <mergeCell ref="I52:J52"/>
    <mergeCell ref="A34:C34"/>
    <mergeCell ref="M8:N8"/>
    <mergeCell ref="A53:B53"/>
    <mergeCell ref="C50:F50"/>
    <mergeCell ref="A60:F60"/>
    <mergeCell ref="C56:F56"/>
    <mergeCell ref="B128:D129"/>
    <mergeCell ref="K58:N58"/>
    <mergeCell ref="M62:N62"/>
    <mergeCell ref="J46:N46"/>
    <mergeCell ref="H23:H24"/>
    <mergeCell ref="A89:G102"/>
    <mergeCell ref="H103:N104"/>
    <mergeCell ref="H64:J64"/>
    <mergeCell ref="K124:N125"/>
    <mergeCell ref="F128:I129"/>
    <mergeCell ref="J39:N39"/>
    <mergeCell ref="L15:N15"/>
    <mergeCell ref="A66:C66"/>
    <mergeCell ref="G23:G24"/>
    <mergeCell ref="E8:K9"/>
    <mergeCell ref="J29:N29"/>
    <mergeCell ref="K53:N53"/>
    <mergeCell ref="E67:F67"/>
    <mergeCell ref="J38:N38"/>
    <mergeCell ref="K126:N127"/>
    <mergeCell ref="E123:I123"/>
    <mergeCell ref="K64:L64"/>
    <mergeCell ref="E128:E129"/>
    <mergeCell ref="M64:N64"/>
    <mergeCell ref="J40:N40"/>
    <mergeCell ref="I57:J57"/>
    <mergeCell ref="J123:N123"/>
    <mergeCell ref="A69:N69"/>
    <mergeCell ref="I54:J54"/>
    <mergeCell ref="I14:K14"/>
    <mergeCell ref="A32:C32"/>
    <mergeCell ref="K63:L63"/>
    <mergeCell ref="A29:C29"/>
    <mergeCell ref="I56:J56"/>
    <mergeCell ref="A38:C38"/>
    <mergeCell ref="E14:H14"/>
    <mergeCell ref="G49:H49"/>
    <mergeCell ref="J26:N26"/>
    <mergeCell ref="M65:N65"/>
    <mergeCell ref="A44:C44"/>
    <mergeCell ref="A12:N12"/>
    <mergeCell ref="A31:C31"/>
    <mergeCell ref="K51:N51"/>
    <mergeCell ref="A40:C40"/>
    <mergeCell ref="H121:N121"/>
    <mergeCell ref="J23:N24"/>
    <mergeCell ref="H60:N60"/>
    <mergeCell ref="E124:E125"/>
    <mergeCell ref="K50:N50"/>
    <mergeCell ref="H89:N102"/>
    <mergeCell ref="K128:N129"/>
    <mergeCell ref="E1:N5"/>
    <mergeCell ref="A52:B52"/>
    <mergeCell ref="H87:N88"/>
    <mergeCell ref="K56:N56"/>
    <mergeCell ref="K66:L66"/>
    <mergeCell ref="D23:D24"/>
    <mergeCell ref="M66:N66"/>
    <mergeCell ref="E126:E127"/>
    <mergeCell ref="J42:N42"/>
    <mergeCell ref="E66:F66"/>
    <mergeCell ref="M63:N63"/>
    <mergeCell ref="K52:N52"/>
    <mergeCell ref="D21:F21"/>
    <mergeCell ref="A105:G118"/>
    <mergeCell ref="A23:C24"/>
    <mergeCell ref="A25:C25"/>
    <mergeCell ref="A119:G120"/>
    <mergeCell ref="H67:L67"/>
    <mergeCell ref="J44:N44"/>
    <mergeCell ref="L14:N14"/>
    <mergeCell ref="A49:B49"/>
    <mergeCell ref="E16:H16"/>
    <mergeCell ref="H61:J61"/>
    <mergeCell ref="M67:N67"/>
    <mergeCell ref="M9:N9"/>
    <mergeCell ref="J28:N28"/>
    <mergeCell ref="A103:G104"/>
    <mergeCell ref="J37:N37"/>
    <mergeCell ref="C57:F57"/>
    <mergeCell ref="A42:C42"/>
    <mergeCell ref="C53:F53"/>
    <mergeCell ref="M11:N11"/>
    <mergeCell ref="J30:N30"/>
    <mergeCell ref="A47:C47"/>
    <mergeCell ref="H65:J65"/>
    <mergeCell ref="A62:C62"/>
    <mergeCell ref="G20:I20"/>
    <mergeCell ref="F23:F24"/>
    <mergeCell ref="C58:F58"/>
    <mergeCell ref="A20:C20"/>
    <mergeCell ref="H119:N120"/>
    <mergeCell ref="A55:B55"/>
    <mergeCell ref="A18:N18"/>
    <mergeCell ref="A28:C28"/>
    <mergeCell ref="J124:J125"/>
    <mergeCell ref="K54:N54"/>
    <mergeCell ref="A57:B57"/>
    <mergeCell ref="K55:N55"/>
    <mergeCell ref="J32:N32"/>
    <mergeCell ref="F22:G22"/>
    <mergeCell ref="J41:N41"/>
    <mergeCell ref="I23:I24"/>
    <mergeCell ref="A30:C30"/>
    <mergeCell ref="E10:K10"/>
    <mergeCell ref="E61:F61"/>
    <mergeCell ref="G21:I21"/>
    <mergeCell ref="D20:F20"/>
    <mergeCell ref="I15:K15"/>
    <mergeCell ref="A22:E22"/>
    <mergeCell ref="H73:N86"/>
    <mergeCell ref="J47:N47"/>
    <mergeCell ref="A64:C64"/>
    <mergeCell ref="G51:H51"/>
    <mergeCell ref="H63:J63"/>
    <mergeCell ref="I51:J51"/>
    <mergeCell ref="A122:N122"/>
    <mergeCell ref="G54:H54"/>
    <mergeCell ref="J43:N43"/>
    <mergeCell ref="K65:L65"/>
    <mergeCell ref="A61:C61"/>
    <mergeCell ref="A72:N72"/>
    <mergeCell ref="E15:H15"/>
    <mergeCell ref="G50:H50"/>
    <mergeCell ref="C51:F51"/>
    <mergeCell ref="I50:J50"/>
    <mergeCell ref="J33:N33"/>
    <mergeCell ref="G56:H56"/>
    <mergeCell ref="A14:D14"/>
    <mergeCell ref="I16:K16"/>
    <mergeCell ref="A41:C41"/>
    <mergeCell ref="G52:H52"/>
    <mergeCell ref="I49:J49"/>
    <mergeCell ref="B126:D127"/>
    <mergeCell ref="A27:C27"/>
    <mergeCell ref="A121:G121"/>
    <mergeCell ref="K57:N57"/>
    <mergeCell ref="A124:A125"/>
    <mergeCell ref="A70:N70"/>
    <mergeCell ref="J34:N34"/>
    <mergeCell ref="A67:D67"/>
    <mergeCell ref="A33:C33"/>
    <mergeCell ref="C49:F49"/>
    <mergeCell ref="A87:G88"/>
    <mergeCell ref="A126:A127"/>
    <mergeCell ref="G53:H53"/>
    <mergeCell ref="J36:N36"/>
    <mergeCell ref="I53:J53"/>
    <mergeCell ref="A35:C35"/>
    <mergeCell ref="A73:G86"/>
    <mergeCell ref="J45:N45"/>
    <mergeCell ref="A123:D123"/>
    <mergeCell ref="A50:B50"/>
    <mergeCell ref="H62:J62"/>
    <mergeCell ref="I55:J55"/>
    <mergeCell ref="A39:C39"/>
    <mergeCell ref="K61:L61"/>
    <mergeCell ref="J31:N31"/>
    <mergeCell ref="M61:N61"/>
    <mergeCell ref="C55:F55"/>
    <mergeCell ref="L7:N7"/>
    <mergeCell ref="E13:N13"/>
    <mergeCell ref="A17:N17"/>
    <mergeCell ref="G55:H55"/>
    <mergeCell ref="L16:N16"/>
    <mergeCell ref="A36:C36"/>
    <mergeCell ref="K22:N22"/>
    <mergeCell ref="J21:N21"/>
    <mergeCell ref="A45:C45"/>
    <mergeCell ref="J126:J127"/>
    <mergeCell ref="A19:N19"/>
    <mergeCell ref="A68:N68"/>
    <mergeCell ref="K62:L62"/>
    <mergeCell ref="A65:C65"/>
    <mergeCell ref="A58:B58"/>
  </mergeCells>
  <pageMargins left="0.2952755905511811" right="0.2952755905511811" top="0.1968503937007874" bottom="0.1968503937007874" header="0.5118110236220472" footer="0.5118110236220472"/>
  <pageSetup orientation="portrait" scale="65" fitToHeight="0" horizontalDpi="300" verticalDpi="300"/>
  <rowBreaks count="1" manualBreakCount="1">
    <brk id="71"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2026-09-20T04:54:17Z</dcterms:modified>
  <cp:lastModifiedBy>Hugo Fernando Hurtado Ruiz</cp:lastModifiedBy>
  <cp:revision>1</cp:revision>
  <cp:lastPrinted>2026-09-14T01:27:33Z</cp:lastPrinted>
</cp:coreProperties>
</file>