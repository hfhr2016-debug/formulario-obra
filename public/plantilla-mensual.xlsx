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ht="15" customHeight="1" s="1223">
      <c r="A8" s="597" t="inlineStr">
        <is>
          <t>DATOS GENERALES DEL PROYECTO</t>
        </is>
      </c>
    </row>
    <row r="9" ht="15" customHeight="1" s="1223">
      <c r="A9" s="99" t="inlineStr">
        <is>
          <t>Número de pisos (torre)</t>
        </is>
      </c>
      <c r="B9" s="100" t="n"/>
      <c r="C9" s="593" t="inlineStr">
        <is>
          <t>pisos</t>
        </is>
      </c>
    </row>
    <row r="10" ht="15" customHeight="1" s="1223">
      <c r="A10" s="101" t="inlineStr">
        <is>
          <t>Número de sótanos (parqueaderos)</t>
        </is>
      </c>
      <c r="B10" s="102" t="n"/>
      <c r="C10" s="590" t="inlineStr">
        <is>
          <t>niveles</t>
        </is>
      </c>
    </row>
    <row r="11" ht="15" customHeight="1" s="1223">
      <c r="A11" s="99" t="inlineStr">
        <is>
          <t>Área del lote</t>
        </is>
      </c>
      <c r="B11" s="100" t="n"/>
      <c r="C11" s="593" t="inlineStr">
        <is>
          <t>m²</t>
        </is>
      </c>
    </row>
    <row r="12" ht="15" customHeight="1" s="1223">
      <c r="A12" s="101" t="inlineStr">
        <is>
          <t>Área construida típica por piso</t>
        </is>
      </c>
      <c r="B12" s="102" t="n"/>
      <c r="C12" s="590" t="inlineStr">
        <is>
          <t>m²</t>
        </is>
      </c>
    </row>
    <row r="13" ht="15" customHeight="1" s="1223">
      <c r="A13" s="99" t="inlineStr">
        <is>
          <t>Área construida - torre (12 pisos)</t>
        </is>
      </c>
      <c r="B13" s="103">
        <f>B9*B12</f>
        <v/>
      </c>
      <c r="C13" s="593" t="inlineStr">
        <is>
          <t>m²</t>
        </is>
      </c>
    </row>
    <row r="14" ht="15" customHeight="1" s="1223">
      <c r="A14" s="101" t="inlineStr">
        <is>
          <t>Área construida - sótanos (2 niveles)</t>
        </is>
      </c>
      <c r="B14" s="102" t="n"/>
      <c r="C14" s="590" t="inlineStr">
        <is>
          <t>m²</t>
        </is>
      </c>
    </row>
    <row r="15" ht="15" customHeight="1" s="1223">
      <c r="A15" s="99" t="inlineStr">
        <is>
          <t>Área cubierta / cuarto de máquinas / tanques</t>
        </is>
      </c>
      <c r="B15" s="100" t="n"/>
      <c r="C15" s="593" t="inlineStr">
        <is>
          <t>m²</t>
        </is>
      </c>
    </row>
    <row r="16" ht="15" customHeight="1" s="1223">
      <c r="A16" s="101" t="inlineStr">
        <is>
          <t>ÁREA TOTAL CONSTRUIDA</t>
        </is>
      </c>
      <c r="B16" s="104">
        <f>B13+B14+B15</f>
        <v/>
      </c>
      <c r="C16" s="590" t="inlineStr">
        <is>
          <t>m²</t>
        </is>
      </c>
    </row>
    <row r="17" ht="15" customHeight="1" s="1223">
      <c r="A17" s="99" t="inlineStr">
        <is>
          <t>Número de apartamentos</t>
        </is>
      </c>
      <c r="B17" s="100" t="n"/>
      <c r="C17" s="593" t="inlineStr">
        <is>
          <t>und</t>
        </is>
      </c>
    </row>
    <row r="18" ht="15" customHeight="1" s="1223">
      <c r="A18" s="101" t="inlineStr">
        <is>
          <t>Área promedio por apartamento (vendible)</t>
        </is>
      </c>
      <c r="B18" s="102" t="n"/>
      <c r="C18" s="590" t="inlineStr">
        <is>
          <t>m²</t>
        </is>
      </c>
    </row>
    <row r="19" ht="15" customHeight="1" s="1223">
      <c r="A19" s="99" t="inlineStr">
        <is>
          <t>Número de parqueaderos</t>
        </is>
      </c>
      <c r="B19" s="100" t="n"/>
      <c r="C19" s="593" t="inlineStr">
        <is>
          <t>und</t>
        </is>
      </c>
    </row>
    <row r="20" ht="15" customHeight="1" s="1223">
      <c r="A20" s="101" t="inlineStr">
        <is>
          <t>Número de ascensores</t>
        </is>
      </c>
      <c r="B20" s="102" t="n"/>
      <c r="C20" s="590" t="inlineStr">
        <is>
          <t>und</t>
        </is>
      </c>
    </row>
    <row r="21" ht="15" customHeight="1" s="1223">
      <c r="A21" s="99" t="inlineStr">
        <is>
          <t>Altura total aproximada (sótano a cubierta)</t>
        </is>
      </c>
      <c r="B21" s="100" t="n"/>
      <c r="C21" s="593" t="inlineStr">
        <is>
          <t>m</t>
        </is>
      </c>
    </row>
    <row r="22">
      <c r="A22" s="592" t="n"/>
      <c r="B22" s="592" t="n"/>
      <c r="C22" s="592" t="n"/>
    </row>
    <row r="23" ht="15" customHeight="1" s="1223">
      <c r="A23" s="594" t="inlineStr">
        <is>
          <t>PARÁMETROS ECONÓMICOS DEL PRESUPUESTO</t>
        </is>
      </c>
    </row>
    <row r="24" ht="15" customHeight="1" s="1223">
      <c r="A24" s="99" t="inlineStr">
        <is>
          <t>Administración (A)</t>
        </is>
      </c>
      <c r="B24" s="466" t="n">
        <v>0.1</v>
      </c>
      <c r="C24" s="593" t="inlineStr">
        <is>
          <t>% s/costo directo</t>
        </is>
      </c>
    </row>
    <row r="25" ht="15" customHeight="1" s="1223">
      <c r="A25" s="101" t="inlineStr">
        <is>
          <t>Imprevistos (I)</t>
        </is>
      </c>
      <c r="B25" s="467" t="n">
        <v>0.04</v>
      </c>
      <c r="C25" s="590" t="inlineStr">
        <is>
          <t>% s/costo directo</t>
        </is>
      </c>
    </row>
    <row r="26" ht="15" customHeight="1" s="1223">
      <c r="A26" s="99" t="inlineStr">
        <is>
          <t>Utilidad (U)</t>
        </is>
      </c>
      <c r="B26" s="466" t="n">
        <v>0.12</v>
      </c>
      <c r="C26" s="593" t="inlineStr">
        <is>
          <t>% s/costo directo</t>
        </is>
      </c>
    </row>
    <row r="27" ht="15" customHeight="1" s="1223">
      <c r="A27" s="101" t="inlineStr">
        <is>
          <t>IVA sobre Utilidad</t>
        </is>
      </c>
      <c r="B27" s="467" t="n">
        <v>0.19</v>
      </c>
      <c r="C27" s="590" t="inlineStr">
        <is>
          <t>% s/utilidad (Ley 1943 / práctica AIU en Colombia)</t>
        </is>
      </c>
    </row>
    <row r="28">
      <c r="A28" s="592" t="n"/>
      <c r="B28" s="592" t="n"/>
      <c r="C28" s="592" t="n"/>
    </row>
    <row r="29" ht="15" customHeight="1" s="1223">
      <c r="A29" s="105" t="inlineStr">
        <is>
          <t>AIU TOTAL (A+I+U)</t>
        </is>
      </c>
      <c r="B29" s="468">
        <f>B24+B25+B26</f>
        <v/>
      </c>
      <c r="C29" s="592" t="n"/>
    </row>
    <row r="30">
      <c r="A30" s="592" t="n"/>
      <c r="B30" s="592" t="n"/>
      <c r="C30" s="592" t="n"/>
    </row>
    <row r="31" ht="15" customHeight="1" s="1223">
      <c r="A31" s="594" t="inlineStr">
        <is>
          <t>FUENTES Y NOTAS METODOLÓGICAS</t>
        </is>
      </c>
    </row>
    <row r="32" ht="15" customFormat="1" customHeight="1" s="202">
      <c r="A32" s="203" t="inlineStr">
        <is>
          <t>REV. 10/09/2026</t>
        </is>
      </c>
      <c r="B32" s="201" t="n"/>
      <c r="C32" s="201" t="n"/>
      <c r="D32" s="201" t="n"/>
      <c r="E32" s="342">
        <f>E4</f>
        <v/>
      </c>
    </row>
    <row r="33" ht="25.5" customHeight="1" s="1223">
      <c r="A33" s="591" t="inlineStr">
        <is>
          <t>1. Precios de referencia investigados para Bogotá D.C., 2026 (2° semestre). Son precios promedio de mercado; cada obra requiere cotización formal con proveedores.</t>
        </is>
      </c>
    </row>
    <row r="34" ht="25.5" customHeight="1" s="1223">
      <c r="A34" s="591" t="inlineStr">
        <is>
          <t>2. Rango de costo directo de construcción en Bogotá 2026 según fuentes de mercado: $2.200.000 - $3.800.000 COP/m² (Aliados de Obras, 2026); promedio de estabilización Ene-Abr 2026: ~$3.050.000 COP/m².</t>
        </is>
      </c>
    </row>
    <row r="35" ht="25.5" customHeight="1" s="1223">
      <c r="A35" s="591" t="inlineStr">
        <is>
          <t>3. Concreto 3000 PSI para estructura con formaletería: referencia ~$868.306 COP/m³ (Listado de Precios Unitarios, Secretaría de Infraestructura / Fidubogotá, ajustado a 2026).</t>
        </is>
      </c>
    </row>
    <row r="36" ht="25.5" customHeight="1" s="1223">
      <c r="A36" s="591" t="inlineStr">
        <is>
          <t>4. Acero de refuerzo figurado e instalado: referencia ~$6.500-7.000 COP/kg (Comando Construcciones, 2026; incremento por alza del 23,7% en el SMMLV 2026 según DANE-ICOCED).</t>
        </is>
      </c>
    </row>
    <row r="37" ht="25.5" customHeight="1" s="1223">
      <c r="A37" s="591" t="inlineStr">
        <is>
          <t>5. Ascensor eléctrico para edificio de 10+ pisos, alta velocidad, instalado: $450M-$750M COP por unidad (OTA Vertical, 2026). Se tomó valor medio.</t>
        </is>
      </c>
    </row>
    <row r="38" ht="25.5" customHeight="1" s="1223">
      <c r="A38" s="591" t="inlineStr">
        <is>
          <t>6. Índice de Costos de la Construcción de Edificaciones (ICOCED-DANE): variación interanual ene.2025-ene.2026 de +8,7% en Bogotá, impulsada por incremento salarial.</t>
        </is>
      </c>
    </row>
    <row r="39" ht="25.5" customHeight="1" s="1223">
      <c r="A39" s="591" t="inlineStr">
        <is>
          <t>7. AIU recomendado para edificaciones en Colombia: 25%-30% sobre costos directos (Administración 10-12%, Imprevistos 3-5%, Utilidad 10-15%). Se usó 26% (10%+4%+12%).</t>
        </is>
      </c>
    </row>
    <row r="40" ht="25.5" customHeight="1" s="1223">
      <c r="A40"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223">
      <c r="A41"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223">
      <c r="A42" s="591"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A40:E40"/>
    <mergeCell ref="C26:E26"/>
    <mergeCell ref="C29:E29"/>
    <mergeCell ref="C20:E20"/>
    <mergeCell ref="A31:E31"/>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Replanteo general de ejes y niveles</t>
        </is>
      </c>
      <c r="C15" s="261" t="inlineStr">
        <is>
          <t>ML</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Proyecto'!$B$24</f>
        <v/>
      </c>
      <c r="F241" s="482">
        <f>F239*E241</f>
        <v/>
      </c>
    </row>
    <row r="242" ht="15" customHeight="1" s="1223">
      <c r="A242" s="83" t="n"/>
      <c r="B242" s="46" t="inlineStr">
        <is>
          <t>Imprevistos (I)</t>
        </is>
      </c>
      <c r="C242" s="681" t="n"/>
      <c r="D242" s="681" t="n"/>
      <c r="E242" s="481">
        <f>'Ficha Técnica del Proyecto'!$B$25</f>
        <v/>
      </c>
      <c r="F242" s="482">
        <f>F239*E242</f>
        <v/>
      </c>
    </row>
    <row r="243" ht="15" customHeight="1" s="1223">
      <c r="A243" s="83" t="n"/>
      <c r="B243" s="46" t="inlineStr">
        <is>
          <t>Utilidad (U)</t>
        </is>
      </c>
      <c r="C243" s="681" t="n"/>
      <c r="D243" s="681" t="n"/>
      <c r="E243" s="481">
        <f>'Ficha Técnica del Proyecto'!$B$26</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Proyecto'!$B$27</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Proyecto'!$B$16</f>
        <v/>
      </c>
    </row>
    <row r="252" ht="15" customHeight="1" s="1223">
      <c r="A252" s="89" t="n"/>
      <c r="B252" s="92" t="inlineStr">
        <is>
          <t>Costo por m² construido (sobre Presupuesto Total)</t>
        </is>
      </c>
      <c r="C252" s="93" t="n"/>
      <c r="D252" s="93" t="n"/>
      <c r="E252" s="93" t="n"/>
      <c r="F252" s="485">
        <f>F248/'Ficha Técnica del Proyecto'!$B$16</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'!F248</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'!$F$239</f>
        <v/>
      </c>
      <c r="E25" s="233" t="n"/>
      <c r="F25" s="233" t="n"/>
      <c r="G25" s="522">
        <f>F25-E25</f>
        <v/>
      </c>
      <c r="H25" s="523">
        <f>D25*E25</f>
        <v/>
      </c>
      <c r="I25" s="523">
        <f>D25*F25</f>
        <v/>
      </c>
      <c r="J25" s="1156">
        <f>D25*$L$14*G25</f>
        <v/>
      </c>
      <c r="K25" s="563" t="n"/>
      <c r="L25" s="563" t="n"/>
      <c r="M25" s="563" t="n"/>
      <c r="N25" s="1157" t="n"/>
    </row>
    <row r="26">
      <c r="A26" s="1132">
        <f>'Presupuesto '!B26</f>
        <v/>
      </c>
      <c r="B26" s="581" t="n"/>
      <c r="C26" s="581" t="n"/>
      <c r="D26" s="521">
        <f>'Presupuesto '!F39/'Presupuesto '!$F$239</f>
        <v/>
      </c>
      <c r="E26" s="233" t="n"/>
      <c r="F26" s="233" t="n"/>
      <c r="G26" s="522">
        <f>F26-E26</f>
        <v/>
      </c>
      <c r="H26" s="523">
        <f>D26*E26</f>
        <v/>
      </c>
      <c r="I26" s="523">
        <f>D26*F26</f>
        <v/>
      </c>
      <c r="J26" s="1151">
        <f>D26*$L$14*G26</f>
        <v/>
      </c>
      <c r="N26" s="546" t="n"/>
    </row>
    <row r="27">
      <c r="A27" s="1132">
        <f>'Presupuesto '!B40</f>
        <v/>
      </c>
      <c r="B27" s="581" t="n"/>
      <c r="C27" s="581" t="n"/>
      <c r="D27" s="521">
        <f>'Presupuesto '!F49/'Presupuesto '!$F$239</f>
        <v/>
      </c>
      <c r="E27" s="233" t="n"/>
      <c r="F27" s="233" t="n"/>
      <c r="G27" s="522">
        <f>F27-E27</f>
        <v/>
      </c>
      <c r="H27" s="523">
        <f>D27*E27</f>
        <v/>
      </c>
      <c r="I27" s="523">
        <f>D27*F27</f>
        <v/>
      </c>
      <c r="J27" s="1151">
        <f>D27*$L$14*G27</f>
        <v/>
      </c>
      <c r="N27" s="546" t="n"/>
    </row>
    <row r="28">
      <c r="A28" s="1132">
        <f>'Presupuesto '!B50</f>
        <v/>
      </c>
      <c r="B28" s="581" t="n"/>
      <c r="C28" s="581" t="n"/>
      <c r="D28" s="521">
        <f>'Presupuesto '!F68/'Presupuesto '!$F$239</f>
        <v/>
      </c>
      <c r="E28" s="233" t="n"/>
      <c r="F28" s="233" t="n"/>
      <c r="G28" s="522">
        <f>F28-E28</f>
        <v/>
      </c>
      <c r="H28" s="523">
        <f>D28*E28</f>
        <v/>
      </c>
      <c r="I28" s="523">
        <f>D28*F28</f>
        <v/>
      </c>
      <c r="J28" s="1151">
        <f>D28*$L$14*G28</f>
        <v/>
      </c>
      <c r="N28" s="546" t="n"/>
    </row>
    <row r="29">
      <c r="A29" s="1132">
        <f>'Presupuesto '!B67</f>
        <v/>
      </c>
      <c r="B29" s="581" t="n"/>
      <c r="C29" s="581" t="n"/>
      <c r="D29" s="521">
        <f>'Presupuesto '!F80/'Presupuesto '!$F$239</f>
        <v/>
      </c>
      <c r="E29" s="233" t="n"/>
      <c r="F29" s="233" t="n"/>
      <c r="G29" s="522">
        <f>F29-E29</f>
        <v/>
      </c>
      <c r="H29" s="523">
        <f>D29*E29</f>
        <v/>
      </c>
      <c r="I29" s="523">
        <f>D29*F29</f>
        <v/>
      </c>
      <c r="J29" s="1151">
        <f>D29*$L$14*G29</f>
        <v/>
      </c>
      <c r="N29" s="546" t="n"/>
    </row>
    <row r="30">
      <c r="A30" s="1132">
        <f>'Presupuesto '!B77</f>
        <v/>
      </c>
      <c r="B30" s="581" t="n"/>
      <c r="C30" s="581" t="n"/>
      <c r="D30" s="521">
        <f>'Presupuesto '!F92/'Presupuesto '!$F$239</f>
        <v/>
      </c>
      <c r="E30" s="233" t="n"/>
      <c r="F30" s="233" t="n"/>
      <c r="G30" s="522">
        <f>F30-E30</f>
        <v/>
      </c>
      <c r="H30" s="523">
        <f>D30*E30</f>
        <v/>
      </c>
      <c r="I30" s="523">
        <f>D30*F30</f>
        <v/>
      </c>
      <c r="J30" s="1151">
        <f>D30*$L$14*G30</f>
        <v/>
      </c>
      <c r="N30" s="546" t="n"/>
    </row>
    <row r="31">
      <c r="A31" s="1132">
        <f>'Presupuesto '!B87</f>
        <v/>
      </c>
      <c r="B31" s="581" t="n"/>
      <c r="C31" s="581" t="n"/>
      <c r="D31" s="521">
        <f>'Presupuesto '!F99/'Presupuesto '!$F$239</f>
        <v/>
      </c>
      <c r="E31" s="233" t="n"/>
      <c r="F31" s="233" t="n"/>
      <c r="G31" s="522">
        <f>F31-E31</f>
        <v/>
      </c>
      <c r="H31" s="523">
        <f>D31*E31</f>
        <v/>
      </c>
      <c r="I31" s="523">
        <f>D31*F31</f>
        <v/>
      </c>
      <c r="J31" s="1151">
        <f>D31*$L$14*G31</f>
        <v/>
      </c>
      <c r="N31" s="546" t="n"/>
    </row>
    <row r="32">
      <c r="A32" s="1132">
        <f>'Presupuesto '!B93</f>
        <v/>
      </c>
      <c r="B32" s="581" t="n"/>
      <c r="C32" s="581" t="n"/>
      <c r="D32" s="521">
        <f>'Presupuesto '!F106/'Presupuesto '!$F$239</f>
        <v/>
      </c>
      <c r="E32" s="233" t="n"/>
      <c r="F32" s="233" t="n"/>
      <c r="G32" s="522">
        <f>F32-E32</f>
        <v/>
      </c>
      <c r="H32" s="523">
        <f>D32*E32</f>
        <v/>
      </c>
      <c r="I32" s="523">
        <f>D32*F32</f>
        <v/>
      </c>
      <c r="J32" s="1151">
        <f>D32*$L$14*G32</f>
        <v/>
      </c>
      <c r="N32" s="546" t="n"/>
    </row>
    <row r="33">
      <c r="A33" s="1132">
        <f>'Presupuesto '!B100</f>
        <v/>
      </c>
      <c r="B33" s="581" t="n"/>
      <c r="C33" s="581" t="n"/>
      <c r="D33" s="521">
        <f>'Presupuesto '!F120/'Presupuesto '!$F$239</f>
        <v/>
      </c>
      <c r="E33" s="233" t="n"/>
      <c r="F33" s="233" t="n"/>
      <c r="G33" s="522">
        <f>F33-E33</f>
        <v/>
      </c>
      <c r="H33" s="523">
        <f>D33*E33</f>
        <v/>
      </c>
      <c r="I33" s="523">
        <f>D33*F33</f>
        <v/>
      </c>
      <c r="J33" s="1151">
        <f>D33*$L$14*G33</f>
        <v/>
      </c>
      <c r="N33" s="546" t="n"/>
    </row>
    <row r="34">
      <c r="A34" s="1132">
        <f>'Presupuesto '!B111</f>
        <v/>
      </c>
      <c r="B34" s="581" t="n"/>
      <c r="C34" s="581" t="n"/>
      <c r="D34" s="521">
        <f>'Presupuesto '!F128/'Presupuesto '!$F$239</f>
        <v/>
      </c>
      <c r="E34" s="233" t="n"/>
      <c r="F34" s="233" t="n"/>
      <c r="G34" s="522">
        <f>F34-E34</f>
        <v/>
      </c>
      <c r="H34" s="523">
        <f>D34*E34</f>
        <v/>
      </c>
      <c r="I34" s="523">
        <f>D34*F34</f>
        <v/>
      </c>
      <c r="J34" s="1151">
        <f>D34*$L$14*G34</f>
        <v/>
      </c>
      <c r="N34" s="546" t="n"/>
    </row>
    <row r="35">
      <c r="A35" s="1132">
        <f>'Presupuesto '!B119</f>
        <v/>
      </c>
      <c r="B35" s="581" t="n"/>
      <c r="C35" s="581" t="n"/>
      <c r="D35" s="521">
        <f>'Presupuesto '!F139/'Presupuesto '!$F$239</f>
        <v/>
      </c>
      <c r="E35" s="233" t="n"/>
      <c r="F35" s="233" t="n"/>
      <c r="G35" s="522">
        <f>F35-E35</f>
        <v/>
      </c>
      <c r="H35" s="523">
        <f>D35*E35</f>
        <v/>
      </c>
      <c r="I35" s="523">
        <f>D35*F35</f>
        <v/>
      </c>
      <c r="J35" s="1151">
        <f>D35*$L$14*G35</f>
        <v/>
      </c>
      <c r="N35" s="546" t="n"/>
    </row>
    <row r="36">
      <c r="A36" s="1132">
        <f>'Presupuesto '!B129</f>
        <v/>
      </c>
      <c r="B36" s="581" t="n"/>
      <c r="C36" s="581" t="n"/>
      <c r="D36" s="521">
        <f>'Presupuesto '!F146/'Presupuesto '!$F$239</f>
        <v/>
      </c>
      <c r="E36" s="233" t="n"/>
      <c r="F36" s="233" t="n"/>
      <c r="G36" s="522">
        <f>F36-E36</f>
        <v/>
      </c>
      <c r="H36" s="523">
        <f>D36*E36</f>
        <v/>
      </c>
      <c r="I36" s="523">
        <f>D36*F36</f>
        <v/>
      </c>
      <c r="J36" s="1151">
        <f>D36*$L$14*G36</f>
        <v/>
      </c>
      <c r="N36" s="546" t="n"/>
    </row>
    <row r="37">
      <c r="A37" s="1132">
        <f>'Presupuesto '!B136</f>
        <v/>
      </c>
      <c r="B37" s="581" t="n"/>
      <c r="C37" s="581" t="n"/>
      <c r="D37" s="521">
        <f>'Presupuesto '!F161/'Presupuesto '!$F$239</f>
        <v/>
      </c>
      <c r="E37" s="233" t="n"/>
      <c r="F37" s="233" t="n"/>
      <c r="G37" s="522">
        <f>F37-E37</f>
        <v/>
      </c>
      <c r="H37" s="523">
        <f>D37*E37</f>
        <v/>
      </c>
      <c r="I37" s="523">
        <f>D37*F37</f>
        <v/>
      </c>
      <c r="J37" s="1151">
        <f>D37*$L$14*G37</f>
        <v/>
      </c>
      <c r="N37" s="546" t="n"/>
    </row>
    <row r="38">
      <c r="A38" s="1132">
        <f>'Presupuesto '!B150</f>
        <v/>
      </c>
      <c r="B38" s="581" t="n"/>
      <c r="C38" s="581" t="n"/>
      <c r="D38" s="521">
        <f>'Presupuesto '!F175/'Presupuesto '!$F$239</f>
        <v/>
      </c>
      <c r="E38" s="233" t="n"/>
      <c r="F38" s="233" t="n"/>
      <c r="G38" s="522">
        <f>F38-E38</f>
        <v/>
      </c>
      <c r="H38" s="523">
        <f>D38*E38</f>
        <v/>
      </c>
      <c r="I38" s="523">
        <f>D38*F38</f>
        <v/>
      </c>
      <c r="J38" s="1151">
        <f>D38*$L$14*G38</f>
        <v/>
      </c>
      <c r="N38" s="546" t="n"/>
    </row>
    <row r="39">
      <c r="A39" s="1132">
        <f>'Presupuesto '!B164</f>
        <v/>
      </c>
      <c r="B39" s="581" t="n"/>
      <c r="C39" s="581" t="n"/>
      <c r="D39" s="521">
        <f>'Presupuesto '!F184/'Presupuesto '!$F$239</f>
        <v/>
      </c>
      <c r="E39" s="233" t="n"/>
      <c r="F39" s="233" t="n"/>
      <c r="G39" s="522">
        <f>F39-E39</f>
        <v/>
      </c>
      <c r="H39" s="523">
        <f>D39*E39</f>
        <v/>
      </c>
      <c r="I39" s="523">
        <f>D39*F39</f>
        <v/>
      </c>
      <c r="J39" s="1151">
        <f>D39*$L$14*G39</f>
        <v/>
      </c>
      <c r="N39" s="546" t="n"/>
    </row>
    <row r="40" ht="14.4" customHeight="1" s="1223">
      <c r="A40" s="1135">
        <f>'Presupuesto '!B173</f>
        <v/>
      </c>
      <c r="B40" s="530" t="n"/>
      <c r="C40" s="530" t="n"/>
      <c r="D40" s="521">
        <f>'Presupuesto '!F191/'Presupuesto '!$F$239</f>
        <v/>
      </c>
      <c r="E40" s="233" t="n"/>
      <c r="F40" s="233" t="n"/>
      <c r="G40" s="522">
        <f>F40-E40</f>
        <v/>
      </c>
      <c r="H40" s="523">
        <f>D40*E40</f>
        <v/>
      </c>
      <c r="I40" s="523">
        <f>D40*F40</f>
        <v/>
      </c>
      <c r="J40" s="1151">
        <f>D40*$L$14*G40</f>
        <v/>
      </c>
      <c r="N40" s="546" t="n"/>
    </row>
    <row r="41">
      <c r="A41" s="1204">
        <f>'Presupuesto '!B180</f>
        <v/>
      </c>
      <c r="B41" s="1018" t="n"/>
      <c r="C41" s="1018" t="n"/>
      <c r="D41" s="521">
        <f>'Presupuesto '!F197/'Presupuesto '!$F$239</f>
        <v/>
      </c>
      <c r="E41" s="1018" t="n"/>
      <c r="F41" s="1018" t="n"/>
      <c r="G41" s="524">
        <f>F41-E41</f>
        <v/>
      </c>
      <c r="H41" s="523">
        <f>D41*E41</f>
        <v/>
      </c>
      <c r="I41" s="523">
        <f>D41*F41</f>
        <v/>
      </c>
      <c r="J41" s="1151">
        <f>D41*$L$14*G41</f>
        <v/>
      </c>
      <c r="N41" s="546" t="n"/>
    </row>
    <row r="42" ht="14.4" customHeight="1" s="1223">
      <c r="A42" s="1132">
        <f>'Presupuesto '!B186</f>
        <v/>
      </c>
      <c r="B42" s="581" t="n"/>
      <c r="C42" s="581" t="n"/>
      <c r="D42" s="521">
        <f>'Presupuesto '!F211/'Presupuesto '!$F$239</f>
        <v/>
      </c>
      <c r="E42" s="581" t="n"/>
      <c r="F42" s="581" t="n"/>
      <c r="G42" s="524">
        <f>F42-E42</f>
        <v/>
      </c>
      <c r="H42" s="523">
        <f>D42*E42</f>
        <v/>
      </c>
      <c r="I42" s="523">
        <f>D42*F42</f>
        <v/>
      </c>
      <c r="J42" s="1151">
        <f>D42*$L$14*G42</f>
        <v/>
      </c>
      <c r="N42" s="546" t="n"/>
    </row>
    <row r="43" ht="14.4" customHeight="1" s="1223">
      <c r="A43" s="1135">
        <f>'Presupuesto '!B196</f>
        <v/>
      </c>
      <c r="B43" s="530" t="n"/>
      <c r="C43" s="530" t="n"/>
      <c r="D43" s="521">
        <f>'Presupuesto '!F218/'Presupuesto '!$F$239</f>
        <v/>
      </c>
      <c r="E43" s="233" t="n"/>
      <c r="F43" s="233" t="n"/>
      <c r="G43" s="524">
        <f>F43-E43</f>
        <v/>
      </c>
      <c r="H43" s="523">
        <f>D43*E43</f>
        <v/>
      </c>
      <c r="I43" s="523">
        <f>D43*F43</f>
        <v/>
      </c>
      <c r="J43" s="1151">
        <f>D43*$L$14*G43</f>
        <v/>
      </c>
      <c r="N43" s="546" t="n"/>
    </row>
    <row r="44" ht="14.4" customHeight="1" s="1223">
      <c r="A44" s="1135">
        <f>'Presupuesto '!B203</f>
        <v/>
      </c>
      <c r="B44" s="530" t="n"/>
      <c r="C44" s="530" t="n"/>
      <c r="D44" s="521">
        <f>'Presupuesto '!F226/'Presupuesto '!$F$239</f>
        <v/>
      </c>
      <c r="E44" s="233" t="n"/>
      <c r="F44" s="233" t="n"/>
      <c r="G44" s="522">
        <f>F44-E44</f>
        <v/>
      </c>
      <c r="H44" s="523">
        <f>D44*E44</f>
        <v/>
      </c>
      <c r="I44" s="523">
        <f>D44*F44</f>
        <v/>
      </c>
      <c r="J44" s="1151">
        <f>D44*$L$14*G44</f>
        <v/>
      </c>
      <c r="N44" s="546" t="n"/>
    </row>
    <row r="45">
      <c r="A45" s="1135">
        <f>'Presupuesto '!B211</f>
        <v/>
      </c>
      <c r="B45" s="530" t="n"/>
      <c r="C45" s="530" t="n"/>
      <c r="D45" s="521">
        <f>'Presupuesto '!F230/'Presupuesto '!$F$239</f>
        <v/>
      </c>
      <c r="E45" s="530" t="n"/>
      <c r="F45" s="530" t="n"/>
      <c r="G45" s="522">
        <f>F45-E45</f>
        <v/>
      </c>
      <c r="H45" s="523">
        <f>D45*E45</f>
        <v/>
      </c>
      <c r="I45" s="523">
        <f>D45*F45</f>
        <v/>
      </c>
      <c r="J45" s="1151">
        <f>D45*$L$14*G45</f>
        <v/>
      </c>
      <c r="N45" s="546" t="n"/>
    </row>
    <row r="46" ht="14.4" customHeight="1" s="1223">
      <c r="A46" s="1135">
        <f>'Presupuesto '!B215</f>
        <v/>
      </c>
      <c r="B46" s="530" t="n"/>
      <c r="C46" s="530" t="n"/>
      <c r="D46" s="521">
        <f>'Presupuesto '!F237/'Presupuesto '!$F$239</f>
        <v/>
      </c>
      <c r="E46" s="233" t="n"/>
      <c r="F46" s="233"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2026-09-19T00:14:05Z</dcterms:modified>
  <cp:lastModifiedBy>Hugo Fernando Hurtado Ruiz</cp:lastModifiedBy>
  <cp:revision>1</cp:revision>
  <cp:lastPrinted>2026-09-14T01:27:33Z</cp:lastPrinted>
</cp:coreProperties>
</file>