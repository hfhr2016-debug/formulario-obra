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no de Obra y Subcontrat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&quot;$&quot;#,##0;[Red]\-&quot;$&quot;#,##0"/>
    <numFmt numFmtId="165" formatCode="0.0%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Calibri"/>
      <family val="2"/>
      <color rgb="FF000000"/>
      <sz val="10"/>
    </font>
    <font>
      <name val="Arial"/>
      <family val="2"/>
      <b val="1"/>
      <color rgb="FF000000"/>
      <sz val="14"/>
    </font>
    <font>
      <name val="Calibri"/>
      <family val="2"/>
      <i val="1"/>
      <color rgb="FF000000"/>
      <sz val="14"/>
    </font>
    <font>
      <name val="Arial"/>
      <family val="2"/>
      <b val="1"/>
      <color rgb="FFFFFFFF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0F243E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10"/>
    </font>
    <font>
      <name val="Calibri"/>
      <family val="2"/>
      <b val="1"/>
      <sz val="10"/>
    </font>
    <font>
      <name val="Calibri"/>
      <color rgb="FF000000"/>
      <sz val="10"/>
    </font>
    <font>
      <name val="Calibri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A233"/>
      </patternFill>
    </fill>
    <fill>
      <patternFill patternType="solid">
        <fgColor rgb="FFDCE6F1"/>
      </patternFill>
    </fill>
    <fill>
      <patternFill patternType="solid">
        <fgColor rgb="FF92D050"/>
      </patternFill>
    </fill>
    <fill>
      <patternFill patternType="solid">
        <fgColor rgb="FFFAFAFA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A233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4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 wrapText="1"/>
    </xf>
    <xf numFmtId="165" fontId="2" fillId="5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left" vertical="center" wrapText="1"/>
    </xf>
    <xf numFmtId="0" fontId="0" fillId="0" borderId="7" pivotButton="0" quotePrefix="0" xfId="0"/>
    <xf numFmtId="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164" fontId="2" fillId="0" borderId="1" applyAlignment="1" pivotButton="0" quotePrefix="0" xfId="0">
      <alignment horizontal="right" vertical="center" wrapText="1"/>
    </xf>
    <xf numFmtId="165" fontId="2" fillId="0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2" fillId="7" borderId="1" applyAlignment="1" pivotButton="0" quotePrefix="0" xfId="0">
      <alignment horizontal="left" vertical="center" wrapText="1"/>
    </xf>
    <xf numFmtId="0" fontId="6" fillId="4" borderId="9" applyAlignment="1" pivotButton="0" quotePrefix="0" xfId="0">
      <alignment vertical="center" wrapText="1"/>
    </xf>
    <xf numFmtId="0" fontId="6" fillId="4" borderId="10" applyAlignment="1" pivotButton="0" quotePrefix="0" xfId="0">
      <alignment vertical="center" wrapText="1"/>
    </xf>
    <xf numFmtId="0" fontId="6" fillId="4" borderId="11" applyAlignment="1" pivotButton="0" quotePrefix="0" xfId="0">
      <alignment vertical="center" wrapText="1"/>
    </xf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164" fontId="2" fillId="4" borderId="9" applyAlignment="1" pivotButton="0" quotePrefix="0" xfId="0">
      <alignment horizontal="center" vertical="center" wrapText="1"/>
    </xf>
    <xf numFmtId="164" fontId="2" fillId="4" borderId="10" applyAlignment="1" pivotButton="0" quotePrefix="0" xfId="0">
      <alignment horizontal="center" vertical="center" wrapText="1"/>
    </xf>
    <xf numFmtId="164" fontId="2" fillId="4" borderId="11" applyAlignment="1" pivotButton="0" quotePrefix="0" xfId="0">
      <alignment horizontal="center" vertical="center" wrapText="1"/>
    </xf>
    <xf numFmtId="0" fontId="2" fillId="6" borderId="12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4" applyAlignment="1" pivotButton="0" quotePrefix="0" xfId="0">
      <alignment horizontal="left" vertical="top" wrapText="1"/>
    </xf>
    <xf numFmtId="0" fontId="2" fillId="6" borderId="3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6" borderId="5" applyAlignment="1" pivotButton="0" quotePrefix="0" xfId="0">
      <alignment horizontal="left" vertical="top" wrapText="1"/>
    </xf>
    <xf numFmtId="0" fontId="2" fillId="6" borderId="6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0" fontId="2" fillId="6" borderId="8" applyAlignment="1" pivotButton="0" quotePrefix="0" xfId="0">
      <alignment horizontal="left" vertical="top" wrapText="1"/>
    </xf>
    <xf numFmtId="165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" fontId="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5" fontId="6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0" fontId="0" fillId="9" borderId="0" applyAlignment="1" pivotButton="0" quotePrefix="0" xfId="0">
      <alignment horizontal="center"/>
    </xf>
    <xf numFmtId="14" fontId="2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2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applyProtection="1" pivotButton="0" quotePrefix="0" xfId="0">
      <alignment horizontal="right" vertical="center" wrapText="1"/>
      <protection locked="0" hidden="0"/>
    </xf>
    <xf numFmtId="164" fontId="2" fillId="4" borderId="1" applyAlignment="1" pivotButton="0" quotePrefix="0" xfId="0">
      <alignment horizontal="left" vertical="center" wrapText="1"/>
    </xf>
    <xf numFmtId="165" fontId="12" fillId="0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164" fontId="13" fillId="0" borderId="1" applyAlignment="1" pivotButton="0" quotePrefix="0" xfId="0">
      <alignment horizontal="right" vertical="center" wrapText="1"/>
    </xf>
  </cellXfs>
  <cellStyles count="1">
    <cellStyle name="Normal" xfId="0" builtinId="0"/>
  </cellStyles>
  <dxfs count="3"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420000" cy="1620000"/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420000" cy="162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N5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7.77734375" customWidth="1" style="34" min="1" max="1"/>
    <col width="26" customWidth="1" style="34" min="2" max="2"/>
    <col width="16" customWidth="1" style="34" min="3" max="3"/>
    <col width="30" customWidth="1" style="34" min="4" max="4"/>
    <col width="24" customWidth="1" style="34" min="5" max="5"/>
    <col width="25.77734375" customWidth="1" style="34" min="6" max="6"/>
    <col width="20.77734375" customWidth="1" style="34" min="7" max="7"/>
    <col width="25.77734375" customWidth="1" style="34" min="8" max="8"/>
    <col width="12.77734375" customWidth="1" style="34" min="9" max="9"/>
    <col width="20.77734375" customWidth="1" style="34" min="10" max="11"/>
    <col width="13" customWidth="1" style="34" min="11" max="11"/>
    <col width="15" customWidth="1" style="34" min="12" max="12"/>
    <col width="20.77734375" customWidth="1" style="34" min="13" max="13"/>
    <col width="25.77734375" customWidth="1" style="34" min="14" max="14"/>
  </cols>
  <sheetData>
    <row r="1" ht="40.05" customHeight="1" s="34">
      <c r="A1" s="76" t="n"/>
      <c r="D1" s="42" t="inlineStr">
        <is>
          <t>CONTROL DE MANO DE OBRA Y SUBCONTRATOS</t>
        </is>
      </c>
    </row>
    <row r="2" ht="4.95" customHeight="1" s="34">
      <c r="D2" s="26" t="n"/>
    </row>
    <row r="3" ht="14.4" customHeight="1" s="34">
      <c r="D3" s="33" t="n"/>
      <c r="L3" s="38" t="inlineStr">
        <is>
          <t>CONTROL DOCUMENTAL</t>
        </is>
      </c>
      <c r="M3" s="90" t="n"/>
      <c r="N3" s="84" t="n"/>
    </row>
    <row r="4" ht="15" customHeight="1" s="34">
      <c r="D4" s="37" t="inlineStr">
        <is>
          <t>REFORMAS Y REMODELACIONES</t>
        </is>
      </c>
      <c r="L4" s="22" t="inlineStr">
        <is>
          <t>Código</t>
        </is>
      </c>
      <c r="M4" s="84" t="n"/>
      <c r="N4" s="2" t="inlineStr">
        <is>
          <t>RYR-CP-006</t>
        </is>
      </c>
    </row>
    <row r="5" ht="14.4" customHeight="1" s="34">
      <c r="D5" s="39" t="inlineStr">
        <is>
          <t>DISEÑAMOS, RENOVAMOS Y CONSTRUIMOS ESPACIOS QUE INSPIRAN.</t>
        </is>
      </c>
      <c r="L5" s="22" t="inlineStr">
        <is>
          <t>Versión</t>
        </is>
      </c>
      <c r="M5" s="84" t="n"/>
      <c r="N5" s="2" t="inlineStr">
        <is>
          <t>1</t>
        </is>
      </c>
    </row>
    <row r="6" ht="20.4" customHeight="1" s="34">
      <c r="D6" s="33" t="n"/>
      <c r="L6" s="22" t="inlineStr">
        <is>
          <t>Fecha de Emisión</t>
        </is>
      </c>
      <c r="M6" s="84" t="n"/>
      <c r="N6" s="2" t="inlineStr">
        <is>
          <t>08/10/2026</t>
        </is>
      </c>
    </row>
    <row r="7" ht="18" customHeight="1" s="34">
      <c r="A7" s="52" t="n"/>
      <c r="B7" s="52" t="n"/>
      <c r="C7" s="52" t="n"/>
      <c r="D7" s="33" t="n"/>
      <c r="L7" s="22" t="inlineStr">
        <is>
          <t>Página</t>
        </is>
      </c>
      <c r="M7" s="84" t="n"/>
      <c r="N7" s="2" t="inlineStr">
        <is>
          <t>1 de 1</t>
        </is>
      </c>
    </row>
    <row r="8">
      <c r="A8" s="28" t="inlineStr">
        <is>
          <t>Subcontratos (contratado, ejecutado, pagado y saldo) y mano de obra directa por periodo</t>
        </is>
      </c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84" t="n"/>
    </row>
    <row r="9" ht="15" customHeight="1" s="34">
      <c r="A9" s="40" t="inlineStr">
        <is>
          <t>1. DATOS GENERALES</t>
        </is>
      </c>
      <c r="B9" s="90" t="n"/>
      <c r="C9" s="90" t="n"/>
      <c r="D9" s="90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84" t="n"/>
    </row>
    <row r="10" ht="18" customHeight="1" s="34">
      <c r="A10" s="22" t="inlineStr">
        <is>
          <t>Proyecto / Obra</t>
        </is>
      </c>
      <c r="B10" s="90" t="n"/>
      <c r="C10" s="84" t="n"/>
      <c r="D10" s="91" t="n"/>
      <c r="E10" s="92" t="n"/>
      <c r="F10" s="92" t="n"/>
      <c r="G10" s="93" t="n"/>
      <c r="H10" s="22" t="inlineStr">
        <is>
          <t>Tipo de proyecto</t>
        </is>
      </c>
      <c r="I10" s="90" t="n"/>
      <c r="J10" s="84" t="n"/>
      <c r="K10" s="91" t="n"/>
      <c r="L10" s="92" t="n"/>
      <c r="M10" s="92" t="n"/>
      <c r="N10" s="93" t="n"/>
    </row>
    <row r="11" ht="18" customHeight="1" s="34">
      <c r="A11" s="22" t="inlineStr">
        <is>
          <t>Contrato N°</t>
        </is>
      </c>
      <c r="B11" s="90" t="n"/>
      <c r="C11" s="84" t="n"/>
      <c r="D11" s="91" t="n"/>
      <c r="E11" s="92" t="n"/>
      <c r="F11" s="92" t="n"/>
      <c r="G11" s="93" t="n"/>
      <c r="H11" s="22" t="inlineStr">
        <is>
          <t>Contratante</t>
        </is>
      </c>
      <c r="I11" s="90" t="n"/>
      <c r="J11" s="84" t="n"/>
      <c r="K11" s="91" t="n"/>
      <c r="L11" s="92" t="n"/>
      <c r="M11" s="92" t="n"/>
      <c r="N11" s="93" t="n"/>
    </row>
    <row r="12" ht="18" customHeight="1" s="34">
      <c r="A12" s="22" t="inlineStr">
        <is>
          <t>Fecha de corte</t>
        </is>
      </c>
      <c r="B12" s="90" t="n"/>
      <c r="C12" s="84" t="n"/>
      <c r="D12" s="91" t="n"/>
      <c r="E12" s="92" t="n"/>
      <c r="F12" s="92" t="n"/>
      <c r="G12" s="93" t="n"/>
      <c r="H12" s="22" t="inlineStr">
        <is>
          <t>Responsable del control</t>
        </is>
      </c>
      <c r="I12" s="90" t="n"/>
      <c r="J12" s="84" t="n"/>
      <c r="K12" s="91" t="n"/>
      <c r="L12" s="92" t="n"/>
      <c r="M12" s="92" t="n"/>
      <c r="N12" s="93" t="n"/>
    </row>
    <row r="13" ht="15" customHeight="1" s="34">
      <c r="A13" s="40" t="inlineStr">
        <is>
          <t>2. SUBCONTRATOS</t>
        </is>
      </c>
      <c r="B13" s="90" t="n"/>
      <c r="C13" s="90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84" t="n"/>
    </row>
    <row r="14" ht="52.05" customHeight="1" s="34">
      <c r="A14" s="83" t="inlineStr">
        <is>
          <t>No.</t>
        </is>
      </c>
      <c r="B14" s="83" t="inlineStr">
        <is>
          <t>Subcontratista</t>
        </is>
      </c>
      <c r="C14" s="83" t="inlineStr">
        <is>
          <t>NIT / C.C.</t>
        </is>
      </c>
      <c r="D14" s="83" t="inlineStr">
        <is>
          <t>Objeto del subcontrato</t>
        </is>
      </c>
      <c r="E14" s="83" t="inlineStr">
        <is>
          <t>Capítulo del presupuesto</t>
        </is>
      </c>
      <c r="F14" s="83" t="inlineStr">
        <is>
          <t>Valor contratado</t>
        </is>
      </c>
      <c r="G14" s="83" t="inlineStr">
        <is>
          <t>Adicionales</t>
        </is>
      </c>
      <c r="H14" s="83" t="inlineStr">
        <is>
          <t>Valor total del subcontrato</t>
        </is>
      </c>
      <c r="I14" s="83" t="inlineStr">
        <is>
          <t>% de avance</t>
        </is>
      </c>
      <c r="J14" s="83" t="inlineStr">
        <is>
          <t>Valor ejecutado</t>
        </is>
      </c>
      <c r="K14" s="83" t="inlineStr">
        <is>
          <t>Pagado a la fecha</t>
        </is>
      </c>
      <c r="L14" s="83" t="inlineStr">
        <is>
          <t>Retegarantía retenida</t>
        </is>
      </c>
      <c r="M14" s="83" t="inlineStr">
        <is>
          <t>Saldo por pagar</t>
        </is>
      </c>
      <c r="N14" s="83" t="inlineStr">
        <is>
          <t>Estado</t>
        </is>
      </c>
    </row>
    <row r="15" ht="22.05" customHeight="1" s="34">
      <c r="A15" s="94" t="n">
        <v>1</v>
      </c>
      <c r="B15" s="91" t="n"/>
      <c r="C15" s="91" t="n"/>
      <c r="D15" s="91" t="n"/>
      <c r="E15" s="91" t="n"/>
      <c r="F15" s="95" t="n"/>
      <c r="G15" s="95" t="n"/>
      <c r="H15" s="96">
        <f>IF(F15="","",F15+N(G15))</f>
        <v/>
      </c>
      <c r="I15" s="97" t="n"/>
      <c r="J15" s="96">
        <f>IF(OR(H15="",I15=""),"",H15*I15)</f>
        <v/>
      </c>
      <c r="K15" s="95" t="n"/>
      <c r="L15" s="95" t="n"/>
      <c r="M15" s="96">
        <f>IF(J15="","",J15-N(K15)-N(L15))</f>
        <v/>
      </c>
      <c r="N15" s="81">
        <f>IF(J15="","",IF(M15&lt;=0,"Al día","Con saldo"))</f>
        <v/>
      </c>
    </row>
    <row r="16" ht="22.05" customHeight="1" s="34">
      <c r="A16" s="94" t="n">
        <v>2</v>
      </c>
      <c r="B16" s="91" t="n"/>
      <c r="C16" s="91" t="n"/>
      <c r="D16" s="91" t="n"/>
      <c r="E16" s="91" t="n"/>
      <c r="F16" s="95" t="n"/>
      <c r="G16" s="95" t="n"/>
      <c r="H16" s="96">
        <f>IF(F16="","",F16+N(G16))</f>
        <v/>
      </c>
      <c r="I16" s="97" t="n"/>
      <c r="J16" s="96">
        <f>IF(OR(H16="",I16=""),"",H16*I16)</f>
        <v/>
      </c>
      <c r="K16" s="95" t="n"/>
      <c r="L16" s="95" t="n"/>
      <c r="M16" s="96">
        <f>IF(J16="","",J16-N(K16)-N(L16))</f>
        <v/>
      </c>
      <c r="N16" s="81">
        <f>IF(J16="","",IF(M16&lt;=0,"Al día","Con saldo"))</f>
        <v/>
      </c>
    </row>
    <row r="17" ht="22.05" customHeight="1" s="34">
      <c r="A17" s="94" t="n">
        <v>3</v>
      </c>
      <c r="B17" s="91" t="n"/>
      <c r="C17" s="91" t="n"/>
      <c r="D17" s="91" t="n"/>
      <c r="E17" s="91" t="n"/>
      <c r="F17" s="95" t="n"/>
      <c r="G17" s="95" t="n"/>
      <c r="H17" s="96">
        <f>IF(F17="","",F17+N(G17))</f>
        <v/>
      </c>
      <c r="I17" s="97" t="n"/>
      <c r="J17" s="96">
        <f>IF(OR(H17="",I17=""),"",H17*I17)</f>
        <v/>
      </c>
      <c r="K17" s="95" t="n"/>
      <c r="L17" s="95" t="n"/>
      <c r="M17" s="96">
        <f>IF(J17="","",J17-N(K17)-N(L17))</f>
        <v/>
      </c>
      <c r="N17" s="81">
        <f>IF(J17="","",IF(M17&lt;=0,"Al día","Con saldo"))</f>
        <v/>
      </c>
    </row>
    <row r="18" ht="22.05" customHeight="1" s="34">
      <c r="A18" s="94" t="n">
        <v>4</v>
      </c>
      <c r="B18" s="91" t="n"/>
      <c r="C18" s="91" t="n"/>
      <c r="D18" s="91" t="n"/>
      <c r="E18" s="91" t="n"/>
      <c r="F18" s="95" t="n"/>
      <c r="G18" s="95" t="n"/>
      <c r="H18" s="96">
        <f>IF(F18="","",F18+N(G18))</f>
        <v/>
      </c>
      <c r="I18" s="97" t="n"/>
      <c r="J18" s="96">
        <f>IF(OR(H18="",I18=""),"",H18*I18)</f>
        <v/>
      </c>
      <c r="K18" s="95" t="n"/>
      <c r="L18" s="95" t="n"/>
      <c r="M18" s="96">
        <f>IF(J18="","",J18-N(K18)-N(L18))</f>
        <v/>
      </c>
      <c r="N18" s="81">
        <f>IF(J18="","",IF(M18&lt;=0,"Al día","Con saldo"))</f>
        <v/>
      </c>
    </row>
    <row r="19" ht="22.05" customHeight="1" s="34">
      <c r="A19" s="94" t="n">
        <v>5</v>
      </c>
      <c r="B19" s="91" t="n"/>
      <c r="C19" s="91" t="n"/>
      <c r="D19" s="91" t="n"/>
      <c r="E19" s="91" t="n"/>
      <c r="F19" s="95" t="n"/>
      <c r="G19" s="95" t="n"/>
      <c r="H19" s="96">
        <f>IF(F19="","",F19+N(G19))</f>
        <v/>
      </c>
      <c r="I19" s="97" t="n"/>
      <c r="J19" s="96">
        <f>IF(OR(H19="",I19=""),"",H19*I19)</f>
        <v/>
      </c>
      <c r="K19" s="95" t="n"/>
      <c r="L19" s="95" t="n"/>
      <c r="M19" s="96">
        <f>IF(J19="","",J19-N(K19)-N(L19))</f>
        <v/>
      </c>
      <c r="N19" s="81">
        <f>IF(J19="","",IF(M19&lt;=0,"Al día","Con saldo"))</f>
        <v/>
      </c>
    </row>
    <row r="20" ht="22.05" customHeight="1" s="34">
      <c r="A20" s="94" t="n">
        <v>6</v>
      </c>
      <c r="B20" s="91" t="n"/>
      <c r="C20" s="91" t="n"/>
      <c r="D20" s="91" t="n"/>
      <c r="E20" s="91" t="n"/>
      <c r="F20" s="95" t="n"/>
      <c r="G20" s="95" t="n"/>
      <c r="H20" s="96">
        <f>IF(F20="","",F20+N(G20))</f>
        <v/>
      </c>
      <c r="I20" s="97" t="n"/>
      <c r="J20" s="96">
        <f>IF(OR(H20="",I20=""),"",H20*I20)</f>
        <v/>
      </c>
      <c r="K20" s="95" t="n"/>
      <c r="L20" s="95" t="n"/>
      <c r="M20" s="96">
        <f>IF(J20="","",J20-N(K20)-N(L20))</f>
        <v/>
      </c>
      <c r="N20" s="81">
        <f>IF(J20="","",IF(M20&lt;=0,"Al día","Con saldo"))</f>
        <v/>
      </c>
    </row>
    <row r="21" ht="22.05" customHeight="1" s="34">
      <c r="A21" s="94" t="n">
        <v>7</v>
      </c>
      <c r="B21" s="91" t="n"/>
      <c r="C21" s="91" t="n"/>
      <c r="D21" s="91" t="n"/>
      <c r="E21" s="91" t="n"/>
      <c r="F21" s="95" t="n"/>
      <c r="G21" s="95" t="n"/>
      <c r="H21" s="96">
        <f>IF(F21="","",F21+N(G21))</f>
        <v/>
      </c>
      <c r="I21" s="97" t="n"/>
      <c r="J21" s="96">
        <f>IF(OR(H21="",I21=""),"",H21*I21)</f>
        <v/>
      </c>
      <c r="K21" s="95" t="n"/>
      <c r="L21" s="95" t="n"/>
      <c r="M21" s="96">
        <f>IF(J21="","",J21-N(K21)-N(L21))</f>
        <v/>
      </c>
      <c r="N21" s="81">
        <f>IF(J21="","",IF(M21&lt;=0,"Al día","Con saldo"))</f>
        <v/>
      </c>
    </row>
    <row r="22" ht="22.05" customHeight="1" s="34">
      <c r="A22" s="94" t="n">
        <v>8</v>
      </c>
      <c r="B22" s="91" t="n"/>
      <c r="C22" s="91" t="n"/>
      <c r="D22" s="91" t="n"/>
      <c r="E22" s="91" t="n"/>
      <c r="F22" s="95" t="n"/>
      <c r="G22" s="95" t="n"/>
      <c r="H22" s="96">
        <f>IF(F22="","",F22+N(G22))</f>
        <v/>
      </c>
      <c r="I22" s="97" t="n"/>
      <c r="J22" s="96">
        <f>IF(OR(H22="",I22=""),"",H22*I22)</f>
        <v/>
      </c>
      <c r="K22" s="95" t="n"/>
      <c r="L22" s="95" t="n"/>
      <c r="M22" s="96">
        <f>IF(J22="","",J22-N(K22)-N(L22))</f>
        <v/>
      </c>
      <c r="N22" s="81">
        <f>IF(J22="","",IF(M22&lt;=0,"Al día","Con saldo"))</f>
        <v/>
      </c>
    </row>
    <row r="23" ht="22.05" customHeight="1" s="34">
      <c r="A23" s="94" t="n">
        <v>9</v>
      </c>
      <c r="B23" s="91" t="n"/>
      <c r="C23" s="91" t="n"/>
      <c r="D23" s="91" t="n"/>
      <c r="E23" s="91" t="n"/>
      <c r="F23" s="95" t="n"/>
      <c r="G23" s="95" t="n"/>
      <c r="H23" s="96">
        <f>IF(F23="","",F23+N(G23))</f>
        <v/>
      </c>
      <c r="I23" s="97" t="n"/>
      <c r="J23" s="96">
        <f>IF(OR(H23="",I23=""),"",H23*I23)</f>
        <v/>
      </c>
      <c r="K23" s="95" t="n"/>
      <c r="L23" s="95" t="n"/>
      <c r="M23" s="96">
        <f>IF(J23="","",J23-N(K23)-N(L23))</f>
        <v/>
      </c>
      <c r="N23" s="81">
        <f>IF(J23="","",IF(M23&lt;=0,"Al día","Con saldo"))</f>
        <v/>
      </c>
    </row>
    <row r="24" ht="22.05" customHeight="1" s="34">
      <c r="A24" s="94" t="n">
        <v>10</v>
      </c>
      <c r="B24" s="91" t="n"/>
      <c r="C24" s="91" t="n"/>
      <c r="D24" s="91" t="n"/>
      <c r="E24" s="91" t="n"/>
      <c r="F24" s="95" t="n"/>
      <c r="G24" s="95" t="n"/>
      <c r="H24" s="96">
        <f>IF(F24="","",F24+N(G24))</f>
        <v/>
      </c>
      <c r="I24" s="97" t="n"/>
      <c r="J24" s="96">
        <f>IF(OR(H24="",I24=""),"",H24*I24)</f>
        <v/>
      </c>
      <c r="K24" s="95" t="n"/>
      <c r="L24" s="95" t="n"/>
      <c r="M24" s="96">
        <f>IF(J24="","",J24-N(K24)-N(L24))</f>
        <v/>
      </c>
      <c r="N24" s="81">
        <f>IF(J24="","",IF(M24&lt;=0,"Al día","Con saldo"))</f>
        <v/>
      </c>
    </row>
    <row r="25" ht="22.05" customHeight="1" s="34">
      <c r="A25" s="94" t="n">
        <v>11</v>
      </c>
      <c r="B25" s="91" t="n"/>
      <c r="C25" s="91" t="n"/>
      <c r="D25" s="91" t="n"/>
      <c r="E25" s="91" t="n"/>
      <c r="F25" s="95" t="n"/>
      <c r="G25" s="95" t="n"/>
      <c r="H25" s="96">
        <f>IF(F25="","",F25+N(G25))</f>
        <v/>
      </c>
      <c r="I25" s="97" t="n"/>
      <c r="J25" s="96">
        <f>IF(OR(H25="",I25=""),"",H25*I25)</f>
        <v/>
      </c>
      <c r="K25" s="95" t="n"/>
      <c r="L25" s="95" t="n"/>
      <c r="M25" s="96">
        <f>IF(J25="","",J25-N(K25)-N(L25))</f>
        <v/>
      </c>
      <c r="N25" s="81">
        <f>IF(J25="","",IF(M25&lt;=0,"Al día","Con saldo"))</f>
        <v/>
      </c>
    </row>
    <row r="26" ht="22.05" customHeight="1" s="34">
      <c r="A26" s="94" t="n">
        <v>12</v>
      </c>
      <c r="B26" s="91" t="n"/>
      <c r="C26" s="91" t="n"/>
      <c r="D26" s="91" t="n"/>
      <c r="E26" s="91" t="n"/>
      <c r="F26" s="95" t="n"/>
      <c r="G26" s="95" t="n"/>
      <c r="H26" s="96">
        <f>IF(F26="","",F26+N(G26))</f>
        <v/>
      </c>
      <c r="I26" s="97" t="n"/>
      <c r="J26" s="96">
        <f>IF(OR(H26="",I26=""),"",H26*I26)</f>
        <v/>
      </c>
      <c r="K26" s="95" t="n"/>
      <c r="L26" s="95" t="n"/>
      <c r="M26" s="96">
        <f>IF(J26="","",J26-N(K26)-N(L26))</f>
        <v/>
      </c>
      <c r="N26" s="81">
        <f>IF(J26="","",IF(M26&lt;=0,"Al día","Con saldo"))</f>
        <v/>
      </c>
    </row>
    <row r="27">
      <c r="A27" s="36" t="inlineStr">
        <is>
          <t>TOTAL SUBCONTRATOS</t>
        </is>
      </c>
      <c r="B27" s="90" t="n"/>
      <c r="C27" s="90" t="n"/>
      <c r="D27" s="90" t="n"/>
      <c r="E27" s="84" t="n"/>
      <c r="F27" s="98">
        <f>SUM(F15:F26)</f>
        <v/>
      </c>
      <c r="G27" s="98">
        <f>SUM(G15:G26)</f>
        <v/>
      </c>
      <c r="H27" s="98">
        <f>SUM(H15:H26)</f>
        <v/>
      </c>
      <c r="I27" s="99">
        <f>IF(H27=0,"",J27/H27)</f>
        <v/>
      </c>
      <c r="J27" s="98">
        <f>SUM(J15:J26)</f>
        <v/>
      </c>
      <c r="K27" s="98">
        <f>SUM(K15:K26)</f>
        <v/>
      </c>
      <c r="L27" s="98">
        <f>SUM(L15:L26)</f>
        <v/>
      </c>
      <c r="M27" s="98">
        <f>SUM(M15:M26)</f>
        <v/>
      </c>
      <c r="N27" s="35" t="n"/>
    </row>
    <row r="28"/>
    <row r="29" ht="15" customHeight="1" s="34">
      <c r="A29" s="40" t="inlineStr">
        <is>
          <t>3. MANO DE OBRA DIRECTA (PERSONAL DE LA OBRA)</t>
        </is>
      </c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84" t="n"/>
    </row>
    <row r="30" ht="52.05" customHeight="1" s="34">
      <c r="A30" s="83" t="inlineStr">
        <is>
          <t>No.</t>
        </is>
      </c>
      <c r="B30" s="83" t="inlineStr">
        <is>
          <t>Periodo (semana o quincena)</t>
        </is>
      </c>
      <c r="C30" s="83" t="inlineStr">
        <is>
          <t>Oficio o cuadrilla</t>
        </is>
      </c>
      <c r="D30" s="83" t="inlineStr">
        <is>
          <t>Descripción de la labor</t>
        </is>
      </c>
      <c r="E30" s="83" t="inlineStr">
        <is>
          <t>Capítulo del presupuesto</t>
        </is>
      </c>
      <c r="F30" s="83" t="inlineStr">
        <is>
          <t>N° de trabajadores</t>
        </is>
      </c>
      <c r="G30" s="83" t="inlineStr">
        <is>
          <t>Días trabajados</t>
        </is>
      </c>
      <c r="H30" s="83" t="inlineStr">
        <is>
          <t>Valor del jornal</t>
        </is>
      </c>
      <c r="I30" s="83" t="inlineStr">
        <is>
          <t>% prestaciones y seguridad social</t>
        </is>
      </c>
      <c r="J30" s="83" t="inlineStr">
        <is>
          <t>Subtotal salarios</t>
        </is>
      </c>
      <c r="K30" s="83" t="inlineStr">
        <is>
          <t>Valor prestaciones</t>
        </is>
      </c>
      <c r="L30" s="83" t="inlineStr">
        <is>
          <t>Costo total</t>
        </is>
      </c>
      <c r="M30" s="83" t="inlineStr">
        <is>
          <t>Observaciones</t>
        </is>
      </c>
      <c r="N30" s="84" t="n"/>
    </row>
    <row r="31" ht="22.05" customHeight="1" s="34">
      <c r="A31" s="94" t="n">
        <v>1</v>
      </c>
      <c r="B31" s="91" t="n"/>
      <c r="C31" s="91" t="n"/>
      <c r="D31" s="91" t="n"/>
      <c r="E31" s="91" t="n"/>
      <c r="F31" s="100" t="n"/>
      <c r="G31" s="100" t="n"/>
      <c r="H31" s="95" t="n"/>
      <c r="I31" s="97" t="n"/>
      <c r="J31" s="96">
        <f>IF(OR(F31="",G31="",H31=""),"",F31*G31*H31)</f>
        <v/>
      </c>
      <c r="K31" s="96">
        <f>IF(J31="","",J31*N(I31))</f>
        <v/>
      </c>
      <c r="L31" s="96">
        <f>IF(J31="","",J31+K31)</f>
        <v/>
      </c>
      <c r="M31" s="91" t="n"/>
      <c r="N31" s="93" t="n"/>
    </row>
    <row r="32" ht="22.05" customHeight="1" s="34">
      <c r="A32" s="94" t="n">
        <v>2</v>
      </c>
      <c r="B32" s="91" t="n"/>
      <c r="C32" s="91" t="n"/>
      <c r="D32" s="91" t="n"/>
      <c r="E32" s="91" t="n"/>
      <c r="F32" s="100" t="n"/>
      <c r="G32" s="100" t="n"/>
      <c r="H32" s="95" t="n"/>
      <c r="I32" s="97" t="n"/>
      <c r="J32" s="96">
        <f>IF(OR(F32="",G32="",H32=""),"",F32*G32*H32)</f>
        <v/>
      </c>
      <c r="K32" s="96">
        <f>IF(J32="","",J32*N(I32))</f>
        <v/>
      </c>
      <c r="L32" s="96">
        <f>IF(J32="","",J32+K32)</f>
        <v/>
      </c>
      <c r="M32" s="91" t="n"/>
      <c r="N32" s="93" t="n"/>
    </row>
    <row r="33" ht="22.05" customHeight="1" s="34">
      <c r="A33" s="94" t="n">
        <v>3</v>
      </c>
      <c r="B33" s="91" t="n"/>
      <c r="C33" s="91" t="n"/>
      <c r="D33" s="91" t="n"/>
      <c r="E33" s="91" t="n"/>
      <c r="F33" s="100" t="n"/>
      <c r="G33" s="100" t="n"/>
      <c r="H33" s="95" t="n"/>
      <c r="I33" s="97" t="n"/>
      <c r="J33" s="96">
        <f>IF(OR(F33="",G33="",H33=""),"",F33*G33*H33)</f>
        <v/>
      </c>
      <c r="K33" s="96">
        <f>IF(J33="","",J33*N(I33))</f>
        <v/>
      </c>
      <c r="L33" s="96">
        <f>IF(J33="","",J33+K33)</f>
        <v/>
      </c>
      <c r="M33" s="91" t="n"/>
      <c r="N33" s="93" t="n"/>
    </row>
    <row r="34" ht="22.05" customHeight="1" s="34">
      <c r="A34" s="94" t="n">
        <v>4</v>
      </c>
      <c r="B34" s="91" t="n"/>
      <c r="C34" s="91" t="n"/>
      <c r="D34" s="91" t="n"/>
      <c r="E34" s="91" t="n"/>
      <c r="F34" s="100" t="n"/>
      <c r="G34" s="100" t="n"/>
      <c r="H34" s="95" t="n"/>
      <c r="I34" s="97" t="n"/>
      <c r="J34" s="96">
        <f>IF(OR(F34="",G34="",H34=""),"",F34*G34*H34)</f>
        <v/>
      </c>
      <c r="K34" s="96">
        <f>IF(J34="","",J34*N(I34))</f>
        <v/>
      </c>
      <c r="L34" s="96">
        <f>IF(J34="","",J34+K34)</f>
        <v/>
      </c>
      <c r="M34" s="91" t="n"/>
      <c r="N34" s="93" t="n"/>
    </row>
    <row r="35" ht="22.05" customHeight="1" s="34">
      <c r="A35" s="94" t="n">
        <v>5</v>
      </c>
      <c r="B35" s="91" t="n"/>
      <c r="C35" s="91" t="n"/>
      <c r="D35" s="91" t="n"/>
      <c r="E35" s="91" t="n"/>
      <c r="F35" s="100" t="n"/>
      <c r="G35" s="100" t="n"/>
      <c r="H35" s="95" t="n"/>
      <c r="I35" s="97" t="n"/>
      <c r="J35" s="96">
        <f>IF(OR(F35="",G35="",H35=""),"",F35*G35*H35)</f>
        <v/>
      </c>
      <c r="K35" s="96">
        <f>IF(J35="","",J35*N(I35))</f>
        <v/>
      </c>
      <c r="L35" s="96">
        <f>IF(J35="","",J35+K35)</f>
        <v/>
      </c>
      <c r="M35" s="91" t="n"/>
      <c r="N35" s="93" t="n"/>
    </row>
    <row r="36" ht="22.05" customHeight="1" s="34">
      <c r="A36" s="94" t="n">
        <v>6</v>
      </c>
      <c r="B36" s="91" t="n"/>
      <c r="C36" s="91" t="n"/>
      <c r="D36" s="91" t="n"/>
      <c r="E36" s="91" t="n"/>
      <c r="F36" s="100" t="n"/>
      <c r="G36" s="100" t="n"/>
      <c r="H36" s="95" t="n"/>
      <c r="I36" s="97" t="n"/>
      <c r="J36" s="96">
        <f>IF(OR(F36="",G36="",H36=""),"",F36*G36*H36)</f>
        <v/>
      </c>
      <c r="K36" s="96">
        <f>IF(J36="","",J36*N(I36))</f>
        <v/>
      </c>
      <c r="L36" s="96">
        <f>IF(J36="","",J36+K36)</f>
        <v/>
      </c>
      <c r="M36" s="91" t="n"/>
      <c r="N36" s="93" t="n"/>
    </row>
    <row r="37" ht="22.05" customHeight="1" s="34">
      <c r="A37" s="94" t="n">
        <v>7</v>
      </c>
      <c r="B37" s="91" t="n"/>
      <c r="C37" s="91" t="n"/>
      <c r="D37" s="91" t="n"/>
      <c r="E37" s="91" t="n"/>
      <c r="F37" s="100" t="n"/>
      <c r="G37" s="100" t="n"/>
      <c r="H37" s="95" t="n"/>
      <c r="I37" s="97" t="n"/>
      <c r="J37" s="96">
        <f>IF(OR(F37="",G37="",H37=""),"",F37*G37*H37)</f>
        <v/>
      </c>
      <c r="K37" s="96">
        <f>IF(J37="","",J37*N(I37))</f>
        <v/>
      </c>
      <c r="L37" s="96">
        <f>IF(J37="","",J37+K37)</f>
        <v/>
      </c>
      <c r="M37" s="91" t="n"/>
      <c r="N37" s="93" t="n"/>
    </row>
    <row r="38" ht="22.05" customHeight="1" s="34">
      <c r="A38" s="94" t="n">
        <v>8</v>
      </c>
      <c r="B38" s="91" t="n"/>
      <c r="C38" s="91" t="n"/>
      <c r="D38" s="91" t="n"/>
      <c r="E38" s="91" t="n"/>
      <c r="F38" s="100" t="n"/>
      <c r="G38" s="100" t="n"/>
      <c r="H38" s="95" t="n"/>
      <c r="I38" s="97" t="n"/>
      <c r="J38" s="96">
        <f>IF(OR(F38="",G38="",H38=""),"",F38*G38*H38)</f>
        <v/>
      </c>
      <c r="K38" s="96">
        <f>IF(J38="","",J38*N(I38))</f>
        <v/>
      </c>
      <c r="L38" s="96">
        <f>IF(J38="","",J38+K38)</f>
        <v/>
      </c>
      <c r="M38" s="91" t="n"/>
      <c r="N38" s="93" t="n"/>
    </row>
    <row r="39">
      <c r="A39" s="36" t="inlineStr">
        <is>
          <t>TOTAL MANO DE OBRA DIRECTA</t>
        </is>
      </c>
      <c r="B39" s="90" t="n"/>
      <c r="C39" s="90" t="n"/>
      <c r="D39" s="90" t="n"/>
      <c r="E39" s="84" t="n"/>
      <c r="F39" s="35" t="n"/>
      <c r="G39" s="35" t="n"/>
      <c r="H39" s="35" t="n"/>
      <c r="I39" s="35" t="n"/>
      <c r="J39" s="98">
        <f>SUM(J31:J38)</f>
        <v/>
      </c>
      <c r="K39" s="98">
        <f>SUM(K31:K38)</f>
        <v/>
      </c>
      <c r="L39" s="98">
        <f>SUM(L31:L38)</f>
        <v/>
      </c>
      <c r="M39" s="35" t="n"/>
      <c r="N39" s="84" t="n"/>
    </row>
    <row r="40"/>
    <row r="41" ht="15" customHeight="1" s="34">
      <c r="A41" s="40" t="inlineStr">
        <is>
          <t>4. RESUMEN</t>
        </is>
      </c>
      <c r="B41" s="90" t="n"/>
      <c r="C41" s="90" t="n"/>
      <c r="D41" s="90" t="n"/>
      <c r="E41" s="90" t="n"/>
      <c r="F41" s="90" t="n"/>
      <c r="G41" s="90" t="n"/>
      <c r="H41" s="90" t="n"/>
      <c r="I41" s="90" t="n"/>
      <c r="J41" s="90" t="n"/>
      <c r="K41" s="90" t="n"/>
      <c r="L41" s="90" t="n"/>
      <c r="M41" s="90" t="n"/>
      <c r="N41" s="84" t="n"/>
    </row>
    <row r="42" ht="68" customHeight="1" s="34">
      <c r="A42" s="22" t="inlineStr">
        <is>
          <t>Subcontratos ejecutados</t>
        </is>
      </c>
      <c r="B42" s="90" t="n"/>
      <c r="C42" s="90" t="n"/>
      <c r="D42" s="84" t="n"/>
      <c r="E42" s="101">
        <f>J27</f>
        <v/>
      </c>
      <c r="F42" s="84" t="n"/>
      <c r="H42" s="94" t="inlineStr">
        <is>
          <t>El saldo por pagar de cada subcontrato es lo ejecutado menos lo pagado y menos la retegarantía retenida.
La retegarantía es un porcentaje del valor de cada corte que se retiene al subcontratista hasta la liquidación.
El % de prestaciones y seguridad social depende del tipo de contrato del personal (según la ley y la política de la empresa).</t>
        </is>
      </c>
      <c r="I42" s="47" t="n"/>
      <c r="J42" s="47" t="n"/>
      <c r="K42" s="47" t="n"/>
      <c r="L42" s="47" t="n"/>
      <c r="M42" s="47" t="n"/>
      <c r="N42" s="48" t="n"/>
    </row>
    <row r="43" ht="18" customHeight="1" s="34">
      <c r="A43" s="22" t="inlineStr">
        <is>
          <t>Subcontratos pagados</t>
        </is>
      </c>
      <c r="B43" s="90" t="n"/>
      <c r="C43" s="90" t="n"/>
      <c r="D43" s="84" t="n"/>
      <c r="E43" s="101">
        <f>K27</f>
        <v/>
      </c>
      <c r="F43" s="84" t="n"/>
      <c r="H43" s="49" t="n"/>
      <c r="N43" s="50" t="n"/>
    </row>
    <row r="44" ht="18" customHeight="1" s="34">
      <c r="A44" s="22" t="inlineStr">
        <is>
          <t>Retegarantía retenida a subcontratistas</t>
        </is>
      </c>
      <c r="B44" s="90" t="n"/>
      <c r="C44" s="90" t="n"/>
      <c r="D44" s="84" t="n"/>
      <c r="E44" s="101">
        <f>L27</f>
        <v/>
      </c>
      <c r="F44" s="84" t="n"/>
      <c r="H44" s="49" t="n"/>
      <c r="N44" s="50" t="n"/>
    </row>
    <row r="45" ht="18" customHeight="1" s="34">
      <c r="A45" s="22" t="inlineStr">
        <is>
          <t>Saldo por pagar a subcontratistas</t>
        </is>
      </c>
      <c r="B45" s="90" t="n"/>
      <c r="C45" s="90" t="n"/>
      <c r="D45" s="84" t="n"/>
      <c r="E45" s="101">
        <f>M27</f>
        <v/>
      </c>
      <c r="F45" s="84" t="n"/>
      <c r="H45" s="49" t="n"/>
      <c r="N45" s="50" t="n"/>
    </row>
    <row r="46" ht="18" customHeight="1" s="34">
      <c r="A46" s="22" t="inlineStr">
        <is>
          <t>Mano de obra directa (costo total)</t>
        </is>
      </c>
      <c r="B46" s="90" t="n"/>
      <c r="C46" s="90" t="n"/>
      <c r="D46" s="84" t="n"/>
      <c r="E46" s="101">
        <f>L39</f>
        <v/>
      </c>
      <c r="F46" s="84" t="n"/>
      <c r="H46" s="49" t="n"/>
      <c r="N46" s="50" t="n"/>
    </row>
    <row r="47" ht="18" customHeight="1" s="34">
      <c r="A47" s="85" t="inlineStr">
        <is>
          <t>TOTAL MANO DE OBRA + SUBCONTRATOS EJECUTADOS</t>
        </is>
      </c>
      <c r="B47" s="90" t="n"/>
      <c r="C47" s="90" t="n"/>
      <c r="D47" s="84" t="n"/>
      <c r="E47" s="98">
        <f>J27+L39</f>
        <v/>
      </c>
      <c r="F47" s="84" t="n"/>
      <c r="H47" s="51" t="n"/>
      <c r="I47" s="52" t="n"/>
      <c r="J47" s="52" t="n"/>
      <c r="K47" s="52" t="n"/>
      <c r="L47" s="52" t="n"/>
      <c r="M47" s="52" t="n"/>
      <c r="N47" s="53" t="n"/>
    </row>
    <row r="48"/>
    <row r="49" ht="15" customHeight="1" s="34">
      <c r="A49" s="40" t="inlineStr">
        <is>
          <t>FIRMAS</t>
        </is>
      </c>
      <c r="B49" s="90" t="n"/>
      <c r="C49" s="90" t="n"/>
      <c r="D49" s="90" t="n"/>
      <c r="E49" s="90" t="n"/>
      <c r="F49" s="90" t="n"/>
      <c r="G49" s="90" t="n"/>
      <c r="H49" s="90" t="n"/>
      <c r="I49" s="90" t="n"/>
      <c r="J49" s="90" t="n"/>
      <c r="K49" s="90" t="n"/>
      <c r="L49" s="90" t="n"/>
      <c r="M49" s="90" t="n"/>
      <c r="N49" s="84" t="n"/>
    </row>
    <row r="50">
      <c r="A50" s="28" t="inlineStr">
        <is>
          <t>ELABORÓ — DIRECTOR DE OBRA</t>
        </is>
      </c>
      <c r="B50" s="90" t="n"/>
      <c r="C50" s="90" t="n"/>
      <c r="D50" s="90" t="n"/>
      <c r="E50" s="90" t="n"/>
      <c r="F50" s="90" t="n"/>
      <c r="G50" s="84" t="n"/>
      <c r="H50" s="28" t="inlineStr">
        <is>
          <t>REVISÓ — ADMINISTRACIÓN</t>
        </is>
      </c>
      <c r="I50" s="90" t="n"/>
      <c r="J50" s="90" t="n"/>
      <c r="K50" s="90" t="n"/>
      <c r="L50" s="90" t="n"/>
      <c r="M50" s="90" t="n"/>
      <c r="N50" s="84" t="n"/>
    </row>
    <row r="51" ht="15" customHeight="1" s="34">
      <c r="A51" s="22" t="inlineStr">
        <is>
          <t>Firma:</t>
        </is>
      </c>
      <c r="B51" s="90" t="n"/>
      <c r="C51" s="84" t="n"/>
      <c r="D51" s="91" t="n"/>
      <c r="E51" s="92" t="n"/>
      <c r="F51" s="92" t="n"/>
      <c r="G51" s="93" t="n"/>
      <c r="H51" s="22" t="inlineStr">
        <is>
          <t>Firma:</t>
        </is>
      </c>
      <c r="I51" s="90" t="n"/>
      <c r="J51" s="84" t="n"/>
      <c r="K51" s="100" t="n"/>
      <c r="L51" s="92" t="n"/>
      <c r="M51" s="92" t="n"/>
      <c r="N51" s="93" t="n"/>
    </row>
    <row r="52" ht="15" customHeight="1" s="34">
      <c r="A52" s="22" t="inlineStr">
        <is>
          <t>Nombre:</t>
        </is>
      </c>
      <c r="B52" s="90" t="n"/>
      <c r="C52" s="84" t="n"/>
      <c r="D52" s="91" t="n"/>
      <c r="E52" s="92" t="n"/>
      <c r="F52" s="92" t="n"/>
      <c r="G52" s="93" t="n"/>
      <c r="H52" s="22" t="inlineStr">
        <is>
          <t>Nombre:</t>
        </is>
      </c>
      <c r="I52" s="90" t="n"/>
      <c r="J52" s="84" t="n"/>
      <c r="K52" s="100" t="n"/>
      <c r="L52" s="92" t="n"/>
      <c r="M52" s="92" t="n"/>
      <c r="N52" s="93" t="n"/>
    </row>
    <row r="53" ht="15" customHeight="1" s="34">
      <c r="A53" s="22" t="inlineStr">
        <is>
          <t>Cargo:</t>
        </is>
      </c>
      <c r="B53" s="90" t="n"/>
      <c r="C53" s="84" t="n"/>
      <c r="D53" s="91" t="n"/>
      <c r="E53" s="92" t="n"/>
      <c r="F53" s="92" t="n"/>
      <c r="G53" s="93" t="n"/>
      <c r="H53" s="22" t="inlineStr">
        <is>
          <t>Cargo:</t>
        </is>
      </c>
      <c r="I53" s="90" t="n"/>
      <c r="J53" s="84" t="n"/>
      <c r="K53" s="100" t="n"/>
      <c r="L53" s="92" t="n"/>
      <c r="M53" s="92" t="n"/>
      <c r="N53" s="93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0">
    <mergeCell ref="E43:F43"/>
    <mergeCell ref="A39:E39"/>
    <mergeCell ref="H51:J51"/>
    <mergeCell ref="A9:N9"/>
    <mergeCell ref="L7:M7"/>
    <mergeCell ref="M34:N34"/>
    <mergeCell ref="D12:G12"/>
    <mergeCell ref="A1:C7"/>
    <mergeCell ref="H52:J52"/>
    <mergeCell ref="K53:N53"/>
    <mergeCell ref="D1:N1"/>
    <mergeCell ref="E42:F42"/>
    <mergeCell ref="H42:N47"/>
    <mergeCell ref="A43:D43"/>
    <mergeCell ref="A49:N49"/>
    <mergeCell ref="A12:C12"/>
    <mergeCell ref="M39:N39"/>
    <mergeCell ref="D51:G51"/>
    <mergeCell ref="H11:J11"/>
    <mergeCell ref="K10:N10"/>
    <mergeCell ref="E44:F44"/>
    <mergeCell ref="A44:D44"/>
    <mergeCell ref="M35:N35"/>
    <mergeCell ref="A42:D42"/>
    <mergeCell ref="D6:K6"/>
    <mergeCell ref="A41:N41"/>
    <mergeCell ref="D2:N2"/>
    <mergeCell ref="H12:J12"/>
    <mergeCell ref="A53:C53"/>
    <mergeCell ref="L5:M5"/>
    <mergeCell ref="D10:G10"/>
    <mergeCell ref="M31:N31"/>
    <mergeCell ref="A27:E27"/>
    <mergeCell ref="H50:N50"/>
    <mergeCell ref="A52:C52"/>
    <mergeCell ref="A10:C10"/>
    <mergeCell ref="A45:D45"/>
    <mergeCell ref="M30:N30"/>
    <mergeCell ref="L4:M4"/>
    <mergeCell ref="D7:K7"/>
    <mergeCell ref="E46:F46"/>
    <mergeCell ref="M37:N37"/>
    <mergeCell ref="K51:N51"/>
    <mergeCell ref="D52:G52"/>
    <mergeCell ref="E45:F45"/>
    <mergeCell ref="M36:N36"/>
    <mergeCell ref="K11:N11"/>
    <mergeCell ref="M33:N33"/>
    <mergeCell ref="D11:G11"/>
    <mergeCell ref="H53:J53"/>
    <mergeCell ref="A46:D46"/>
    <mergeCell ref="D4:K4"/>
    <mergeCell ref="A51:C51"/>
    <mergeCell ref="D3:K3"/>
    <mergeCell ref="A8:N8"/>
    <mergeCell ref="H10:J10"/>
    <mergeCell ref="A11:C11"/>
    <mergeCell ref="L6:M6"/>
    <mergeCell ref="D53:G53"/>
    <mergeCell ref="M38:N38"/>
    <mergeCell ref="M32:N32"/>
    <mergeCell ref="A50:G50"/>
    <mergeCell ref="A29:N29"/>
    <mergeCell ref="K12:N12"/>
    <mergeCell ref="K52:N52"/>
    <mergeCell ref="D5:K5"/>
    <mergeCell ref="A47:D47"/>
    <mergeCell ref="L3:N3"/>
    <mergeCell ref="A13:N13"/>
    <mergeCell ref="E47:F47"/>
  </mergeCells>
  <pageMargins left="0.4" right="0.4" top="0.4" bottom="0.6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2026-10-09T05:18:12Z</dcterms:created>
  <dcterms:modified xmlns:dcterms="http://purl.org/dc/terms/" xmlns:xsi="http://www.w3.org/2001/XMLSchema-instance" xsi:type="dcterms:W3CDTF">2026-10-10T05:18:09Z</dcterms:modified>
  <cp:lastModifiedBy>Hugo Fernando Hurtado Ruiz</cp:lastModifiedBy>
</cp:coreProperties>
</file>