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utoFilterDateGrouping="1"/>
  </bookViews>
  <sheets>
    <sheet xmlns:r="http://schemas.openxmlformats.org/officeDocument/2006/relationships" name="Acciones Correctivas Amb.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5" formatCode="#,##0.##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Arial"/>
      <family val="2"/>
      <b val="1"/>
      <sz val="9"/>
    </font>
  </fonts>
  <fills count="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18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/>
      <top/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7">
    <xf numFmtId="0" fontId="0" fillId="0" borderId="0" pivotButton="0" quotePrefix="0" xfId="0"/>
    <xf numFmtId="0" fontId="15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/>
    </xf>
    <xf numFmtId="0" fontId="9" fillId="5" borderId="5" applyAlignment="1" pivotButton="0" quotePrefix="0" xfId="3">
      <alignment horizontal="left" vertical="center" wrapText="1"/>
    </xf>
    <xf numFmtId="14" fontId="6" fillId="0" borderId="5" applyAlignment="1" pivotButton="0" quotePrefix="0" xfId="3">
      <alignment horizontal="center" vertical="center" wrapText="1"/>
    </xf>
    <xf numFmtId="0" fontId="12" fillId="6" borderId="11" applyAlignment="1" pivotButton="0" quotePrefix="0" xfId="3">
      <alignment horizontal="center" vertical="center" wrapText="1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165" fontId="13" fillId="0" borderId="7" applyAlignment="1" pivotButton="0" quotePrefix="0" xfId="3">
      <alignment horizontal="center" vertical="center"/>
    </xf>
    <xf numFmtId="9" fontId="16" fillId="0" borderId="7" applyAlignment="1" pivotButton="0" quotePrefix="0" xfId="3">
      <alignment horizontal="center" vertical="center"/>
    </xf>
    <xf numFmtId="9" fontId="13" fillId="0" borderId="7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4" borderId="7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8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6" fillId="0" borderId="7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9" fontId="5" fillId="4" borderId="5" applyAlignment="1" pivotButton="0" quotePrefix="0" xfId="3">
      <alignment horizontal="center" vertical="center"/>
    </xf>
    <xf numFmtId="0" fontId="8" fillId="3" borderId="10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4" fillId="0" borderId="5" applyAlignment="1" pivotButton="0" quotePrefix="0" xfId="3">
      <alignment horizontal="left" vertical="center" wrapText="1" indent="1"/>
    </xf>
    <xf numFmtId="0" fontId="11" fillId="6" borderId="11" applyAlignment="1" pivotButton="0" quotePrefix="0" xfId="3">
      <alignment horizontal="center" vertical="center" wrapText="1"/>
    </xf>
    <xf numFmtId="0" fontId="12" fillId="5" borderId="7" applyAlignment="1" pivotButton="0" quotePrefix="0" xfId="3">
      <alignment horizontal="left" vertical="center" wrapText="1"/>
    </xf>
    <xf numFmtId="0" fontId="5" fillId="4" borderId="5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 wrapText="1"/>
    </xf>
    <xf numFmtId="0" fontId="7" fillId="4" borderId="5" applyAlignment="1" pivotButton="0" quotePrefix="0" xfId="3">
      <alignment horizontal="center" vertical="center"/>
    </xf>
    <xf numFmtId="0" fontId="10" fillId="3" borderId="10" applyAlignment="1" pivotButton="0" quotePrefix="0" xfId="3">
      <alignment horizontal="center" vertical="center"/>
    </xf>
    <xf numFmtId="0" fontId="15" fillId="0" borderId="0" applyAlignment="1" pivotButton="0" quotePrefix="0" xfId="3">
      <alignment horizontal="right"/>
    </xf>
    <xf numFmtId="0" fontId="4" fillId="4" borderId="1" applyAlignment="1" pivotButton="0" quotePrefix="0" xfId="3">
      <alignment horizontal="center" vertical="center"/>
    </xf>
    <xf numFmtId="0" fontId="0" fillId="0" borderId="1" pivotButton="0" quotePrefix="0" xfId="0"/>
    <xf numFmtId="0" fontId="16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165" fontId="13" fillId="0" borderId="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9" fontId="6" fillId="0" borderId="5" applyAlignment="1" pivotButton="0" quotePrefix="0" xfId="3">
      <alignment horizontal="center" vertical="center" wrapText="1"/>
    </xf>
    <xf numFmtId="165" fontId="16" fillId="0" borderId="7" applyAlignment="1" pivotButton="0" quotePrefix="0" xfId="3">
      <alignment horizontal="center" vertical="center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06"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381000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M34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34" min="1" max="1"/>
    <col width="11" customWidth="1" style="34" min="2" max="2"/>
    <col width="17" customWidth="1" style="34" min="3" max="3"/>
    <col width="29" customWidth="1" style="34" min="4" max="4"/>
    <col width="23" customWidth="1" style="34" min="5" max="5"/>
    <col width="29" customWidth="1" style="34" min="6" max="6"/>
    <col width="15.77734375" customWidth="1" style="34" min="7" max="7"/>
    <col width="18" customWidth="1" style="34" min="8" max="8"/>
    <col width="15.77734375" customWidth="1" style="34" min="9" max="11"/>
    <col width="12.77734375" customWidth="1" style="34" min="12" max="12"/>
    <col width="24" customWidth="1" style="34" min="13" max="13"/>
  </cols>
  <sheetData>
    <row r="1" ht="40.05" customHeight="1" s="34">
      <c r="D1" s="44" t="inlineStr">
        <is>
          <t>ACCIONES CORRECTIVAS, PREVENTIVAS Y DE MEJORA AMBIENTALES</t>
        </is>
      </c>
    </row>
    <row r="2" ht="14.4" customHeight="1" s="34">
      <c r="D2" s="45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</row>
    <row r="3" ht="4.95" customHeight="1" s="34">
      <c r="D3" s="30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</row>
    <row r="4" ht="15" customHeight="1" s="34">
      <c r="K4" s="41" t="inlineStr">
        <is>
          <t>CONTROL DOCUMENTAL</t>
        </is>
      </c>
      <c r="L4" s="25" t="n"/>
      <c r="M4" s="26" t="n"/>
    </row>
    <row r="5" ht="15" customHeight="1" s="34">
      <c r="D5" s="33" t="inlineStr">
        <is>
          <t>REFORMAS Y REMODELACIONES</t>
        </is>
      </c>
      <c r="J5" s="35" t="n"/>
      <c r="K5" s="8" t="inlineStr">
        <is>
          <t>Código</t>
        </is>
      </c>
      <c r="L5" s="28" t="inlineStr">
        <is>
          <t>RYR-AM-017</t>
        </is>
      </c>
      <c r="M5" s="26" t="n"/>
    </row>
    <row r="6" ht="15" customHeight="1" s="34">
      <c r="D6" s="42" t="inlineStr">
        <is>
          <t>DISEÑAMOS, RENOVAMOS Y CONSTRUIMOS ESPACIOS QUE INSPIRAN.</t>
        </is>
      </c>
      <c r="J6" s="35" t="n"/>
      <c r="K6" s="8" t="inlineStr">
        <is>
          <t>Versión</t>
        </is>
      </c>
      <c r="L6" s="28" t="n">
        <v>1</v>
      </c>
      <c r="M6" s="26" t="n"/>
    </row>
    <row r="7" ht="15" customHeight="1" s="34">
      <c r="D7" s="5" t="n"/>
      <c r="E7" s="5" t="n"/>
      <c r="F7" s="5" t="n"/>
      <c r="G7" s="5" t="n"/>
      <c r="H7" s="5" t="n"/>
      <c r="I7" s="5" t="n"/>
      <c r="J7" s="2" t="n"/>
      <c r="K7" s="8" t="inlineStr">
        <is>
          <t>Fecha de Emisión</t>
        </is>
      </c>
      <c r="L7" s="28" t="inlineStr">
        <is>
          <t>08/10/2026</t>
        </is>
      </c>
      <c r="M7" s="26" t="n"/>
    </row>
    <row r="8" ht="15" customHeight="1" s="34">
      <c r="D8" s="5" t="n"/>
      <c r="E8" s="5" t="n"/>
      <c r="F8" s="5" t="n"/>
      <c r="G8" s="5" t="n"/>
      <c r="H8" s="5" t="n"/>
      <c r="I8" s="5" t="n"/>
      <c r="J8" s="2" t="n"/>
      <c r="K8" s="8" t="inlineStr">
        <is>
          <t>Página</t>
        </is>
      </c>
      <c r="L8" s="28" t="inlineStr">
        <is>
          <t>1 de 1</t>
        </is>
      </c>
      <c r="M8" s="26" t="n"/>
    </row>
    <row r="9" ht="15" customHeight="1" s="34">
      <c r="A9" s="37" t="inlineStr">
        <is>
          <t>Seguimiento de las acciones derivadas de hallazgos, incidentes, quejas y evaluaciones · Decreto 1076 de 2015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20" t="n"/>
    </row>
    <row r="10" ht="16.5" customHeight="1" s="34">
      <c r="A10" s="21" t="inlineStr">
        <is>
          <t>1. DATOS GENERALES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3" t="n"/>
    </row>
    <row r="11" ht="21" customHeight="1" s="34">
      <c r="A11" s="27" t="inlineStr">
        <is>
          <t>Proyecto / Obra</t>
        </is>
      </c>
      <c r="B11" s="25" t="n"/>
      <c r="C11" s="26" t="n"/>
      <c r="D11" s="24" t="n"/>
      <c r="E11" s="25" t="n"/>
      <c r="F11" s="26" t="n"/>
      <c r="G11" s="27" t="inlineStr">
        <is>
          <t>Ubicación</t>
        </is>
      </c>
      <c r="H11" s="26" t="n"/>
      <c r="I11" s="24" t="n"/>
      <c r="J11" s="25" t="n"/>
      <c r="K11" s="25" t="n"/>
      <c r="L11" s="25" t="n"/>
      <c r="M11" s="26" t="n"/>
    </row>
    <row r="12" ht="21" customHeight="1" s="34">
      <c r="A12" s="27" t="inlineStr">
        <is>
          <t>Contratista / Empresa</t>
        </is>
      </c>
      <c r="B12" s="25" t="n"/>
      <c r="C12" s="26" t="n"/>
      <c r="D12" s="24" t="n"/>
      <c r="E12" s="25" t="n"/>
      <c r="F12" s="26" t="n"/>
      <c r="G12" s="27" t="inlineStr">
        <is>
          <t>Responsable del seguimiento</t>
        </is>
      </c>
      <c r="H12" s="26" t="n"/>
      <c r="I12" s="24" t="n"/>
      <c r="J12" s="25" t="n"/>
      <c r="K12" s="25" t="n"/>
      <c r="L12" s="25" t="n"/>
      <c r="M12" s="26" t="n"/>
    </row>
    <row r="13" ht="21" customHeight="1" s="34">
      <c r="A13" s="27" t="inlineStr">
        <is>
          <t>Fecha de corte</t>
        </is>
      </c>
      <c r="B13" s="25" t="n"/>
      <c r="C13" s="26" t="n"/>
      <c r="D13" s="51" t="n"/>
      <c r="E13" s="27" t="inlineStr">
        <is>
          <t>Periodo</t>
        </is>
      </c>
      <c r="F13" s="49" t="n"/>
      <c r="G13" s="27" t="inlineStr">
        <is>
          <t>Hoja N°</t>
        </is>
      </c>
      <c r="H13" s="26" t="n"/>
      <c r="I13" s="49" t="n"/>
    </row>
    <row r="14" ht="16.5" customHeight="1" s="34">
      <c r="A14" s="21" t="inlineStr">
        <is>
          <t>2. REGISTRO Y SEGUIMIENTO DE ACCIONES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3" t="n"/>
    </row>
    <row r="15" ht="34.05" customHeight="1" s="34">
      <c r="A15" s="40" t="inlineStr">
        <is>
          <t>No.</t>
        </is>
      </c>
      <c r="B15" s="40" t="inlineStr">
        <is>
          <t>Fecha</t>
        </is>
      </c>
      <c r="C15" s="40" t="inlineStr">
        <is>
          <t>Origen</t>
        </is>
      </c>
      <c r="D15" s="40" t="inlineStr">
        <is>
          <t>Hallazgo o situación</t>
        </is>
      </c>
      <c r="E15" s="40" t="inlineStr">
        <is>
          <t>Causa identificada</t>
        </is>
      </c>
      <c r="F15" s="40" t="inlineStr">
        <is>
          <t>Acción a ejecutar</t>
        </is>
      </c>
      <c r="G15" s="40" t="inlineStr">
        <is>
          <t>Tipo</t>
        </is>
      </c>
      <c r="H15" s="40" t="inlineStr">
        <is>
          <t>Responsable</t>
        </is>
      </c>
      <c r="I15" s="40" t="inlineStr">
        <is>
          <t>Fecha límite</t>
        </is>
      </c>
      <c r="J15" s="40" t="inlineStr">
        <is>
          <t>Estado</t>
        </is>
      </c>
      <c r="K15" s="40" t="inlineStr">
        <is>
          <t>Fecha de cierre</t>
        </is>
      </c>
      <c r="L15" s="40" t="inlineStr">
        <is>
          <t>¿Eficaz?</t>
        </is>
      </c>
      <c r="M15" s="40" t="inlineStr">
        <is>
          <t>Evidencia u observación</t>
        </is>
      </c>
    </row>
    <row r="16" ht="36" customHeight="1" s="34">
      <c r="A16" s="55" t="n">
        <v>1</v>
      </c>
      <c r="B16" s="54" t="n"/>
      <c r="C16" s="13" t="n"/>
      <c r="D16" s="47" t="n"/>
      <c r="E16" s="47" t="n"/>
      <c r="F16" s="47" t="n"/>
      <c r="G16" s="55" t="n"/>
      <c r="H16" s="47" t="n"/>
      <c r="I16" s="54" t="n"/>
      <c r="J16" s="55" t="n"/>
      <c r="K16" s="54" t="n"/>
      <c r="L16" s="55" t="n"/>
      <c r="M16" s="47" t="n"/>
    </row>
    <row r="17" ht="36" customHeight="1" s="34">
      <c r="A17" s="55" t="n">
        <v>2</v>
      </c>
      <c r="B17" s="54" t="n"/>
      <c r="C17" s="13" t="n"/>
      <c r="D17" s="47" t="n"/>
      <c r="E17" s="47" t="n"/>
      <c r="F17" s="47" t="n"/>
      <c r="G17" s="55" t="n"/>
      <c r="H17" s="47" t="n"/>
      <c r="I17" s="54" t="n"/>
      <c r="J17" s="55" t="n"/>
      <c r="K17" s="54" t="n"/>
      <c r="L17" s="55" t="n"/>
      <c r="M17" s="47" t="n"/>
    </row>
    <row r="18" ht="36" customHeight="1" s="34">
      <c r="A18" s="55" t="n">
        <v>3</v>
      </c>
      <c r="B18" s="54" t="n"/>
      <c r="C18" s="13" t="n"/>
      <c r="D18" s="47" t="n"/>
      <c r="E18" s="47" t="n"/>
      <c r="F18" s="47" t="n"/>
      <c r="G18" s="55" t="n"/>
      <c r="H18" s="47" t="n"/>
      <c r="I18" s="54" t="n"/>
      <c r="J18" s="55" t="n"/>
      <c r="K18" s="54" t="n"/>
      <c r="L18" s="55" t="n"/>
      <c r="M18" s="47" t="n"/>
    </row>
    <row r="19" ht="36" customHeight="1" s="34">
      <c r="A19" s="55" t="n">
        <v>4</v>
      </c>
      <c r="B19" s="54" t="n"/>
      <c r="C19" s="13" t="n"/>
      <c r="D19" s="47" t="n"/>
      <c r="E19" s="47" t="n"/>
      <c r="F19" s="47" t="n"/>
      <c r="G19" s="55" t="n"/>
      <c r="H19" s="47" t="n"/>
      <c r="I19" s="54" t="n"/>
      <c r="J19" s="55" t="n"/>
      <c r="K19" s="54" t="n"/>
      <c r="L19" s="55" t="n"/>
      <c r="M19" s="47" t="n"/>
    </row>
    <row r="20" ht="36" customHeight="1" s="34">
      <c r="A20" s="55" t="n">
        <v>5</v>
      </c>
      <c r="B20" s="54" t="n"/>
      <c r="C20" s="13" t="n"/>
      <c r="D20" s="47" t="n"/>
      <c r="E20" s="47" t="n"/>
      <c r="F20" s="47" t="n"/>
      <c r="G20" s="55" t="n"/>
      <c r="H20" s="47" t="n"/>
      <c r="I20" s="54" t="n"/>
      <c r="J20" s="55" t="n"/>
      <c r="K20" s="54" t="n"/>
      <c r="L20" s="55" t="n"/>
      <c r="M20" s="47" t="n"/>
    </row>
    <row r="21" ht="36" customHeight="1" s="34">
      <c r="A21" s="55" t="n">
        <v>6</v>
      </c>
      <c r="B21" s="54" t="n"/>
      <c r="C21" s="13" t="n"/>
      <c r="D21" s="47" t="n"/>
      <c r="E21" s="47" t="n"/>
      <c r="F21" s="47" t="n"/>
      <c r="G21" s="55" t="n"/>
      <c r="H21" s="47" t="n"/>
      <c r="I21" s="54" t="n"/>
      <c r="J21" s="55" t="n"/>
      <c r="K21" s="54" t="n"/>
      <c r="L21" s="55" t="n"/>
      <c r="M21" s="47" t="n"/>
    </row>
    <row r="22" ht="36" customHeight="1" s="34">
      <c r="A22" s="55" t="n">
        <v>7</v>
      </c>
      <c r="B22" s="54" t="n"/>
      <c r="C22" s="13" t="n"/>
      <c r="D22" s="47" t="n"/>
      <c r="E22" s="47" t="n"/>
      <c r="F22" s="47" t="n"/>
      <c r="G22" s="55" t="n"/>
      <c r="H22" s="47" t="n"/>
      <c r="I22" s="54" t="n"/>
      <c r="J22" s="55" t="n"/>
      <c r="K22" s="54" t="n"/>
      <c r="L22" s="55" t="n"/>
      <c r="M22" s="47" t="n"/>
    </row>
    <row r="23" ht="36" customHeight="1" s="34">
      <c r="A23" s="55" t="n">
        <v>8</v>
      </c>
      <c r="B23" s="54" t="n"/>
      <c r="C23" s="13" t="n"/>
      <c r="D23" s="47" t="n"/>
      <c r="E23" s="47" t="n"/>
      <c r="F23" s="47" t="n"/>
      <c r="G23" s="55" t="n"/>
      <c r="H23" s="47" t="n"/>
      <c r="I23" s="54" t="n"/>
      <c r="J23" s="55" t="n"/>
      <c r="K23" s="54" t="n"/>
      <c r="L23" s="55" t="n"/>
      <c r="M23" s="47" t="n"/>
    </row>
    <row r="24" ht="36" customHeight="1" s="34">
      <c r="A24" s="55" t="n">
        <v>9</v>
      </c>
      <c r="B24" s="54" t="n"/>
      <c r="C24" s="13" t="n"/>
      <c r="D24" s="47" t="n"/>
      <c r="E24" s="47" t="n"/>
      <c r="F24" s="47" t="n"/>
      <c r="G24" s="55" t="n"/>
      <c r="H24" s="47" t="n"/>
      <c r="I24" s="54" t="n"/>
      <c r="J24" s="55" t="n"/>
      <c r="K24" s="54" t="n"/>
      <c r="L24" s="55" t="n"/>
      <c r="M24" s="47" t="n"/>
    </row>
    <row r="25" ht="36" customHeight="1" s="34">
      <c r="A25" s="55" t="n">
        <v>10</v>
      </c>
      <c r="B25" s="54" t="n"/>
      <c r="C25" s="13" t="n"/>
      <c r="D25" s="47" t="n"/>
      <c r="E25" s="47" t="n"/>
      <c r="F25" s="47" t="n"/>
      <c r="G25" s="55" t="n"/>
      <c r="H25" s="47" t="n"/>
      <c r="I25" s="54" t="n"/>
      <c r="J25" s="55" t="n"/>
      <c r="K25" s="54" t="n"/>
      <c r="L25" s="55" t="n"/>
      <c r="M25" s="47" t="n"/>
    </row>
    <row r="26" ht="19.95" customHeight="1" s="34">
      <c r="A26" s="40" t="inlineStr">
        <is>
          <t>Total registradas</t>
        </is>
      </c>
      <c r="B26" s="20" t="n"/>
      <c r="C26" s="40" t="inlineStr">
        <is>
          <t>Abiertas</t>
        </is>
      </c>
      <c r="D26" s="40" t="inlineStr">
        <is>
          <t>En proceso</t>
        </is>
      </c>
      <c r="E26" s="40" t="inlineStr">
        <is>
          <t>Cerradas</t>
        </is>
      </c>
      <c r="F26" s="40" t="inlineStr">
        <is>
          <t>Vencidas</t>
        </is>
      </c>
      <c r="G26" s="40" t="inlineStr">
        <is>
          <t>% de cierre</t>
        </is>
      </c>
      <c r="H26" s="20" t="n"/>
    </row>
    <row r="27" ht="22.05" customHeight="1" s="34">
      <c r="A27" s="39">
        <f>COUNTA(D16:D25)</f>
        <v/>
      </c>
      <c r="B27" s="26" t="n"/>
      <c r="C27" s="39">
        <f>COUNTIF(J16:J25,"Abierta")</f>
        <v/>
      </c>
      <c r="D27" s="39">
        <f>COUNTIF(J16:J25,"En proceso")</f>
        <v/>
      </c>
      <c r="E27" s="39">
        <f>COUNTIF(J16:J25,"Cerrada")</f>
        <v/>
      </c>
      <c r="F27" s="39">
        <f>SUMPRODUCT((I16:I25&lt;&gt;"")*(J16:J25&lt;&gt;"Cerrada")*(I16:I25&lt;TODAY()))</f>
        <v/>
      </c>
      <c r="G27" s="32">
        <f>IF(A27=0,"",E27/A27)</f>
        <v/>
      </c>
      <c r="H27" s="26" t="n"/>
    </row>
    <row r="28" ht="18" customHeight="1" s="34">
      <c r="A28" s="36" t="inlineStr">
        <is>
          <t>Una acción está vencida cuando pasó su fecha límite y no está cerrada. Se cierra con evidencia; la eficacia se verifica después, cuando la causa no se repite.</t>
        </is>
      </c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6" t="n"/>
    </row>
    <row r="29" ht="16.5" customHeight="1" s="34">
      <c r="A29" s="21" t="inlineStr">
        <is>
          <t>3. FIRMAS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3" t="n"/>
    </row>
    <row r="30" ht="18" customHeight="1" s="34">
      <c r="A30" s="18" t="inlineStr">
        <is>
          <t>ELABORÓ — RESPONSABLE AMBIENTAL</t>
        </is>
      </c>
      <c r="B30" s="19" t="n"/>
      <c r="C30" s="19" t="n"/>
      <c r="D30" s="19" t="n"/>
      <c r="E30" s="20" t="n"/>
      <c r="F30" s="18" t="inlineStr">
        <is>
          <t>REVISÓ — RESIDENTE DE OBRA</t>
        </is>
      </c>
      <c r="G30" s="19" t="n"/>
      <c r="H30" s="19" t="n"/>
      <c r="I30" s="20" t="n"/>
      <c r="J30" s="18" t="inlineStr">
        <is>
          <t>Vo.Bo. — GERENCIA / INTERVENTORÍA</t>
        </is>
      </c>
      <c r="K30" s="19" t="n"/>
      <c r="L30" s="19" t="n"/>
      <c r="M30" s="20" t="n"/>
    </row>
    <row r="31" ht="42" customHeight="1" s="34">
      <c r="A31" s="38" t="inlineStr">
        <is>
          <t>Firma:</t>
        </is>
      </c>
      <c r="B31" s="23" t="n"/>
      <c r="C31" s="29" t="n"/>
      <c r="D31" s="22" t="n"/>
      <c r="E31" s="23" t="n"/>
      <c r="F31" s="38" t="inlineStr">
        <is>
          <t>Firma:</t>
        </is>
      </c>
      <c r="G31" s="23" t="n"/>
      <c r="H31" s="29" t="n"/>
      <c r="I31" s="23" t="n"/>
      <c r="J31" s="38" t="inlineStr">
        <is>
          <t>Firma:</t>
        </is>
      </c>
      <c r="K31" s="23" t="n"/>
      <c r="L31" s="29" t="n"/>
      <c r="M31" s="23" t="n"/>
    </row>
    <row r="32" ht="21" customHeight="1" s="34">
      <c r="A32" s="38" t="inlineStr">
        <is>
          <t>Nombre:</t>
        </is>
      </c>
      <c r="B32" s="23" t="n"/>
      <c r="C32" s="29" t="n"/>
      <c r="D32" s="22" t="n"/>
      <c r="E32" s="23" t="n"/>
      <c r="F32" s="38" t="inlineStr">
        <is>
          <t>Nombre:</t>
        </is>
      </c>
      <c r="G32" s="23" t="n"/>
      <c r="H32" s="29" t="n"/>
      <c r="I32" s="23" t="n"/>
      <c r="J32" s="38" t="inlineStr">
        <is>
          <t>Nombre:</t>
        </is>
      </c>
      <c r="K32" s="23" t="n"/>
      <c r="L32" s="29" t="n"/>
      <c r="M32" s="23" t="n"/>
    </row>
    <row r="33" ht="21" customHeight="1" s="34">
      <c r="A33" s="38" t="inlineStr">
        <is>
          <t>Cargo:</t>
        </is>
      </c>
      <c r="B33" s="23" t="n"/>
      <c r="C33" s="29" t="n"/>
      <c r="D33" s="22" t="n"/>
      <c r="E33" s="23" t="n"/>
      <c r="F33" s="38" t="inlineStr">
        <is>
          <t>Cargo:</t>
        </is>
      </c>
      <c r="G33" s="23" t="n"/>
      <c r="H33" s="29" t="n"/>
      <c r="I33" s="23" t="n"/>
      <c r="J33" s="38" t="inlineStr">
        <is>
          <t>Cargo:</t>
        </is>
      </c>
      <c r="K33" s="23" t="n"/>
      <c r="L33" s="29" t="n"/>
      <c r="M33" s="23" t="n"/>
    </row>
    <row r="34">
      <c r="A34" s="1" t="inlineStr">
        <is>
          <t>REV. 08/10/2026</t>
        </is>
      </c>
      <c r="G34" s="43">
        <f>L5</f>
        <v/>
      </c>
    </row>
  </sheetData>
  <mergeCells count="50">
    <mergeCell ref="A30:E30"/>
    <mergeCell ref="A14:M14"/>
    <mergeCell ref="G12:H12"/>
    <mergeCell ref="D11:F11"/>
    <mergeCell ref="L7:M7"/>
    <mergeCell ref="C31:E31"/>
    <mergeCell ref="L32:M32"/>
    <mergeCell ref="D3:M3"/>
    <mergeCell ref="G11:H11"/>
    <mergeCell ref="G27:H27"/>
    <mergeCell ref="I11:M11"/>
    <mergeCell ref="A29:M29"/>
    <mergeCell ref="H31:I31"/>
    <mergeCell ref="A12:C12"/>
    <mergeCell ref="D5:J5"/>
    <mergeCell ref="A10:M10"/>
    <mergeCell ref="A28:M28"/>
    <mergeCell ref="A9:M9"/>
    <mergeCell ref="F33:G33"/>
    <mergeCell ref="L33:M33"/>
    <mergeCell ref="D12:F12"/>
    <mergeCell ref="L5:M5"/>
    <mergeCell ref="F32:G32"/>
    <mergeCell ref="G13:H13"/>
    <mergeCell ref="L8:M8"/>
    <mergeCell ref="A27:B27"/>
    <mergeCell ref="C32:E32"/>
    <mergeCell ref="I12:M12"/>
    <mergeCell ref="A26:B26"/>
    <mergeCell ref="A13:C13"/>
    <mergeCell ref="K4:M4"/>
    <mergeCell ref="A33:B33"/>
    <mergeCell ref="H32:I32"/>
    <mergeCell ref="J32:K32"/>
    <mergeCell ref="D6:J6"/>
    <mergeCell ref="A32:B32"/>
    <mergeCell ref="F30:I30"/>
    <mergeCell ref="F31:G31"/>
    <mergeCell ref="J30:M30"/>
    <mergeCell ref="J31:K31"/>
    <mergeCell ref="L31:M31"/>
    <mergeCell ref="G26:H26"/>
    <mergeCell ref="C33:E33"/>
    <mergeCell ref="A11:C11"/>
    <mergeCell ref="L6:M6"/>
    <mergeCell ref="H33:I33"/>
    <mergeCell ref="G34:M34"/>
    <mergeCell ref="J33:K33"/>
    <mergeCell ref="D1:M2"/>
    <mergeCell ref="A31:B31"/>
  </mergeCells>
  <pageMargins left="0.4" right="0.4" top="0.4" bottom="0.7" header="0.5" footer="0.5"/>
  <pageSetup orientation="landscape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2026-10-08T20:31:19Z</dcterms:modified>
  <cp:lastModifiedBy>Hugo Fernando Hurtado Ruiz</cp:lastModifiedBy>
</cp:coreProperties>
</file>