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7" activeTab="0" autoFilterDateGrouping="1"/>
  </bookViews>
  <sheets>
    <sheet xmlns:r="http://schemas.openxmlformats.org/officeDocument/2006/relationships" name="Cierre Financiero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&quot;$&quot;#,##0;[Red]\-&quot;$&quot;#,##0"/>
    <numFmt numFmtId="165" formatCode="0.0%"/>
  </numFmts>
  <fonts count="15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Calibri"/>
      <family val="2"/>
      <color rgb="FF000000"/>
      <sz val="10"/>
    </font>
    <font>
      <name val="Arial"/>
      <family val="2"/>
      <b val="1"/>
      <color rgb="FF000000"/>
      <sz val="14"/>
    </font>
    <font>
      <name val="Calibri"/>
      <family val="2"/>
      <i val="1"/>
      <color rgb="FF000000"/>
      <sz val="14"/>
    </font>
    <font>
      <name val="Arial"/>
      <family val="2"/>
      <b val="1"/>
      <color rgb="FFFFFFFF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0F243E"/>
      <sz val="10"/>
    </font>
    <font>
      <name val="Calibri"/>
      <family val="2"/>
      <b val="1"/>
      <color rgb="FFFFFFFF"/>
      <sz val="10"/>
    </font>
    <font>
      <name val="Calibri"/>
      <family val="2"/>
      <b val="1"/>
      <i val="1"/>
      <color rgb="FF000000"/>
      <sz val="10"/>
    </font>
    <font>
      <name val="Calibri"/>
      <family val="2"/>
      <b val="1"/>
      <sz val="10"/>
    </font>
    <font>
      <name val="Arial"/>
      <family val="2"/>
      <b val="1"/>
      <sz val="12"/>
    </font>
    <font>
      <name val="Calibri"/>
      <family val="2"/>
      <i val="1"/>
      <sz val="10"/>
    </font>
    <font>
      <name val="Calibri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A233"/>
      </patternFill>
    </fill>
    <fill>
      <patternFill patternType="solid">
        <fgColor rgb="FFDCE6F1"/>
      </patternFill>
    </fill>
    <fill>
      <patternFill patternType="solid">
        <fgColor rgb="FF92D050"/>
      </patternFill>
    </fill>
    <fill>
      <patternFill patternType="solid">
        <fgColor rgb="FFFAFAFA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A233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 wrapText="1"/>
    </xf>
    <xf numFmtId="165" fontId="2" fillId="5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right" vertical="center" wrapText="1"/>
    </xf>
    <xf numFmtId="0" fontId="0" fillId="0" borderId="7" pivotButton="0" quotePrefix="0" xfId="0"/>
    <xf numFmtId="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64" fontId="2" fillId="0" borderId="1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2" fillId="7" borderId="1" applyAlignment="1" pivotButton="0" quotePrefix="0" xfId="0">
      <alignment horizontal="left" vertical="center" wrapText="1"/>
    </xf>
    <xf numFmtId="0" fontId="6" fillId="4" borderId="9" applyAlignment="1" pivotButton="0" quotePrefix="0" xfId="0">
      <alignment vertical="center" wrapText="1"/>
    </xf>
    <xf numFmtId="0" fontId="6" fillId="4" borderId="10" applyAlignment="1" pivotButton="0" quotePrefix="0" xfId="0">
      <alignment vertical="center" wrapText="1"/>
    </xf>
    <xf numFmtId="0" fontId="6" fillId="4" borderId="11" applyAlignment="1" pivotButton="0" quotePrefix="0" xfId="0">
      <alignment vertical="center" wrapText="1"/>
    </xf>
    <xf numFmtId="0" fontId="0" fillId="7" borderId="9" pivotButton="0" quotePrefix="0" xfId="0"/>
    <xf numFmtId="0" fontId="0" fillId="7" borderId="10" pivotButton="0" quotePrefix="0" xfId="0"/>
    <xf numFmtId="0" fontId="0" fillId="7" borderId="11" pivotButton="0" quotePrefix="0" xfId="0"/>
    <xf numFmtId="164" fontId="2" fillId="4" borderId="9" applyAlignment="1" pivotButton="0" quotePrefix="0" xfId="0">
      <alignment horizontal="center" vertical="center" wrapText="1"/>
    </xf>
    <xf numFmtId="164" fontId="2" fillId="4" borderId="10" applyAlignment="1" pivotButton="0" quotePrefix="0" xfId="0">
      <alignment horizontal="center" vertical="center" wrapText="1"/>
    </xf>
    <xf numFmtId="164" fontId="2" fillId="4" borderId="11" applyAlignment="1" pivotButton="0" quotePrefix="0" xfId="0">
      <alignment horizontal="center" vertical="center" wrapText="1"/>
    </xf>
    <xf numFmtId="0" fontId="2" fillId="6" borderId="1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6" borderId="4" applyAlignment="1" pivotButton="0" quotePrefix="0" xfId="0">
      <alignment horizontal="left" vertical="top" wrapText="1"/>
    </xf>
    <xf numFmtId="0" fontId="2" fillId="6" borderId="3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2" fillId="6" borderId="5" applyAlignment="1" pivotButton="0" quotePrefix="0" xfId="0">
      <alignment horizontal="left" vertical="top" wrapText="1"/>
    </xf>
    <xf numFmtId="0" fontId="2" fillId="6" borderId="6" applyAlignment="1" pivotButton="0" quotePrefix="0" xfId="0">
      <alignment horizontal="left" vertical="top" wrapText="1"/>
    </xf>
    <xf numFmtId="0" fontId="2" fillId="6" borderId="7" applyAlignment="1" pivotButton="0" quotePrefix="0" xfId="0">
      <alignment horizontal="left" vertical="top" wrapText="1"/>
    </xf>
    <xf numFmtId="0" fontId="2" fillId="6" borderId="8" applyAlignment="1" pivotButton="0" quotePrefix="0" xfId="0">
      <alignment horizontal="left" vertical="top" wrapText="1"/>
    </xf>
    <xf numFmtId="165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4" fontId="2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5" fontId="6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0" fillId="9" borderId="0" applyAlignment="1" pivotButton="0" quotePrefix="0" xfId="0">
      <alignment horizontal="center"/>
    </xf>
    <xf numFmtId="14" fontId="2" fillId="0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 wrapText="1"/>
    </xf>
    <xf numFmtId="165" fontId="6" fillId="4" borderId="1" applyAlignment="1" pivotButton="0" quotePrefix="0" xfId="0">
      <alignment horizontal="right" vertical="center" wrapText="1"/>
    </xf>
    <xf numFmtId="0" fontId="0" fillId="0" borderId="10" pivotButton="0" quotePrefix="0" xfId="0"/>
    <xf numFmtId="165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0" fillId="9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 wrapText="1"/>
    </xf>
    <xf numFmtId="0" fontId="14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1" applyProtection="1" pivotButton="0" quotePrefix="0" xfId="0">
      <protection locked="0" hidden="0"/>
    </xf>
    <xf numFmtId="164" fontId="14" fillId="0" borderId="1" applyAlignment="1" applyProtection="1" pivotButton="0" quotePrefix="0" xfId="0">
      <alignment horizontal="right" vertical="center" wrapText="1"/>
      <protection locked="0" hidden="0"/>
    </xf>
    <xf numFmtId="0" fontId="14" fillId="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 wrapText="1"/>
    </xf>
    <xf numFmtId="0" fontId="14" fillId="0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right" vertical="center" wrapText="1"/>
    </xf>
    <xf numFmtId="165" fontId="6" fillId="4" borderId="1" applyAlignment="1" pivotButton="0" quotePrefix="0" xfId="0">
      <alignment horizontal="right" vertical="center" wrapText="1"/>
    </xf>
    <xf numFmtId="165" fontId="14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1" applyAlignment="1" applyProtection="1" pivotButton="0" quotePrefix="0" xfId="0">
      <alignment horizontal="center" vertical="center"/>
      <protection locked="0" hidden="0"/>
    </xf>
    <xf numFmtId="4" fontId="14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</cellXfs>
  <cellStyles count="1">
    <cellStyle name="Normal" xfId="0" builtinId="0"/>
  </cellStyles>
  <dxfs count="3"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736000" cy="1368000"/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736000" cy="1368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1"/>
  </sheetPr>
  <dimension ref="A1:J63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7.77734375" customWidth="1" style="37" min="1" max="1"/>
    <col width="32" customWidth="1" style="37" min="2" max="2"/>
    <col width="19" customWidth="1" style="37" min="3" max="3"/>
    <col width="25.77734375" customWidth="1" style="37" min="4" max="4"/>
    <col width="14" customWidth="1" style="37" min="5" max="5"/>
    <col width="19" customWidth="1" style="37" min="6" max="6"/>
    <col width="14" customWidth="1" style="37" min="7" max="9"/>
    <col width="13" customWidth="1" style="37" min="8" max="8"/>
    <col width="13" customWidth="1" style="37" min="9" max="9"/>
    <col width="15.77734375" customWidth="1" style="37" min="10" max="10"/>
  </cols>
  <sheetData>
    <row r="1" ht="40.05" customHeight="1" s="37">
      <c r="A1" s="79" t="n"/>
      <c r="C1" s="45" t="inlineStr">
        <is>
          <t>CIERRE FINANCIERO DE LA OBRA</t>
        </is>
      </c>
    </row>
    <row r="2" ht="4.95" customHeight="1" s="37">
      <c r="C2" s="104" t="n"/>
    </row>
    <row r="3" ht="14.4" customHeight="1" s="37">
      <c r="D3" s="36" t="n"/>
      <c r="H3" s="41" t="inlineStr">
        <is>
          <t>CONTROL DOCUMENTAL</t>
        </is>
      </c>
      <c r="I3" s="100" t="n"/>
      <c r="J3" s="87" t="n"/>
    </row>
    <row r="4" ht="15" customHeight="1" s="37">
      <c r="D4" s="94" t="inlineStr">
        <is>
          <t>REFORMAS Y REMODELACIONES</t>
        </is>
      </c>
      <c r="H4" s="25" t="inlineStr">
        <is>
          <t>Código</t>
        </is>
      </c>
      <c r="I4" s="87" t="n"/>
      <c r="J4" s="3" t="inlineStr">
        <is>
          <t>RYR-CP-011</t>
        </is>
      </c>
    </row>
    <row r="5" ht="14.4" customHeight="1" s="37">
      <c r="D5" s="96" t="inlineStr">
        <is>
          <t>DISEÑAMOS, RENOVAMOS Y CONSTRUIMOS ESPACIOS QUE INSPIRAN.</t>
        </is>
      </c>
      <c r="H5" s="25" t="inlineStr">
        <is>
          <t>Versión</t>
        </is>
      </c>
      <c r="I5" s="87" t="n"/>
      <c r="J5" s="3" t="inlineStr">
        <is>
          <t>1</t>
        </is>
      </c>
    </row>
    <row r="6" ht="20.4" customHeight="1" s="37">
      <c r="D6" s="36" t="n"/>
      <c r="H6" s="25" t="inlineStr">
        <is>
          <t>Fecha de Emisión</t>
        </is>
      </c>
      <c r="I6" s="87" t="n"/>
      <c r="J6" s="3" t="inlineStr">
        <is>
          <t>08/10/2026</t>
        </is>
      </c>
    </row>
    <row r="7" ht="18" customHeight="1" s="37">
      <c r="A7" s="55" t="n"/>
      <c r="B7" s="55" t="n"/>
      <c r="D7" s="36" t="n"/>
      <c r="H7" s="25" t="inlineStr">
        <is>
          <t>Página</t>
        </is>
      </c>
      <c r="I7" s="87" t="n"/>
      <c r="J7" s="3" t="inlineStr">
        <is>
          <t>1 de 1</t>
        </is>
      </c>
    </row>
    <row r="8">
      <c r="A8" s="31" t="inlineStr">
        <is>
          <t>Resultado final del contrato, costo por unidad de obra y saldos por liquidar</t>
        </is>
      </c>
      <c r="B8" s="100" t="n"/>
      <c r="C8" s="100" t="n"/>
      <c r="D8" s="100" t="n"/>
      <c r="E8" s="100" t="n"/>
      <c r="F8" s="100" t="n"/>
      <c r="G8" s="100" t="n"/>
      <c r="H8" s="100" t="n"/>
      <c r="I8" s="100" t="n"/>
      <c r="J8" s="87" t="n"/>
    </row>
    <row r="9" ht="15" customHeight="1" s="37">
      <c r="A9" s="43" t="inlineStr">
        <is>
          <t>1. DATOS GENERALES</t>
        </is>
      </c>
      <c r="B9" s="100" t="n"/>
      <c r="C9" s="100" t="n"/>
      <c r="D9" s="100" t="n"/>
      <c r="E9" s="100" t="n"/>
      <c r="F9" s="100" t="n"/>
      <c r="G9" s="100" t="n"/>
      <c r="H9" s="100" t="n"/>
      <c r="I9" s="100" t="n"/>
      <c r="J9" s="87" t="n"/>
    </row>
    <row r="10" ht="18" customHeight="1" s="37">
      <c r="A10" s="25" t="inlineStr">
        <is>
          <t>Proyecto / Obra</t>
        </is>
      </c>
      <c r="B10" s="100" t="n"/>
      <c r="C10" s="87" t="n"/>
      <c r="D10" s="108" t="n"/>
      <c r="E10" s="109" t="n"/>
      <c r="F10" s="25" t="inlineStr">
        <is>
          <t>Tipo de proyecto</t>
        </is>
      </c>
      <c r="G10" s="100" t="n"/>
      <c r="H10" s="87" t="n"/>
      <c r="I10" s="108" t="n"/>
      <c r="J10" s="109" t="n"/>
    </row>
    <row r="11" ht="18" customHeight="1" s="37">
      <c r="A11" s="25" t="inlineStr">
        <is>
          <t>Contrato N°</t>
        </is>
      </c>
      <c r="B11" s="100" t="n"/>
      <c r="C11" s="87" t="n"/>
      <c r="D11" s="108" t="n"/>
      <c r="E11" s="109" t="n"/>
      <c r="F11" s="25" t="inlineStr">
        <is>
          <t>Contratante</t>
        </is>
      </c>
      <c r="G11" s="100" t="n"/>
      <c r="H11" s="87" t="n"/>
      <c r="I11" s="108" t="n"/>
      <c r="J11" s="109" t="n"/>
    </row>
    <row r="12" ht="18" customHeight="1" s="37">
      <c r="A12" s="25" t="inlineStr">
        <is>
          <t>Fecha de cierre</t>
        </is>
      </c>
      <c r="B12" s="100" t="n"/>
      <c r="C12" s="87" t="n"/>
      <c r="D12" s="108" t="n"/>
      <c r="E12" s="109" t="n"/>
      <c r="F12" s="25" t="inlineStr">
        <is>
          <t>Responsable del cierre</t>
        </is>
      </c>
      <c r="G12" s="100" t="n"/>
      <c r="H12" s="87" t="n"/>
      <c r="I12" s="108" t="n"/>
      <c r="J12" s="109" t="n"/>
    </row>
    <row r="13" ht="15" customHeight="1" s="37">
      <c r="A13" s="43" t="inlineStr">
        <is>
          <t>2. VALOR FINAL DEL CONTRATO</t>
        </is>
      </c>
      <c r="B13" s="100" t="n"/>
      <c r="C13" s="100" t="n"/>
      <c r="D13" s="100" t="n"/>
      <c r="E13" s="100" t="n"/>
      <c r="F13" s="100" t="n"/>
      <c r="G13" s="100" t="n"/>
      <c r="H13" s="100" t="n"/>
      <c r="I13" s="100" t="n"/>
      <c r="J13" s="87" t="n"/>
    </row>
    <row r="14" ht="42" customHeight="1" s="37">
      <c r="A14" s="25" t="inlineStr">
        <is>
          <t>Valor del contrato inicial</t>
        </is>
      </c>
      <c r="B14" s="100" t="n"/>
      <c r="C14" s="87" t="n"/>
      <c r="D14" s="110" t="n"/>
      <c r="F14" s="111" t="inlineStr">
        <is>
          <t>Los deductivos se escriben como valor positivo; el formato los resta.
Saldo por facturar: lo que falta cobrar del valor final. Debe quedar en cero al liquidar el contrato.</t>
        </is>
      </c>
      <c r="G14" s="50" t="n"/>
      <c r="H14" s="50" t="n"/>
      <c r="I14" s="50" t="n"/>
      <c r="J14" s="51" t="n"/>
    </row>
    <row r="15" ht="18" customHeight="1" s="37">
      <c r="A15" s="25" t="inlineStr">
        <is>
          <t>Adicionales aprobados</t>
        </is>
      </c>
      <c r="B15" s="100" t="n"/>
      <c r="C15" s="87" t="n"/>
      <c r="D15" s="110" t="n"/>
      <c r="F15" s="52" t="n"/>
      <c r="J15" s="53" t="n"/>
    </row>
    <row r="16" ht="18" customHeight="1" s="37">
      <c r="A16" s="25" t="inlineStr">
        <is>
          <t>Deductivos (menores cantidades)</t>
        </is>
      </c>
      <c r="B16" s="100" t="n"/>
      <c r="C16" s="87" t="n"/>
      <c r="D16" s="110" t="n"/>
      <c r="F16" s="52" t="n"/>
      <c r="J16" s="53" t="n"/>
    </row>
    <row r="17" ht="18" customHeight="1" s="37">
      <c r="A17" s="25" t="inlineStr">
        <is>
          <t>Valor final del contrato</t>
        </is>
      </c>
      <c r="B17" s="100" t="n"/>
      <c r="C17" s="87" t="n"/>
      <c r="D17" s="112">
        <f>N(D14)+N(D15)-N(D16)</f>
        <v/>
      </c>
      <c r="F17" s="52" t="n"/>
      <c r="J17" s="53" t="n"/>
    </row>
    <row r="18" ht="18" customHeight="1" s="37">
      <c r="A18" s="25" t="inlineStr">
        <is>
          <t>Total facturado en actas</t>
        </is>
      </c>
      <c r="B18" s="100" t="n"/>
      <c r="C18" s="87" t="n"/>
      <c r="D18" s="110" t="n"/>
      <c r="F18" s="52" t="n"/>
      <c r="J18" s="53" t="n"/>
    </row>
    <row r="19" ht="18" customHeight="1" s="37">
      <c r="A19" s="25" t="inlineStr">
        <is>
          <t>Saldo por facturar</t>
        </is>
      </c>
      <c r="B19" s="100" t="n"/>
      <c r="C19" s="87" t="n"/>
      <c r="D19" s="112">
        <f>D17-N(D18)</f>
        <v/>
      </c>
      <c r="F19" s="54" t="n"/>
      <c r="G19" s="55" t="n"/>
      <c r="H19" s="55" t="n"/>
      <c r="I19" s="55" t="n"/>
      <c r="J19" s="56" t="n"/>
    </row>
    <row r="20"/>
    <row r="21" ht="15" customHeight="1" s="37">
      <c r="A21" s="43" t="inlineStr">
        <is>
          <t>3. COSTO FINAL POR TIPO</t>
        </is>
      </c>
      <c r="B21" s="100" t="n"/>
      <c r="C21" s="100" t="n"/>
      <c r="D21" s="100" t="n"/>
      <c r="E21" s="100" t="n"/>
      <c r="F21" s="100" t="n"/>
      <c r="G21" s="100" t="n"/>
      <c r="H21" s="100" t="n"/>
      <c r="I21" s="100" t="n"/>
      <c r="J21" s="87" t="n"/>
    </row>
    <row r="22" ht="30" customHeight="1" s="37">
      <c r="A22" s="86" t="inlineStr">
        <is>
          <t>No.</t>
        </is>
      </c>
      <c r="B22" s="86" t="inlineStr">
        <is>
          <t>Tipo de costo</t>
        </is>
      </c>
      <c r="C22" s="86" t="inlineStr">
        <is>
          <t>Costo real final</t>
        </is>
      </c>
      <c r="D22" s="86" t="inlineStr">
        <is>
          <t>% del costo total</t>
        </is>
      </c>
      <c r="E22" s="105" t="n"/>
      <c r="F22" s="105" t="n"/>
      <c r="G22" s="105" t="n"/>
      <c r="H22" s="105" t="n"/>
      <c r="I22" s="105" t="n"/>
      <c r="J22" s="105" t="n"/>
    </row>
    <row r="23" ht="29" customHeight="1" s="37">
      <c r="A23" s="113" t="n">
        <v>1</v>
      </c>
      <c r="B23" s="25" t="inlineStr">
        <is>
          <t>Material</t>
        </is>
      </c>
      <c r="C23" s="110" t="n"/>
      <c r="D23" s="114">
        <f>IF(OR(C23="",C30=0),"",C23/C30)</f>
        <v/>
      </c>
      <c r="F23" s="111" t="inlineStr">
        <is>
          <t>El costo real final es la suma de todo lo registrado en la obra (Registro de Costos), con IVA.</t>
        </is>
      </c>
      <c r="G23" s="50" t="n"/>
      <c r="H23" s="50" t="n"/>
      <c r="I23" s="50" t="n"/>
      <c r="J23" s="51" t="n"/>
    </row>
    <row r="24" ht="19.95" customHeight="1" s="37">
      <c r="A24" s="113" t="n">
        <v>2</v>
      </c>
      <c r="B24" s="25" t="inlineStr">
        <is>
          <t>Mano de obra</t>
        </is>
      </c>
      <c r="C24" s="110" t="n"/>
      <c r="D24" s="114">
        <f>IF(OR(C24="",C30=0),"",C24/C30)</f>
        <v/>
      </c>
      <c r="F24" s="52" t="n"/>
      <c r="J24" s="53" t="n"/>
    </row>
    <row r="25" ht="19.95" customHeight="1" s="37">
      <c r="A25" s="113" t="n">
        <v>3</v>
      </c>
      <c r="B25" s="25" t="inlineStr">
        <is>
          <t>Subcontrato</t>
        </is>
      </c>
      <c r="C25" s="110" t="n"/>
      <c r="D25" s="114">
        <f>IF(OR(C25="",C30=0),"",C25/C30)</f>
        <v/>
      </c>
      <c r="F25" s="52" t="n"/>
      <c r="J25" s="53" t="n"/>
    </row>
    <row r="26" ht="19.95" customHeight="1" s="37">
      <c r="A26" s="113" t="n">
        <v>4</v>
      </c>
      <c r="B26" s="25" t="inlineStr">
        <is>
          <t>Maquinaria y equipo</t>
        </is>
      </c>
      <c r="C26" s="110" t="n"/>
      <c r="D26" s="114">
        <f>IF(OR(C26="",C30=0),"",C26/C30)</f>
        <v/>
      </c>
      <c r="F26" s="52" t="n"/>
      <c r="J26" s="53" t="n"/>
    </row>
    <row r="27" ht="19.95" customHeight="1" s="37">
      <c r="A27" s="113" t="n">
        <v>5</v>
      </c>
      <c r="B27" s="25" t="inlineStr">
        <is>
          <t>Transporte</t>
        </is>
      </c>
      <c r="C27" s="110" t="n"/>
      <c r="D27" s="114">
        <f>IF(OR(C27="",C30=0),"",C27/C30)</f>
        <v/>
      </c>
      <c r="F27" s="52" t="n"/>
      <c r="J27" s="53" t="n"/>
    </row>
    <row r="28" ht="19.95" customHeight="1" s="37">
      <c r="A28" s="113" t="n">
        <v>6</v>
      </c>
      <c r="B28" s="25" t="inlineStr">
        <is>
          <t>Administración</t>
        </is>
      </c>
      <c r="C28" s="110" t="n"/>
      <c r="D28" s="114">
        <f>IF(OR(C28="",C30=0),"",C28/C30)</f>
        <v/>
      </c>
      <c r="F28" s="52" t="n"/>
      <c r="J28" s="53" t="n"/>
    </row>
    <row r="29" ht="19.95" customHeight="1" s="37">
      <c r="A29" s="113" t="n">
        <v>7</v>
      </c>
      <c r="B29" s="25" t="inlineStr">
        <is>
          <t>Otro</t>
        </is>
      </c>
      <c r="C29" s="110" t="n"/>
      <c r="D29" s="114">
        <f>IF(OR(C29="",C30=0),"",C29/C30)</f>
        <v/>
      </c>
      <c r="F29" s="52" t="n"/>
      <c r="J29" s="53" t="n"/>
    </row>
    <row r="30">
      <c r="A30" s="39" t="inlineStr">
        <is>
          <t>COSTO TOTAL</t>
        </is>
      </c>
      <c r="B30" s="87" t="n"/>
      <c r="C30" s="115">
        <f>SUM(C23:C29)</f>
        <v/>
      </c>
      <c r="D30" s="116">
        <f>IF(C30=0,"",1)</f>
        <v/>
      </c>
      <c r="F30" s="54" t="n"/>
      <c r="G30" s="55" t="n"/>
      <c r="H30" s="55" t="n"/>
      <c r="I30" s="55" t="n"/>
      <c r="J30" s="56" t="n"/>
    </row>
    <row r="31"/>
    <row r="32" ht="15" customHeight="1" s="37">
      <c r="A32" s="43" t="inlineStr">
        <is>
          <t>4. RESULTADO FINAL</t>
        </is>
      </c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87" t="n"/>
    </row>
    <row r="33" ht="42" customHeight="1" s="37">
      <c r="A33" s="25" t="inlineStr">
        <is>
          <t>Utilidad final (valor final − costo total)</t>
        </is>
      </c>
      <c r="B33" s="100" t="n"/>
      <c r="C33" s="87" t="n"/>
      <c r="D33" s="112">
        <f>IF(N(D17)=0,"",D17-C30)</f>
        <v/>
      </c>
      <c r="F33" s="111" t="inlineStr">
        <is>
          <t>La utilidad pactada es la del AIU del contrato (la «U»).
POR DEBAJO DE LO PACTADO: la obra dejó utilidad, pero menos de lo previsto.</t>
        </is>
      </c>
      <c r="G33" s="50" t="n"/>
      <c r="H33" s="50" t="n"/>
      <c r="I33" s="50" t="n"/>
      <c r="J33" s="51" t="n"/>
    </row>
    <row r="34" ht="18" customHeight="1" s="37">
      <c r="A34" s="25" t="inlineStr">
        <is>
          <t>Margen final %</t>
        </is>
      </c>
      <c r="B34" s="100" t="n"/>
      <c r="C34" s="87" t="n"/>
      <c r="D34" s="117">
        <f>IF(D33="","",D33/D17)</f>
        <v/>
      </c>
      <c r="F34" s="52" t="n"/>
      <c r="J34" s="53" t="n"/>
    </row>
    <row r="35" ht="18" customHeight="1" s="37">
      <c r="A35" s="25" t="inlineStr">
        <is>
          <t>Utilidad pactada en el contrato (%)</t>
        </is>
      </c>
      <c r="B35" s="100" t="n"/>
      <c r="C35" s="87" t="n"/>
      <c r="D35" s="118" t="n"/>
      <c r="F35" s="52" t="n"/>
      <c r="J35" s="53" t="n"/>
    </row>
    <row r="36" ht="18" customHeight="1" s="37">
      <c r="A36" s="25" t="inlineStr">
        <is>
          <t>Diferencia contra lo pactado (puntos)</t>
        </is>
      </c>
      <c r="B36" s="100" t="n"/>
      <c r="C36" s="87" t="n"/>
      <c r="D36" s="117">
        <f>IF(OR(D34="",D35=""),"",D34-D35)</f>
        <v/>
      </c>
      <c r="F36" s="52" t="n"/>
      <c r="J36" s="53" t="n"/>
    </row>
    <row r="37" ht="28.05" customHeight="1" s="37">
      <c r="A37" s="25" t="inlineStr">
        <is>
          <t>Resultado</t>
        </is>
      </c>
      <c r="B37" s="100" t="n"/>
      <c r="C37" s="87" t="n"/>
      <c r="D37" s="102">
        <f>IF(D34="","",IF(D34&lt;=0,"PÉRDIDA",IF(AND(D35&lt;&gt;"",D34&lt;D35),"POR DEBAJO DE LO PACTADO","CUMPLE LO PACTADO")))</f>
        <v/>
      </c>
      <c r="F37" s="54" t="n"/>
      <c r="G37" s="55" t="n"/>
      <c r="H37" s="55" t="n"/>
      <c r="I37" s="55" t="n"/>
      <c r="J37" s="56" t="n"/>
    </row>
    <row r="38"/>
    <row r="39" ht="15" customHeight="1" s="37">
      <c r="A39" s="43" t="inlineStr">
        <is>
          <t>5. COSTO POR UNIDAD DE OBRA</t>
        </is>
      </c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87" t="n"/>
    </row>
    <row r="40" ht="68" customHeight="1" s="37">
      <c r="A40" s="25" t="inlineStr">
        <is>
          <t>Unidad de medida</t>
        </is>
      </c>
      <c r="B40" s="100" t="n"/>
      <c r="C40" s="87" t="n"/>
      <c r="D40" s="119" t="n"/>
      <c r="F40" s="111" t="inlineStr">
        <is>
          <t>Unidad según el tipo de proyecto:
  Edificación / Reformas → m² construidos.
  Vías y Carreteras → km.
  Hidrocarburos → ml (metros lineales).
Este costo por unidad sirve de referencia para cotizar obras parecidas.</t>
        </is>
      </c>
      <c r="G40" s="50" t="n"/>
      <c r="H40" s="50" t="n"/>
      <c r="I40" s="50" t="n"/>
      <c r="J40" s="51" t="n"/>
    </row>
    <row r="41" ht="18" customHeight="1" s="37">
      <c r="A41" s="25" t="inlineStr">
        <is>
          <t>Cantidad total ejecutada</t>
        </is>
      </c>
      <c r="B41" s="100" t="n"/>
      <c r="C41" s="87" t="n"/>
      <c r="D41" s="120" t="n"/>
      <c r="F41" s="52" t="n"/>
      <c r="J41" s="53" t="n"/>
    </row>
    <row r="42" ht="18" customHeight="1" s="37">
      <c r="A42" s="25" t="inlineStr">
        <is>
          <t>Costo por unidad</t>
        </is>
      </c>
      <c r="B42" s="100" t="n"/>
      <c r="C42" s="87" t="n"/>
      <c r="D42" s="112">
        <f>IF(N(D41)=0,"",C30/D41)</f>
        <v/>
      </c>
      <c r="F42" s="52" t="n"/>
      <c r="J42" s="53" t="n"/>
    </row>
    <row r="43" ht="18" customHeight="1" s="37">
      <c r="A43" s="25" t="inlineStr">
        <is>
          <t>Valor del contrato por unidad</t>
        </is>
      </c>
      <c r="B43" s="100" t="n"/>
      <c r="C43" s="87" t="n"/>
      <c r="D43" s="112">
        <f>IF(N(D41)=0,"",D17/D41)</f>
        <v/>
      </c>
      <c r="F43" s="52" t="n"/>
      <c r="J43" s="53" t="n"/>
    </row>
    <row r="44" ht="18" customHeight="1" s="37">
      <c r="A44" s="25" t="inlineStr">
        <is>
          <t>Utilidad por unidad</t>
        </is>
      </c>
      <c r="B44" s="100" t="n"/>
      <c r="C44" s="87" t="n"/>
      <c r="D44" s="112">
        <f>IF(D42="","",D43-D42)</f>
        <v/>
      </c>
      <c r="F44" s="54" t="n"/>
      <c r="G44" s="55" t="n"/>
      <c r="H44" s="55" t="n"/>
      <c r="I44" s="55" t="n"/>
      <c r="J44" s="56" t="n"/>
    </row>
    <row r="45"/>
    <row r="46" ht="15" customHeight="1" s="37">
      <c r="A46" s="43" t="inlineStr">
        <is>
          <t>6. LIQUIDACIÓN Y SALDOS</t>
        </is>
      </c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87" t="n"/>
    </row>
    <row r="47" ht="55" customHeight="1" s="37">
      <c r="A47" s="25" t="inlineStr">
        <is>
          <t>Anticipo entregado</t>
        </is>
      </c>
      <c r="B47" s="100" t="n"/>
      <c r="C47" s="87" t="n"/>
      <c r="D47" s="110" t="n"/>
      <c r="F47" s="111" t="inlineStr">
        <is>
          <t>Anticipo sin amortizar y retegarantía: deben quedar resueltos en el acta de liquidación.
Cuentas por pagar: proveedores y subcontratistas que aún no se han pagado (ver formato de Cuentas por Pagar).</t>
        </is>
      </c>
      <c r="G47" s="50" t="n"/>
      <c r="H47" s="50" t="n"/>
      <c r="I47" s="50" t="n"/>
      <c r="J47" s="51" t="n"/>
    </row>
    <row r="48" ht="18" customHeight="1" s="37">
      <c r="A48" s="25" t="inlineStr">
        <is>
          <t>Anticipo amortizado</t>
        </is>
      </c>
      <c r="B48" s="100" t="n"/>
      <c r="C48" s="87" t="n"/>
      <c r="D48" s="110" t="n"/>
      <c r="F48" s="52" t="n"/>
      <c r="J48" s="53" t="n"/>
    </row>
    <row r="49" ht="18" customHeight="1" s="37">
      <c r="A49" s="25" t="inlineStr">
        <is>
          <t>Anticipo sin amortizar</t>
        </is>
      </c>
      <c r="B49" s="100" t="n"/>
      <c r="C49" s="87" t="n"/>
      <c r="D49" s="112">
        <f>N(D47)-N(D48)</f>
        <v/>
      </c>
      <c r="F49" s="52" t="n"/>
      <c r="J49" s="53" t="n"/>
    </row>
    <row r="50" ht="18" customHeight="1" s="37">
      <c r="A50" s="25" t="inlineStr">
        <is>
          <t>Retegarantía pendiente de devolución</t>
        </is>
      </c>
      <c r="B50" s="100" t="n"/>
      <c r="C50" s="87" t="n"/>
      <c r="D50" s="110" t="n"/>
      <c r="F50" s="52" t="n"/>
      <c r="J50" s="53" t="n"/>
    </row>
    <row r="51" ht="18" customHeight="1" s="37">
      <c r="A51" s="25" t="inlineStr">
        <is>
          <t>Cuentas por pagar pendientes</t>
        </is>
      </c>
      <c r="B51" s="100" t="n"/>
      <c r="C51" s="87" t="n"/>
      <c r="D51" s="110" t="n"/>
      <c r="F51" s="54" t="n"/>
      <c r="G51" s="55" t="n"/>
      <c r="H51" s="55" t="n"/>
      <c r="I51" s="55" t="n"/>
      <c r="J51" s="56" t="n"/>
    </row>
    <row r="52"/>
    <row r="53" ht="15" customHeight="1" s="37">
      <c r="A53" s="43" t="inlineStr">
        <is>
          <t>7. OBSERVACIONES Y LECCIONES APRENDIDAS</t>
        </is>
      </c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87" t="n"/>
    </row>
    <row r="54" ht="22.05" customHeight="1" s="37">
      <c r="A54" s="108" t="n"/>
      <c r="B54" s="121" t="n"/>
      <c r="C54" s="121" t="n"/>
      <c r="D54" s="121" t="n"/>
      <c r="E54" s="121" t="n"/>
      <c r="F54" s="121" t="n"/>
      <c r="G54" s="121" t="n"/>
      <c r="H54" s="121" t="n"/>
      <c r="I54" s="121" t="n"/>
      <c r="J54" s="122" t="n"/>
    </row>
    <row r="55" ht="22.05" customHeight="1" s="37">
      <c r="A55" s="123" t="n"/>
      <c r="B55" s="124" t="n"/>
      <c r="C55" s="124" t="n"/>
      <c r="D55" s="124" t="n"/>
      <c r="E55" s="124" t="n"/>
      <c r="F55" s="124" t="n"/>
      <c r="G55" s="124" t="n"/>
      <c r="H55" s="124" t="n"/>
      <c r="I55" s="124" t="n"/>
      <c r="J55" s="125" t="n"/>
    </row>
    <row r="56" ht="22.05" customHeight="1" s="37">
      <c r="A56" s="123" t="n"/>
      <c r="B56" s="124" t="n"/>
      <c r="C56" s="124" t="n"/>
      <c r="D56" s="124" t="n"/>
      <c r="E56" s="124" t="n"/>
      <c r="F56" s="124" t="n"/>
      <c r="G56" s="124" t="n"/>
      <c r="H56" s="124" t="n"/>
      <c r="I56" s="124" t="n"/>
      <c r="J56" s="125" t="n"/>
    </row>
    <row r="57" ht="22.05" customHeight="1" s="37">
      <c r="A57" s="126" t="n"/>
      <c r="B57" s="127" t="n"/>
      <c r="C57" s="127" t="n"/>
      <c r="D57" s="127" t="n"/>
      <c r="E57" s="127" t="n"/>
      <c r="F57" s="127" t="n"/>
      <c r="G57" s="127" t="n"/>
      <c r="H57" s="127" t="n"/>
      <c r="I57" s="127" t="n"/>
      <c r="J57" s="128" t="n"/>
    </row>
    <row r="58"/>
    <row r="59" ht="15" customHeight="1" s="37">
      <c r="A59" s="43" t="inlineStr">
        <is>
          <t>FIRMAS</t>
        </is>
      </c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87" t="n"/>
    </row>
    <row r="60">
      <c r="A60" s="31" t="inlineStr">
        <is>
          <t>ELABORÓ — DIRECTOR DE OBRA</t>
        </is>
      </c>
      <c r="B60" s="100" t="n"/>
      <c r="C60" s="100" t="n"/>
      <c r="D60" s="100" t="n"/>
      <c r="E60" s="87" t="n"/>
      <c r="F60" s="31" t="inlineStr">
        <is>
          <t>APROBÓ — GERENCIA</t>
        </is>
      </c>
      <c r="G60" s="100" t="n"/>
      <c r="H60" s="100" t="n"/>
      <c r="I60" s="100" t="n"/>
      <c r="J60" s="87" t="n"/>
    </row>
    <row r="61" ht="15" customHeight="1" s="37">
      <c r="A61" s="25" t="inlineStr">
        <is>
          <t>Firma:</t>
        </is>
      </c>
      <c r="B61" s="100" t="n"/>
      <c r="C61" s="87" t="n"/>
      <c r="D61" s="108" t="n"/>
      <c r="E61" s="109" t="n"/>
      <c r="F61" s="25" t="inlineStr">
        <is>
          <t>Firma:</t>
        </is>
      </c>
      <c r="G61" s="100" t="n"/>
      <c r="H61" s="87" t="n"/>
      <c r="I61" s="108" t="n"/>
      <c r="J61" s="109" t="n"/>
    </row>
    <row r="62" ht="15" customHeight="1" s="37">
      <c r="A62" s="25" t="inlineStr">
        <is>
          <t>Nombre:</t>
        </is>
      </c>
      <c r="B62" s="100" t="n"/>
      <c r="C62" s="87" t="n"/>
      <c r="D62" s="108" t="n"/>
      <c r="E62" s="109" t="n"/>
      <c r="F62" s="25" t="inlineStr">
        <is>
          <t>Nombre:</t>
        </is>
      </c>
      <c r="G62" s="100" t="n"/>
      <c r="H62" s="87" t="n"/>
      <c r="I62" s="108" t="n"/>
      <c r="J62" s="109" t="n"/>
    </row>
    <row r="63" ht="15" customHeight="1" s="37">
      <c r="A63" s="25" t="inlineStr">
        <is>
          <t>Cargo:</t>
        </is>
      </c>
      <c r="B63" s="100" t="n"/>
      <c r="C63" s="87" t="n"/>
      <c r="D63" s="108" t="n"/>
      <c r="E63" s="109" t="n"/>
      <c r="F63" s="25" t="inlineStr">
        <is>
          <t>Cargo:</t>
        </is>
      </c>
      <c r="G63" s="100" t="n"/>
      <c r="H63" s="87" t="n"/>
      <c r="I63" s="108" t="n"/>
      <c r="J63" s="109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76">
    <mergeCell ref="A41:C41"/>
    <mergeCell ref="A32:J32"/>
    <mergeCell ref="A30:B30"/>
    <mergeCell ref="D10:E10"/>
    <mergeCell ref="A8:J8"/>
    <mergeCell ref="D3:G3"/>
    <mergeCell ref="A37:C37"/>
    <mergeCell ref="D63:E63"/>
    <mergeCell ref="A60:E60"/>
    <mergeCell ref="A53:J53"/>
    <mergeCell ref="A18:C18"/>
    <mergeCell ref="I11:J11"/>
    <mergeCell ref="H4:I4"/>
    <mergeCell ref="A50:C50"/>
    <mergeCell ref="A12:C12"/>
    <mergeCell ref="F62:H62"/>
    <mergeCell ref="D5:G5"/>
    <mergeCell ref="I61:J61"/>
    <mergeCell ref="A13:J13"/>
    <mergeCell ref="A54:J57"/>
    <mergeCell ref="A42:C42"/>
    <mergeCell ref="A33:C33"/>
    <mergeCell ref="H6:I6"/>
    <mergeCell ref="A47:C47"/>
    <mergeCell ref="C1:J1"/>
    <mergeCell ref="D11:E11"/>
    <mergeCell ref="A14:C14"/>
    <mergeCell ref="A9:J9"/>
    <mergeCell ref="F23:J30"/>
    <mergeCell ref="A39:J39"/>
    <mergeCell ref="A17:C17"/>
    <mergeCell ref="A62:C62"/>
    <mergeCell ref="A59:J59"/>
    <mergeCell ref="D61:E61"/>
    <mergeCell ref="A1:B7"/>
    <mergeCell ref="A35:C35"/>
    <mergeCell ref="F61:H61"/>
    <mergeCell ref="F40:J44"/>
    <mergeCell ref="A43:C43"/>
    <mergeCell ref="H3:J3"/>
    <mergeCell ref="A10:C10"/>
    <mergeCell ref="I12:J12"/>
    <mergeCell ref="A19:C19"/>
    <mergeCell ref="A63:C63"/>
    <mergeCell ref="A44:C44"/>
    <mergeCell ref="I62:J62"/>
    <mergeCell ref="H7:I7"/>
    <mergeCell ref="D6:G6"/>
    <mergeCell ref="C2:J2"/>
    <mergeCell ref="A40:C40"/>
    <mergeCell ref="F33:J37"/>
    <mergeCell ref="D62:E62"/>
    <mergeCell ref="A34:C34"/>
    <mergeCell ref="F14:J19"/>
    <mergeCell ref="A15:C15"/>
    <mergeCell ref="A48:C48"/>
    <mergeCell ref="F11:H11"/>
    <mergeCell ref="A51:C51"/>
    <mergeCell ref="F63:H63"/>
    <mergeCell ref="D12:E12"/>
    <mergeCell ref="F10:H10"/>
    <mergeCell ref="A46:J46"/>
    <mergeCell ref="A36:C36"/>
    <mergeCell ref="F47:J51"/>
    <mergeCell ref="A49:C49"/>
    <mergeCell ref="A11:C11"/>
    <mergeCell ref="I10:J10"/>
    <mergeCell ref="A61:C61"/>
    <mergeCell ref="A21:J21"/>
    <mergeCell ref="I63:J63"/>
    <mergeCell ref="D7:G7"/>
    <mergeCell ref="F60:J60"/>
    <mergeCell ref="H5:I5"/>
    <mergeCell ref="F12:H12"/>
    <mergeCell ref="A16:C16"/>
    <mergeCell ref="D4:G4"/>
  </mergeCells>
  <pageMargins left="0.4" right="0.4" top="0.4" bottom="0.6" header="0.5" footer="0.5"/>
  <pageSetup orientation="portrait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2026-10-09T05:18:12Z</dcterms:created>
  <dcterms:modified xmlns:dcterms="http://purl.org/dc/terms/" xmlns:xsi="http://www.w3.org/2001/XMLSchema-instance" xsi:type="dcterms:W3CDTF">2026-10-10T05:18:04Z</dcterms:modified>
  <cp:lastModifiedBy>Hugo Fernando Hurtado Ruiz</cp:lastModifiedBy>
</cp:coreProperties>
</file>