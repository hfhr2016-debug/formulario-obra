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valuación Proveedore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hh:mm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9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FFC6FAFE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96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4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4" fontId="18" fillId="0" borderId="9" applyAlignment="1" pivotButton="0" quotePrefix="0" xfId="3">
      <alignment horizontal="center" vertical="center"/>
    </xf>
    <xf numFmtId="164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4" fontId="13" fillId="0" borderId="9" applyAlignment="1" pivotButton="0" quotePrefix="0" xfId="3">
      <alignment horizontal="center" vertical="center"/>
    </xf>
    <xf numFmtId="164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4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4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4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5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6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4" fontId="19" fillId="0" borderId="9" applyAlignment="1" pivotButton="0" quotePrefix="0" xfId="3">
      <alignment horizontal="center" vertical="center"/>
    </xf>
    <xf numFmtId="164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6" fontId="19" fillId="0" borderId="9" applyAlignment="1" applyProtection="1" pivotButton="0" quotePrefix="0" xfId="3">
      <alignment horizontal="center" vertical="center"/>
      <protection locked="0" hidden="0"/>
    </xf>
    <xf numFmtId="164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  <xf numFmtId="164" fontId="19" fillId="0" borderId="9" applyAlignment="1" applyProtection="1" pivotButton="0" quotePrefix="0" xfId="3">
      <alignment horizontal="center" vertical="center"/>
      <protection locked="0" hidden="0"/>
    </xf>
    <xf numFmtId="0" fontId="9" fillId="18" borderId="5" applyAlignment="1" pivotButton="0" quotePrefix="0" xfId="3">
      <alignment horizontal="left" vertical="center"/>
    </xf>
    <xf numFmtId="0" fontId="11" fillId="18" borderId="19" applyAlignment="1" pivotButton="0" quotePrefix="0" xfId="3">
      <alignment horizontal="center" vertical="center" wrapText="1"/>
    </xf>
    <xf numFmtId="0" fontId="9" fillId="18" borderId="19" applyAlignment="1" pivotButton="0" quotePrefix="0" xfId="3">
      <alignment horizontal="left" vertical="center" wrapText="1"/>
    </xf>
    <xf numFmtId="0" fontId="12" fillId="18" borderId="13" applyAlignment="1" pivotButton="0" quotePrefix="0" xfId="3">
      <alignment horizontal="center" vertical="center" wrapText="1"/>
    </xf>
    <xf numFmtId="0" fontId="12" fillId="18" borderId="19" applyAlignment="1" pivotButton="0" quotePrefix="0" xfId="3">
      <alignment horizontal="center" vertical="center" wrapText="1"/>
    </xf>
    <xf numFmtId="164" fontId="19" fillId="0" borderId="9" applyAlignment="1" applyProtection="1" pivotButton="0" quotePrefix="0" xfId="3">
      <alignment horizontal="center" vertical="center"/>
      <protection locked="0" hidden="0"/>
    </xf>
    <xf numFmtId="0" fontId="12" fillId="18" borderId="19" applyAlignment="1" pivotButton="0" quotePrefix="0" xfId="3">
      <alignment horizontal="center" vertical="center"/>
    </xf>
    <xf numFmtId="0" fontId="12" fillId="18" borderId="9" applyAlignment="1" pivotButton="0" quotePrefix="0" xfId="3">
      <alignment horizontal="left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6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</col>
      <colOff>862393</colOff>
      <row>5</row>
      <rowOff>131445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outlinePr summaryBelow="1" summaryRight="1"/>
    <pageSetUpPr fitToPage="1"/>
  </sheetPr>
  <dimension ref="A1:L33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67" min="1" max="1"/>
    <col width="13" customWidth="1" style="67" min="2" max="2"/>
    <col width="13" customWidth="1" style="67" min="3" max="3"/>
    <col width="15.77734375" customWidth="1" style="67" min="4" max="4"/>
    <col width="10" customWidth="1" style="67" min="5" max="5"/>
    <col width="15.77734375" customWidth="1" style="67" min="6" max="6"/>
    <col width="11" customWidth="1" style="67" min="7" max="7"/>
    <col width="15.77734375" customWidth="1" style="67" min="8" max="8"/>
    <col width="10" customWidth="1" style="67" min="9" max="9"/>
    <col width="15.77734375" customWidth="1" style="67" min="10" max="10"/>
    <col width="12" customWidth="1" style="67" min="11" max="11"/>
    <col width="13" customWidth="1" style="67" min="12" max="12"/>
  </cols>
  <sheetData>
    <row r="1" ht="40.05" customHeight="1" s="67">
      <c r="D1" s="38" t="inlineStr">
        <is>
          <t>EVALUACIÓN DE PROVEEDORES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 ht="4.95" customHeight="1" s="67">
      <c r="D3" s="23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 ht="15" customHeight="1" s="67">
      <c r="J4" s="120" t="inlineStr">
        <is>
          <t>CONTROL DOCUMENTAL</t>
        </is>
      </c>
      <c r="K4" s="31" t="n"/>
      <c r="L4" s="32" t="n"/>
    </row>
    <row r="5" ht="15" customHeight="1" s="67">
      <c r="D5" s="27" t="inlineStr">
        <is>
          <t>REFORMAS Y REMODELACIONES</t>
        </is>
      </c>
      <c r="I5" s="29" t="n"/>
      <c r="J5" s="188" t="inlineStr">
        <is>
          <t>Código</t>
        </is>
      </c>
      <c r="K5" s="94" t="inlineStr">
        <is>
          <t>RYR-CO-007</t>
        </is>
      </c>
      <c r="L5" s="32" t="n"/>
    </row>
    <row r="6" ht="15" customHeight="1" s="67">
      <c r="D6" s="37" t="inlineStr">
        <is>
          <t>DISEÑAMOS, RENOVAMOS Y CONSTRUIMOS ESPACIOS QUE INSPIRAN.</t>
        </is>
      </c>
      <c r="I6" s="29" t="n"/>
      <c r="J6" s="188" t="inlineStr">
        <is>
          <t>Versión</t>
        </is>
      </c>
      <c r="K6" s="94" t="inlineStr">
        <is>
          <t>1</t>
        </is>
      </c>
      <c r="L6" s="32" t="n"/>
    </row>
    <row r="7" ht="15" customHeight="1" s="67">
      <c r="D7" s="68" t="n"/>
      <c r="E7" s="68" t="n"/>
      <c r="F7" s="68" t="n"/>
      <c r="G7" s="68" t="n"/>
      <c r="H7" s="68" t="n"/>
      <c r="I7" s="4" t="n"/>
      <c r="J7" s="188" t="inlineStr">
        <is>
          <t>Fecha de Emisión</t>
        </is>
      </c>
      <c r="K7" s="94" t="inlineStr">
        <is>
          <t>15/10/2026</t>
        </is>
      </c>
      <c r="L7" s="32" t="n"/>
    </row>
    <row r="8" ht="15" customHeight="1" s="67">
      <c r="D8" s="68" t="n"/>
      <c r="E8" s="68" t="n"/>
      <c r="F8" s="68" t="n"/>
      <c r="G8" s="68" t="n"/>
      <c r="H8" s="68" t="n"/>
      <c r="I8" s="4" t="n"/>
      <c r="J8" s="188" t="inlineStr">
        <is>
          <t>Página</t>
        </is>
      </c>
      <c r="K8" s="94" t="inlineStr">
        <is>
          <t>1 de 1</t>
        </is>
      </c>
      <c r="L8" s="32" t="n"/>
    </row>
    <row r="9" ht="28" customHeight="1" s="67">
      <c r="A9" s="189" t="inlineStr">
        <is>
          <t>Se evalúa con lo que pasó: entregas a tiempo, lo recibido y el trato comercial</t>
        </is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</row>
    <row r="10" ht="16.5" customHeight="1" s="67">
      <c r="A10" s="15" t="inlineStr">
        <is>
          <t>1. DATOS GENERALES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7" t="n"/>
    </row>
    <row r="11" ht="21" customHeight="1" s="67">
      <c r="A11" s="190" t="inlineStr">
        <is>
          <t>Proyecto / Obra</t>
        </is>
      </c>
      <c r="B11" s="32" t="n"/>
      <c r="C11" s="161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3" t="n"/>
    </row>
    <row r="12" ht="21" customHeight="1" s="67">
      <c r="A12" s="190" t="inlineStr">
        <is>
          <t>Proveedor</t>
        </is>
      </c>
      <c r="B12" s="32" t="n"/>
      <c r="C12" s="161" t="n"/>
      <c r="D12" s="162" t="n"/>
      <c r="E12" s="162" t="n"/>
      <c r="F12" s="162" t="n"/>
      <c r="G12" s="163" t="n"/>
      <c r="H12" s="190" t="inlineStr">
        <is>
          <t>NIT</t>
        </is>
      </c>
      <c r="I12" s="32" t="n"/>
      <c r="J12" s="161" t="n"/>
      <c r="K12" s="162" t="n"/>
      <c r="L12" s="163" t="n"/>
    </row>
    <row r="13" ht="21" customHeight="1" s="67">
      <c r="A13" s="190" t="inlineStr">
        <is>
          <t>Tipo de evaluación</t>
        </is>
      </c>
      <c r="B13" s="32" t="n"/>
      <c r="C13" s="161" t="n"/>
      <c r="D13" s="162" t="n"/>
      <c r="E13" s="162" t="n"/>
      <c r="F13" s="162" t="n"/>
      <c r="G13" s="163" t="n"/>
      <c r="H13" s="190" t="inlineStr">
        <is>
          <t>Suministro o servicio evaluado</t>
        </is>
      </c>
      <c r="I13" s="32" t="n"/>
      <c r="J13" s="161" t="n"/>
      <c r="K13" s="162" t="n"/>
      <c r="L13" s="163" t="n"/>
    </row>
    <row r="14" ht="21" customHeight="1" s="67">
      <c r="A14" s="190" t="inlineStr">
        <is>
          <t>Periodo evaluado desde</t>
        </is>
      </c>
      <c r="B14" s="32" t="n"/>
      <c r="C14" s="161" t="n"/>
      <c r="D14" s="163" t="n"/>
      <c r="E14" s="190" t="inlineStr">
        <is>
          <t>Hasta</t>
        </is>
      </c>
      <c r="F14" s="32" t="n"/>
      <c r="G14" s="161" t="n"/>
      <c r="H14" s="190" t="inlineStr">
        <is>
          <t>Fecha de evaluación</t>
        </is>
      </c>
      <c r="I14" s="32" t="n"/>
      <c r="J14" s="161" t="n"/>
      <c r="K14" s="162" t="n"/>
      <c r="L14" s="163" t="n"/>
    </row>
    <row r="15" ht="16.5" customHeight="1" s="67">
      <c r="A15" s="15" t="inlineStr">
        <is>
          <t>2. CALIFICACIÓN POR CRITERIO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7" t="n"/>
    </row>
    <row r="16" ht="32" customHeight="1" s="67">
      <c r="A16" s="191" t="inlineStr">
        <is>
          <t>No.</t>
        </is>
      </c>
      <c r="B16" s="192" t="inlineStr">
        <is>
          <t>Criterio de evaluación</t>
        </is>
      </c>
      <c r="C16" s="31" t="n"/>
      <c r="D16" s="31" t="n"/>
      <c r="E16" s="31" t="n"/>
      <c r="F16" s="32" t="n"/>
      <c r="G16" s="192" t="inlineStr">
        <is>
          <t>Peso (%)</t>
        </is>
      </c>
      <c r="H16" s="192" t="inlineStr">
        <is>
          <t>Calificación (1 a 5)</t>
        </is>
      </c>
      <c r="I16" s="32" t="n"/>
      <c r="J16" s="192" t="inlineStr">
        <is>
          <t>Observaciones</t>
        </is>
      </c>
      <c r="K16" s="31" t="n"/>
      <c r="L16" s="32" t="n"/>
    </row>
    <row r="17" ht="24" customHeight="1" s="67">
      <c r="A17" s="125" t="n">
        <v>1</v>
      </c>
      <c r="B17" s="170" t="inlineStr">
        <is>
          <t>Cumplimiento de los plazos de entrega</t>
        </is>
      </c>
      <c r="C17" s="171" t="n"/>
      <c r="D17" s="171" t="n"/>
      <c r="E17" s="171" t="n"/>
      <c r="F17" s="172" t="n"/>
      <c r="G17" s="173" t="n">
        <v>25</v>
      </c>
      <c r="H17" s="173" t="n"/>
      <c r="I17" s="172" t="n"/>
      <c r="J17" s="170" t="n"/>
      <c r="K17" s="171" t="n"/>
      <c r="L17" s="172" t="n"/>
    </row>
    <row r="18" ht="24" customHeight="1" s="67">
      <c r="A18" s="125" t="n">
        <v>2</v>
      </c>
      <c r="B18" s="170" t="inlineStr">
        <is>
          <t>Calidad y conformidad de lo entregado</t>
        </is>
      </c>
      <c r="C18" s="171" t="n"/>
      <c r="D18" s="171" t="n"/>
      <c r="E18" s="171" t="n"/>
      <c r="F18" s="172" t="n"/>
      <c r="G18" s="173" t="n">
        <v>25</v>
      </c>
      <c r="H18" s="173" t="n"/>
      <c r="I18" s="172" t="n"/>
      <c r="J18" s="170" t="n"/>
      <c r="K18" s="171" t="n"/>
      <c r="L18" s="172" t="n"/>
    </row>
    <row r="19" ht="24" customHeight="1" s="67">
      <c r="A19" s="125" t="n">
        <v>3</v>
      </c>
      <c r="B19" s="170" t="inlineStr">
        <is>
          <t>Precio y condiciones comerciales</t>
        </is>
      </c>
      <c r="C19" s="171" t="n"/>
      <c r="D19" s="171" t="n"/>
      <c r="E19" s="171" t="n"/>
      <c r="F19" s="172" t="n"/>
      <c r="G19" s="173" t="n">
        <v>20</v>
      </c>
      <c r="H19" s="173" t="n"/>
      <c r="I19" s="172" t="n"/>
      <c r="J19" s="170" t="n"/>
      <c r="K19" s="171" t="n"/>
      <c r="L19" s="172" t="n"/>
    </row>
    <row r="20" ht="24" customHeight="1" s="67">
      <c r="A20" s="125" t="n">
        <v>4</v>
      </c>
      <c r="B20" s="170" t="inlineStr">
        <is>
          <t>Cantidades y documentos correctos (remisión, factura, certificados)</t>
        </is>
      </c>
      <c r="C20" s="171" t="n"/>
      <c r="D20" s="171" t="n"/>
      <c r="E20" s="171" t="n"/>
      <c r="F20" s="172" t="n"/>
      <c r="G20" s="173" t="n">
        <v>10</v>
      </c>
      <c r="H20" s="173" t="n"/>
      <c r="I20" s="172" t="n"/>
      <c r="J20" s="170" t="n"/>
      <c r="K20" s="171" t="n"/>
      <c r="L20" s="172" t="n"/>
    </row>
    <row r="21" ht="24" customHeight="1" s="67">
      <c r="A21" s="125" t="n">
        <v>5</v>
      </c>
      <c r="B21" s="170" t="inlineStr">
        <is>
          <t>Atención de reclamos, devoluciones y garantías</t>
        </is>
      </c>
      <c r="C21" s="171" t="n"/>
      <c r="D21" s="171" t="n"/>
      <c r="E21" s="171" t="n"/>
      <c r="F21" s="172" t="n"/>
      <c r="G21" s="173" t="n">
        <v>10</v>
      </c>
      <c r="H21" s="173" t="n"/>
      <c r="I21" s="172" t="n"/>
      <c r="J21" s="170" t="n"/>
      <c r="K21" s="171" t="n"/>
      <c r="L21" s="172" t="n"/>
    </row>
    <row r="22" ht="24" customHeight="1" s="67">
      <c r="A22" s="125" t="n">
        <v>6</v>
      </c>
      <c r="B22" s="170" t="inlineStr">
        <is>
          <t>Servicio: respuesta rápida y disponibilidad</t>
        </is>
      </c>
      <c r="C22" s="171" t="n"/>
      <c r="D22" s="171" t="n"/>
      <c r="E22" s="171" t="n"/>
      <c r="F22" s="172" t="n"/>
      <c r="G22" s="173" t="n">
        <v>10</v>
      </c>
      <c r="H22" s="173" t="n"/>
      <c r="I22" s="172" t="n"/>
      <c r="J22" s="170" t="n"/>
      <c r="K22" s="171" t="n"/>
      <c r="L22" s="172" t="n"/>
    </row>
    <row r="23" ht="22" customHeight="1" s="67">
      <c r="A23" s="192" t="inlineStr">
        <is>
          <t>TOTAL (sobre 100 puntos)</t>
        </is>
      </c>
      <c r="B23" s="31" t="n"/>
      <c r="C23" s="31" t="n"/>
      <c r="D23" s="31" t="n"/>
      <c r="E23" s="31" t="n"/>
      <c r="F23" s="32" t="n"/>
      <c r="G23" s="173">
        <f>SUM(G17:G22)</f>
        <v/>
      </c>
      <c r="H23" s="193">
        <f>IF(COUNT(H17:H22)=6,ROUND(SUMPRODUCT(G17:G22,H17:H22)/5,1),"")</f>
        <v/>
      </c>
      <c r="I23" s="172" t="n"/>
      <c r="J23" s="173">
        <f>IF(H23="","Falta calificar",IF(H23&gt;=80,"APROBADO",IF(H23&gt;=60,"APROBADO CONDICIONADO","NO APROBADO")))</f>
        <v/>
      </c>
      <c r="K23" s="171" t="n"/>
      <c r="L23" s="172" t="n"/>
    </row>
    <row r="24" ht="16.5" customHeight="1" s="67">
      <c r="A24" s="15" t="inlineStr">
        <is>
          <t>3. DECISIÓN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7" t="n"/>
    </row>
    <row r="25" ht="21" customHeight="1" s="67">
      <c r="A25" s="190" t="inlineStr">
        <is>
          <t>Decisión</t>
        </is>
      </c>
      <c r="B25" s="32" t="n"/>
      <c r="C25" s="161" t="n"/>
      <c r="D25" s="162" t="n"/>
      <c r="E25" s="162" t="n"/>
      <c r="F25" s="162" t="n"/>
      <c r="G25" s="163" t="n"/>
      <c r="H25" s="190" t="inlineStr">
        <is>
          <t>Fecha de próxima evaluación</t>
        </is>
      </c>
      <c r="I25" s="32" t="n"/>
      <c r="J25" s="161" t="n"/>
      <c r="K25" s="162" t="n"/>
      <c r="L25" s="163" t="n"/>
    </row>
    <row r="26" ht="45" customHeight="1" s="67">
      <c r="A26" s="190" t="inlineStr">
        <is>
          <t>Fortalezas observadas</t>
        </is>
      </c>
      <c r="B26" s="32" t="n"/>
      <c r="C26" s="161" t="n"/>
      <c r="D26" s="162" t="n"/>
      <c r="E26" s="162" t="n"/>
      <c r="F26" s="162" t="n"/>
      <c r="G26" s="162" t="n"/>
      <c r="H26" s="162" t="n"/>
      <c r="I26" s="162" t="n"/>
      <c r="J26" s="162" t="n"/>
      <c r="K26" s="162" t="n"/>
      <c r="L26" s="163" t="n"/>
    </row>
    <row r="27" ht="45" customHeight="1" s="67">
      <c r="A27" s="190" t="inlineStr">
        <is>
          <t>Aspectos a mejorar y acuerdos</t>
        </is>
      </c>
      <c r="B27" s="32" t="n"/>
      <c r="C27" s="161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3" t="n"/>
    </row>
    <row r="28" ht="16.5" customHeight="1" s="67">
      <c r="A28" s="15" t="inlineStr">
        <is>
          <t>4. FIRMAS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7" t="n"/>
    </row>
    <row r="29" ht="18" customHeight="1" s="67">
      <c r="A29" s="194" t="inlineStr">
        <is>
          <t>EVALÚA — COMPRAS</t>
        </is>
      </c>
      <c r="B29" s="31" t="n"/>
      <c r="C29" s="31" t="n"/>
      <c r="D29" s="32" t="n"/>
      <c r="E29" s="194" t="inlineStr">
        <is>
          <t>REVISA — RESIDENTE DE OBRA</t>
        </is>
      </c>
      <c r="F29" s="31" t="n"/>
      <c r="G29" s="31" t="n"/>
      <c r="H29" s="32" t="n"/>
      <c r="I29" s="194" t="inlineStr">
        <is>
          <t>VO.BO. — GERENCIA</t>
        </is>
      </c>
      <c r="J29" s="31" t="n"/>
      <c r="K29" s="31" t="n"/>
      <c r="L29" s="32" t="n"/>
    </row>
    <row r="30" ht="42" customHeight="1" s="67">
      <c r="A30" s="195" t="inlineStr">
        <is>
          <t>Firma:</t>
        </is>
      </c>
      <c r="B30" s="17" t="n"/>
      <c r="C30" s="170" t="n"/>
      <c r="D30" s="172" t="n"/>
      <c r="E30" s="195" t="inlineStr">
        <is>
          <t>Firma:</t>
        </is>
      </c>
      <c r="F30" s="17" t="n"/>
      <c r="G30" s="170" t="n"/>
      <c r="H30" s="172" t="n"/>
      <c r="I30" s="195" t="inlineStr">
        <is>
          <t>Firma:</t>
        </is>
      </c>
      <c r="J30" s="17" t="n"/>
      <c r="K30" s="170" t="n"/>
      <c r="L30" s="172" t="n"/>
    </row>
    <row r="31" ht="21" customHeight="1" s="67">
      <c r="A31" s="195" t="inlineStr">
        <is>
          <t>Nombre:</t>
        </is>
      </c>
      <c r="B31" s="17" t="n"/>
      <c r="C31" s="170" t="n"/>
      <c r="D31" s="172" t="n"/>
      <c r="E31" s="195" t="inlineStr">
        <is>
          <t>Nombre:</t>
        </is>
      </c>
      <c r="F31" s="17" t="n"/>
      <c r="G31" s="170" t="n"/>
      <c r="H31" s="172" t="n"/>
      <c r="I31" s="195" t="inlineStr">
        <is>
          <t>Nombre:</t>
        </is>
      </c>
      <c r="J31" s="17" t="n"/>
      <c r="K31" s="170" t="n"/>
      <c r="L31" s="172" t="n"/>
    </row>
    <row r="32" ht="21" customHeight="1" s="67">
      <c r="A32" s="195" t="inlineStr">
        <is>
          <t>Cargo:</t>
        </is>
      </c>
      <c r="B32" s="17" t="n"/>
      <c r="C32" s="170" t="n"/>
      <c r="D32" s="172" t="n"/>
      <c r="E32" s="195" t="inlineStr">
        <is>
          <t>Cargo:</t>
        </is>
      </c>
      <c r="F32" s="17" t="n"/>
      <c r="G32" s="170" t="n"/>
      <c r="H32" s="172" t="n"/>
      <c r="I32" s="195" t="inlineStr">
        <is>
          <t>Cargo:</t>
        </is>
      </c>
      <c r="J32" s="17" t="n"/>
      <c r="K32" s="170" t="n"/>
      <c r="L32" s="172" t="n"/>
    </row>
    <row r="33" s="67">
      <c r="A33" s="2" t="inlineStr">
        <is>
          <t>REV. 15/10/2026</t>
        </is>
      </c>
      <c r="G33" s="33">
        <f>K5</f>
        <v/>
      </c>
    </row>
    <row r="34" s="67"/>
    <row r="35" s="67"/>
    <row r="36" s="67"/>
    <row r="37" s="67"/>
    <row r="38" s="67"/>
    <row r="39" s="67"/>
    <row r="40" s="67"/>
    <row r="41" s="67"/>
    <row r="42" s="67"/>
    <row r="43" s="67"/>
    <row r="44" s="67"/>
    <row r="45" s="67"/>
    <row r="46" s="67"/>
    <row r="47" s="67"/>
    <row r="48" s="67"/>
    <row r="49" s="67"/>
    <row r="50" s="67"/>
    <row r="51" s="67"/>
    <row r="52" s="67"/>
    <row r="53" s="67"/>
    <row r="54" s="67"/>
    <row r="55" s="67"/>
    <row r="56" s="67"/>
    <row r="57" s="67"/>
    <row r="58" s="67"/>
    <row r="59" s="67"/>
    <row r="60" s="67"/>
    <row r="61" s="67"/>
    <row r="62" s="67"/>
    <row r="63" s="67"/>
    <row r="64" s="67"/>
    <row r="65" s="67"/>
    <row r="66" s="67"/>
    <row r="67" s="6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2">
    <mergeCell ref="B16:F16"/>
    <mergeCell ref="A29:D29"/>
    <mergeCell ref="B18:F18"/>
    <mergeCell ref="J25:L25"/>
    <mergeCell ref="D1:L2"/>
    <mergeCell ref="A27:B27"/>
    <mergeCell ref="D5:I5"/>
    <mergeCell ref="H13:I13"/>
    <mergeCell ref="B20:F20"/>
    <mergeCell ref="J13:L13"/>
    <mergeCell ref="H23:I23"/>
    <mergeCell ref="D6:I6"/>
    <mergeCell ref="I30:J30"/>
    <mergeCell ref="A30:B30"/>
    <mergeCell ref="K30:L30"/>
    <mergeCell ref="C30:D30"/>
    <mergeCell ref="A11:B11"/>
    <mergeCell ref="C14:D14"/>
    <mergeCell ref="E14:F14"/>
    <mergeCell ref="I29:L29"/>
    <mergeCell ref="H25:I25"/>
    <mergeCell ref="J16:L16"/>
    <mergeCell ref="I32:J32"/>
    <mergeCell ref="K32:L32"/>
    <mergeCell ref="B17:F17"/>
    <mergeCell ref="H17:I17"/>
    <mergeCell ref="A26:B26"/>
    <mergeCell ref="C12:G12"/>
    <mergeCell ref="C26:L26"/>
    <mergeCell ref="B19:F19"/>
    <mergeCell ref="H19:I19"/>
    <mergeCell ref="A24:L24"/>
    <mergeCell ref="H12:I12"/>
    <mergeCell ref="J14:L14"/>
    <mergeCell ref="H14:I14"/>
    <mergeCell ref="K6:L6"/>
    <mergeCell ref="C11:L11"/>
    <mergeCell ref="K5:L5"/>
    <mergeCell ref="J4:L4"/>
    <mergeCell ref="B21:F21"/>
    <mergeCell ref="H21:I21"/>
    <mergeCell ref="C25:G25"/>
    <mergeCell ref="D3:L3"/>
    <mergeCell ref="K31:L31"/>
    <mergeCell ref="C31:D31"/>
    <mergeCell ref="E31:F31"/>
    <mergeCell ref="A12:B12"/>
    <mergeCell ref="H16:I16"/>
    <mergeCell ref="K8:L8"/>
    <mergeCell ref="J18:L18"/>
    <mergeCell ref="A32:B32"/>
    <mergeCell ref="A14:B14"/>
    <mergeCell ref="E29:H29"/>
    <mergeCell ref="H22:I22"/>
    <mergeCell ref="J17:L17"/>
    <mergeCell ref="K7:L7"/>
    <mergeCell ref="A15:L15"/>
    <mergeCell ref="C32:D32"/>
    <mergeCell ref="E32:F32"/>
    <mergeCell ref="J19:L19"/>
    <mergeCell ref="G32:H32"/>
    <mergeCell ref="C13:G13"/>
    <mergeCell ref="C27:L27"/>
    <mergeCell ref="H20:I20"/>
    <mergeCell ref="B22:F22"/>
    <mergeCell ref="J20:L20"/>
    <mergeCell ref="A25:B25"/>
    <mergeCell ref="J22:L22"/>
    <mergeCell ref="A23:F23"/>
    <mergeCell ref="J12:L12"/>
    <mergeCell ref="J21:L21"/>
    <mergeCell ref="A10:L10"/>
    <mergeCell ref="E30:F30"/>
    <mergeCell ref="G30:H30"/>
    <mergeCell ref="A28:L28"/>
    <mergeCell ref="J23:L23"/>
    <mergeCell ref="A9:L9"/>
    <mergeCell ref="H18:I18"/>
    <mergeCell ref="A13:B13"/>
    <mergeCell ref="G31:H31"/>
    <mergeCell ref="I31:J31"/>
    <mergeCell ref="A31:B31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2026-10-16T15:27:47Z</dcterms:modified>
  <cp:lastModifiedBy>Hugo Fernando Hurtado Ruiz</cp:lastModifiedBy>
</cp:coreProperties>
</file>