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utoFilterDateGrouping="1"/>
  </bookViews>
  <sheets>
    <sheet xmlns:r="http://schemas.openxmlformats.org/officeDocument/2006/relationships" name="Evaluación Amb. Contratista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rgb="FF40AD03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/>
      <right/>
      <top/>
      <bottom style="thin">
        <color rgb="FF0B1F33"/>
      </bottom>
      <diagonal/>
    </border>
    <border>
      <left/>
      <right style="thin">
        <color rgb="FF9AA3B2"/>
      </right>
      <top/>
      <bottom style="thin">
        <color rgb="FF0B1F33"/>
      </bottom>
      <diagonal/>
    </border>
    <border>
      <left style="thin">
        <color rgb="FF9AA3B2"/>
      </left>
      <right/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79">
    <xf numFmtId="0" fontId="0" fillId="0" borderId="0" pivotButton="0" quotePrefix="0" xfId="0"/>
    <xf numFmtId="9" fontId="6" fillId="0" borderId="6" applyAlignment="1" pivotButton="0" quotePrefix="0" xfId="3">
      <alignment horizontal="center" vertical="center" wrapText="1"/>
    </xf>
    <xf numFmtId="0" fontId="15" fillId="0" borderId="0" pivotButton="0" quotePrefix="0" xfId="3"/>
    <xf numFmtId="0" fontId="6" fillId="0" borderId="6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center" vertical="center"/>
    </xf>
    <xf numFmtId="0" fontId="9" fillId="5" borderId="6" applyAlignment="1" pivotButton="0" quotePrefix="0" xfId="3">
      <alignment horizontal="left" vertical="center"/>
    </xf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 wrapText="1"/>
    </xf>
    <xf numFmtId="0" fontId="13" fillId="0" borderId="10" applyAlignment="1" pivotButton="0" quotePrefix="0" xfId="3">
      <alignment horizontal="center" vertical="center" wrapText="1"/>
    </xf>
    <xf numFmtId="14" fontId="13" fillId="0" borderId="10" applyAlignment="1" pivotButton="0" quotePrefix="0" xfId="3">
      <alignment horizontal="center" vertical="center"/>
    </xf>
    <xf numFmtId="165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2" fontId="5" fillId="4" borderId="6" applyAlignment="1" pivotButton="0" quotePrefix="0" xfId="3">
      <alignment horizontal="center" vertical="center"/>
    </xf>
    <xf numFmtId="0" fontId="12" fillId="5" borderId="10" applyAlignment="1" pivotButton="0" quotePrefix="0" xfId="3">
      <alignment horizontal="left" vertical="center" wrapText="1"/>
    </xf>
    <xf numFmtId="0" fontId="0" fillId="0" borderId="12" pivotButton="0" quotePrefix="0" xfId="0"/>
    <xf numFmtId="0" fontId="6" fillId="0" borderId="6" applyAlignment="1" pivotButton="0" quotePrefix="0" xfId="3">
      <alignment horizontal="center" vertical="center"/>
    </xf>
    <xf numFmtId="0" fontId="0" fillId="0" borderId="7" pivotButton="0" quotePrefix="0" xfId="0"/>
    <xf numFmtId="0" fontId="6" fillId="0" borderId="10" applyAlignment="1" pivotButton="0" quotePrefix="0" xfId="3">
      <alignment horizontal="left" vertical="center" wrapText="1"/>
    </xf>
    <xf numFmtId="0" fontId="0" fillId="0" borderId="3" pivotButton="0" quotePrefix="0" xfId="0"/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4" fillId="0" borderId="6" applyAlignment="1" pivotButton="0" quotePrefix="0" xfId="3">
      <alignment horizontal="left" vertical="center" wrapText="1" indent="1"/>
    </xf>
    <xf numFmtId="0" fontId="0" fillId="0" borderId="13" pivotButton="0" quotePrefix="0" xfId="0"/>
    <xf numFmtId="0" fontId="6" fillId="0" borderId="6" applyAlignment="1" pivotButton="0" quotePrefix="0" xfId="3">
      <alignment horizontal="left" vertical="center" wrapText="1"/>
    </xf>
    <xf numFmtId="0" fontId="4" fillId="4" borderId="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3" fillId="4" borderId="10" applyAlignment="1" pivotButton="0" quotePrefix="0" xfId="3">
      <alignment horizontal="left" vertical="center" indent="1"/>
    </xf>
    <xf numFmtId="14" fontId="6" fillId="0" borderId="6" applyAlignment="1" pivotButton="0" quotePrefix="0" xfId="3">
      <alignment horizontal="center" vertical="center" wrapText="1"/>
    </xf>
    <xf numFmtId="0" fontId="4" fillId="2" borderId="4" applyAlignment="1" pivotButton="0" quotePrefix="0" xfId="3">
      <alignment horizontal="center" vertical="center"/>
    </xf>
    <xf numFmtId="0" fontId="0" fillId="0" borderId="4" pivotButton="0" quotePrefix="0" xfId="0"/>
    <xf numFmtId="0" fontId="8" fillId="3" borderId="14" applyAlignment="1" pivotButton="0" quotePrefix="0" xfId="3">
      <alignment horizontal="center" vertical="center"/>
    </xf>
    <xf numFmtId="0" fontId="0" fillId="0" borderId="5" pivotButton="0" quotePrefix="0" xfId="0"/>
    <xf numFmtId="0" fontId="7" fillId="4" borderId="6" applyAlignment="1" pivotButton="0" quotePrefix="0" xfId="3">
      <alignment horizontal="center" vertical="center"/>
    </xf>
    <xf numFmtId="0" fontId="11" fillId="6" borderId="15" applyAlignment="1" pivotButton="0" quotePrefix="0" xfId="3">
      <alignment horizontal="center" vertical="center" wrapText="1"/>
    </xf>
    <xf numFmtId="0" fontId="15" fillId="0" borderId="0" applyAlignment="1" pivotButton="0" quotePrefix="0" xfId="3">
      <alignment horizontal="right"/>
    </xf>
    <xf numFmtId="0" fontId="6" fillId="0" borderId="6" applyAlignment="1" pivotButton="0" quotePrefix="0" xfId="3">
      <alignment horizontal="center" vertical="center" wrapText="1"/>
    </xf>
    <xf numFmtId="0" fontId="10" fillId="3" borderId="14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left" vertical="center" shrinkToFit="1" indent="1"/>
    </xf>
    <xf numFmtId="0" fontId="13" fillId="0" borderId="10" applyAlignment="1" pivotButton="0" quotePrefix="0" xfId="3">
      <alignment horizontal="center" vertical="center"/>
    </xf>
    <xf numFmtId="0" fontId="12" fillId="6" borderId="15" applyAlignment="1" pivotButton="0" quotePrefix="0" xfId="3">
      <alignment horizontal="center" vertical="center" wrapText="1"/>
    </xf>
    <xf numFmtId="0" fontId="6" fillId="0" borderId="6" applyAlignment="1" pivotButton="0" quotePrefix="0" xfId="3">
      <alignment horizontal="left" vertical="top" wrapText="1"/>
    </xf>
    <xf numFmtId="0" fontId="9" fillId="5" borderId="6" applyAlignment="1" pivotButton="0" quotePrefix="0" xfId="3">
      <alignment horizontal="left" vertical="center" indent="1"/>
    </xf>
    <xf numFmtId="14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9" fontId="5" fillId="4" borderId="6" applyAlignment="1" pivotButton="0" quotePrefix="0" xfId="3">
      <alignment horizontal="center" vertical="center"/>
    </xf>
    <xf numFmtId="0" fontId="8" fillId="3" borderId="1" applyAlignment="1" pivotButton="0" quotePrefix="0" xfId="3">
      <alignment horizontal="center" vertical="center"/>
    </xf>
    <xf numFmtId="0" fontId="8" fillId="3" borderId="0" applyAlignment="1" pivotButton="0" quotePrefix="0" xfId="3">
      <alignment horizontal="center" vertical="center"/>
    </xf>
    <xf numFmtId="0" fontId="8" fillId="3" borderId="5" applyAlignment="1" pivotButton="0" quotePrefix="0" xfId="3">
      <alignment horizontal="center" vertical="center"/>
    </xf>
    <xf numFmtId="0" fontId="10" fillId="3" borderId="1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19" applyAlignment="1" pivotButton="0" quotePrefix="0" xfId="3">
      <alignment horizontal="center" vertical="center"/>
    </xf>
    <xf numFmtId="0" fontId="10" fillId="3" borderId="20" applyAlignment="1" pivotButton="0" quotePrefix="0" xfId="3">
      <alignment horizontal="center" vertical="center"/>
    </xf>
    <xf numFmtId="0" fontId="7" fillId="4" borderId="8" applyAlignment="1" pivotButton="0" quotePrefix="0" xfId="3">
      <alignment horizontal="center" vertical="center"/>
    </xf>
    <xf numFmtId="0" fontId="7" fillId="4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left" vertical="center" wrapText="1"/>
    </xf>
    <xf numFmtId="0" fontId="7" fillId="7" borderId="0" applyAlignment="1" pivotButton="0" quotePrefix="0" xfId="3">
      <alignment vertical="center"/>
    </xf>
    <xf numFmtId="0" fontId="7" fillId="7" borderId="5" applyAlignment="1" pivotButton="0" quotePrefix="0" xfId="3">
      <alignment vertical="center"/>
    </xf>
    <xf numFmtId="0" fontId="12" fillId="6" borderId="18" applyAlignment="1" pivotButton="0" quotePrefix="0" xfId="3">
      <alignment horizontal="center" vertical="center" wrapText="1"/>
    </xf>
    <xf numFmtId="0" fontId="12" fillId="6" borderId="17" applyAlignment="1" pivotButton="0" quotePrefix="0" xfId="3">
      <alignment horizontal="center" vertical="center" wrapText="1"/>
    </xf>
    <xf numFmtId="0" fontId="13" fillId="0" borderId="21" applyAlignment="1" pivotButton="0" quotePrefix="0" xfId="3">
      <alignment horizontal="left" vertical="center" wrapText="1" indent="1"/>
    </xf>
    <xf numFmtId="0" fontId="13" fillId="0" borderId="22" applyAlignment="1" pivotButton="0" quotePrefix="0" xfId="3">
      <alignment horizontal="left" vertical="center" wrapText="1" indent="1"/>
    </xf>
    <xf numFmtId="0" fontId="13" fillId="0" borderId="8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left" vertical="center" wrapText="1" indent="1"/>
    </xf>
    <xf numFmtId="0" fontId="0" fillId="0" borderId="11" pivotButton="0" quotePrefix="0" xfId="0"/>
    <xf numFmtId="0" fontId="6" fillId="0" borderId="6" applyAlignment="1" pivotButton="0" quotePrefix="0" xfId="3">
      <alignment horizontal="left" vertical="center" wrapText="1" indent="1"/>
    </xf>
    <xf numFmtId="0" fontId="16" fillId="0" borderId="13" pivotButton="0" quotePrefix="0" xfId="0"/>
    <xf numFmtId="0" fontId="16" fillId="0" borderId="7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35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33" min="1" max="1"/>
    <col width="13" customWidth="1" style="33" min="2" max="3"/>
    <col width="15.77734375" customWidth="1" style="33" min="4" max="4"/>
    <col width="10" customWidth="1" style="33" min="5" max="5"/>
    <col width="15.77734375" customWidth="1" style="33" min="6" max="6"/>
    <col width="11" customWidth="1" style="33" min="7" max="7"/>
    <col width="15.77734375" customWidth="1" style="33" min="8" max="8"/>
    <col width="10" customWidth="1" style="33" min="9" max="9"/>
    <col width="15.77734375" customWidth="1" style="33" min="10" max="10"/>
    <col width="12" customWidth="1" style="33" min="11" max="11"/>
    <col width="13" customWidth="1" style="33" min="12" max="12"/>
  </cols>
  <sheetData>
    <row r="1" ht="40.05" customHeight="1" s="33">
      <c r="D1" s="32" t="inlineStr">
        <is>
          <t>EVALUACIÓN AMBIENTAL DE CONTRATISTAS</t>
        </is>
      </c>
    </row>
    <row r="2" ht="14.4" customHeight="1" s="33">
      <c r="D2" s="34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 ht="4.95" customHeight="1" s="33">
      <c r="D3" s="37" t="n"/>
      <c r="E3" s="38" t="n"/>
      <c r="F3" s="38" t="n"/>
      <c r="G3" s="38" t="n"/>
      <c r="H3" s="38" t="n"/>
      <c r="I3" s="38" t="n"/>
      <c r="J3" s="38" t="n"/>
      <c r="K3" s="38" t="n"/>
      <c r="L3" s="38" t="n"/>
    </row>
    <row r="4" ht="15" customHeight="1" s="33">
      <c r="J4" s="41" t="inlineStr">
        <is>
          <t>CONTROL DOCUMENTAL</t>
        </is>
      </c>
      <c r="K4" s="30" t="n"/>
      <c r="L4" s="22" t="n"/>
    </row>
    <row r="5" ht="15" customHeight="1" s="33">
      <c r="D5" s="39" t="inlineStr">
        <is>
          <t>REFORMAS Y REMODELACIONES</t>
        </is>
      </c>
      <c r="I5" s="40" t="n"/>
      <c r="J5" s="11" t="inlineStr">
        <is>
          <t>Código</t>
        </is>
      </c>
      <c r="K5" s="21" t="inlineStr">
        <is>
          <t>RYR-AM-023</t>
        </is>
      </c>
      <c r="L5" s="22" t="n"/>
    </row>
    <row r="6" ht="15" customHeight="1" s="33">
      <c r="D6" s="45" t="inlineStr">
        <is>
          <t>DISEÑAMOS, RENOVAMOS Y CONSTRUIMOS ESPACIOS QUE INSPIRAN.</t>
        </is>
      </c>
      <c r="I6" s="40" t="n"/>
      <c r="J6" s="11" t="inlineStr">
        <is>
          <t>Versión</t>
        </is>
      </c>
      <c r="K6" s="21" t="n">
        <v>1</v>
      </c>
      <c r="L6" s="22" t="n"/>
    </row>
    <row r="7" ht="15" customHeight="1" s="33">
      <c r="D7" s="61" t="n"/>
      <c r="E7" s="61" t="n"/>
      <c r="F7" s="61" t="n"/>
      <c r="G7" s="61" t="n"/>
      <c r="H7" s="61" t="n"/>
      <c r="I7" s="60" t="n"/>
      <c r="J7" s="11" t="inlineStr">
        <is>
          <t>Fecha de Emisión</t>
        </is>
      </c>
      <c r="K7" s="21" t="inlineStr">
        <is>
          <t>08/10/2026</t>
        </is>
      </c>
      <c r="L7" s="22" t="n"/>
    </row>
    <row r="8" ht="15" customHeight="1" s="33">
      <c r="D8" s="61" t="n"/>
      <c r="E8" s="61" t="n"/>
      <c r="F8" s="61" t="n"/>
      <c r="G8" s="61" t="n"/>
      <c r="H8" s="61" t="n"/>
      <c r="I8" s="60" t="n"/>
      <c r="J8" s="11" t="inlineStr">
        <is>
          <t>Página</t>
        </is>
      </c>
      <c r="K8" s="21" t="inlineStr">
        <is>
          <t>1 de 2</t>
        </is>
      </c>
      <c r="L8" s="22" t="n"/>
    </row>
    <row r="9" ht="15" customHeight="1" s="33">
      <c r="A9" s="42" t="inlineStr">
        <is>
          <t>Cumplimiento ambiental de contratistas y subcontratistas · Decreto 1076 de 2015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8" t="n"/>
    </row>
    <row r="10" ht="16.5" customHeight="1" s="33">
      <c r="A10" s="35" t="inlineStr">
        <is>
          <t>1. DATOS DE LA EVALUACIÓN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0" t="n"/>
    </row>
    <row r="11" ht="21" customHeight="1" s="33">
      <c r="A11" s="25" t="inlineStr">
        <is>
          <t>Proyecto / Obra</t>
        </is>
      </c>
      <c r="B11" s="22" t="n"/>
      <c r="C11" s="31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22" t="n"/>
    </row>
    <row r="12" ht="21" customHeight="1" s="33">
      <c r="A12" s="25" t="inlineStr">
        <is>
          <t>Contratista evaluado</t>
        </is>
      </c>
      <c r="B12" s="22" t="n"/>
      <c r="C12" s="31" t="n"/>
      <c r="D12" s="30" t="n"/>
      <c r="E12" s="30" t="n"/>
      <c r="F12" s="30" t="n"/>
      <c r="G12" s="22" t="n"/>
      <c r="H12" s="25" t="inlineStr">
        <is>
          <t>NIT</t>
        </is>
      </c>
      <c r="I12" s="22" t="n"/>
      <c r="J12" s="31" t="n"/>
      <c r="K12" s="30" t="n"/>
      <c r="L12" s="22" t="n"/>
    </row>
    <row r="13" ht="21" customHeight="1" s="33">
      <c r="A13" s="25" t="inlineStr">
        <is>
          <t>Representante o contacto</t>
        </is>
      </c>
      <c r="B13" s="22" t="n"/>
      <c r="C13" s="31" t="n"/>
      <c r="D13" s="30" t="n"/>
      <c r="E13" s="30" t="n"/>
      <c r="F13" s="30" t="n"/>
      <c r="G13" s="22" t="n"/>
      <c r="H13" s="25" t="inlineStr">
        <is>
          <t>Teléfono</t>
        </is>
      </c>
      <c r="I13" s="22" t="n"/>
      <c r="J13" s="31" t="n"/>
      <c r="K13" s="30" t="n"/>
      <c r="L13" s="22" t="n"/>
    </row>
    <row r="14" ht="21" customHeight="1" s="33">
      <c r="A14" s="25" t="inlineStr">
        <is>
          <t>Actividad que ejecuta</t>
        </is>
      </c>
      <c r="B14" s="22" t="n"/>
      <c r="C14" s="31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22" t="n"/>
    </row>
    <row r="15" ht="21" customHeight="1" s="33">
      <c r="A15" s="25" t="inlineStr">
        <is>
          <t>Fecha de evaluación</t>
        </is>
      </c>
      <c r="B15" s="22" t="n"/>
      <c r="C15" s="36" t="n"/>
      <c r="D15" s="22" t="n"/>
      <c r="E15" s="25" t="inlineStr">
        <is>
          <t>Periodo evaluado</t>
        </is>
      </c>
      <c r="F15" s="22" t="n"/>
      <c r="G15" s="44" t="n"/>
      <c r="H15" s="22" t="n"/>
      <c r="I15" s="25" t="inlineStr">
        <is>
          <t>Trabajadores del contratista</t>
        </is>
      </c>
      <c r="J15" s="22" t="n"/>
      <c r="K15" s="44" t="n"/>
      <c r="L15" s="22" t="n"/>
    </row>
    <row r="16" ht="16.5" customHeight="1" s="33">
      <c r="A16" s="35" t="inlineStr">
        <is>
          <t>2. CRITERIOS DE EVALUACIÓN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0" t="n"/>
    </row>
    <row r="17" ht="19.05" customHeight="1" s="33">
      <c r="A17" s="49" t="inlineStr">
        <is>
          <t>No.</t>
        </is>
      </c>
      <c r="B17" s="49" t="inlineStr">
        <is>
          <t>Criterio</t>
        </is>
      </c>
      <c r="C17" s="27" t="n"/>
      <c r="D17" s="27" t="n"/>
      <c r="E17" s="27" t="n"/>
      <c r="F17" s="27" t="n"/>
      <c r="G17" s="28" t="n"/>
      <c r="H17" s="49" t="inlineStr">
        <is>
          <t>Calificación</t>
        </is>
      </c>
      <c r="I17" s="28" t="n"/>
      <c r="J17" s="49" t="inlineStr">
        <is>
          <t>Observación</t>
        </is>
      </c>
      <c r="K17" s="27" t="n"/>
      <c r="L17" s="28" t="n"/>
    </row>
    <row r="18" ht="22.05" customHeight="1" s="33">
      <c r="A18" s="48" t="n">
        <v>1</v>
      </c>
      <c r="B18" s="46" t="inlineStr">
        <is>
          <t>Responsable ambiental designado, con formación y experiencia</t>
        </is>
      </c>
      <c r="C18" s="24" t="n"/>
      <c r="D18" s="24" t="n"/>
      <c r="E18" s="24" t="n"/>
      <c r="F18" s="24" t="n"/>
      <c r="G18" s="20" t="n"/>
      <c r="H18" s="48" t="n"/>
      <c r="I18" s="20" t="n"/>
      <c r="J18" s="46" t="n"/>
      <c r="K18" s="24" t="n"/>
      <c r="L18" s="20" t="n"/>
    </row>
    <row r="19" ht="22.05" customHeight="1" s="33">
      <c r="A19" s="48" t="n">
        <v>2</v>
      </c>
      <c r="B19" s="46" t="inlineStr">
        <is>
          <t>Conoce y aplica el Plan de Manejo Ambiental de la obra</t>
        </is>
      </c>
      <c r="C19" s="24" t="n"/>
      <c r="D19" s="24" t="n"/>
      <c r="E19" s="24" t="n"/>
      <c r="F19" s="24" t="n"/>
      <c r="G19" s="20" t="n"/>
      <c r="H19" s="48" t="n"/>
      <c r="I19" s="20" t="n"/>
      <c r="J19" s="46" t="n"/>
      <c r="K19" s="24" t="n"/>
      <c r="L19" s="20" t="n"/>
    </row>
    <row r="20" ht="22.05" customHeight="1" s="33">
      <c r="A20" s="48" t="n">
        <v>3</v>
      </c>
      <c r="B20" s="46" t="inlineStr">
        <is>
          <t>Permisos y autorizaciones ambientales vigentes (si aplica)</t>
        </is>
      </c>
      <c r="C20" s="24" t="n"/>
      <c r="D20" s="24" t="n"/>
      <c r="E20" s="24" t="n"/>
      <c r="F20" s="24" t="n"/>
      <c r="G20" s="20" t="n"/>
      <c r="H20" s="48" t="n"/>
      <c r="I20" s="20" t="n"/>
      <c r="J20" s="46" t="n"/>
      <c r="K20" s="24" t="n"/>
      <c r="L20" s="20" t="n"/>
    </row>
    <row r="21" ht="22.05" customHeight="1" s="33">
      <c r="A21" s="48" t="n">
        <v>4</v>
      </c>
      <c r="B21" s="46" t="inlineStr">
        <is>
          <t>Residuos separados en la fuente, con puntos ecológicos</t>
        </is>
      </c>
      <c r="C21" s="24" t="n"/>
      <c r="D21" s="24" t="n"/>
      <c r="E21" s="24" t="n"/>
      <c r="F21" s="24" t="n"/>
      <c r="G21" s="20" t="n"/>
      <c r="H21" s="48" t="n"/>
      <c r="I21" s="20" t="n"/>
      <c r="J21" s="46" t="n"/>
      <c r="K21" s="24" t="n"/>
      <c r="L21" s="20" t="n"/>
    </row>
    <row r="22" ht="22.05" customHeight="1" s="33">
      <c r="A22" s="48" t="n">
        <v>5</v>
      </c>
      <c r="B22" s="46" t="inlineStr">
        <is>
          <t>Escombros y RCD entregados a gestor autorizado, con certificados</t>
        </is>
      </c>
      <c r="C22" s="24" t="n"/>
      <c r="D22" s="24" t="n"/>
      <c r="E22" s="24" t="n"/>
      <c r="F22" s="24" t="n"/>
      <c r="G22" s="20" t="n"/>
      <c r="H22" s="48" t="n"/>
      <c r="I22" s="20" t="n"/>
      <c r="J22" s="46" t="n"/>
      <c r="K22" s="24" t="n"/>
      <c r="L22" s="20" t="n"/>
    </row>
    <row r="23" ht="22.05" customHeight="1" s="33">
      <c r="A23" s="48" t="n">
        <v>6</v>
      </c>
      <c r="B23" s="46" t="inlineStr">
        <is>
          <t>Residuos peligrosos almacenados y entregados con manifiesto</t>
        </is>
      </c>
      <c r="C23" s="24" t="n"/>
      <c r="D23" s="24" t="n"/>
      <c r="E23" s="24" t="n"/>
      <c r="F23" s="24" t="n"/>
      <c r="G23" s="20" t="n"/>
      <c r="H23" s="48" t="n"/>
      <c r="I23" s="20" t="n"/>
      <c r="J23" s="46" t="n"/>
      <c r="K23" s="24" t="n"/>
      <c r="L23" s="20" t="n"/>
    </row>
    <row r="24" ht="22.05" customHeight="1" s="33">
      <c r="A24" s="48" t="n">
        <v>7</v>
      </c>
      <c r="B24" s="46" t="inlineStr">
        <is>
          <t>Sustancias químicas y combustibles con contención y hojas de seguridad</t>
        </is>
      </c>
      <c r="C24" s="24" t="n"/>
      <c r="D24" s="24" t="n"/>
      <c r="E24" s="24" t="n"/>
      <c r="F24" s="24" t="n"/>
      <c r="G24" s="20" t="n"/>
      <c r="H24" s="48" t="n"/>
      <c r="I24" s="20" t="n"/>
      <c r="J24" s="46" t="n"/>
      <c r="K24" s="24" t="n"/>
      <c r="L24" s="20" t="n"/>
    </row>
    <row r="25" ht="22.05" customHeight="1" s="33">
      <c r="A25" s="48" t="n">
        <v>8</v>
      </c>
      <c r="B25" s="46" t="inlineStr">
        <is>
          <t>Kit antiderrames disponible y personal entrenado</t>
        </is>
      </c>
      <c r="C25" s="24" t="n"/>
      <c r="D25" s="24" t="n"/>
      <c r="E25" s="24" t="n"/>
      <c r="F25" s="24" t="n"/>
      <c r="G25" s="20" t="n"/>
      <c r="H25" s="48" t="n"/>
      <c r="I25" s="20" t="n"/>
      <c r="J25" s="46" t="n"/>
      <c r="K25" s="24" t="n"/>
      <c r="L25" s="20" t="n"/>
    </row>
    <row r="26" ht="22.05" customHeight="1" s="33">
      <c r="A26" s="48" t="n">
        <v>9</v>
      </c>
      <c r="B26" s="46" t="inlineStr">
        <is>
          <t>Maquinaria con mantenimiento al día y sin fugas</t>
        </is>
      </c>
      <c r="C26" s="24" t="n"/>
      <c r="D26" s="24" t="n"/>
      <c r="E26" s="24" t="n"/>
      <c r="F26" s="24" t="n"/>
      <c r="G26" s="20" t="n"/>
      <c r="H26" s="48" t="n"/>
      <c r="I26" s="20" t="n"/>
      <c r="J26" s="46" t="n"/>
      <c r="K26" s="24" t="n"/>
      <c r="L26" s="20" t="n"/>
    </row>
    <row r="27" ht="22.05" customHeight="1" s="33">
      <c r="A27" s="48" t="n">
        <v>10</v>
      </c>
      <c r="B27" s="46" t="inlineStr">
        <is>
          <t>Control de polvo, ruido y emisiones</t>
        </is>
      </c>
      <c r="C27" s="24" t="n"/>
      <c r="D27" s="24" t="n"/>
      <c r="E27" s="24" t="n"/>
      <c r="F27" s="24" t="n"/>
      <c r="G27" s="20" t="n"/>
      <c r="H27" s="48" t="n"/>
      <c r="I27" s="20" t="n"/>
      <c r="J27" s="46" t="n"/>
      <c r="K27" s="24" t="n"/>
      <c r="L27" s="20" t="n"/>
    </row>
    <row r="28" ht="22.05" customHeight="1" s="33">
      <c r="A28" s="48" t="n">
        <v>11</v>
      </c>
      <c r="B28" s="46" t="inlineStr">
        <is>
          <t>Uso eficiente del agua y la energía</t>
        </is>
      </c>
      <c r="C28" s="24" t="n"/>
      <c r="D28" s="24" t="n"/>
      <c r="E28" s="24" t="n"/>
      <c r="F28" s="24" t="n"/>
      <c r="G28" s="20" t="n"/>
      <c r="H28" s="48" t="n"/>
      <c r="I28" s="20" t="n"/>
      <c r="J28" s="46" t="n"/>
      <c r="K28" s="24" t="n"/>
      <c r="L28" s="20" t="n"/>
    </row>
    <row r="29" ht="22.05" customHeight="1" s="33">
      <c r="A29" s="48" t="n">
        <v>12</v>
      </c>
      <c r="B29" s="46" t="inlineStr">
        <is>
          <t>Sin vertimientos a redes o al suelo; trampas de grasas operando</t>
        </is>
      </c>
      <c r="C29" s="24" t="n"/>
      <c r="D29" s="24" t="n"/>
      <c r="E29" s="24" t="n"/>
      <c r="F29" s="24" t="n"/>
      <c r="G29" s="20" t="n"/>
      <c r="H29" s="48" t="n"/>
      <c r="I29" s="20" t="n"/>
      <c r="J29" s="46" t="n"/>
      <c r="K29" s="24" t="n"/>
      <c r="L29" s="20" t="n"/>
    </row>
    <row r="30" ht="22.05" customHeight="1" s="33">
      <c r="A30" s="48" t="n">
        <v>13</v>
      </c>
      <c r="B30" s="46" t="inlineStr">
        <is>
          <t>Protección de árboles, zonas verdes y fauna</t>
        </is>
      </c>
      <c r="C30" s="24" t="n"/>
      <c r="D30" s="24" t="n"/>
      <c r="E30" s="24" t="n"/>
      <c r="F30" s="24" t="n"/>
      <c r="G30" s="20" t="n"/>
      <c r="H30" s="48" t="n"/>
      <c r="I30" s="20" t="n"/>
      <c r="J30" s="46" t="n"/>
      <c r="K30" s="24" t="n"/>
      <c r="L30" s="20" t="n"/>
    </row>
    <row r="31" ht="22.05" customHeight="1" s="33">
      <c r="A31" s="48" t="n">
        <v>14</v>
      </c>
      <c r="B31" s="46" t="inlineStr">
        <is>
          <t>Personal con inducción y capacitación ambiental</t>
        </is>
      </c>
      <c r="C31" s="24" t="n"/>
      <c r="D31" s="24" t="n"/>
      <c r="E31" s="24" t="n"/>
      <c r="F31" s="24" t="n"/>
      <c r="G31" s="20" t="n"/>
      <c r="H31" s="48" t="n"/>
      <c r="I31" s="20" t="n"/>
      <c r="J31" s="46" t="n"/>
      <c r="K31" s="24" t="n"/>
      <c r="L31" s="20" t="n"/>
    </row>
    <row r="32" ht="22.05" customHeight="1" s="33">
      <c r="A32" s="48" t="n">
        <v>15</v>
      </c>
      <c r="B32" s="46" t="inlineStr">
        <is>
          <t>Registros ambientales diligenciados (residuos y consumos)</t>
        </is>
      </c>
      <c r="C32" s="24" t="n"/>
      <c r="D32" s="24" t="n"/>
      <c r="E32" s="24" t="n"/>
      <c r="F32" s="24" t="n"/>
      <c r="G32" s="20" t="n"/>
      <c r="H32" s="48" t="n"/>
      <c r="I32" s="20" t="n"/>
      <c r="J32" s="46" t="n"/>
      <c r="K32" s="24" t="n"/>
      <c r="L32" s="20" t="n"/>
    </row>
    <row r="33" ht="22.05" customHeight="1" s="33">
      <c r="A33" s="48" t="n">
        <v>16</v>
      </c>
      <c r="B33" s="46" t="inlineStr">
        <is>
          <t>Atención oportuna de las quejas de la comunidad</t>
        </is>
      </c>
      <c r="C33" s="24" t="n"/>
      <c r="D33" s="24" t="n"/>
      <c r="E33" s="24" t="n"/>
      <c r="F33" s="24" t="n"/>
      <c r="G33" s="20" t="n"/>
      <c r="H33" s="48" t="n"/>
      <c r="I33" s="20" t="n"/>
      <c r="J33" s="46" t="n"/>
      <c r="K33" s="24" t="n"/>
      <c r="L33" s="20" t="n"/>
    </row>
    <row r="34" ht="22.05" customHeight="1" s="33">
      <c r="A34" s="48" t="n">
        <v>17</v>
      </c>
      <c r="B34" s="46" t="inlineStr">
        <is>
          <t>Reporte oportuno de incidentes ambientales</t>
        </is>
      </c>
      <c r="C34" s="24" t="n"/>
      <c r="D34" s="24" t="n"/>
      <c r="E34" s="24" t="n"/>
      <c r="F34" s="24" t="n"/>
      <c r="G34" s="20" t="n"/>
      <c r="H34" s="48" t="n"/>
      <c r="I34" s="20" t="n"/>
      <c r="J34" s="46" t="n"/>
      <c r="K34" s="24" t="n"/>
      <c r="L34" s="20" t="n"/>
    </row>
    <row r="35" ht="22.05" customHeight="1" s="33">
      <c r="A35" s="48" t="n">
        <v>18</v>
      </c>
      <c r="B35" s="46" t="inlineStr">
        <is>
          <t>Cumplimiento de las acciones correctivas acordadas</t>
        </is>
      </c>
      <c r="C35" s="24" t="n"/>
      <c r="D35" s="24" t="n"/>
      <c r="E35" s="24" t="n"/>
      <c r="F35" s="24" t="n"/>
      <c r="G35" s="20" t="n"/>
      <c r="H35" s="48" t="n"/>
      <c r="I35" s="20" t="n"/>
      <c r="J35" s="46" t="n"/>
      <c r="K35" s="24" t="n"/>
      <c r="L35" s="20" t="n"/>
    </row>
    <row r="36" ht="16.5" customHeight="1" s="33">
      <c r="A36" s="35" t="inlineStr">
        <is>
          <t>3. RESULTADO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0" t="n"/>
    </row>
    <row r="37" ht="19.05" customHeight="1" s="33">
      <c r="A37" s="49" t="inlineStr">
        <is>
          <t>Aplicables</t>
        </is>
      </c>
      <c r="B37" s="28" t="n"/>
      <c r="C37" s="49" t="inlineStr">
        <is>
          <t>Cumplen</t>
        </is>
      </c>
      <c r="D37" s="28" t="n"/>
      <c r="E37" s="49" t="inlineStr">
        <is>
          <t>Parciales</t>
        </is>
      </c>
      <c r="F37" s="28" t="n"/>
      <c r="G37" s="49" t="inlineStr">
        <is>
          <t>No cumplen</t>
        </is>
      </c>
      <c r="H37" s="28" t="n"/>
      <c r="I37" s="49" t="inlineStr">
        <is>
          <t>% de cumplimiento</t>
        </is>
      </c>
      <c r="J37" s="28" t="n"/>
      <c r="K37" s="49" t="inlineStr">
        <is>
          <t>Resultado</t>
        </is>
      </c>
      <c r="L37" s="28" t="n"/>
    </row>
    <row r="38" ht="22.05" customHeight="1" s="33">
      <c r="A38" s="53">
        <f>COUNTA(H18:H35)-COUNTIF(H18:H35,"No aplica")</f>
        <v/>
      </c>
      <c r="B38" s="22" t="n"/>
      <c r="C38" s="53">
        <f>COUNTIF(H18:H35,"Cumple")</f>
        <v/>
      </c>
      <c r="D38" s="22" t="n"/>
      <c r="E38" s="53">
        <f>COUNTIF(H18:H35,"Parcial")</f>
        <v/>
      </c>
      <c r="F38" s="22" t="n"/>
      <c r="G38" s="53">
        <f>COUNTIF(H18:H35,"No cumple")</f>
        <v/>
      </c>
      <c r="H38" s="22" t="n"/>
      <c r="I38" s="54">
        <f>IFERROR((C38+E38*0.5)/A38,"")</f>
        <v/>
      </c>
      <c r="J38" s="22" t="n"/>
      <c r="K38" s="53">
        <f>IF(I38="","",IF(I38&gt;=0.9,"Satisfactorio",IF(I38&gt;=0.7,"Aceptable","Deficiente")))</f>
        <v/>
      </c>
      <c r="L38" s="22" t="n"/>
    </row>
    <row r="39" ht="16.05" customHeight="1" s="33">
      <c r="A39" s="76" t="inlineStr">
        <is>
          <t>Satisfactorio: 90 % o más · Aceptable: 70 a 89 % · Deficiente: menos de 70 %. Un criterio "Parcial" vale la mitad; los "No aplica" no cuentan.</t>
        </is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22" t="n"/>
    </row>
    <row r="40" ht="16.5" customHeight="1" s="33">
      <c r="A40" s="35" t="inlineStr">
        <is>
          <t>4. ACCIONES DE MEJORA ACORDADAS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0" t="n"/>
    </row>
    <row r="41" ht="19.05" customHeight="1" s="33">
      <c r="A41" s="49" t="inlineStr">
        <is>
          <t>No.</t>
        </is>
      </c>
      <c r="B41" s="49" t="inlineStr">
        <is>
          <t>Acción</t>
        </is>
      </c>
      <c r="C41" s="27" t="n"/>
      <c r="D41" s="27" t="n"/>
      <c r="E41" s="27" t="n"/>
      <c r="F41" s="27" t="n"/>
      <c r="G41" s="28" t="n"/>
      <c r="H41" s="49" t="inlineStr">
        <is>
          <t>Responsable</t>
        </is>
      </c>
      <c r="I41" s="27" t="n"/>
      <c r="J41" s="28" t="n"/>
      <c r="K41" s="49" t="inlineStr">
        <is>
          <t>Fecha límite</t>
        </is>
      </c>
      <c r="L41" s="28" t="n"/>
    </row>
    <row r="42" ht="24" customHeight="1" s="33">
      <c r="A42" s="48" t="n">
        <v>1</v>
      </c>
      <c r="B42" s="46" t="n"/>
      <c r="C42" s="24" t="n"/>
      <c r="D42" s="24" t="n"/>
      <c r="E42" s="24" t="n"/>
      <c r="F42" s="24" t="n"/>
      <c r="G42" s="20" t="n"/>
      <c r="H42" s="46" t="n"/>
      <c r="I42" s="24" t="n"/>
      <c r="J42" s="20" t="n"/>
      <c r="K42" s="52" t="n"/>
      <c r="L42" s="20" t="n"/>
    </row>
    <row r="43" ht="24" customHeight="1" s="33">
      <c r="A43" s="48" t="n">
        <v>2</v>
      </c>
      <c r="B43" s="46" t="n"/>
      <c r="C43" s="24" t="n"/>
      <c r="D43" s="24" t="n"/>
      <c r="E43" s="24" t="n"/>
      <c r="F43" s="24" t="n"/>
      <c r="G43" s="20" t="n"/>
      <c r="H43" s="46" t="n"/>
      <c r="I43" s="24" t="n"/>
      <c r="J43" s="20" t="n"/>
      <c r="K43" s="52" t="n"/>
      <c r="L43" s="20" t="n"/>
    </row>
    <row r="44" ht="24" customHeight="1" s="33">
      <c r="A44" s="48" t="n">
        <v>3</v>
      </c>
      <c r="B44" s="46" t="n"/>
      <c r="C44" s="24" t="n"/>
      <c r="D44" s="24" t="n"/>
      <c r="E44" s="24" t="n"/>
      <c r="F44" s="24" t="n"/>
      <c r="G44" s="20" t="n"/>
      <c r="H44" s="46" t="n"/>
      <c r="I44" s="24" t="n"/>
      <c r="J44" s="20" t="n"/>
      <c r="K44" s="52" t="n"/>
      <c r="L44" s="20" t="n"/>
    </row>
    <row r="45" ht="24" customHeight="1" s="33">
      <c r="A45" s="48" t="n">
        <v>4</v>
      </c>
      <c r="B45" s="46" t="n"/>
      <c r="C45" s="24" t="n"/>
      <c r="D45" s="24" t="n"/>
      <c r="E45" s="24" t="n"/>
      <c r="F45" s="24" t="n"/>
      <c r="G45" s="20" t="n"/>
      <c r="H45" s="46" t="n"/>
      <c r="I45" s="24" t="n"/>
      <c r="J45" s="20" t="n"/>
      <c r="K45" s="52" t="n"/>
      <c r="L45" s="20" t="n"/>
    </row>
    <row r="46" ht="16.5" customHeight="1" s="33">
      <c r="A46" s="35" t="inlineStr">
        <is>
          <t>5. FIRMAS</t>
        </is>
      </c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0" t="n"/>
    </row>
    <row r="47" ht="18" customHeight="1" s="33">
      <c r="A47" s="26" t="inlineStr">
        <is>
          <t>EVALUÓ — RESPONSABLE AMBIENTAL</t>
        </is>
      </c>
      <c r="B47" s="27" t="n"/>
      <c r="C47" s="27" t="n"/>
      <c r="D47" s="28" t="n"/>
      <c r="E47" s="26" t="inlineStr">
        <is>
          <t>REPRESENTANTE DEL CONTRATISTA</t>
        </is>
      </c>
      <c r="F47" s="27" t="n"/>
      <c r="G47" s="27" t="n"/>
      <c r="H47" s="28" t="n"/>
      <c r="I47" s="26" t="inlineStr">
        <is>
          <t>RESIDENTE DE OBRA</t>
        </is>
      </c>
      <c r="J47" s="27" t="n"/>
      <c r="K47" s="27" t="n"/>
      <c r="L47" s="28" t="n"/>
    </row>
    <row r="48" ht="42" customHeight="1" s="33">
      <c r="A48" s="19" t="inlineStr">
        <is>
          <t>Firma:</t>
        </is>
      </c>
      <c r="B48" s="20" t="n"/>
      <c r="C48" s="23" t="n"/>
      <c r="D48" s="20" t="n"/>
      <c r="E48" s="19" t="inlineStr">
        <is>
          <t>Firma:</t>
        </is>
      </c>
      <c r="F48" s="20" t="n"/>
      <c r="G48" s="23" t="n"/>
      <c r="H48" s="20" t="n"/>
      <c r="I48" s="19" t="inlineStr">
        <is>
          <t>Firma:</t>
        </is>
      </c>
      <c r="J48" s="20" t="n"/>
      <c r="K48" s="23" t="n"/>
      <c r="L48" s="20" t="n"/>
    </row>
    <row r="49" ht="21" customHeight="1" s="33">
      <c r="A49" s="19" t="inlineStr">
        <is>
          <t>Nombre:</t>
        </is>
      </c>
      <c r="B49" s="20" t="n"/>
      <c r="C49" s="23" t="n"/>
      <c r="D49" s="20" t="n"/>
      <c r="E49" s="19" t="inlineStr">
        <is>
          <t>Nombre:</t>
        </is>
      </c>
      <c r="F49" s="20" t="n"/>
      <c r="G49" s="23" t="n"/>
      <c r="H49" s="20" t="n"/>
      <c r="I49" s="19" t="inlineStr">
        <is>
          <t>Nombre:</t>
        </is>
      </c>
      <c r="J49" s="20" t="n"/>
      <c r="K49" s="23" t="n"/>
      <c r="L49" s="20" t="n"/>
    </row>
    <row r="50" ht="21" customHeight="1" s="33">
      <c r="A50" s="19" t="inlineStr">
        <is>
          <t>Cargo:</t>
        </is>
      </c>
      <c r="B50" s="20" t="n"/>
      <c r="C50" s="23" t="n"/>
      <c r="D50" s="20" t="n"/>
      <c r="E50" s="19" t="inlineStr">
        <is>
          <t>Cargo:</t>
        </is>
      </c>
      <c r="F50" s="20" t="n"/>
      <c r="G50" s="23" t="n"/>
      <c r="H50" s="20" t="n"/>
      <c r="I50" s="19" t="inlineStr">
        <is>
          <t>Cargo:</t>
        </is>
      </c>
      <c r="J50" s="20" t="n"/>
      <c r="K50" s="23" t="n"/>
      <c r="L50" s="20" t="n"/>
    </row>
    <row r="51">
      <c r="A51" s="2" t="inlineStr">
        <is>
          <t>REV. 08/10/2026</t>
        </is>
      </c>
      <c r="G51" s="43">
        <f>K5</f>
        <v/>
      </c>
    </row>
  </sheetData>
  <mergeCells count="140">
    <mergeCell ref="K49:L49"/>
    <mergeCell ref="H35:I35"/>
    <mergeCell ref="A15:B15"/>
    <mergeCell ref="C15:D15"/>
    <mergeCell ref="J27:L27"/>
    <mergeCell ref="A46:L46"/>
    <mergeCell ref="J35:L35"/>
    <mergeCell ref="J25:L25"/>
    <mergeCell ref="D1:L2"/>
    <mergeCell ref="E47:H47"/>
    <mergeCell ref="K50:L50"/>
    <mergeCell ref="C50:D50"/>
    <mergeCell ref="D5:I5"/>
    <mergeCell ref="B45:G45"/>
    <mergeCell ref="E49:F49"/>
    <mergeCell ref="K42:L42"/>
    <mergeCell ref="H13:I13"/>
    <mergeCell ref="J29:L29"/>
    <mergeCell ref="B22:G22"/>
    <mergeCell ref="H44:J44"/>
    <mergeCell ref="J13:L13"/>
    <mergeCell ref="B31:G31"/>
    <mergeCell ref="A36:L36"/>
    <mergeCell ref="K37:L37"/>
    <mergeCell ref="H23:I23"/>
    <mergeCell ref="D6:I6"/>
    <mergeCell ref="B21:G21"/>
    <mergeCell ref="A48:B48"/>
    <mergeCell ref="J24:L24"/>
    <mergeCell ref="I15:J15"/>
    <mergeCell ref="A11:B11"/>
    <mergeCell ref="K15:L15"/>
    <mergeCell ref="B23:G23"/>
    <mergeCell ref="J26:L26"/>
    <mergeCell ref="E48:F48"/>
    <mergeCell ref="G48:H48"/>
    <mergeCell ref="H25:I25"/>
    <mergeCell ref="H34:I34"/>
    <mergeCell ref="E38:F38"/>
    <mergeCell ref="G38:H38"/>
    <mergeCell ref="A37:B37"/>
    <mergeCell ref="K41:L41"/>
    <mergeCell ref="B33:G33"/>
    <mergeCell ref="H17:I17"/>
    <mergeCell ref="G49:H49"/>
    <mergeCell ref="J33:L33"/>
    <mergeCell ref="K43:L43"/>
    <mergeCell ref="H42:J42"/>
    <mergeCell ref="C12:G12"/>
    <mergeCell ref="B41:G41"/>
    <mergeCell ref="B35:G35"/>
    <mergeCell ref="H19:I19"/>
    <mergeCell ref="A40:L40"/>
    <mergeCell ref="H28:I28"/>
    <mergeCell ref="B25:G25"/>
    <mergeCell ref="H12:I12"/>
    <mergeCell ref="J28:L28"/>
    <mergeCell ref="B27:G27"/>
    <mergeCell ref="K6:L6"/>
    <mergeCell ref="J30:L30"/>
    <mergeCell ref="C11:L11"/>
    <mergeCell ref="E50:F50"/>
    <mergeCell ref="A16:L16"/>
    <mergeCell ref="A49:B49"/>
    <mergeCell ref="K5:L5"/>
    <mergeCell ref="J4:L4"/>
    <mergeCell ref="K45:L45"/>
    <mergeCell ref="H31:I31"/>
    <mergeCell ref="B29:G29"/>
    <mergeCell ref="H45:J45"/>
    <mergeCell ref="H21:I21"/>
    <mergeCell ref="J32:L32"/>
    <mergeCell ref="K44:L44"/>
    <mergeCell ref="G37:H37"/>
    <mergeCell ref="D3:L3"/>
    <mergeCell ref="I37:J37"/>
    <mergeCell ref="C14:L14"/>
    <mergeCell ref="A12:B12"/>
    <mergeCell ref="B24:G24"/>
    <mergeCell ref="E15:F15"/>
    <mergeCell ref="K8:L8"/>
    <mergeCell ref="J18:L18"/>
    <mergeCell ref="G15:H15"/>
    <mergeCell ref="B32:G32"/>
    <mergeCell ref="I47:L47"/>
    <mergeCell ref="A14:B14"/>
    <mergeCell ref="B26:G26"/>
    <mergeCell ref="J17:L17"/>
    <mergeCell ref="H22:I22"/>
    <mergeCell ref="C48:D48"/>
    <mergeCell ref="K7:L7"/>
    <mergeCell ref="A38:B38"/>
    <mergeCell ref="C38:D38"/>
    <mergeCell ref="J19:L19"/>
    <mergeCell ref="G50:H50"/>
    <mergeCell ref="B43:G43"/>
    <mergeCell ref="B18:G18"/>
    <mergeCell ref="I50:J50"/>
    <mergeCell ref="J34:L34"/>
    <mergeCell ref="C13:G13"/>
    <mergeCell ref="H30:I30"/>
    <mergeCell ref="C49:D49"/>
    <mergeCell ref="B42:G42"/>
    <mergeCell ref="H20:I20"/>
    <mergeCell ref="H29:I29"/>
    <mergeCell ref="B17:G17"/>
    <mergeCell ref="I49:J49"/>
    <mergeCell ref="J20:L20"/>
    <mergeCell ref="B44:G44"/>
    <mergeCell ref="B19:G19"/>
    <mergeCell ref="B34:G34"/>
    <mergeCell ref="B28:G28"/>
    <mergeCell ref="J22:L22"/>
    <mergeCell ref="J31:L31"/>
    <mergeCell ref="G51:L51"/>
    <mergeCell ref="J12:L12"/>
    <mergeCell ref="B30:G30"/>
    <mergeCell ref="J21:L21"/>
    <mergeCell ref="A50:B50"/>
    <mergeCell ref="B20:G20"/>
    <mergeCell ref="A10:L10"/>
    <mergeCell ref="H32:I32"/>
    <mergeCell ref="J23:L23"/>
    <mergeCell ref="A9:L9"/>
    <mergeCell ref="I48:J48"/>
    <mergeCell ref="A39:L39"/>
    <mergeCell ref="K48:L48"/>
    <mergeCell ref="H27:I27"/>
    <mergeCell ref="H43:J43"/>
    <mergeCell ref="I38:J38"/>
    <mergeCell ref="K38:L38"/>
    <mergeCell ref="H24:I24"/>
    <mergeCell ref="H41:J41"/>
    <mergeCell ref="H18:I18"/>
    <mergeCell ref="H33:I33"/>
    <mergeCell ref="C37:D37"/>
    <mergeCell ref="A13:B13"/>
    <mergeCell ref="E37:F37"/>
    <mergeCell ref="A47:D47"/>
    <mergeCell ref="H26:I26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2026-10-08T19:26:52Z</dcterms:modified>
  <cp:lastModifiedBy>Hugo Fernando Hurtado Ruiz</cp:lastModifiedBy>
</cp:coreProperties>
</file>