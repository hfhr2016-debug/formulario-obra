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Indicadores Ambiental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5" formatCode="#,##0.##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</fonts>
  <fills count="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18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7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5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5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5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4" min="1" max="1"/>
    <col width="13" customWidth="1" style="34" min="2" max="3"/>
    <col width="15.77734375" customWidth="1" style="34" min="4" max="4"/>
    <col width="10" customWidth="1" style="34" min="5" max="5"/>
    <col width="15.77734375" customWidth="1" style="34" min="6" max="6"/>
    <col width="11" customWidth="1" style="34" min="7" max="7"/>
    <col width="15.77734375" customWidth="1" style="34" min="8" max="8"/>
    <col width="10" customWidth="1" style="34" min="9" max="9"/>
    <col width="15.77734375" customWidth="1" style="34" min="10" max="10"/>
    <col width="12" customWidth="1" style="34" min="11" max="11"/>
    <col width="13" customWidth="1" style="34" min="12" max="12"/>
  </cols>
  <sheetData>
    <row r="1" ht="40.05" customHeight="1" s="34">
      <c r="D1" s="44" t="inlineStr">
        <is>
          <t>INDICADORES AMBIENTALES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15" customHeight="1" s="34">
      <c r="J4" s="41" t="inlineStr">
        <is>
          <t>CONTROL DOCUMENTAL</t>
        </is>
      </c>
      <c r="K4" s="25" t="n"/>
      <c r="L4" s="26" t="n"/>
    </row>
    <row r="5" ht="15" customHeight="1" s="34">
      <c r="D5" s="33" t="inlineStr">
        <is>
          <t>REFORMAS Y REMODELACIONES</t>
        </is>
      </c>
      <c r="I5" s="35" t="n"/>
      <c r="J5" s="8" t="inlineStr">
        <is>
          <t>Código</t>
        </is>
      </c>
      <c r="K5" s="28" t="inlineStr">
        <is>
          <t>RYR-AM-018</t>
        </is>
      </c>
      <c r="L5" s="26" t="n"/>
    </row>
    <row r="6" ht="15" customHeight="1" s="34">
      <c r="D6" s="42" t="inlineStr">
        <is>
          <t>DISEÑAMOS, RENOVAMOS Y CONSTRUIMOS ESPACIOS QUE INSPIRAN.</t>
        </is>
      </c>
      <c r="I6" s="35" t="n"/>
      <c r="J6" s="8" t="inlineStr">
        <is>
          <t>Versión</t>
        </is>
      </c>
      <c r="K6" s="28" t="n">
        <v>1</v>
      </c>
      <c r="L6" s="26" t="n"/>
    </row>
    <row r="7" ht="15" customHeight="1" s="34">
      <c r="D7" s="5" t="n"/>
      <c r="E7" s="5" t="n"/>
      <c r="F7" s="5" t="n"/>
      <c r="G7" s="5" t="n"/>
      <c r="H7" s="5" t="n"/>
      <c r="I7" s="2" t="n"/>
      <c r="J7" s="8" t="inlineStr">
        <is>
          <t>Fecha de Emisión</t>
        </is>
      </c>
      <c r="K7" s="28" t="inlineStr">
        <is>
          <t>08/10/2026</t>
        </is>
      </c>
      <c r="L7" s="26" t="n"/>
    </row>
    <row r="8" ht="15" customHeight="1" s="34">
      <c r="D8" s="5" t="n"/>
      <c r="E8" s="5" t="n"/>
      <c r="F8" s="5" t="n"/>
      <c r="G8" s="5" t="n"/>
      <c r="H8" s="5" t="n"/>
      <c r="I8" s="2" t="n"/>
      <c r="J8" s="8" t="inlineStr">
        <is>
          <t>Página</t>
        </is>
      </c>
      <c r="K8" s="28" t="inlineStr">
        <is>
          <t>1 de 1</t>
        </is>
      </c>
      <c r="L8" s="26" t="n"/>
    </row>
    <row r="9" ht="15" customHeight="1" s="34">
      <c r="A9" s="37" t="inlineStr">
        <is>
          <t>Seguimiento mensual del desempeño ambiental de la obra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0" t="n"/>
    </row>
    <row r="10" ht="16.5" customHeight="1" s="34">
      <c r="A10" s="21" t="inlineStr">
        <is>
          <t>1. DATOS DEL PERIODO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21" customHeight="1" s="34">
      <c r="A11" s="27" t="inlineStr">
        <is>
          <t>Proyecto / Obra</t>
        </is>
      </c>
      <c r="B11" s="26" t="n"/>
      <c r="C11" s="24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6" t="n"/>
    </row>
    <row r="12" ht="21" customHeight="1" s="34">
      <c r="A12" s="27" t="inlineStr">
        <is>
          <t>Contratista / Empresa</t>
        </is>
      </c>
      <c r="B12" s="26" t="n"/>
      <c r="C12" s="24" t="n"/>
      <c r="D12" s="25" t="n"/>
      <c r="E12" s="25" t="n"/>
      <c r="F12" s="25" t="n"/>
      <c r="G12" s="26" t="n"/>
      <c r="H12" s="27" t="inlineStr">
        <is>
          <t>Ubicación</t>
        </is>
      </c>
      <c r="I12" s="26" t="n"/>
      <c r="J12" s="24" t="n"/>
      <c r="K12" s="25" t="n"/>
      <c r="L12" s="26" t="n"/>
    </row>
    <row r="13" ht="21" customHeight="1" s="34">
      <c r="A13" s="27" t="inlineStr">
        <is>
          <t>Mes</t>
        </is>
      </c>
      <c r="B13" s="26" t="n"/>
      <c r="C13" s="49" t="n"/>
      <c r="D13" s="26" t="n"/>
      <c r="E13" s="27" t="inlineStr">
        <is>
          <t>Año</t>
        </is>
      </c>
      <c r="F13" s="26" t="n"/>
      <c r="G13" s="49" t="n"/>
      <c r="H13" s="26" t="n"/>
      <c r="I13" s="27" t="inlineStr">
        <is>
          <t>Trabajadores (promedio)</t>
        </is>
      </c>
      <c r="J13" s="26" t="n"/>
      <c r="K13" s="49" t="n"/>
      <c r="L13" s="26" t="n"/>
    </row>
    <row r="14" ht="21" customHeight="1" s="34">
      <c r="A14" s="27" t="inlineStr">
        <is>
          <t>Elaboró</t>
        </is>
      </c>
      <c r="B14" s="26" t="n"/>
      <c r="C14" s="24" t="n"/>
      <c r="D14" s="25" t="n"/>
      <c r="E14" s="25" t="n"/>
      <c r="F14" s="25" t="n"/>
      <c r="G14" s="26" t="n"/>
      <c r="H14" s="27" t="inlineStr">
        <is>
          <t>Fecha de elaboración</t>
        </is>
      </c>
      <c r="I14" s="26" t="n"/>
      <c r="J14" s="51" t="n"/>
      <c r="K14" s="25" t="n"/>
      <c r="L14" s="26" t="n"/>
    </row>
    <row r="15" ht="16.5" customHeight="1" s="34">
      <c r="A15" s="21" t="inlineStr">
        <is>
          <t>2. INDICADORES DE DESEMPEÑO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3" t="n"/>
    </row>
    <row r="16" ht="30" customHeight="1" s="34">
      <c r="A16" s="40" t="inlineStr">
        <is>
          <t>No.</t>
        </is>
      </c>
      <c r="B16" s="40" t="inlineStr">
        <is>
          <t>Indicador</t>
        </is>
      </c>
      <c r="C16" s="19" t="n"/>
      <c r="D16" s="20" t="n"/>
      <c r="E16" s="40" t="inlineStr">
        <is>
          <t>Unidad</t>
        </is>
      </c>
      <c r="F16" s="40" t="inlineStr">
        <is>
          <t>Sentido</t>
        </is>
      </c>
      <c r="G16" s="40" t="inlineStr">
        <is>
          <t>Meta</t>
        </is>
      </c>
      <c r="H16" s="40" t="inlineStr">
        <is>
          <t>Resultado del mes</t>
        </is>
      </c>
      <c r="I16" s="20" t="n"/>
      <c r="J16" s="40" t="inlineStr">
        <is>
          <t>Acumulado</t>
        </is>
      </c>
      <c r="K16" s="40" t="inlineStr">
        <is>
          <t>¿Cumple?</t>
        </is>
      </c>
      <c r="L16" s="20" t="n"/>
    </row>
    <row r="17" ht="22.05" customHeight="1" s="34">
      <c r="A17" s="55" t="n">
        <v>1</v>
      </c>
      <c r="B17" s="47" t="inlineStr">
        <is>
          <t>Residuos aprovechados del total generado</t>
        </is>
      </c>
      <c r="C17" s="22" t="n"/>
      <c r="D17" s="23" t="n"/>
      <c r="E17" s="55" t="inlineStr">
        <is>
          <t>%</t>
        </is>
      </c>
      <c r="F17" s="55" t="inlineStr">
        <is>
          <t>≥</t>
        </is>
      </c>
      <c r="G17" s="48" t="n"/>
      <c r="H17" s="48" t="n"/>
      <c r="I17" s="23" t="n"/>
      <c r="J17" s="48" t="n"/>
      <c r="K17" s="46">
        <f>IF(OR(H17="",G17=""),"",IF(F17="≥",IF(H17&gt;=G17,"Cumple","No cumple"),IF(H17&lt;=G17,"Cumple","No cumple")))</f>
        <v/>
      </c>
      <c r="L17" s="23" t="n"/>
    </row>
    <row r="18" ht="22.05" customHeight="1" s="34">
      <c r="A18" s="55" t="n">
        <v>2</v>
      </c>
      <c r="B18" s="47" t="inlineStr">
        <is>
          <t>RCD aprovechados o reutilizados</t>
        </is>
      </c>
      <c r="C18" s="22" t="n"/>
      <c r="D18" s="23" t="n"/>
      <c r="E18" s="55" t="inlineStr">
        <is>
          <t>%</t>
        </is>
      </c>
      <c r="F18" s="55" t="inlineStr">
        <is>
          <t>≥</t>
        </is>
      </c>
      <c r="G18" s="48" t="n"/>
      <c r="H18" s="48" t="n"/>
      <c r="I18" s="23" t="n"/>
      <c r="J18" s="48" t="n"/>
      <c r="K18" s="46">
        <f>IF(OR(H18="",G18=""),"",IF(F18="≥",IF(H18&gt;=G18,"Cumple","No cumple"),IF(H18&lt;=G18,"Cumple","No cumple")))</f>
        <v/>
      </c>
      <c r="L18" s="23" t="n"/>
    </row>
    <row r="19" ht="22.05" customHeight="1" s="34">
      <c r="A19" s="55" t="n">
        <v>3</v>
      </c>
      <c r="B19" s="47" t="inlineStr">
        <is>
          <t>Residuos ordinarios enviados a relleno</t>
        </is>
      </c>
      <c r="C19" s="22" t="n"/>
      <c r="D19" s="23" t="n"/>
      <c r="E19" s="55" t="inlineStr">
        <is>
          <t>kg</t>
        </is>
      </c>
      <c r="F19" s="55" t="inlineStr">
        <is>
          <t>≤</t>
        </is>
      </c>
      <c r="G19" s="48" t="n"/>
      <c r="H19" s="48" t="n"/>
      <c r="I19" s="23" t="n"/>
      <c r="J19" s="48" t="n"/>
      <c r="K19" s="46">
        <f>IF(OR(H19="",G19=""),"",IF(F19="≥",IF(H19&gt;=G19,"Cumple","No cumple"),IF(H19&lt;=G19,"Cumple","No cumple")))</f>
        <v/>
      </c>
      <c r="L19" s="23" t="n"/>
    </row>
    <row r="20" ht="22.05" customHeight="1" s="34">
      <c r="A20" s="55" t="n">
        <v>4</v>
      </c>
      <c r="B20" s="47" t="inlineStr">
        <is>
          <t>Residuos peligrosos generados</t>
        </is>
      </c>
      <c r="C20" s="22" t="n"/>
      <c r="D20" s="23" t="n"/>
      <c r="E20" s="55" t="inlineStr">
        <is>
          <t>kg</t>
        </is>
      </c>
      <c r="F20" s="55" t="inlineStr">
        <is>
          <t>≤</t>
        </is>
      </c>
      <c r="G20" s="48" t="n"/>
      <c r="H20" s="48" t="n"/>
      <c r="I20" s="23" t="n"/>
      <c r="J20" s="48" t="n"/>
      <c r="K20" s="46">
        <f>IF(OR(H20="",G20=""),"",IF(F20="≥",IF(H20&gt;=G20,"Cumple","No cumple"),IF(H20&lt;=G20,"Cumple","No cumple")))</f>
        <v/>
      </c>
      <c r="L20" s="23" t="n"/>
    </row>
    <row r="21" ht="22.05" customHeight="1" s="34">
      <c r="A21" s="55" t="n">
        <v>5</v>
      </c>
      <c r="B21" s="47" t="inlineStr">
        <is>
          <t>Residuos peligrosos entregados con manifiesto</t>
        </is>
      </c>
      <c r="C21" s="22" t="n"/>
      <c r="D21" s="23" t="n"/>
      <c r="E21" s="55" t="inlineStr">
        <is>
          <t>%</t>
        </is>
      </c>
      <c r="F21" s="55" t="inlineStr">
        <is>
          <t>≥</t>
        </is>
      </c>
      <c r="G21" s="48" t="n"/>
      <c r="H21" s="48" t="n"/>
      <c r="I21" s="23" t="n"/>
      <c r="J21" s="48" t="n"/>
      <c r="K21" s="46">
        <f>IF(OR(H21="",G21=""),"",IF(F21="≥",IF(H21&gt;=G21,"Cumple","No cumple"),IF(H21&lt;=G21,"Cumple","No cumple")))</f>
        <v/>
      </c>
      <c r="L21" s="23" t="n"/>
    </row>
    <row r="22" ht="22.05" customHeight="1" s="34">
      <c r="A22" s="55" t="n">
        <v>6</v>
      </c>
      <c r="B22" s="47" t="inlineStr">
        <is>
          <t>Consumo de agua</t>
        </is>
      </c>
      <c r="C22" s="22" t="n"/>
      <c r="D22" s="23" t="n"/>
      <c r="E22" s="55" t="inlineStr">
        <is>
          <t>m³</t>
        </is>
      </c>
      <c r="F22" s="55" t="inlineStr">
        <is>
          <t>≤</t>
        </is>
      </c>
      <c r="G22" s="48" t="n"/>
      <c r="H22" s="48" t="n"/>
      <c r="I22" s="23" t="n"/>
      <c r="J22" s="48" t="n"/>
      <c r="K22" s="46">
        <f>IF(OR(H22="",G22=""),"",IF(F22="≥",IF(H22&gt;=G22,"Cumple","No cumple"),IF(H22&lt;=G22,"Cumple","No cumple")))</f>
        <v/>
      </c>
      <c r="L22" s="23" t="n"/>
    </row>
    <row r="23" ht="22.05" customHeight="1" s="34">
      <c r="A23" s="55" t="n">
        <v>7</v>
      </c>
      <c r="B23" s="47" t="inlineStr">
        <is>
          <t>Consumo de agua por trabajador</t>
        </is>
      </c>
      <c r="C23" s="22" t="n"/>
      <c r="D23" s="23" t="n"/>
      <c r="E23" s="55" t="inlineStr">
        <is>
          <t>L/trab·día</t>
        </is>
      </c>
      <c r="F23" s="55" t="inlineStr">
        <is>
          <t>≤</t>
        </is>
      </c>
      <c r="G23" s="48" t="n"/>
      <c r="H23" s="48" t="n"/>
      <c r="I23" s="23" t="n"/>
      <c r="J23" s="48" t="n"/>
      <c r="K23" s="46">
        <f>IF(OR(H23="",G23=""),"",IF(F23="≥",IF(H23&gt;=G23,"Cumple","No cumple"),IF(H23&lt;=G23,"Cumple","No cumple")))</f>
        <v/>
      </c>
      <c r="L23" s="23" t="n"/>
    </row>
    <row r="24" ht="22.05" customHeight="1" s="34">
      <c r="A24" s="55" t="n">
        <v>8</v>
      </c>
      <c r="B24" s="47" t="inlineStr">
        <is>
          <t>Consumo de energía</t>
        </is>
      </c>
      <c r="C24" s="22" t="n"/>
      <c r="D24" s="23" t="n"/>
      <c r="E24" s="55" t="inlineStr">
        <is>
          <t>kWh</t>
        </is>
      </c>
      <c r="F24" s="55" t="inlineStr">
        <is>
          <t>≤</t>
        </is>
      </c>
      <c r="G24" s="48" t="n"/>
      <c r="H24" s="48" t="n"/>
      <c r="I24" s="23" t="n"/>
      <c r="J24" s="48" t="n"/>
      <c r="K24" s="46">
        <f>IF(OR(H24="",G24=""),"",IF(F24="≥",IF(H24&gt;=G24,"Cumple","No cumple"),IF(H24&lt;=G24,"Cumple","No cumple")))</f>
        <v/>
      </c>
      <c r="L24" s="23" t="n"/>
    </row>
    <row r="25" ht="22.05" customHeight="1" s="34">
      <c r="A25" s="55" t="n">
        <v>9</v>
      </c>
      <c r="B25" s="47" t="inlineStr">
        <is>
          <t>Consumo de combustible</t>
        </is>
      </c>
      <c r="C25" s="22" t="n"/>
      <c r="D25" s="23" t="n"/>
      <c r="E25" s="55" t="inlineStr">
        <is>
          <t>gal</t>
        </is>
      </c>
      <c r="F25" s="55" t="inlineStr">
        <is>
          <t>≤</t>
        </is>
      </c>
      <c r="G25" s="48" t="n"/>
      <c r="H25" s="48" t="n"/>
      <c r="I25" s="23" t="n"/>
      <c r="J25" s="48" t="n"/>
      <c r="K25" s="46">
        <f>IF(OR(H25="",G25=""),"",IF(F25="≥",IF(H25&gt;=G25,"Cumple","No cumple"),IF(H25&lt;=G25,"Cumple","No cumple")))</f>
        <v/>
      </c>
      <c r="L25" s="23" t="n"/>
    </row>
    <row r="26" ht="22.05" customHeight="1" s="34">
      <c r="A26" s="55" t="n">
        <v>10</v>
      </c>
      <c r="B26" s="47" t="inlineStr">
        <is>
          <t>Incidentes ambientales</t>
        </is>
      </c>
      <c r="C26" s="22" t="n"/>
      <c r="D26" s="23" t="n"/>
      <c r="E26" s="55" t="inlineStr">
        <is>
          <t>N°</t>
        </is>
      </c>
      <c r="F26" s="55" t="inlineStr">
        <is>
          <t>≤</t>
        </is>
      </c>
      <c r="G26" s="48" t="n"/>
      <c r="H26" s="48" t="n"/>
      <c r="I26" s="23" t="n"/>
      <c r="J26" s="48" t="n"/>
      <c r="K26" s="46">
        <f>IF(OR(H26="",G26=""),"",IF(F26="≥",IF(H26&gt;=G26,"Cumple","No cumple"),IF(H26&lt;=G26,"Cumple","No cumple")))</f>
        <v/>
      </c>
      <c r="L26" s="23" t="n"/>
    </row>
    <row r="27" ht="22.05" customHeight="1" s="34">
      <c r="A27" s="55" t="n">
        <v>11</v>
      </c>
      <c r="B27" s="47" t="inlineStr">
        <is>
          <t>Quejas de la comunidad recibidas</t>
        </is>
      </c>
      <c r="C27" s="22" t="n"/>
      <c r="D27" s="23" t="n"/>
      <c r="E27" s="55" t="inlineStr">
        <is>
          <t>N°</t>
        </is>
      </c>
      <c r="F27" s="55" t="inlineStr">
        <is>
          <t>≤</t>
        </is>
      </c>
      <c r="G27" s="48" t="n"/>
      <c r="H27" s="48" t="n"/>
      <c r="I27" s="23" t="n"/>
      <c r="J27" s="48" t="n"/>
      <c r="K27" s="46">
        <f>IF(OR(H27="",G27=""),"",IF(F27="≥",IF(H27&gt;=G27,"Cumple","No cumple"),IF(H27&lt;=G27,"Cumple","No cumple")))</f>
        <v/>
      </c>
      <c r="L27" s="23" t="n"/>
    </row>
    <row r="28" ht="22.05" customHeight="1" s="34">
      <c r="A28" s="55" t="n">
        <v>12</v>
      </c>
      <c r="B28" s="47" t="inlineStr">
        <is>
          <t>Quejas atendidas a tiempo</t>
        </is>
      </c>
      <c r="C28" s="22" t="n"/>
      <c r="D28" s="23" t="n"/>
      <c r="E28" s="55" t="inlineStr">
        <is>
          <t>%</t>
        </is>
      </c>
      <c r="F28" s="55" t="inlineStr">
        <is>
          <t>≥</t>
        </is>
      </c>
      <c r="G28" s="48" t="n"/>
      <c r="H28" s="48" t="n"/>
      <c r="I28" s="23" t="n"/>
      <c r="J28" s="48" t="n"/>
      <c r="K28" s="46">
        <f>IF(OR(H28="",G28=""),"",IF(F28="≥",IF(H28&gt;=G28,"Cumple","No cumple"),IF(H28&lt;=G28,"Cumple","No cumple")))</f>
        <v/>
      </c>
      <c r="L28" s="23" t="n"/>
    </row>
    <row r="29" ht="22.05" customHeight="1" s="34">
      <c r="A29" s="55" t="n">
        <v>13</v>
      </c>
      <c r="B29" s="47" t="inlineStr">
        <is>
          <t>Cumplimiento del plan de manejo ambiental</t>
        </is>
      </c>
      <c r="C29" s="22" t="n"/>
      <c r="D29" s="23" t="n"/>
      <c r="E29" s="55" t="inlineStr">
        <is>
          <t>%</t>
        </is>
      </c>
      <c r="F29" s="55" t="inlineStr">
        <is>
          <t>≥</t>
        </is>
      </c>
      <c r="G29" s="48" t="n"/>
      <c r="H29" s="48" t="n"/>
      <c r="I29" s="23" t="n"/>
      <c r="J29" s="48" t="n"/>
      <c r="K29" s="46">
        <f>IF(OR(H29="",G29=""),"",IF(F29="≥",IF(H29&gt;=G29,"Cumple","No cumple"),IF(H29&lt;=G29,"Cumple","No cumple")))</f>
        <v/>
      </c>
      <c r="L29" s="23" t="n"/>
    </row>
    <row r="30" ht="22.05" customHeight="1" s="34">
      <c r="A30" s="55" t="n">
        <v>14</v>
      </c>
      <c r="B30" s="47" t="inlineStr">
        <is>
          <t>Acciones correctivas cerradas a tiempo</t>
        </is>
      </c>
      <c r="C30" s="22" t="n"/>
      <c r="D30" s="23" t="n"/>
      <c r="E30" s="55" t="inlineStr">
        <is>
          <t>%</t>
        </is>
      </c>
      <c r="F30" s="55" t="inlineStr">
        <is>
          <t>≥</t>
        </is>
      </c>
      <c r="G30" s="48" t="n"/>
      <c r="H30" s="48" t="n"/>
      <c r="I30" s="23" t="n"/>
      <c r="J30" s="48" t="n"/>
      <c r="K30" s="46">
        <f>IF(OR(H30="",G30=""),"",IF(F30="≥",IF(H30&gt;=G30,"Cumple","No cumple"),IF(H30&lt;=G30,"Cumple","No cumple")))</f>
        <v/>
      </c>
      <c r="L30" s="23" t="n"/>
    </row>
    <row r="31" ht="28.05" customHeight="1" s="34">
      <c r="A31" s="36" t="inlineStr">
        <is>
          <t>Sentido: ≥ el resultado debe ser igual o mayor que la meta (porcentajes de cumplimiento); ≤ debe ser igual o menor (consumos, residuos, incidentes y quejas).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6" t="n"/>
    </row>
    <row r="32" ht="19.95" customHeight="1" s="34">
      <c r="A32" s="40" t="inlineStr">
        <is>
          <t>Indicadores medidos</t>
        </is>
      </c>
      <c r="B32" s="19" t="n"/>
      <c r="C32" s="20" t="n"/>
      <c r="D32" s="40" t="inlineStr">
        <is>
          <t>Cumplen</t>
        </is>
      </c>
      <c r="E32" s="19" t="n"/>
      <c r="F32" s="20" t="n"/>
      <c r="G32" s="40" t="inlineStr">
        <is>
          <t>No cumplen</t>
        </is>
      </c>
      <c r="H32" s="19" t="n"/>
      <c r="I32" s="20" t="n"/>
      <c r="J32" s="40" t="inlineStr">
        <is>
          <t>% de cumplimiento</t>
        </is>
      </c>
      <c r="K32" s="19" t="n"/>
      <c r="L32" s="20" t="n"/>
    </row>
    <row r="33" ht="22.05" customHeight="1" s="34">
      <c r="A33" s="39">
        <f>COUNTIF(K17:K30,"Cumple")+COUNTIF(K17:K30,"No cumple")</f>
        <v/>
      </c>
      <c r="B33" s="25" t="n"/>
      <c r="C33" s="26" t="n"/>
      <c r="D33" s="39">
        <f>COUNTIF(K17:K30,"Cumple")</f>
        <v/>
      </c>
      <c r="E33" s="25" t="n"/>
      <c r="F33" s="26" t="n"/>
      <c r="G33" s="39">
        <f>COUNTIF(K17:K30,"No cumple")</f>
        <v/>
      </c>
      <c r="H33" s="25" t="n"/>
      <c r="I33" s="26" t="n"/>
      <c r="J33" s="32">
        <f>IF(A33=0,"",D33/A33)</f>
        <v/>
      </c>
      <c r="K33" s="25" t="n"/>
      <c r="L33" s="26" t="n"/>
    </row>
    <row r="34" ht="16.5" customHeight="1" s="34">
      <c r="A34" s="21" t="inlineStr">
        <is>
          <t>3. ANÁLISIS DE LOS RESULTADOS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3" t="n"/>
    </row>
    <row r="35" ht="49.95" customHeight="1" s="34">
      <c r="A35" s="27" t="inlineStr">
        <is>
          <t>Análisis de los indicadores que no cumplen</t>
        </is>
      </c>
      <c r="B35" s="26" t="n"/>
      <c r="C35" s="50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6" t="n"/>
    </row>
    <row r="36" ht="49.95" customHeight="1" s="34">
      <c r="A36" s="27" t="inlineStr">
        <is>
          <t>Acciones a tomar</t>
        </is>
      </c>
      <c r="B36" s="26" t="n"/>
      <c r="C36" s="50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6" t="n"/>
    </row>
    <row r="37" ht="16.5" customHeight="1" s="34">
      <c r="A37" s="21" t="inlineStr">
        <is>
          <t>4. FIRMAS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 t="n"/>
    </row>
    <row r="38" ht="18" customHeight="1" s="34">
      <c r="A38" s="18" t="inlineStr">
        <is>
          <t>ELABORÓ — RESPONSABLE AMBIENTAL</t>
        </is>
      </c>
      <c r="B38" s="19" t="n"/>
      <c r="C38" s="19" t="n"/>
      <c r="D38" s="20" t="n"/>
      <c r="E38" s="18" t="inlineStr">
        <is>
          <t>REVISÓ — RESIDENTE DE OBRA</t>
        </is>
      </c>
      <c r="F38" s="19" t="n"/>
      <c r="G38" s="19" t="n"/>
      <c r="H38" s="20" t="n"/>
      <c r="I38" s="18" t="inlineStr">
        <is>
          <t>Vo.Bo. — GERENCIA / INTERVENTORÍA</t>
        </is>
      </c>
      <c r="J38" s="19" t="n"/>
      <c r="K38" s="19" t="n"/>
      <c r="L38" s="20" t="n"/>
    </row>
    <row r="39" ht="42" customHeight="1" s="34">
      <c r="A39" s="38" t="inlineStr">
        <is>
          <t>Firma:</t>
        </is>
      </c>
      <c r="B39" s="23" t="n"/>
      <c r="C39" s="29" t="n"/>
      <c r="D39" s="23" t="n"/>
      <c r="E39" s="38" t="inlineStr">
        <is>
          <t>Firma:</t>
        </is>
      </c>
      <c r="F39" s="23" t="n"/>
      <c r="G39" s="29" t="n"/>
      <c r="H39" s="23" t="n"/>
      <c r="I39" s="38" t="inlineStr">
        <is>
          <t>Firma:</t>
        </is>
      </c>
      <c r="J39" s="23" t="n"/>
      <c r="K39" s="29" t="n"/>
      <c r="L39" s="23" t="n"/>
    </row>
    <row r="40" ht="21" customHeight="1" s="34">
      <c r="A40" s="38" t="inlineStr">
        <is>
          <t>Nombre:</t>
        </is>
      </c>
      <c r="B40" s="23" t="n"/>
      <c r="C40" s="29" t="n"/>
      <c r="D40" s="23" t="n"/>
      <c r="E40" s="38" t="inlineStr">
        <is>
          <t>Nombre:</t>
        </is>
      </c>
      <c r="F40" s="23" t="n"/>
      <c r="G40" s="29" t="n"/>
      <c r="H40" s="23" t="n"/>
      <c r="I40" s="38" t="inlineStr">
        <is>
          <t>Nombre:</t>
        </is>
      </c>
      <c r="J40" s="23" t="n"/>
      <c r="K40" s="29" t="n"/>
      <c r="L40" s="23" t="n"/>
    </row>
    <row r="41" ht="21" customHeight="1" s="34">
      <c r="A41" s="38" t="inlineStr">
        <is>
          <t>Cargo:</t>
        </is>
      </c>
      <c r="B41" s="23" t="n"/>
      <c r="C41" s="29" t="n"/>
      <c r="D41" s="23" t="n"/>
      <c r="E41" s="38" t="inlineStr">
        <is>
          <t>Cargo:</t>
        </is>
      </c>
      <c r="F41" s="23" t="n"/>
      <c r="G41" s="29" t="n"/>
      <c r="H41" s="23" t="n"/>
      <c r="I41" s="38" t="inlineStr">
        <is>
          <t>Cargo:</t>
        </is>
      </c>
      <c r="J41" s="23" t="n"/>
      <c r="K41" s="29" t="n"/>
      <c r="L41" s="23" t="n"/>
    </row>
    <row r="42">
      <c r="A42" s="1" t="inlineStr">
        <is>
          <t>REV. 08/10/2026</t>
        </is>
      </c>
      <c r="G42" s="43">
        <f>K5</f>
        <v/>
      </c>
    </row>
  </sheetData>
  <mergeCells count="110">
    <mergeCell ref="K24:L24"/>
    <mergeCell ref="A37:L37"/>
    <mergeCell ref="I38:L38"/>
    <mergeCell ref="C14:G14"/>
    <mergeCell ref="K26:L26"/>
    <mergeCell ref="B28:D28"/>
    <mergeCell ref="D1:L2"/>
    <mergeCell ref="A41:B41"/>
    <mergeCell ref="C41:D41"/>
    <mergeCell ref="B30:D30"/>
    <mergeCell ref="B20:D20"/>
    <mergeCell ref="D5:I5"/>
    <mergeCell ref="A34:L34"/>
    <mergeCell ref="A35:B35"/>
    <mergeCell ref="K28:L28"/>
    <mergeCell ref="H23:I23"/>
    <mergeCell ref="I13:J13"/>
    <mergeCell ref="D6:I6"/>
    <mergeCell ref="K13:L13"/>
    <mergeCell ref="A39:B39"/>
    <mergeCell ref="K30:L30"/>
    <mergeCell ref="A11:B11"/>
    <mergeCell ref="B17:D17"/>
    <mergeCell ref="K21:L21"/>
    <mergeCell ref="H25:I25"/>
    <mergeCell ref="B19:D19"/>
    <mergeCell ref="A32:C32"/>
    <mergeCell ref="I41:J41"/>
    <mergeCell ref="K41:L41"/>
    <mergeCell ref="C40:D40"/>
    <mergeCell ref="E40:F40"/>
    <mergeCell ref="H17:I17"/>
    <mergeCell ref="G32:I32"/>
    <mergeCell ref="J33:L33"/>
    <mergeCell ref="C12:G12"/>
    <mergeCell ref="E38:H38"/>
    <mergeCell ref="K27:L27"/>
    <mergeCell ref="A31:L31"/>
    <mergeCell ref="H19:I19"/>
    <mergeCell ref="C35:L35"/>
    <mergeCell ref="H28:I28"/>
    <mergeCell ref="K17:L17"/>
    <mergeCell ref="H12:I12"/>
    <mergeCell ref="J14:L14"/>
    <mergeCell ref="K19:L19"/>
    <mergeCell ref="B21:D21"/>
    <mergeCell ref="H14:I14"/>
    <mergeCell ref="K6:L6"/>
    <mergeCell ref="C36:L36"/>
    <mergeCell ref="C11:L11"/>
    <mergeCell ref="K16:L16"/>
    <mergeCell ref="K25:L25"/>
    <mergeCell ref="B23:D23"/>
    <mergeCell ref="D32:F32"/>
    <mergeCell ref="K5:L5"/>
    <mergeCell ref="A36:B36"/>
    <mergeCell ref="J4:L4"/>
    <mergeCell ref="E39:F39"/>
    <mergeCell ref="G39:H39"/>
    <mergeCell ref="K29:L29"/>
    <mergeCell ref="H21:I21"/>
    <mergeCell ref="J32:L32"/>
    <mergeCell ref="D3:L3"/>
    <mergeCell ref="E13:F13"/>
    <mergeCell ref="G13:H13"/>
    <mergeCell ref="K40:L40"/>
    <mergeCell ref="D33:F33"/>
    <mergeCell ref="A12:B12"/>
    <mergeCell ref="H16:I16"/>
    <mergeCell ref="K8:L8"/>
    <mergeCell ref="A14:B14"/>
    <mergeCell ref="H22:I22"/>
    <mergeCell ref="K23:L23"/>
    <mergeCell ref="B25:D25"/>
    <mergeCell ref="K7:L7"/>
    <mergeCell ref="A15:L15"/>
    <mergeCell ref="B22:D22"/>
    <mergeCell ref="E41:F41"/>
    <mergeCell ref="G41:H41"/>
    <mergeCell ref="A40:B40"/>
    <mergeCell ref="K18:L18"/>
    <mergeCell ref="H30:I30"/>
    <mergeCell ref="H20:I20"/>
    <mergeCell ref="H29:I29"/>
    <mergeCell ref="A38:D38"/>
    <mergeCell ref="B29:D29"/>
    <mergeCell ref="G33:I33"/>
    <mergeCell ref="A33:C33"/>
    <mergeCell ref="K20:L20"/>
    <mergeCell ref="J12:L12"/>
    <mergeCell ref="K22:L22"/>
    <mergeCell ref="B24:D24"/>
    <mergeCell ref="A10:L10"/>
    <mergeCell ref="B26:D26"/>
    <mergeCell ref="A9:L9"/>
    <mergeCell ref="I39:J39"/>
    <mergeCell ref="K39:L39"/>
    <mergeCell ref="C39:D39"/>
    <mergeCell ref="B16:D16"/>
    <mergeCell ref="H27:I27"/>
    <mergeCell ref="G42:L42"/>
    <mergeCell ref="H24:I24"/>
    <mergeCell ref="H18:I18"/>
    <mergeCell ref="B27:D27"/>
    <mergeCell ref="B18:D18"/>
    <mergeCell ref="A13:B13"/>
    <mergeCell ref="C13:D13"/>
    <mergeCell ref="G40:H40"/>
    <mergeCell ref="I40:J40"/>
    <mergeCell ref="H26:I26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2026-10-08T20:31:23Z</dcterms:modified>
  <cp:lastModifiedBy>Hugo Fernando Hurtado Ruiz</cp:lastModifiedBy>
</cp:coreProperties>
</file>