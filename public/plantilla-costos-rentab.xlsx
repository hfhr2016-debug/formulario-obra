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utoFilterDateGrouping="1"/>
  </bookViews>
  <sheets>
    <sheet xmlns:r="http://schemas.openxmlformats.org/officeDocument/2006/relationships" name="Costos y Rentabilida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5" formatCode="&quot;$&quot;#,##0;[Red]\-&quot;$&quot;#,##0"/>
    <numFmt numFmtId="166" formatCode="0.0%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family val="2"/>
      <b val="1"/>
      <sz val="10"/>
    </font>
    <font>
      <name val="Arial"/>
      <family val="2"/>
      <b val="1"/>
      <sz val="12"/>
    </font>
    <font>
      <name val="Calibri"/>
      <family val="2"/>
      <i val="1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A233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166" fontId="2" fillId="5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0" fillId="0" borderId="7" pivotButton="0" quotePrefix="0" xfId="0"/>
    <xf numFmtId="4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5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5" fontId="2" fillId="4" borderId="9" applyAlignment="1" pivotButton="0" quotePrefix="0" xfId="0">
      <alignment horizontal="center" vertical="center" wrapText="1"/>
    </xf>
    <xf numFmtId="165" fontId="2" fillId="4" borderId="10" applyAlignment="1" pivotButton="0" quotePrefix="0" xfId="0">
      <alignment horizontal="center" vertical="center" wrapText="1"/>
    </xf>
    <xf numFmtId="165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6" fontId="2" fillId="8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" fontId="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6" fontId="6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 wrapText="1"/>
    </xf>
    <xf numFmtId="0" fontId="0" fillId="9" borderId="0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 wrapText="1"/>
    </xf>
    <xf numFmtId="166" fontId="6" fillId="4" borderId="1" applyAlignment="1" pivotButton="0" quotePrefix="0" xfId="0">
      <alignment horizontal="right" vertical="center" wrapText="1"/>
    </xf>
    <xf numFmtId="0" fontId="0" fillId="0" borderId="10" pivotButton="0" quotePrefix="0" xfId="0"/>
    <xf numFmtId="166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9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736000" cy="1332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736000" cy="133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J47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7" min="1" max="1"/>
    <col width="32" customWidth="1" style="37" min="2" max="2"/>
    <col width="25.77734375" customWidth="1" style="37" min="3" max="4"/>
    <col width="14" customWidth="1" style="37" min="5" max="5"/>
    <col width="25.77734375" customWidth="1" style="37" min="6" max="6"/>
    <col width="14" customWidth="1" style="37" min="7" max="9"/>
    <col width="15.77734375" customWidth="1" style="37" min="10" max="10"/>
  </cols>
  <sheetData>
    <row r="1" ht="40.05" customHeight="1" s="37">
      <c r="C1" s="45" t="inlineStr">
        <is>
          <t>INFORME DE COSTOS Y RENTABILIDAD</t>
        </is>
      </c>
    </row>
    <row r="2" ht="4.95" customHeight="1" s="37">
      <c r="C2" s="90" t="n"/>
    </row>
    <row r="3" ht="14.4" customHeight="1" s="37">
      <c r="C3" s="53" t="n"/>
      <c r="G3" s="53" t="n"/>
      <c r="H3" s="41" t="inlineStr">
        <is>
          <t>CONTROL DOCUMENTAL</t>
        </is>
      </c>
      <c r="I3" s="100" t="n"/>
      <c r="J3" s="87" t="n"/>
    </row>
    <row r="4" ht="15" customHeight="1" s="37">
      <c r="C4" s="95" t="inlineStr">
        <is>
          <t>REFORMAS Y REMODELACIONES</t>
        </is>
      </c>
      <c r="G4" s="53" t="n"/>
      <c r="H4" s="25" t="inlineStr">
        <is>
          <t>Código</t>
        </is>
      </c>
      <c r="I4" s="87" t="n"/>
      <c r="J4" s="3" t="inlineStr">
        <is>
          <t>RYR-CP-010</t>
        </is>
      </c>
    </row>
    <row r="5" ht="14.4" customHeight="1" s="37">
      <c r="C5" s="97" t="inlineStr">
        <is>
          <t>DISEÑAMOS, RENOVAMOS Y CONSTRUIMOS ESPACIOS QUE INSPIRAN.</t>
        </is>
      </c>
      <c r="G5" s="53" t="n"/>
      <c r="H5" s="25" t="inlineStr">
        <is>
          <t>Versión</t>
        </is>
      </c>
      <c r="I5" s="87" t="n"/>
      <c r="J5" s="3" t="inlineStr">
        <is>
          <t>1</t>
        </is>
      </c>
    </row>
    <row r="6" ht="20.4" customHeight="1" s="37">
      <c r="C6" s="53" t="n"/>
      <c r="G6" s="53" t="n"/>
      <c r="H6" s="25" t="inlineStr">
        <is>
          <t>Fecha de Emisión</t>
        </is>
      </c>
      <c r="I6" s="87" t="n"/>
      <c r="J6" s="3" t="inlineStr">
        <is>
          <t>08/10/2026</t>
        </is>
      </c>
    </row>
    <row r="7" ht="18" customHeight="1" s="37">
      <c r="A7" s="55" t="n"/>
      <c r="B7" s="55" t="n"/>
      <c r="C7" s="56" t="n"/>
      <c r="D7" s="55" t="n"/>
      <c r="E7" s="55" t="n"/>
      <c r="F7" s="55" t="n"/>
      <c r="G7" s="56" t="n"/>
      <c r="H7" s="25" t="inlineStr">
        <is>
          <t>Página</t>
        </is>
      </c>
      <c r="I7" s="87" t="n"/>
      <c r="J7" s="3" t="inlineStr">
        <is>
          <t>1 de 1</t>
        </is>
      </c>
    </row>
    <row r="8">
      <c r="A8" s="31" t="inlineStr">
        <is>
          <t>Costo real por tipo, utilidad a la fecha y utilidad proyectada al cierre · Para gerencia</t>
        </is>
      </c>
      <c r="B8" s="100" t="n"/>
      <c r="C8" s="100" t="n"/>
      <c r="D8" s="100" t="n"/>
      <c r="E8" s="100" t="n"/>
      <c r="F8" s="100" t="n"/>
      <c r="G8" s="100" t="n"/>
      <c r="H8" s="100" t="n"/>
      <c r="I8" s="100" t="n"/>
      <c r="J8" s="87" t="n"/>
    </row>
    <row r="9" ht="15" customHeight="1" s="37">
      <c r="A9" s="43" t="inlineStr">
        <is>
          <t>1. DATOS GENERALES</t>
        </is>
      </c>
      <c r="B9" s="100" t="n"/>
      <c r="C9" s="100" t="n"/>
      <c r="D9" s="100" t="n"/>
      <c r="E9" s="100" t="n"/>
      <c r="F9" s="100" t="n"/>
      <c r="G9" s="100" t="n"/>
      <c r="H9" s="100" t="n"/>
      <c r="I9" s="100" t="n"/>
      <c r="J9" s="87" t="n"/>
    </row>
    <row r="10" ht="18" customHeight="1" s="37">
      <c r="A10" s="25" t="inlineStr">
        <is>
          <t>Proyecto / Obra</t>
        </is>
      </c>
      <c r="B10" s="100" t="n"/>
      <c r="C10" s="87" t="n"/>
      <c r="D10" s="27" t="n"/>
      <c r="E10" s="87" t="n"/>
      <c r="F10" s="25" t="inlineStr">
        <is>
          <t>Tipo de proyecto</t>
        </is>
      </c>
      <c r="G10" s="100" t="n"/>
      <c r="H10" s="87" t="n"/>
      <c r="I10" s="27" t="n"/>
      <c r="J10" s="87" t="n"/>
    </row>
    <row r="11" ht="18" customHeight="1" s="37">
      <c r="A11" s="25" t="inlineStr">
        <is>
          <t>Contrato N°</t>
        </is>
      </c>
      <c r="B11" s="100" t="n"/>
      <c r="C11" s="87" t="n"/>
      <c r="D11" s="27" t="n"/>
      <c r="E11" s="87" t="n"/>
      <c r="F11" s="25" t="inlineStr">
        <is>
          <t>Contratante</t>
        </is>
      </c>
      <c r="G11" s="100" t="n"/>
      <c r="H11" s="87" t="n"/>
      <c r="I11" s="27" t="n"/>
      <c r="J11" s="87" t="n"/>
    </row>
    <row r="12" ht="18" customHeight="1" s="37">
      <c r="A12" s="25" t="inlineStr">
        <is>
          <t>Fecha de corte</t>
        </is>
      </c>
      <c r="B12" s="100" t="n"/>
      <c r="C12" s="87" t="n"/>
      <c r="D12" s="27" t="n"/>
      <c r="E12" s="87" t="n"/>
      <c r="F12" s="25" t="inlineStr">
        <is>
          <t>Responsable del informe</t>
        </is>
      </c>
      <c r="G12" s="100" t="n"/>
      <c r="H12" s="87" t="n"/>
      <c r="I12" s="27" t="n"/>
      <c r="J12" s="87" t="n"/>
    </row>
    <row r="13" ht="15" customHeight="1" s="37">
      <c r="A13" s="43" t="inlineStr">
        <is>
          <t>2. VALOR DEL CONTRATO E INGRESOS</t>
        </is>
      </c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87" t="n"/>
    </row>
    <row r="14" ht="18" customHeight="1" s="37">
      <c r="A14" s="25" t="inlineStr">
        <is>
          <t>Valor del contrato inicial</t>
        </is>
      </c>
      <c r="B14" s="100" t="n"/>
      <c r="C14" s="87" t="n"/>
      <c r="D14" s="47" t="n"/>
      <c r="F14" s="27" t="inlineStr">
        <is>
          <t>Valor del contrato y adicionales: tomados del contrato y del formato de Adicionales (los aprobados).
Facturado: suma de las actas de cobro (valor bruto).
Ingresos y costos deben estar en la misma base (ambos con IVA o ambos sin IVA).</t>
        </is>
      </c>
      <c r="G14" s="50" t="n"/>
      <c r="H14" s="50" t="n"/>
      <c r="I14" s="50" t="n"/>
      <c r="J14" s="51" t="n"/>
    </row>
    <row r="15" ht="18" customHeight="1" s="37">
      <c r="A15" s="25" t="inlineStr">
        <is>
          <t>Adicionales aprobados</t>
        </is>
      </c>
      <c r="B15" s="100" t="n"/>
      <c r="C15" s="87" t="n"/>
      <c r="D15" s="47" t="n"/>
      <c r="F15" s="52" t="n"/>
      <c r="J15" s="53" t="n"/>
    </row>
    <row r="16" ht="18" customHeight="1" s="37">
      <c r="A16" s="25" t="inlineStr">
        <is>
          <t>Valor vigente del contrato</t>
        </is>
      </c>
      <c r="B16" s="100" t="n"/>
      <c r="C16" s="87" t="n"/>
      <c r="D16" s="98">
        <f>N(D14)+N(D15)</f>
        <v/>
      </c>
      <c r="F16" s="52" t="n"/>
      <c r="J16" s="53" t="n"/>
    </row>
    <row r="17" ht="18" customHeight="1" s="37">
      <c r="A17" s="25" t="inlineStr">
        <is>
          <t>Facturado en actas a la fecha</t>
        </is>
      </c>
      <c r="B17" s="100" t="n"/>
      <c r="C17" s="87" t="n"/>
      <c r="D17" s="47" t="n"/>
      <c r="F17" s="52" t="n"/>
      <c r="J17" s="53" t="n"/>
    </row>
    <row r="18" ht="18" customHeight="1" s="37">
      <c r="A18" s="25" t="inlineStr">
        <is>
          <t>% facturado del valor vigente</t>
        </is>
      </c>
      <c r="B18" s="100" t="n"/>
      <c r="C18" s="87" t="n"/>
      <c r="D18" s="99">
        <f>IF(N(D16)=0,"",D17/D16)</f>
        <v/>
      </c>
      <c r="F18" s="54" t="n"/>
      <c r="G18" s="55" t="n"/>
      <c r="H18" s="55" t="n"/>
      <c r="I18" s="55" t="n"/>
      <c r="J18" s="56" t="n"/>
    </row>
    <row r="19"/>
    <row r="20" ht="15" customHeight="1" s="37">
      <c r="A20" s="43" t="inlineStr">
        <is>
          <t>3. COSTO REAL POR TIPO</t>
        </is>
      </c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87" t="n"/>
    </row>
    <row r="21" ht="40.05" customHeight="1" s="37">
      <c r="A21" s="86" t="inlineStr">
        <is>
          <t>No.</t>
        </is>
      </c>
      <c r="B21" s="86" t="inlineStr">
        <is>
          <t>Tipo de costo</t>
        </is>
      </c>
      <c r="C21" s="86" t="inlineStr">
        <is>
          <t>Presupuestado</t>
        </is>
      </c>
      <c r="D21" s="86" t="inlineStr">
        <is>
          <t>Costo real acumulado</t>
        </is>
      </c>
      <c r="E21" s="86" t="inlineStr">
        <is>
          <t>% del costo real</t>
        </is>
      </c>
      <c r="F21" s="86" t="inlineStr">
        <is>
          <t>Diferencia (real − presupuestado)</t>
        </is>
      </c>
      <c r="G21" s="86" t="inlineStr">
        <is>
          <t>% diferencia</t>
        </is>
      </c>
      <c r="H21" s="86" t="inlineStr">
        <is>
          <t>Estado</t>
        </is>
      </c>
      <c r="I21" s="100" t="n"/>
      <c r="J21" s="87" t="n"/>
    </row>
    <row r="22" ht="19.95" customHeight="1" s="37">
      <c r="A22" s="6" t="n">
        <v>1</v>
      </c>
      <c r="B22" s="25" t="inlineStr">
        <is>
          <t>Material</t>
        </is>
      </c>
      <c r="C22" s="8" t="n"/>
      <c r="D22" s="8" t="n"/>
      <c r="E22" s="101">
        <f>IF(OR(D22="",D29=0),"",D22/D29)</f>
        <v/>
      </c>
      <c r="F22" s="9">
        <f>IF(OR(C22="",D22=""),"",D22-C22)</f>
        <v/>
      </c>
      <c r="G22" s="101">
        <f>IF(OR(C22="",C22=0,D22=""),"",D22/C22-1)</f>
        <v/>
      </c>
      <c r="H22" s="102">
        <f>IF(G22="","",IF(G22&gt;0.05,"ALERTA",IF(G22&gt;0,"VIGILAR","OK")))</f>
        <v/>
      </c>
      <c r="I22" s="100" t="n"/>
      <c r="J22" s="87" t="n"/>
    </row>
    <row r="23" ht="19.95" customHeight="1" s="37">
      <c r="A23" s="6" t="n">
        <v>2</v>
      </c>
      <c r="B23" s="25" t="inlineStr">
        <is>
          <t>Mano de obra</t>
        </is>
      </c>
      <c r="C23" s="8" t="n"/>
      <c r="D23" s="8" t="n"/>
      <c r="E23" s="101">
        <f>IF(OR(D23="",D29=0),"",D23/D29)</f>
        <v/>
      </c>
      <c r="F23" s="9">
        <f>IF(OR(C23="",D23=""),"",D23-C23)</f>
        <v/>
      </c>
      <c r="G23" s="101">
        <f>IF(OR(C23="",C23=0,D23=""),"",D23/C23-1)</f>
        <v/>
      </c>
      <c r="H23" s="102">
        <f>IF(G23="","",IF(G23&gt;0.05,"ALERTA",IF(G23&gt;0,"VIGILAR","OK")))</f>
        <v/>
      </c>
      <c r="I23" s="100" t="n"/>
      <c r="J23" s="87" t="n"/>
    </row>
    <row r="24" ht="19.95" customHeight="1" s="37">
      <c r="A24" s="6" t="n">
        <v>3</v>
      </c>
      <c r="B24" s="25" t="inlineStr">
        <is>
          <t>Subcontrato</t>
        </is>
      </c>
      <c r="C24" s="8" t="n"/>
      <c r="D24" s="8" t="n"/>
      <c r="E24" s="101">
        <f>IF(OR(D24="",D29=0),"",D24/D29)</f>
        <v/>
      </c>
      <c r="F24" s="9">
        <f>IF(OR(C24="",D24=""),"",D24-C24)</f>
        <v/>
      </c>
      <c r="G24" s="101">
        <f>IF(OR(C24="",C24=0,D24=""),"",D24/C24-1)</f>
        <v/>
      </c>
      <c r="H24" s="102">
        <f>IF(G24="","",IF(G24&gt;0.05,"ALERTA",IF(G24&gt;0,"VIGILAR","OK")))</f>
        <v/>
      </c>
      <c r="I24" s="100" t="n"/>
      <c r="J24" s="87" t="n"/>
    </row>
    <row r="25" ht="19.95" customHeight="1" s="37">
      <c r="A25" s="6" t="n">
        <v>4</v>
      </c>
      <c r="B25" s="25" t="inlineStr">
        <is>
          <t>Maquinaria y equipo</t>
        </is>
      </c>
      <c r="C25" s="8" t="n"/>
      <c r="D25" s="8" t="n"/>
      <c r="E25" s="101">
        <f>IF(OR(D25="",D29=0),"",D25/D29)</f>
        <v/>
      </c>
      <c r="F25" s="9">
        <f>IF(OR(C25="",D25=""),"",D25-C25)</f>
        <v/>
      </c>
      <c r="G25" s="101">
        <f>IF(OR(C25="",C25=0,D25=""),"",D25/C25-1)</f>
        <v/>
      </c>
      <c r="H25" s="102">
        <f>IF(G25="","",IF(G25&gt;0.05,"ALERTA",IF(G25&gt;0,"VIGILAR","OK")))</f>
        <v/>
      </c>
      <c r="I25" s="100" t="n"/>
      <c r="J25" s="87" t="n"/>
    </row>
    <row r="26" ht="19.95" customHeight="1" s="37">
      <c r="A26" s="6" t="n">
        <v>5</v>
      </c>
      <c r="B26" s="25" t="inlineStr">
        <is>
          <t>Transporte</t>
        </is>
      </c>
      <c r="C26" s="8" t="n"/>
      <c r="D26" s="8" t="n"/>
      <c r="E26" s="101">
        <f>IF(OR(D26="",D29=0),"",D26/D29)</f>
        <v/>
      </c>
      <c r="F26" s="9">
        <f>IF(OR(C26="",D26=""),"",D26-C26)</f>
        <v/>
      </c>
      <c r="G26" s="101">
        <f>IF(OR(C26="",C26=0,D26=""),"",D26/C26-1)</f>
        <v/>
      </c>
      <c r="H26" s="102">
        <f>IF(G26="","",IF(G26&gt;0.05,"ALERTA",IF(G26&gt;0,"VIGILAR","OK")))</f>
        <v/>
      </c>
      <c r="I26" s="100" t="n"/>
      <c r="J26" s="87" t="n"/>
    </row>
    <row r="27" ht="19.95" customHeight="1" s="37">
      <c r="A27" s="6" t="n">
        <v>6</v>
      </c>
      <c r="B27" s="25" t="inlineStr">
        <is>
          <t>Administración</t>
        </is>
      </c>
      <c r="C27" s="8" t="n"/>
      <c r="D27" s="8" t="n"/>
      <c r="E27" s="101">
        <f>IF(OR(D27="",D29=0),"",D27/D29)</f>
        <v/>
      </c>
      <c r="F27" s="9">
        <f>IF(OR(C27="",D27=""),"",D27-C27)</f>
        <v/>
      </c>
      <c r="G27" s="101">
        <f>IF(OR(C27="",C27=0,D27=""),"",D27/C27-1)</f>
        <v/>
      </c>
      <c r="H27" s="102">
        <f>IF(G27="","",IF(G27&gt;0.05,"ALERTA",IF(G27&gt;0,"VIGILAR","OK")))</f>
        <v/>
      </c>
      <c r="I27" s="100" t="n"/>
      <c r="J27" s="87" t="n"/>
    </row>
    <row r="28" ht="19.95" customHeight="1" s="37">
      <c r="A28" s="6" t="n">
        <v>7</v>
      </c>
      <c r="B28" s="25" t="inlineStr">
        <is>
          <t>Otro</t>
        </is>
      </c>
      <c r="C28" s="8" t="n"/>
      <c r="D28" s="8" t="n"/>
      <c r="E28" s="101">
        <f>IF(OR(D28="",D29=0),"",D28/D29)</f>
        <v/>
      </c>
      <c r="F28" s="9">
        <f>IF(OR(C28="",D28=""),"",D28-C28)</f>
        <v/>
      </c>
      <c r="G28" s="101">
        <f>IF(OR(C28="",C28=0,D28=""),"",D28/C28-1)</f>
        <v/>
      </c>
      <c r="H28" s="102">
        <f>IF(G28="","",IF(G28&gt;0.05,"ALERTA",IF(G28&gt;0,"VIGILAR","OK")))</f>
        <v/>
      </c>
      <c r="I28" s="100" t="n"/>
      <c r="J28" s="87" t="n"/>
    </row>
    <row r="29">
      <c r="A29" s="39" t="inlineStr">
        <is>
          <t>TOTAL COSTO</t>
        </is>
      </c>
      <c r="B29" s="87" t="n"/>
      <c r="C29" s="89">
        <f>IF(COUNT(C22:C28)=0,"",SUM(C22:C28))</f>
        <v/>
      </c>
      <c r="D29" s="89">
        <f>SUM(D22:D28)</f>
        <v/>
      </c>
      <c r="E29" s="85">
        <f>IF(D29=0,"",1)</f>
        <v/>
      </c>
      <c r="F29" s="89">
        <f>IF(C29="","",SUMIF(C22:C28,"&lt;&gt;",D22:D28)-C29)</f>
        <v/>
      </c>
      <c r="G29" s="85">
        <f>IF(OR(C29="",C29=0),"",SUMIF(C22:C28,"&lt;&gt;",D22:D28)/C29-1)</f>
        <v/>
      </c>
      <c r="H29" s="31">
        <f>IF(G29="","",IF(G29&gt;0.05,"ALERTA",IF(G29&gt;0,"VIGILAR","OK")))</f>
        <v/>
      </c>
      <c r="I29" s="100" t="n"/>
      <c r="J29" s="87" t="n"/>
    </row>
    <row r="30"/>
    <row r="31" ht="15" customHeight="1" s="37">
      <c r="A31" s="43" t="inlineStr">
        <is>
          <t>4. RENTABILIDAD</t>
        </is>
      </c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87" t="n"/>
    </row>
    <row r="32" ht="18" customHeight="1" s="37">
      <c r="A32" s="25" t="inlineStr">
        <is>
          <t>Costo real a la fecha</t>
        </is>
      </c>
      <c r="B32" s="100" t="n"/>
      <c r="C32" s="87" t="n"/>
      <c r="D32" s="98">
        <f>D29</f>
        <v/>
      </c>
      <c r="F32" s="27" t="inlineStr">
        <is>
          <t>Costo estimado por terminar: lo que falta gastar para entregar la obra (lo estima el director de obra).
Utilidad proyectada = valor vigente del contrato − costo proyectado al cierre.
Semáforo de la rentabilidad:
  OK = el margen proyectado alcanza el margen objetivo.
  VIGILAR = hay utilidad, pero por debajo del margen objetivo.
  ALERTA = la obra termina sin utilidad (o con pérdida).
En el total solo se compara lo real de los tipos que tienen presupuesto.
En cada tipo de costo: OK si no supera lo presupuestado; VIGILAR hasta un 5 % más; ALERTA si lo supera en más del 5 %.</t>
        </is>
      </c>
      <c r="G32" s="50" t="n"/>
      <c r="H32" s="50" t="n"/>
      <c r="I32" s="50" t="n"/>
      <c r="J32" s="51" t="n"/>
    </row>
    <row r="33" ht="18" customHeight="1" s="37">
      <c r="A33" s="25" t="inlineStr">
        <is>
          <t>Utilidad a la fecha (facturado − costo)</t>
        </is>
      </c>
      <c r="B33" s="100" t="n"/>
      <c r="C33" s="87" t="n"/>
      <c r="D33" s="98">
        <f>IF(N(D17)=0,"",D17-D32)</f>
        <v/>
      </c>
      <c r="F33" s="52" t="n"/>
      <c r="J33" s="53" t="n"/>
    </row>
    <row r="34" ht="18" customHeight="1" s="37">
      <c r="A34" s="25" t="inlineStr">
        <is>
          <t>Margen a la fecha %</t>
        </is>
      </c>
      <c r="B34" s="100" t="n"/>
      <c r="C34" s="87" t="n"/>
      <c r="D34" s="99">
        <f>IF(N(D17)=0,"",D33/D17)</f>
        <v/>
      </c>
      <c r="F34" s="52" t="n"/>
      <c r="J34" s="53" t="n"/>
    </row>
    <row r="35" ht="18" customHeight="1" s="37">
      <c r="A35" s="25" t="inlineStr">
        <is>
          <t>% de avance físico de la obra</t>
        </is>
      </c>
      <c r="B35" s="100" t="n"/>
      <c r="C35" s="87" t="n"/>
      <c r="D35" s="48" t="n"/>
      <c r="F35" s="52" t="n"/>
      <c r="J35" s="53" t="n"/>
    </row>
    <row r="36" ht="18" customHeight="1" s="37">
      <c r="A36" s="25" t="inlineStr">
        <is>
          <t>Costo estimado por terminar</t>
        </is>
      </c>
      <c r="B36" s="100" t="n"/>
      <c r="C36" s="87" t="n"/>
      <c r="D36" s="47" t="n"/>
      <c r="F36" s="52" t="n"/>
      <c r="J36" s="53" t="n"/>
    </row>
    <row r="37" ht="18" customHeight="1" s="37">
      <c r="A37" s="25" t="inlineStr">
        <is>
          <t>Costo proyectado al cierre</t>
        </is>
      </c>
      <c r="B37" s="100" t="n"/>
      <c r="C37" s="87" t="n"/>
      <c r="D37" s="98">
        <f>IF(D36="","",D32+D36)</f>
        <v/>
      </c>
      <c r="F37" s="52" t="n"/>
      <c r="J37" s="53" t="n"/>
    </row>
    <row r="38" ht="18" customHeight="1" s="37">
      <c r="A38" s="25" t="inlineStr">
        <is>
          <t>Utilidad proyectada al cierre</t>
        </is>
      </c>
      <c r="B38" s="100" t="n"/>
      <c r="C38" s="87" t="n"/>
      <c r="D38" s="98">
        <f>IF(OR(D37="",N(D16)=0),"",D16-D37)</f>
        <v/>
      </c>
      <c r="F38" s="52" t="n"/>
      <c r="J38" s="53" t="n"/>
    </row>
    <row r="39" ht="18" customHeight="1" s="37">
      <c r="A39" s="25" t="inlineStr">
        <is>
          <t>Margen proyectado %</t>
        </is>
      </c>
      <c r="B39" s="100" t="n"/>
      <c r="C39" s="87" t="n"/>
      <c r="D39" s="99">
        <f>IF(D38="","",D38/D16)</f>
        <v/>
      </c>
      <c r="F39" s="52" t="n"/>
      <c r="J39" s="53" t="n"/>
    </row>
    <row r="40" ht="18" customHeight="1" s="37">
      <c r="A40" s="25" t="inlineStr">
        <is>
          <t>Margen objetivo %</t>
        </is>
      </c>
      <c r="B40" s="100" t="n"/>
      <c r="C40" s="87" t="n"/>
      <c r="D40" s="48" t="n"/>
      <c r="F40" s="52" t="n"/>
      <c r="J40" s="53" t="n"/>
    </row>
    <row r="41" ht="18" customHeight="1" s="37">
      <c r="A41" s="25" t="inlineStr">
        <is>
          <t>Estado de la rentabilidad</t>
        </is>
      </c>
      <c r="B41" s="100" t="n"/>
      <c r="C41" s="87" t="n"/>
      <c r="D41" s="103">
        <f>IF(D39="","",IF(D39&lt;=0,"ALERTA",IF(AND(D40&lt;&gt;"",D39&lt;D40),"VIGILAR","OK")))</f>
        <v/>
      </c>
      <c r="F41" s="54" t="n"/>
      <c r="G41" s="55" t="n"/>
      <c r="H41" s="55" t="n"/>
      <c r="I41" s="55" t="n"/>
      <c r="J41" s="56" t="n"/>
    </row>
    <row r="42"/>
    <row r="43" ht="15" customHeight="1" s="37">
      <c r="A43" s="43" t="inlineStr">
        <is>
          <t>FIRMAS</t>
        </is>
      </c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87" t="n"/>
    </row>
    <row r="44">
      <c r="A44" s="31" t="inlineStr">
        <is>
          <t>ELABORÓ — DIRECTOR DE OBRA</t>
        </is>
      </c>
      <c r="B44" s="100" t="n"/>
      <c r="C44" s="100" t="n"/>
      <c r="D44" s="100" t="n"/>
      <c r="E44" s="87" t="n"/>
      <c r="F44" s="31" t="inlineStr">
        <is>
          <t>REVISÓ — GERENCIA</t>
        </is>
      </c>
      <c r="G44" s="100" t="n"/>
      <c r="H44" s="100" t="n"/>
      <c r="I44" s="100" t="n"/>
      <c r="J44" s="87" t="n"/>
    </row>
    <row r="45" ht="15" customHeight="1" s="37">
      <c r="A45" s="25" t="inlineStr">
        <is>
          <t>Firma:</t>
        </is>
      </c>
      <c r="B45" s="100" t="n"/>
      <c r="C45" s="87" t="n"/>
      <c r="D45" s="27" t="n"/>
      <c r="E45" s="87" t="n"/>
      <c r="F45" s="25" t="inlineStr">
        <is>
          <t>Firma:</t>
        </is>
      </c>
      <c r="G45" s="100" t="n"/>
      <c r="H45" s="87" t="n"/>
      <c r="I45" s="27" t="n"/>
      <c r="J45" s="87" t="n"/>
    </row>
    <row r="46" ht="15" customHeight="1" s="37">
      <c r="A46" s="25" t="inlineStr">
        <is>
          <t>Nombre:</t>
        </is>
      </c>
      <c r="B46" s="100" t="n"/>
      <c r="C46" s="87" t="n"/>
      <c r="D46" s="27" t="n"/>
      <c r="E46" s="87" t="n"/>
      <c r="F46" s="25" t="inlineStr">
        <is>
          <t>Nombre:</t>
        </is>
      </c>
      <c r="G46" s="100" t="n"/>
      <c r="H46" s="87" t="n"/>
      <c r="I46" s="27" t="n"/>
      <c r="J46" s="87" t="n"/>
    </row>
    <row r="47" ht="15" customHeight="1" s="37">
      <c r="A47" s="25" t="inlineStr">
        <is>
          <t>Cargo:</t>
        </is>
      </c>
      <c r="B47" s="100" t="n"/>
      <c r="C47" s="87" t="n"/>
      <c r="D47" s="27" t="n"/>
      <c r="E47" s="87" t="n"/>
      <c r="F47" s="25" t="inlineStr">
        <is>
          <t>Cargo:</t>
        </is>
      </c>
      <c r="G47" s="100" t="n"/>
      <c r="H47" s="87" t="n"/>
      <c r="I47" s="27" t="n"/>
      <c r="J47" s="87" t="n"/>
    </row>
  </sheetData>
  <mergeCells count="71">
    <mergeCell ref="F44:J44"/>
    <mergeCell ref="A41:C41"/>
    <mergeCell ref="D10:E10"/>
    <mergeCell ref="A8:J8"/>
    <mergeCell ref="A46:C46"/>
    <mergeCell ref="I46:J46"/>
    <mergeCell ref="F45:H45"/>
    <mergeCell ref="A37:C37"/>
    <mergeCell ref="C6:G6"/>
    <mergeCell ref="I11:J11"/>
    <mergeCell ref="A18:C18"/>
    <mergeCell ref="C5:G5"/>
    <mergeCell ref="D46:E46"/>
    <mergeCell ref="I45:J45"/>
    <mergeCell ref="A43:J43"/>
    <mergeCell ref="A20:J20"/>
    <mergeCell ref="H4:I4"/>
    <mergeCell ref="A12:C12"/>
    <mergeCell ref="D45:E45"/>
    <mergeCell ref="F47:H47"/>
    <mergeCell ref="A13:J13"/>
    <mergeCell ref="C4:G4"/>
    <mergeCell ref="F46:H46"/>
    <mergeCell ref="A33:C33"/>
    <mergeCell ref="A31:J31"/>
    <mergeCell ref="A47:C47"/>
    <mergeCell ref="I47:J47"/>
    <mergeCell ref="H28:J28"/>
    <mergeCell ref="A32:C32"/>
    <mergeCell ref="H22:J22"/>
    <mergeCell ref="A14:C14"/>
    <mergeCell ref="D11:E11"/>
    <mergeCell ref="A9:J9"/>
    <mergeCell ref="H27:J27"/>
    <mergeCell ref="A17:C17"/>
    <mergeCell ref="H6:I6"/>
    <mergeCell ref="C1:J1"/>
    <mergeCell ref="F32:J41"/>
    <mergeCell ref="A35:C35"/>
    <mergeCell ref="H3:J3"/>
    <mergeCell ref="A38:C38"/>
    <mergeCell ref="A10:C10"/>
    <mergeCell ref="D47:E47"/>
    <mergeCell ref="I12:J12"/>
    <mergeCell ref="H24:J24"/>
    <mergeCell ref="A16:C16"/>
    <mergeCell ref="H7:I7"/>
    <mergeCell ref="H23:J23"/>
    <mergeCell ref="C2:J2"/>
    <mergeCell ref="A40:C40"/>
    <mergeCell ref="H21:J21"/>
    <mergeCell ref="A39:C39"/>
    <mergeCell ref="A34:C34"/>
    <mergeCell ref="H26:J26"/>
    <mergeCell ref="A15:C15"/>
    <mergeCell ref="H29:J29"/>
    <mergeCell ref="F11:H11"/>
    <mergeCell ref="D12:E12"/>
    <mergeCell ref="F10:H10"/>
    <mergeCell ref="C7:G7"/>
    <mergeCell ref="A36:C36"/>
    <mergeCell ref="A11:C11"/>
    <mergeCell ref="A29:B29"/>
    <mergeCell ref="A45:C45"/>
    <mergeCell ref="I10:J10"/>
    <mergeCell ref="H5:I5"/>
    <mergeCell ref="F12:H12"/>
    <mergeCell ref="A44:E44"/>
    <mergeCell ref="H25:J25"/>
    <mergeCell ref="F14:J18"/>
    <mergeCell ref="C3:G3"/>
  </mergeCells>
  <pageMargins left="0.4" right="0.4" top="0.4" bottom="0.6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2026-10-09T06:58:57Z</dcterms:modified>
  <cp:lastModifiedBy>Hugo Fernando Hurtado Ruiz</cp:lastModifiedBy>
</cp:coreProperties>
</file>