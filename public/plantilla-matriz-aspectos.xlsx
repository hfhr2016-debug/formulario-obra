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utoFilterDateGrouping="1"/>
  </bookViews>
  <sheets>
    <sheet xmlns:r="http://schemas.openxmlformats.org/officeDocument/2006/relationships" name="Matriz Aspectos e Impact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theme="0"/>
        <bgColor rgb="FF40AD03"/>
      </patternFill>
    </fill>
  </fills>
  <borders count="2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/>
      <right/>
      <top/>
      <bottom style="thin">
        <color rgb="FF0B1F33"/>
      </bottom>
      <diagonal/>
    </border>
    <border>
      <left/>
      <right style="thin">
        <color rgb="FF9AA3B2"/>
      </right>
      <top/>
      <bottom style="thin">
        <color rgb="FF0B1F33"/>
      </bottom>
      <diagonal/>
    </border>
    <border>
      <left style="thin">
        <color rgb="FF9AA3B2"/>
      </left>
      <right/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9AA3B2"/>
      </bottom>
      <diagonal/>
    </border>
    <border>
      <left/>
      <right style="thin">
        <color rgb="FF9AA3B2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84">
    <xf numFmtId="0" fontId="0" fillId="0" borderId="0" pivotButton="0" quotePrefix="0" xfId="0"/>
    <xf numFmtId="9" fontId="6" fillId="0" borderId="6" applyAlignment="1" pivotButton="0" quotePrefix="0" xfId="3">
      <alignment horizontal="center" vertical="center" wrapText="1"/>
    </xf>
    <xf numFmtId="0" fontId="15" fillId="0" borderId="0" pivotButton="0" quotePrefix="0" xfId="3"/>
    <xf numFmtId="0" fontId="6" fillId="0" borderId="6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center" vertical="center"/>
    </xf>
    <xf numFmtId="0" fontId="9" fillId="5" borderId="6" applyAlignment="1" pivotButton="0" quotePrefix="0" xfId="3">
      <alignment horizontal="left" vertical="center"/>
    </xf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 wrapText="1"/>
    </xf>
    <xf numFmtId="0" fontId="13" fillId="0" borderId="10" applyAlignment="1" pivotButton="0" quotePrefix="0" xfId="3">
      <alignment horizontal="center" vertical="center" wrapText="1"/>
    </xf>
    <xf numFmtId="14" fontId="13" fillId="0" borderId="10" applyAlignment="1" pivotButton="0" quotePrefix="0" xfId="3">
      <alignment horizontal="center" vertical="center"/>
    </xf>
    <xf numFmtId="0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2" fontId="5" fillId="4" borderId="6" applyAlignment="1" pivotButton="0" quotePrefix="0" xfId="3">
      <alignment horizontal="center" vertical="center"/>
    </xf>
    <xf numFmtId="0" fontId="12" fillId="5" borderId="10" applyAlignment="1" pivotButton="0" quotePrefix="0" xfId="3">
      <alignment horizontal="left" vertical="center" wrapText="1"/>
    </xf>
    <xf numFmtId="0" fontId="0" fillId="0" borderId="12" pivotButton="0" quotePrefix="0" xfId="0"/>
    <xf numFmtId="0" fontId="6" fillId="0" borderId="6" applyAlignment="1" pivotButton="0" quotePrefix="0" xfId="3">
      <alignment horizontal="center" vertical="center"/>
    </xf>
    <xf numFmtId="0" fontId="0" fillId="0" borderId="7" pivotButton="0" quotePrefix="0" xfId="0"/>
    <xf numFmtId="0" fontId="6" fillId="0" borderId="10" applyAlignment="1" pivotButton="0" quotePrefix="0" xfId="3">
      <alignment horizontal="left" vertical="center" wrapText="1"/>
    </xf>
    <xf numFmtId="0" fontId="0" fillId="0" borderId="3" pivotButton="0" quotePrefix="0" xfId="0"/>
    <xf numFmtId="0" fontId="9" fillId="5" borderId="6" applyAlignment="1" pivotButton="0" quotePrefix="0" xfId="3">
      <alignment horizontal="left" vertical="center" wrapText="1"/>
    </xf>
    <xf numFmtId="0" fontId="12" fillId="6" borderId="15" applyAlignment="1" pivotButton="0" quotePrefix="0" xfId="3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4" fillId="0" borderId="6" applyAlignment="1" pivotButton="0" quotePrefix="0" xfId="3">
      <alignment horizontal="left" vertical="center" wrapText="1" indent="1"/>
    </xf>
    <xf numFmtId="0" fontId="0" fillId="0" borderId="13" pivotButton="0" quotePrefix="0" xfId="0"/>
    <xf numFmtId="0" fontId="6" fillId="0" borderId="6" applyAlignment="1" pivotButton="0" quotePrefix="0" xfId="3">
      <alignment horizontal="left" vertical="center" wrapText="1"/>
    </xf>
    <xf numFmtId="0" fontId="4" fillId="4" borderId="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3" fillId="4" borderId="10" applyAlignment="1" pivotButton="0" quotePrefix="0" xfId="3">
      <alignment horizontal="left" vertical="center" indent="1"/>
    </xf>
    <xf numFmtId="14" fontId="6" fillId="0" borderId="6" applyAlignment="1" pivotButton="0" quotePrefix="0" xfId="3">
      <alignment horizontal="center" vertical="center" wrapText="1"/>
    </xf>
    <xf numFmtId="0" fontId="4" fillId="2" borderId="4" applyAlignment="1" pivotButton="0" quotePrefix="0" xfId="3">
      <alignment horizontal="center" vertical="center"/>
    </xf>
    <xf numFmtId="0" fontId="0" fillId="0" borderId="4" pivotButton="0" quotePrefix="0" xfId="0"/>
    <xf numFmtId="0" fontId="8" fillId="3" borderId="14" applyAlignment="1" pivotButton="0" quotePrefix="0" xfId="3">
      <alignment horizontal="center" vertical="center"/>
    </xf>
    <xf numFmtId="0" fontId="0" fillId="0" borderId="5" pivotButton="0" quotePrefix="0" xfId="0"/>
    <xf numFmtId="0" fontId="7" fillId="4" borderId="6" applyAlignment="1" pivotButton="0" quotePrefix="0" xfId="3">
      <alignment horizontal="center" vertical="center"/>
    </xf>
    <xf numFmtId="0" fontId="11" fillId="6" borderId="15" applyAlignment="1" pivotButton="0" quotePrefix="0" xfId="3">
      <alignment horizontal="center" vertical="center" wrapText="1"/>
    </xf>
    <xf numFmtId="0" fontId="15" fillId="0" borderId="0" applyAlignment="1" pivotButton="0" quotePrefix="0" xfId="3">
      <alignment horizontal="right"/>
    </xf>
    <xf numFmtId="0" fontId="6" fillId="0" borderId="6" applyAlignment="1" pivotButton="0" quotePrefix="0" xfId="3">
      <alignment horizontal="center" vertical="center" wrapText="1"/>
    </xf>
    <xf numFmtId="0" fontId="10" fillId="3" borderId="14" applyAlignment="1" pivotButton="0" quotePrefix="0" xfId="3">
      <alignment horizontal="center" vertical="center"/>
    </xf>
    <xf numFmtId="0" fontId="13" fillId="0" borderId="10" applyAlignment="1" pivotButton="0" quotePrefix="0" xfId="3">
      <alignment horizontal="left" vertical="center" wrapText="1" indent="1"/>
    </xf>
    <xf numFmtId="0" fontId="13" fillId="0" borderId="10" applyAlignment="1" pivotButton="0" quotePrefix="0" xfId="3">
      <alignment horizontal="left" vertical="center" shrinkToFit="1" indent="1"/>
    </xf>
    <xf numFmtId="0" fontId="13" fillId="0" borderId="10" applyAlignment="1" pivotButton="0" quotePrefix="0" xfId="3">
      <alignment horizontal="center" vertical="center"/>
    </xf>
    <xf numFmtId="0" fontId="12" fillId="6" borderId="15" applyAlignment="1" pivotButton="0" quotePrefix="0" xfId="3">
      <alignment horizontal="center" vertical="center" wrapText="1"/>
    </xf>
    <xf numFmtId="0" fontId="6" fillId="0" borderId="6" applyAlignment="1" pivotButton="0" quotePrefix="0" xfId="3">
      <alignment horizontal="left" vertical="top" wrapText="1"/>
    </xf>
    <xf numFmtId="0" fontId="9" fillId="5" borderId="6" applyAlignment="1" pivotButton="0" quotePrefix="0" xfId="3">
      <alignment horizontal="left" vertical="center" indent="1"/>
    </xf>
    <xf numFmtId="14" fontId="13" fillId="0" borderId="10" applyAlignment="1" pivotButton="0" quotePrefix="0" xfId="3">
      <alignment horizontal="center" vertical="center"/>
    </xf>
    <xf numFmtId="0" fontId="5" fillId="4" borderId="6" applyAlignment="1" pivotButton="0" quotePrefix="0" xfId="3">
      <alignment horizontal="center" vertical="center"/>
    </xf>
    <xf numFmtId="9" fontId="5" fillId="4" borderId="6" applyAlignment="1" pivotButton="0" quotePrefix="0" xfId="3">
      <alignment horizontal="center" vertical="center"/>
    </xf>
    <xf numFmtId="0" fontId="8" fillId="3" borderId="1" applyAlignment="1" pivotButton="0" quotePrefix="0" xfId="3">
      <alignment horizontal="center" vertical="center"/>
    </xf>
    <xf numFmtId="0" fontId="8" fillId="3" borderId="0" applyAlignment="1" pivotButton="0" quotePrefix="0" xfId="3">
      <alignment horizontal="center" vertical="center"/>
    </xf>
    <xf numFmtId="0" fontId="8" fillId="3" borderId="5" applyAlignment="1" pivotButton="0" quotePrefix="0" xfId="3">
      <alignment horizontal="center" vertical="center"/>
    </xf>
    <xf numFmtId="0" fontId="10" fillId="3" borderId="1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0" fillId="3" borderId="19" applyAlignment="1" pivotButton="0" quotePrefix="0" xfId="3">
      <alignment horizontal="center" vertical="center"/>
    </xf>
    <xf numFmtId="0" fontId="10" fillId="3" borderId="20" applyAlignment="1" pivotButton="0" quotePrefix="0" xfId="3">
      <alignment horizontal="center" vertical="center"/>
    </xf>
    <xf numFmtId="0" fontId="7" fillId="4" borderId="8" applyAlignment="1" pivotButton="0" quotePrefix="0" xfId="3">
      <alignment horizontal="center" vertical="center"/>
    </xf>
    <xf numFmtId="0" fontId="7" fillId="4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left" vertical="center" wrapText="1"/>
    </xf>
    <xf numFmtId="0" fontId="7" fillId="7" borderId="0" applyAlignment="1" pivotButton="0" quotePrefix="0" xfId="3">
      <alignment vertical="center"/>
    </xf>
    <xf numFmtId="0" fontId="7" fillId="7" borderId="5" applyAlignment="1" pivotButton="0" quotePrefix="0" xfId="3">
      <alignment vertical="center"/>
    </xf>
    <xf numFmtId="0" fontId="12" fillId="6" borderId="18" applyAlignment="1" pivotButton="0" quotePrefix="0" xfId="3">
      <alignment horizontal="center" vertical="center" wrapText="1"/>
    </xf>
    <xf numFmtId="0" fontId="12" fillId="6" borderId="17" applyAlignment="1" pivotButton="0" quotePrefix="0" xfId="3">
      <alignment horizontal="center" vertical="center" wrapText="1"/>
    </xf>
    <xf numFmtId="0" fontId="13" fillId="0" borderId="21" applyAlignment="1" pivotButton="0" quotePrefix="0" xfId="3">
      <alignment horizontal="left" vertical="center" wrapText="1" indent="1"/>
    </xf>
    <xf numFmtId="0" fontId="13" fillId="0" borderId="22" applyAlignment="1" pivotButton="0" quotePrefix="0" xfId="3">
      <alignment horizontal="left" vertical="center" wrapText="1" indent="1"/>
    </xf>
    <xf numFmtId="0" fontId="13" fillId="0" borderId="8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left" vertical="center" wrapText="1" indent="1"/>
    </xf>
    <xf numFmtId="0" fontId="0" fillId="0" borderId="11" pivotButton="0" quotePrefix="0" xfId="0"/>
    <xf numFmtId="0" fontId="6" fillId="0" borderId="6" applyAlignment="1" pivotButton="0" quotePrefix="0" xfId="3">
      <alignment horizontal="left" vertical="center" wrapText="1" indent="1"/>
    </xf>
    <xf numFmtId="0" fontId="16" fillId="0" borderId="13" pivotButton="0" quotePrefix="0" xfId="0"/>
    <xf numFmtId="0" fontId="16" fillId="0" borderId="7" pivotButton="0" quotePrefix="0" xfId="0"/>
    <xf numFmtId="0" fontId="0" fillId="0" borderId="19" pivotButton="0" quotePrefix="0" xfId="0"/>
    <xf numFmtId="0" fontId="0" fillId="0" borderId="20" pivotButton="0" quotePrefix="0" xfId="0"/>
    <xf numFmtId="0" fontId="13" fillId="0" borderId="25" applyAlignment="1" pivotButton="0" quotePrefix="0" xfId="3">
      <alignment horizontal="left" vertical="center" wrapText="1" indent="1"/>
    </xf>
    <xf numFmtId="0" fontId="0" fillId="0" borderId="22" pivotButton="0" quotePrefix="0" xfId="0"/>
    <xf numFmtId="0" fontId="13" fillId="0" borderId="6" applyAlignment="1" pivotButton="0" quotePrefix="0" xfId="3">
      <alignment horizontal="left" vertical="center" wrapText="1" inden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35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1626608</xdr:colOff>
      <xdr:row>6</xdr:row>
      <xdr:rowOff>154557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276000" cy="1476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Q33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33" min="1" max="1"/>
    <col width="19" customWidth="1" style="33" min="2" max="2"/>
    <col width="24" customWidth="1" style="33" min="3" max="3"/>
    <col width="26" customWidth="1" style="33" min="4" max="4"/>
    <col width="12.77734375" customWidth="1" style="33" min="5" max="12"/>
    <col width="25.77734375" customWidth="1" style="33" min="13" max="13"/>
    <col width="30" customWidth="1" style="33" min="14" max="14"/>
    <col width="20.77734375" customWidth="1" style="33" min="15" max="16"/>
  </cols>
  <sheetData>
    <row r="1" ht="40.05" customHeight="1" s="33">
      <c r="D1" s="32" t="inlineStr">
        <is>
          <t>MATRIZ DE ASPECTOS E IMPACTOS AMBIENTALES</t>
        </is>
      </c>
    </row>
    <row r="2" ht="14.4" customHeight="1" s="33">
      <c r="D2" s="3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4.95" customHeight="1" s="33">
      <c r="D3" s="37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</row>
    <row r="4" ht="15" customHeight="1" s="33">
      <c r="D4" s="68" t="n"/>
      <c r="N4" s="40" t="n"/>
      <c r="O4" s="64" t="inlineStr">
        <is>
          <t>CONTROL DOCUMENTAL</t>
        </is>
      </c>
      <c r="P4" s="30" t="n"/>
    </row>
    <row r="5" ht="15" customHeight="1" s="33">
      <c r="D5" s="39" t="inlineStr">
        <is>
          <t>REFORMAS Y REMODELACIONES</t>
        </is>
      </c>
      <c r="N5" s="40" t="n"/>
      <c r="O5" s="11" t="inlineStr">
        <is>
          <t>Código</t>
        </is>
      </c>
      <c r="P5" s="21" t="inlineStr">
        <is>
          <t>RYR-AM-013</t>
        </is>
      </c>
    </row>
    <row r="6" ht="15" customHeight="1" s="33">
      <c r="D6" s="45" t="inlineStr">
        <is>
          <t>DISEÑAMOS, RENOVAMOS Y CONSTRUIMOS ESPACIOS QUE INSPIRAN.</t>
        </is>
      </c>
      <c r="N6" s="40" t="n"/>
      <c r="O6" s="11" t="inlineStr">
        <is>
          <t>Versión</t>
        </is>
      </c>
      <c r="P6" s="21" t="n">
        <v>1</v>
      </c>
    </row>
    <row r="7" ht="15" customHeight="1" s="33">
      <c r="D7" s="60" t="n"/>
      <c r="N7" s="40" t="n"/>
      <c r="O7" s="11" t="inlineStr">
        <is>
          <t>Fecha de Emisión</t>
        </is>
      </c>
      <c r="P7" s="21" t="inlineStr">
        <is>
          <t>08/10/2026</t>
        </is>
      </c>
    </row>
    <row r="8" ht="15" customHeight="1" s="33">
      <c r="D8" s="63" t="n"/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80" t="n"/>
      <c r="O8" s="11" t="inlineStr">
        <is>
          <t>Página</t>
        </is>
      </c>
      <c r="P8" s="21" t="inlineStr">
        <is>
          <t>1 de 1</t>
        </is>
      </c>
    </row>
    <row r="9" ht="15" customHeight="1" s="33">
      <c r="A9" s="42" t="inlineStr">
        <is>
          <t>Identificación y valoración de aspectos e impactos ambientales de las actividades de la obra · Decreto 1076 de 2015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 t="n"/>
    </row>
    <row r="10" ht="16.5" customHeight="1" s="33">
      <c r="A10" s="35" t="inlineStr">
        <is>
          <t>1. DATOS GENERALES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0" t="n"/>
    </row>
    <row r="11" ht="21" customHeight="1" s="33">
      <c r="A11" s="25" t="inlineStr">
        <is>
          <t>Proyecto / Obra</t>
        </is>
      </c>
      <c r="B11" s="22" t="n"/>
      <c r="C11" s="31" t="n"/>
      <c r="D11" s="30" t="n"/>
      <c r="E11" s="30" t="n"/>
      <c r="F11" s="30" t="n"/>
      <c r="G11" s="22" t="n"/>
      <c r="H11" s="25" t="inlineStr">
        <is>
          <t>Ubicación</t>
        </is>
      </c>
      <c r="I11" s="30" t="n"/>
      <c r="J11" s="22" t="n"/>
      <c r="K11" s="31" t="n"/>
      <c r="L11" s="30" t="n"/>
      <c r="M11" s="30" t="n"/>
      <c r="N11" s="30" t="n"/>
      <c r="O11" s="30" t="n"/>
      <c r="P11" s="22" t="n"/>
    </row>
    <row r="12" ht="21" customHeight="1" s="33">
      <c r="A12" s="25" t="inlineStr">
        <is>
          <t>Contratista / Empresa</t>
        </is>
      </c>
      <c r="B12" s="22" t="n"/>
      <c r="C12" s="31" t="n"/>
      <c r="D12" s="30" t="n"/>
      <c r="E12" s="30" t="n"/>
      <c r="F12" s="30" t="n"/>
      <c r="G12" s="22" t="n"/>
      <c r="H12" s="25" t="inlineStr">
        <is>
          <t>Elaboró</t>
        </is>
      </c>
      <c r="I12" s="30" t="n"/>
      <c r="J12" s="22" t="n"/>
      <c r="K12" s="31" t="n"/>
      <c r="L12" s="30" t="n"/>
      <c r="M12" s="30" t="n"/>
      <c r="N12" s="30" t="n"/>
      <c r="O12" s="30" t="n"/>
      <c r="P12" s="22" t="n"/>
    </row>
    <row r="13" ht="21" customHeight="1" s="33">
      <c r="A13" s="25" t="inlineStr">
        <is>
          <t>Fecha de elaboración</t>
        </is>
      </c>
      <c r="B13" s="22" t="n"/>
      <c r="C13" s="36" t="n"/>
      <c r="D13" s="22" t="n"/>
      <c r="E13" s="25" t="inlineStr">
        <is>
          <t>Última actualización</t>
        </is>
      </c>
      <c r="F13" s="22" t="n"/>
      <c r="G13" s="36" t="n"/>
      <c r="H13" s="22" t="n"/>
      <c r="I13" s="25" t="inlineStr">
        <is>
          <t>Versión</t>
        </is>
      </c>
      <c r="J13" s="22" t="n"/>
      <c r="K13" s="44" t="n"/>
      <c r="L13" s="22" t="n"/>
      <c r="M13" s="75" t="n"/>
      <c r="N13" s="38" t="n"/>
      <c r="O13" s="38" t="n"/>
      <c r="P13" s="5" t="n"/>
    </row>
    <row r="14" ht="16.5" customHeight="1" s="33">
      <c r="A14" s="35" t="inlineStr">
        <is>
          <t>2. VALORACIÓN DE ASPECTOS E IMPACTOS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0" t="n"/>
    </row>
    <row r="15" ht="34.05" customHeight="1" s="33">
      <c r="A15" s="49" t="inlineStr">
        <is>
          <t>No.</t>
        </is>
      </c>
      <c r="B15" s="49" t="inlineStr">
        <is>
          <t>Proceso o actividad</t>
        </is>
      </c>
      <c r="C15" s="49" t="inlineStr">
        <is>
          <t>Aspecto ambiental</t>
        </is>
      </c>
      <c r="D15" s="49" t="inlineStr">
        <is>
          <t>Impacto ambiental</t>
        </is>
      </c>
      <c r="E15" s="49" t="inlineStr">
        <is>
          <t>Medio afectado</t>
        </is>
      </c>
      <c r="F15" s="49" t="inlineStr">
        <is>
          <t>Condición</t>
        </is>
      </c>
      <c r="G15" s="49" t="inlineStr">
        <is>
          <t>Tipo de impacto</t>
        </is>
      </c>
      <c r="H15" s="49" t="inlineStr">
        <is>
          <t>Frecuencia (1-5)</t>
        </is>
      </c>
      <c r="I15" s="49" t="inlineStr">
        <is>
          <t>Severidad (1-5)</t>
        </is>
      </c>
      <c r="J15" s="49" t="inlineStr">
        <is>
          <t>Valor</t>
        </is>
      </c>
      <c r="K15" s="49" t="inlineStr">
        <is>
          <t>Nivel</t>
        </is>
      </c>
      <c r="L15" s="49" t="inlineStr">
        <is>
          <t>¿Significativo?</t>
        </is>
      </c>
      <c r="M15" s="49" t="inlineStr">
        <is>
          <t>Requisito legal</t>
        </is>
      </c>
      <c r="N15" s="49" t="inlineStr">
        <is>
          <t>Control o medida de manejo</t>
        </is>
      </c>
      <c r="O15" s="49" t="inlineStr">
        <is>
          <t>Responsable</t>
        </is>
      </c>
      <c r="P15" s="28" t="n"/>
    </row>
    <row r="16" ht="36" customHeight="1" s="33">
      <c r="A16" s="48" t="n">
        <v>1</v>
      </c>
      <c r="B16" s="46" t="n"/>
      <c r="C16" s="46" t="n"/>
      <c r="D16" s="46" t="n"/>
      <c r="E16" s="14" t="n"/>
      <c r="F16" s="48" t="n"/>
      <c r="G16" s="48" t="n"/>
      <c r="H16" s="48" t="n"/>
      <c r="I16" s="48" t="n"/>
      <c r="J16" s="48">
        <f>IF(OR(H16="",I16=""),"",VALUE(H16)*VALUE(I16))</f>
        <v/>
      </c>
      <c r="K16" s="48">
        <f>IF(J16="","",IF(J16&gt;=15,"Alto",IF(J16&gt;=8,"Medio","Bajo")))</f>
        <v/>
      </c>
      <c r="L16" s="48">
        <f>IF(J16="","",IF(G16="Positivo","Positivo",IF(OR(K16="Alto",F16="Emergencia"),"Sí","No")))</f>
        <v/>
      </c>
      <c r="M16" s="46" t="n"/>
      <c r="N16" s="46" t="n"/>
      <c r="O16" s="81" t="n"/>
      <c r="P16" s="82" t="n"/>
    </row>
    <row r="17" ht="36" customHeight="1" s="33">
      <c r="A17" s="48" t="n">
        <v>2</v>
      </c>
      <c r="B17" s="46" t="n"/>
      <c r="C17" s="46" t="n"/>
      <c r="D17" s="46" t="n"/>
      <c r="E17" s="14" t="n"/>
      <c r="F17" s="48" t="n"/>
      <c r="G17" s="48" t="n"/>
      <c r="H17" s="48" t="n"/>
      <c r="I17" s="48" t="n"/>
      <c r="J17" s="48">
        <f>IF(OR(H17="",I17=""),"",VALUE(H17)*VALUE(I17))</f>
        <v/>
      </c>
      <c r="K17" s="48">
        <f>IF(J17="","",IF(J17&gt;=15,"Alto",IF(J17&gt;=8,"Medio","Bajo")))</f>
        <v/>
      </c>
      <c r="L17" s="48">
        <f>IF(J17="","",IF(G17="Positivo","Positivo",IF(OR(K17="Alto",F17="Emergencia"),"Sí","No")))</f>
        <v/>
      </c>
      <c r="M17" s="46" t="n"/>
      <c r="N17" s="46" t="n"/>
      <c r="O17" s="83" t="n"/>
      <c r="P17" s="22" t="n"/>
    </row>
    <row r="18" ht="36" customHeight="1" s="33">
      <c r="A18" s="48" t="n">
        <v>3</v>
      </c>
      <c r="B18" s="46" t="n"/>
      <c r="C18" s="46" t="n"/>
      <c r="D18" s="46" t="n"/>
      <c r="E18" s="14" t="n"/>
      <c r="F18" s="48" t="n"/>
      <c r="G18" s="48" t="n"/>
      <c r="H18" s="48" t="n"/>
      <c r="I18" s="48" t="n"/>
      <c r="J18" s="48">
        <f>IF(OR(H18="",I18=""),"",VALUE(H18)*VALUE(I18))</f>
        <v/>
      </c>
      <c r="K18" s="48">
        <f>IF(J18="","",IF(J18&gt;=15,"Alto",IF(J18&gt;=8,"Medio","Bajo")))</f>
        <v/>
      </c>
      <c r="L18" s="48">
        <f>IF(J18="","",IF(G18="Positivo","Positivo",IF(OR(K18="Alto",F18="Emergencia"),"Sí","No")))</f>
        <v/>
      </c>
      <c r="M18" s="46" t="n"/>
      <c r="N18" s="46" t="n"/>
      <c r="O18" s="83" t="n"/>
      <c r="P18" s="22" t="n"/>
    </row>
    <row r="19" ht="36" customHeight="1" s="33">
      <c r="A19" s="48" t="n">
        <v>4</v>
      </c>
      <c r="B19" s="46" t="n"/>
      <c r="C19" s="46" t="n"/>
      <c r="D19" s="46" t="n"/>
      <c r="E19" s="14" t="n"/>
      <c r="F19" s="48" t="n"/>
      <c r="G19" s="48" t="n"/>
      <c r="H19" s="48" t="n"/>
      <c r="I19" s="48" t="n"/>
      <c r="J19" s="48">
        <f>IF(OR(H19="",I19=""),"",VALUE(H19)*VALUE(I19))</f>
        <v/>
      </c>
      <c r="K19" s="48">
        <f>IF(J19="","",IF(J19&gt;=15,"Alto",IF(J19&gt;=8,"Medio","Bajo")))</f>
        <v/>
      </c>
      <c r="L19" s="48">
        <f>IF(J19="","",IF(G19="Positivo","Positivo",IF(OR(K19="Alto",F19="Emergencia"),"Sí","No")))</f>
        <v/>
      </c>
      <c r="M19" s="46" t="n"/>
      <c r="N19" s="46" t="n"/>
      <c r="O19" s="83" t="n"/>
      <c r="P19" s="22" t="n"/>
    </row>
    <row r="20" ht="36" customHeight="1" s="33">
      <c r="A20" s="48" t="n">
        <v>5</v>
      </c>
      <c r="B20" s="46" t="n"/>
      <c r="C20" s="46" t="n"/>
      <c r="D20" s="46" t="n"/>
      <c r="E20" s="14" t="n"/>
      <c r="F20" s="48" t="n"/>
      <c r="G20" s="48" t="n"/>
      <c r="H20" s="48" t="n"/>
      <c r="I20" s="48" t="n"/>
      <c r="J20" s="48">
        <f>IF(OR(H20="",I20=""),"",VALUE(H20)*VALUE(I20))</f>
        <v/>
      </c>
      <c r="K20" s="48">
        <f>IF(J20="","",IF(J20&gt;=15,"Alto",IF(J20&gt;=8,"Medio","Bajo")))</f>
        <v/>
      </c>
      <c r="L20" s="48">
        <f>IF(J20="","",IF(G20="Positivo","Positivo",IF(OR(K20="Alto",F20="Emergencia"),"Sí","No")))</f>
        <v/>
      </c>
      <c r="M20" s="46" t="n"/>
      <c r="N20" s="46" t="n"/>
      <c r="O20" s="83" t="n"/>
      <c r="P20" s="22" t="n"/>
    </row>
    <row r="21" ht="36" customHeight="1" s="33">
      <c r="A21" s="48" t="n">
        <v>6</v>
      </c>
      <c r="B21" s="46" t="n"/>
      <c r="C21" s="46" t="n"/>
      <c r="D21" s="46" t="n"/>
      <c r="E21" s="14" t="n"/>
      <c r="F21" s="48" t="n"/>
      <c r="G21" s="48" t="n"/>
      <c r="H21" s="48" t="n"/>
      <c r="I21" s="48" t="n"/>
      <c r="J21" s="48">
        <f>IF(OR(H21="",I21=""),"",VALUE(H21)*VALUE(I21))</f>
        <v/>
      </c>
      <c r="K21" s="48">
        <f>IF(J21="","",IF(J21&gt;=15,"Alto",IF(J21&gt;=8,"Medio","Bajo")))</f>
        <v/>
      </c>
      <c r="L21" s="48">
        <f>IF(J21="","",IF(G21="Positivo","Positivo",IF(OR(K21="Alto",F21="Emergencia"),"Sí","No")))</f>
        <v/>
      </c>
      <c r="M21" s="46" t="n"/>
      <c r="N21" s="46" t="n"/>
      <c r="O21" s="83" t="n"/>
      <c r="P21" s="22" t="n"/>
    </row>
    <row r="22" ht="36" customHeight="1" s="33">
      <c r="A22" s="48" t="n">
        <v>7</v>
      </c>
      <c r="B22" s="46" t="n"/>
      <c r="C22" s="46" t="n"/>
      <c r="D22" s="46" t="n"/>
      <c r="E22" s="14" t="n"/>
      <c r="F22" s="48" t="n"/>
      <c r="G22" s="48" t="n"/>
      <c r="H22" s="48" t="n"/>
      <c r="I22" s="48" t="n"/>
      <c r="J22" s="48">
        <f>IF(OR(H22="",I22=""),"",VALUE(H22)*VALUE(I22))</f>
        <v/>
      </c>
      <c r="K22" s="48">
        <f>IF(J22="","",IF(J22&gt;=15,"Alto",IF(J22&gt;=8,"Medio","Bajo")))</f>
        <v/>
      </c>
      <c r="L22" s="48">
        <f>IF(J22="","",IF(G22="Positivo","Positivo",IF(OR(K22="Alto",F22="Emergencia"),"Sí","No")))</f>
        <v/>
      </c>
      <c r="M22" s="46" t="n"/>
      <c r="N22" s="46" t="n"/>
      <c r="O22" s="83" t="n"/>
      <c r="P22" s="22" t="n"/>
    </row>
    <row r="23" ht="36" customHeight="1" s="33">
      <c r="A23" s="48" t="n">
        <v>8</v>
      </c>
      <c r="B23" s="46" t="n"/>
      <c r="C23" s="46" t="n"/>
      <c r="D23" s="46" t="n"/>
      <c r="E23" s="14" t="n"/>
      <c r="F23" s="48" t="n"/>
      <c r="G23" s="48" t="n"/>
      <c r="H23" s="48" t="n"/>
      <c r="I23" s="48" t="n"/>
      <c r="J23" s="48">
        <f>IF(OR(H23="",I23=""),"",VALUE(H23)*VALUE(I23))</f>
        <v/>
      </c>
      <c r="K23" s="48">
        <f>IF(J23="","",IF(J23&gt;=15,"Alto",IF(J23&gt;=8,"Medio","Bajo")))</f>
        <v/>
      </c>
      <c r="L23" s="48">
        <f>IF(J23="","",IF(G23="Positivo","Positivo",IF(OR(K23="Alto",F23="Emergencia"),"Sí","No")))</f>
        <v/>
      </c>
      <c r="M23" s="46" t="n"/>
      <c r="N23" s="46" t="n"/>
      <c r="O23" s="83" t="n"/>
      <c r="P23" s="22" t="n"/>
    </row>
    <row r="24" ht="36" customHeight="1" s="33">
      <c r="A24" s="48" t="n">
        <v>9</v>
      </c>
      <c r="B24" s="46" t="n"/>
      <c r="C24" s="46" t="n"/>
      <c r="D24" s="46" t="n"/>
      <c r="E24" s="14" t="n"/>
      <c r="F24" s="48" t="n"/>
      <c r="G24" s="48" t="n"/>
      <c r="H24" s="48" t="n"/>
      <c r="I24" s="48" t="n"/>
      <c r="J24" s="48">
        <f>IF(OR(H24="",I24=""),"",VALUE(H24)*VALUE(I24))</f>
        <v/>
      </c>
      <c r="K24" s="48">
        <f>IF(J24="","",IF(J24&gt;=15,"Alto",IF(J24&gt;=8,"Medio","Bajo")))</f>
        <v/>
      </c>
      <c r="L24" s="48">
        <f>IF(J24="","",IF(G24="Positivo","Positivo",IF(OR(K24="Alto",F24="Emergencia"),"Sí","No")))</f>
        <v/>
      </c>
      <c r="M24" s="46" t="n"/>
      <c r="N24" s="46" t="n"/>
      <c r="O24" s="83" t="n"/>
      <c r="P24" s="22" t="n"/>
    </row>
    <row r="25" ht="36" customHeight="1" s="33">
      <c r="A25" s="48" t="n">
        <v>10</v>
      </c>
      <c r="B25" s="46" t="n"/>
      <c r="C25" s="46" t="n"/>
      <c r="D25" s="46" t="n"/>
      <c r="E25" s="14" t="n"/>
      <c r="F25" s="48" t="n"/>
      <c r="G25" s="48" t="n"/>
      <c r="H25" s="48" t="n"/>
      <c r="I25" s="48" t="n"/>
      <c r="J25" s="48">
        <f>IF(OR(H25="",I25=""),"",VALUE(H25)*VALUE(I25))</f>
        <v/>
      </c>
      <c r="K25" s="48">
        <f>IF(J25="","",IF(J25&gt;=15,"Alto",IF(J25&gt;=8,"Medio","Bajo")))</f>
        <v/>
      </c>
      <c r="L25" s="48">
        <f>IF(J25="","",IF(G25="Positivo","Positivo",IF(OR(K25="Alto",F25="Emergencia"),"Sí","No")))</f>
        <v/>
      </c>
      <c r="M25" s="46" t="n"/>
      <c r="N25" s="46" t="n"/>
      <c r="O25" s="83" t="n"/>
      <c r="P25" s="22" t="n"/>
    </row>
    <row r="26" ht="28.05" customHeight="1" s="33">
      <c r="A26" s="29" t="inlineStr">
        <is>
          <t>Valor = Frecuencia × Severidad.  Frecuencia: 1 Rara vez · 2 Ocasional · 3 Frecuente · 4 Muy frecuente · 5 Permanente.  Severidad: 1 Insignificante · 2 Leve · 3 Moderada · 4 Grave · 5 Crítica (daño al medio, sanción o queja).</t>
        </is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22" t="n"/>
    </row>
    <row r="27" ht="28.05" customHeight="1" s="33">
      <c r="A27" s="29" t="inlineStr">
        <is>
          <t>Nivel: Bajo (1 a 7) · Medio (8 a 14) · Alto (15 a 25).  Es significativo si el nivel es Alto o la condición es de Emergencia; los impactos positivos no se califican como significativos.</t>
        </is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22" t="n"/>
    </row>
    <row r="28" ht="16.5" customHeight="1" s="33">
      <c r="A28" s="35" t="inlineStr">
        <is>
          <t>3. FIRMAS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0" t="n"/>
    </row>
    <row r="29" ht="18" customHeight="1" s="33">
      <c r="A29" s="26" t="inlineStr">
        <is>
          <t>ELABORÓ — RESPONSABLE AMBIENTAL</t>
        </is>
      </c>
      <c r="B29" s="27" t="n"/>
      <c r="C29" s="27" t="n"/>
      <c r="D29" s="27" t="n"/>
      <c r="E29" s="28" t="n"/>
      <c r="F29" s="26" t="inlineStr">
        <is>
          <t>REVISÓ — RESIDENTE DE OBRA</t>
        </is>
      </c>
      <c r="G29" s="27" t="n"/>
      <c r="H29" s="27" t="n"/>
      <c r="I29" s="27" t="n"/>
      <c r="J29" s="27" t="n"/>
      <c r="K29" s="28" t="n"/>
      <c r="L29" s="26" t="inlineStr">
        <is>
          <t>Vo.Bo. — GERENCIA / INTERVENTORÍA</t>
        </is>
      </c>
      <c r="M29" s="27" t="n"/>
      <c r="N29" s="27" t="n"/>
      <c r="O29" s="27" t="n"/>
      <c r="P29" s="28" t="n"/>
    </row>
    <row r="30" ht="42" customHeight="1" s="33">
      <c r="A30" s="19" t="inlineStr">
        <is>
          <t>Firma:</t>
        </is>
      </c>
      <c r="B30" s="20" t="n"/>
      <c r="C30" s="23" t="n"/>
      <c r="D30" s="24" t="n"/>
      <c r="E30" s="20" t="n"/>
      <c r="F30" s="19" t="inlineStr">
        <is>
          <t>Firma:</t>
        </is>
      </c>
      <c r="G30" s="20" t="n"/>
      <c r="H30" s="23" t="n"/>
      <c r="I30" s="24" t="n"/>
      <c r="J30" s="24" t="n"/>
      <c r="K30" s="20" t="n"/>
      <c r="L30" s="19" t="inlineStr">
        <is>
          <t>Firma:</t>
        </is>
      </c>
      <c r="M30" s="20" t="n"/>
      <c r="N30" s="23" t="n"/>
      <c r="O30" s="24" t="n"/>
      <c r="P30" s="20" t="n"/>
    </row>
    <row r="31" ht="21" customHeight="1" s="33">
      <c r="A31" s="19" t="inlineStr">
        <is>
          <t>Nombre:</t>
        </is>
      </c>
      <c r="B31" s="20" t="n"/>
      <c r="C31" s="23" t="n"/>
      <c r="D31" s="24" t="n"/>
      <c r="E31" s="20" t="n"/>
      <c r="F31" s="19" t="inlineStr">
        <is>
          <t>Nombre:</t>
        </is>
      </c>
      <c r="G31" s="20" t="n"/>
      <c r="H31" s="23" t="n"/>
      <c r="I31" s="24" t="n"/>
      <c r="J31" s="24" t="n"/>
      <c r="K31" s="20" t="n"/>
      <c r="L31" s="19" t="inlineStr">
        <is>
          <t>Nombre:</t>
        </is>
      </c>
      <c r="M31" s="20" t="n"/>
      <c r="N31" s="23" t="n"/>
      <c r="O31" s="24" t="n"/>
      <c r="P31" s="20" t="n"/>
    </row>
    <row r="32" ht="21" customHeight="1" s="33">
      <c r="A32" s="19" t="inlineStr">
        <is>
          <t>Cargo:</t>
        </is>
      </c>
      <c r="B32" s="20" t="n"/>
      <c r="C32" s="23" t="n"/>
      <c r="D32" s="24" t="n"/>
      <c r="E32" s="20" t="n"/>
      <c r="F32" s="19" t="inlineStr">
        <is>
          <t>Cargo:</t>
        </is>
      </c>
      <c r="G32" s="20" t="n"/>
      <c r="H32" s="23" t="n"/>
      <c r="I32" s="24" t="n"/>
      <c r="J32" s="24" t="n"/>
      <c r="K32" s="20" t="n"/>
      <c r="L32" s="19" t="inlineStr">
        <is>
          <t>Cargo:</t>
        </is>
      </c>
      <c r="M32" s="20" t="n"/>
      <c r="N32" s="23" t="n"/>
      <c r="O32" s="24" t="n"/>
      <c r="P32" s="20" t="n"/>
    </row>
    <row r="33">
      <c r="A33" s="2" t="inlineStr">
        <is>
          <t>REV. 08/10/2026</t>
        </is>
      </c>
      <c r="H33" s="43">
        <f>O5</f>
        <v/>
      </c>
    </row>
  </sheetData>
  <mergeCells count="61">
    <mergeCell ref="A31:B31"/>
    <mergeCell ref="A30:B30"/>
    <mergeCell ref="A14:P14"/>
    <mergeCell ref="O19:P19"/>
    <mergeCell ref="C31:E31"/>
    <mergeCell ref="L32:M32"/>
    <mergeCell ref="A11:B11"/>
    <mergeCell ref="O24:P24"/>
    <mergeCell ref="D3:P3"/>
    <mergeCell ref="O15:P15"/>
    <mergeCell ref="O18:P18"/>
    <mergeCell ref="H11:J11"/>
    <mergeCell ref="K12:P12"/>
    <mergeCell ref="A10:P10"/>
    <mergeCell ref="A28:P28"/>
    <mergeCell ref="F30:G30"/>
    <mergeCell ref="D6:N6"/>
    <mergeCell ref="H30:K30"/>
    <mergeCell ref="O20:P20"/>
    <mergeCell ref="A9:P9"/>
    <mergeCell ref="E13:F13"/>
    <mergeCell ref="N31:P31"/>
    <mergeCell ref="H12:J12"/>
    <mergeCell ref="F32:G32"/>
    <mergeCell ref="G13:H13"/>
    <mergeCell ref="O4:P4"/>
    <mergeCell ref="O22:P22"/>
    <mergeCell ref="N30:P30"/>
    <mergeCell ref="C32:E32"/>
    <mergeCell ref="A12:B12"/>
    <mergeCell ref="O16:P16"/>
    <mergeCell ref="L30:M30"/>
    <mergeCell ref="C12:G12"/>
    <mergeCell ref="O25:P25"/>
    <mergeCell ref="O21:P21"/>
    <mergeCell ref="H33:P33"/>
    <mergeCell ref="H31:K31"/>
    <mergeCell ref="D7:N7"/>
    <mergeCell ref="L29:P29"/>
    <mergeCell ref="C11:G11"/>
    <mergeCell ref="A32:B32"/>
    <mergeCell ref="F31:G31"/>
    <mergeCell ref="C30:E30"/>
    <mergeCell ref="D4:N4"/>
    <mergeCell ref="L31:M31"/>
    <mergeCell ref="F29:K29"/>
    <mergeCell ref="O17:P17"/>
    <mergeCell ref="A29:E29"/>
    <mergeCell ref="D8:N8"/>
    <mergeCell ref="N32:P32"/>
    <mergeCell ref="A27:P27"/>
    <mergeCell ref="O23:P23"/>
    <mergeCell ref="A13:B13"/>
    <mergeCell ref="D5:N5"/>
    <mergeCell ref="C13:D13"/>
    <mergeCell ref="I13:J13"/>
    <mergeCell ref="H32:K32"/>
    <mergeCell ref="A26:P26"/>
    <mergeCell ref="K13:L13"/>
    <mergeCell ref="K11:P11"/>
    <mergeCell ref="D1:P2"/>
  </mergeCells>
  <pageMargins left="0.4" right="0.4" top="0.4" bottom="0.7" header="0.5" footer="0.5"/>
  <pageSetup orientation="landscape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2026-10-08T19:26:49Z</dcterms:modified>
  <cp:lastModifiedBy>Hugo Fernando Hurtado Ruiz</cp:lastModifiedBy>
</cp:coreProperties>
</file>