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Control de Ensay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5" formatCode="#,##0.##"/>
    <numFmt numFmtId="166" formatCode="0.0"/>
    <numFmt numFmtId="167" formatCode="0.0%"/>
    <numFmt numFmtId="168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7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6" fontId="18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8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65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6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6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7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8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166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8" fontId="19" fillId="0" borderId="9" applyAlignment="1" applyProtection="1" pivotButton="0" quotePrefix="0" xfId="3">
      <alignment horizontal="center" vertical="center"/>
      <protection locked="0" hidden="0"/>
    </xf>
    <xf numFmtId="166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1447800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13660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M42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5" customWidth="1" style="67" min="1" max="1"/>
    <col width="12" customWidth="1" style="67" min="2" max="2"/>
    <col width="24" customWidth="1" style="67" min="3" max="3"/>
    <col width="26" customWidth="1" style="67" min="4" max="4"/>
    <col width="20" customWidth="1" style="67" min="5" max="5"/>
    <col width="22" customWidth="1" style="67" min="6" max="6"/>
    <col width="20" customWidth="1" style="67" min="7" max="7"/>
    <col width="12" customWidth="1" style="67" min="8" max="9"/>
    <col width="17" customWidth="1" style="67" min="10" max="11"/>
    <col width="14" customWidth="1" style="67" min="12" max="12"/>
    <col width="26" customWidth="1" style="67" min="13" max="13"/>
    <col width="8.88671875" customWidth="1" style="67" min="14" max="16384"/>
  </cols>
  <sheetData>
    <row r="1" ht="40.05" customHeight="1" s="67">
      <c r="D1" s="38" t="inlineStr">
        <is>
          <t>CONTROL DE ENSAYOS DE MATERIALES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</row>
    <row r="4" ht="15" customHeight="1" s="67">
      <c r="K4" s="120" t="inlineStr">
        <is>
          <t>CONTROL DOCUMENTAL</t>
        </is>
      </c>
      <c r="L4" s="31" t="n"/>
      <c r="M4" s="32" t="n"/>
    </row>
    <row r="5" ht="15" customHeight="1" s="67">
      <c r="D5" s="27" t="inlineStr">
        <is>
          <t>REFORMAS Y REMODELACIONES</t>
        </is>
      </c>
      <c r="J5" s="29" t="n"/>
      <c r="K5" s="1" t="inlineStr">
        <is>
          <t>Código</t>
        </is>
      </c>
      <c r="L5" s="94" t="inlineStr">
        <is>
          <t>RYR-CA-006</t>
        </is>
      </c>
      <c r="M5" s="32" t="n"/>
    </row>
    <row r="6" ht="15" customHeight="1" s="67">
      <c r="D6" s="37" t="inlineStr">
        <is>
          <t>DISEÑAMOS, RENOVAMOS Y CONSTRUIMOS ESPACIOS QUE INSPIRAN.</t>
        </is>
      </c>
      <c r="J6" s="29" t="n"/>
      <c r="K6" s="1" t="inlineStr">
        <is>
          <t>Versión</t>
        </is>
      </c>
      <c r="L6" s="94" t="n">
        <v>1</v>
      </c>
      <c r="M6" s="32" t="n"/>
    </row>
    <row r="7" ht="15" customHeight="1" s="67">
      <c r="D7" s="68" t="n"/>
      <c r="E7" s="68" t="n"/>
      <c r="F7" s="68" t="n"/>
      <c r="G7" s="68" t="n"/>
      <c r="H7" s="68" t="n"/>
      <c r="I7" s="68" t="n"/>
      <c r="J7" s="4" t="n"/>
      <c r="K7" s="1" t="inlineStr">
        <is>
          <t>Fecha de Emisión</t>
        </is>
      </c>
      <c r="L7" s="94" t="inlineStr">
        <is>
          <t>09/10/2026</t>
        </is>
      </c>
      <c r="M7" s="32" t="n"/>
    </row>
    <row r="8" ht="15" customHeight="1" s="67">
      <c r="D8" s="68" t="n"/>
      <c r="E8" s="68" t="n"/>
      <c r="F8" s="68" t="n"/>
      <c r="G8" s="68" t="n"/>
      <c r="H8" s="68" t="n"/>
      <c r="I8" s="68" t="n"/>
      <c r="J8" s="4" t="n"/>
      <c r="K8" s="1" t="inlineStr">
        <is>
          <t>Página</t>
        </is>
      </c>
      <c r="L8" s="94" t="inlineStr">
        <is>
          <t>1 de 1</t>
        </is>
      </c>
      <c r="M8" s="32" t="n"/>
    </row>
    <row r="9" ht="15" customHeight="1" s="67">
      <c r="A9" s="121" t="inlineStr">
        <is>
          <t>Seguimiento de las muestras enviadas al laboratorio y de sus resultados · Control de calidad en obra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 t="n"/>
    </row>
    <row r="11" ht="22.05" customHeight="1" s="67">
      <c r="A11" s="122" t="inlineStr">
        <is>
          <t>Proyecto / Obra</t>
        </is>
      </c>
      <c r="B11" s="32" t="n"/>
      <c r="C11" s="161" t="n"/>
      <c r="D11" s="162" t="n"/>
      <c r="E11" s="163" t="n"/>
      <c r="F11" s="22" t="inlineStr">
        <is>
          <t>Contrato N°</t>
        </is>
      </c>
      <c r="G11" s="169" t="n"/>
      <c r="H11" s="122" t="inlineStr">
        <is>
          <t>Ubicación</t>
        </is>
      </c>
      <c r="I11" s="32" t="n"/>
      <c r="J11" s="161" t="n"/>
      <c r="K11" s="162" t="n"/>
      <c r="L11" s="162" t="n"/>
      <c r="M11" s="163" t="n"/>
    </row>
    <row r="12" ht="22.05" customHeight="1" s="67">
      <c r="A12" s="122" t="inlineStr">
        <is>
          <t>Contratista / Empresa</t>
        </is>
      </c>
      <c r="B12" s="32" t="n"/>
      <c r="C12" s="161" t="n"/>
      <c r="D12" s="162" t="n"/>
      <c r="E12" s="163" t="n"/>
      <c r="F12" s="22" t="inlineStr">
        <is>
          <t>Responsable de calidad</t>
        </is>
      </c>
      <c r="G12" s="161" t="n"/>
      <c r="H12" s="162" t="n"/>
      <c r="I12" s="163" t="n"/>
      <c r="J12" s="122" t="inlineStr">
        <is>
          <t>Laboratorio habitual</t>
        </is>
      </c>
      <c r="K12" s="32" t="n"/>
      <c r="L12" s="161" t="n"/>
      <c r="M12" s="163" t="n"/>
    </row>
    <row r="13" ht="22.05" customHeight="1" s="67">
      <c r="A13" s="122" t="inlineStr">
        <is>
          <t>Fecha de corte</t>
        </is>
      </c>
      <c r="B13" s="32" t="n"/>
      <c r="C13" s="176" t="n"/>
      <c r="D13" s="22" t="inlineStr">
        <is>
          <t>Hoja N°</t>
        </is>
      </c>
      <c r="E13" s="169" t="n"/>
      <c r="F13" s="22" t="inlineStr">
        <is>
          <t>Periodo</t>
        </is>
      </c>
      <c r="G13" s="164" t="n"/>
      <c r="H13" s="162" t="n"/>
      <c r="I13" s="163" t="n"/>
    </row>
    <row r="14" ht="16.5" customHeight="1" s="67">
      <c r="A14" s="15" t="inlineStr">
        <is>
          <t>2. ENSAYOS SOLICITADOS Y RESULTADOS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7" t="n"/>
    </row>
    <row r="15" ht="40.05" customHeight="1" s="67">
      <c r="A15" s="42" t="inlineStr">
        <is>
          <t>No.</t>
        </is>
      </c>
      <c r="B15" s="42" t="inlineStr">
        <is>
          <t>Fecha de envío</t>
        </is>
      </c>
      <c r="C15" s="42" t="inlineStr">
        <is>
          <t>Material</t>
        </is>
      </c>
      <c r="D15" s="42" t="inlineStr">
        <is>
          <t>Ensayo solicitado</t>
        </is>
      </c>
      <c r="E15" s="42" t="inlineStr">
        <is>
          <t>Norma del ensayo</t>
        </is>
      </c>
      <c r="F15" s="42" t="inlineStr">
        <is>
          <t>Lote o lugar de origen de la muestra</t>
        </is>
      </c>
      <c r="G15" s="42" t="inlineStr">
        <is>
          <t>Laboratorio</t>
        </is>
      </c>
      <c r="H15" s="42" t="inlineStr">
        <is>
          <t>Informe N°</t>
        </is>
      </c>
      <c r="I15" s="42" t="inlineStr">
        <is>
          <t>Fecha del resultado</t>
        </is>
      </c>
      <c r="J15" s="42" t="inlineStr">
        <is>
          <t>Valor exigido</t>
        </is>
      </c>
      <c r="K15" s="42" t="inlineStr">
        <is>
          <t>Valor obtenido</t>
        </is>
      </c>
      <c r="L15" s="42" t="inlineStr">
        <is>
          <t>Resultado</t>
        </is>
      </c>
      <c r="M15" s="42" t="inlineStr">
        <is>
          <t>Observaciones y acción</t>
        </is>
      </c>
    </row>
    <row r="16" ht="25.95" customHeight="1" s="67">
      <c r="A16" s="125" t="n">
        <v>1</v>
      </c>
      <c r="B16" s="178" t="n"/>
      <c r="C16" s="170" t="n"/>
      <c r="D16" s="170" t="n"/>
      <c r="E16" s="170" t="n"/>
      <c r="F16" s="170" t="n"/>
      <c r="G16" s="170" t="n"/>
      <c r="H16" s="173" t="n"/>
      <c r="I16" s="178" t="n"/>
      <c r="J16" s="179" t="n"/>
      <c r="K16" s="179" t="n"/>
      <c r="L16" s="180" t="n"/>
      <c r="M16" s="170" t="n"/>
    </row>
    <row r="17" ht="25.95" customHeight="1" s="67">
      <c r="A17" s="125" t="n">
        <v>2</v>
      </c>
      <c r="B17" s="178" t="n"/>
      <c r="C17" s="170" t="n"/>
      <c r="D17" s="170" t="n"/>
      <c r="E17" s="170" t="n"/>
      <c r="F17" s="170" t="n"/>
      <c r="G17" s="170" t="n"/>
      <c r="H17" s="173" t="n"/>
      <c r="I17" s="178" t="n"/>
      <c r="J17" s="179" t="n"/>
      <c r="K17" s="179" t="n"/>
      <c r="L17" s="180" t="n"/>
      <c r="M17" s="170" t="n"/>
    </row>
    <row r="18" ht="25.95" customHeight="1" s="67">
      <c r="A18" s="125" t="n">
        <v>3</v>
      </c>
      <c r="B18" s="178" t="n"/>
      <c r="C18" s="170" t="n"/>
      <c r="D18" s="170" t="n"/>
      <c r="E18" s="170" t="n"/>
      <c r="F18" s="170" t="n"/>
      <c r="G18" s="170" t="n"/>
      <c r="H18" s="173" t="n"/>
      <c r="I18" s="178" t="n"/>
      <c r="J18" s="179" t="n"/>
      <c r="K18" s="179" t="n"/>
      <c r="L18" s="180" t="n"/>
      <c r="M18" s="170" t="n"/>
    </row>
    <row r="19" ht="25.95" customHeight="1" s="67">
      <c r="A19" s="125" t="n">
        <v>4</v>
      </c>
      <c r="B19" s="178" t="n"/>
      <c r="C19" s="170" t="n"/>
      <c r="D19" s="170" t="n"/>
      <c r="E19" s="170" t="n"/>
      <c r="F19" s="170" t="n"/>
      <c r="G19" s="170" t="n"/>
      <c r="H19" s="173" t="n"/>
      <c r="I19" s="178" t="n"/>
      <c r="J19" s="179" t="n"/>
      <c r="K19" s="179" t="n"/>
      <c r="L19" s="180" t="n"/>
      <c r="M19" s="170" t="n"/>
    </row>
    <row r="20" ht="25.95" customHeight="1" s="67">
      <c r="A20" s="125" t="n">
        <v>5</v>
      </c>
      <c r="B20" s="178" t="n"/>
      <c r="C20" s="170" t="n"/>
      <c r="D20" s="170" t="n"/>
      <c r="E20" s="170" t="n"/>
      <c r="F20" s="170" t="n"/>
      <c r="G20" s="170" t="n"/>
      <c r="H20" s="173" t="n"/>
      <c r="I20" s="178" t="n"/>
      <c r="J20" s="179" t="n"/>
      <c r="K20" s="179" t="n"/>
      <c r="L20" s="180" t="n"/>
      <c r="M20" s="170" t="n"/>
    </row>
    <row r="21" ht="25.95" customHeight="1" s="67">
      <c r="A21" s="125" t="n">
        <v>6</v>
      </c>
      <c r="B21" s="178" t="n"/>
      <c r="C21" s="170" t="n"/>
      <c r="D21" s="170" t="n"/>
      <c r="E21" s="170" t="n"/>
      <c r="F21" s="170" t="n"/>
      <c r="G21" s="170" t="n"/>
      <c r="H21" s="173" t="n"/>
      <c r="I21" s="178" t="n"/>
      <c r="J21" s="179" t="n"/>
      <c r="K21" s="179" t="n"/>
      <c r="L21" s="180" t="n"/>
      <c r="M21" s="170" t="n"/>
    </row>
    <row r="22" ht="25.95" customHeight="1" s="67">
      <c r="A22" s="125" t="n">
        <v>7</v>
      </c>
      <c r="B22" s="178" t="n"/>
      <c r="C22" s="170" t="n"/>
      <c r="D22" s="170" t="n"/>
      <c r="E22" s="170" t="n"/>
      <c r="F22" s="170" t="n"/>
      <c r="G22" s="170" t="n"/>
      <c r="H22" s="173" t="n"/>
      <c r="I22" s="178" t="n"/>
      <c r="J22" s="179" t="n"/>
      <c r="K22" s="179" t="n"/>
      <c r="L22" s="180" t="n"/>
      <c r="M22" s="170" t="n"/>
    </row>
    <row r="23" ht="25.95" customHeight="1" s="67">
      <c r="A23" s="125" t="n">
        <v>8</v>
      </c>
      <c r="B23" s="178" t="n"/>
      <c r="C23" s="170" t="n"/>
      <c r="D23" s="170" t="n"/>
      <c r="E23" s="170" t="n"/>
      <c r="F23" s="170" t="n"/>
      <c r="G23" s="170" t="n"/>
      <c r="H23" s="173" t="n"/>
      <c r="I23" s="178" t="n"/>
      <c r="J23" s="179" t="n"/>
      <c r="K23" s="179" t="n"/>
      <c r="L23" s="180" t="n"/>
      <c r="M23" s="170" t="n"/>
    </row>
    <row r="24" ht="25.95" customHeight="1" s="67">
      <c r="A24" s="125" t="n">
        <v>9</v>
      </c>
      <c r="B24" s="178" t="n"/>
      <c r="C24" s="170" t="n"/>
      <c r="D24" s="170" t="n"/>
      <c r="E24" s="170" t="n"/>
      <c r="F24" s="170" t="n"/>
      <c r="G24" s="170" t="n"/>
      <c r="H24" s="173" t="n"/>
      <c r="I24" s="178" t="n"/>
      <c r="J24" s="179" t="n"/>
      <c r="K24" s="179" t="n"/>
      <c r="L24" s="180" t="n"/>
      <c r="M24" s="170" t="n"/>
    </row>
    <row r="25" ht="25.95" customHeight="1" s="67">
      <c r="A25" s="125" t="n">
        <v>10</v>
      </c>
      <c r="B25" s="178" t="n"/>
      <c r="C25" s="170" t="n"/>
      <c r="D25" s="170" t="n"/>
      <c r="E25" s="170" t="n"/>
      <c r="F25" s="170" t="n"/>
      <c r="G25" s="170" t="n"/>
      <c r="H25" s="173" t="n"/>
      <c r="I25" s="178" t="n"/>
      <c r="J25" s="179" t="n"/>
      <c r="K25" s="179" t="n"/>
      <c r="L25" s="180" t="n"/>
      <c r="M25" s="170" t="n"/>
    </row>
    <row r="26" ht="25.95" customHeight="1" s="67">
      <c r="A26" s="125" t="n">
        <v>11</v>
      </c>
      <c r="B26" s="178" t="n"/>
      <c r="C26" s="170" t="n"/>
      <c r="D26" s="170" t="n"/>
      <c r="E26" s="170" t="n"/>
      <c r="F26" s="170" t="n"/>
      <c r="G26" s="170" t="n"/>
      <c r="H26" s="173" t="n"/>
      <c r="I26" s="178" t="n"/>
      <c r="J26" s="179" t="n"/>
      <c r="K26" s="179" t="n"/>
      <c r="L26" s="180" t="n"/>
      <c r="M26" s="170" t="n"/>
    </row>
    <row r="27" ht="25.95" customHeight="1" s="67">
      <c r="A27" s="125" t="n">
        <v>12</v>
      </c>
      <c r="B27" s="178" t="n"/>
      <c r="C27" s="170" t="n"/>
      <c r="D27" s="170" t="n"/>
      <c r="E27" s="170" t="n"/>
      <c r="F27" s="170" t="n"/>
      <c r="G27" s="170" t="n"/>
      <c r="H27" s="173" t="n"/>
      <c r="I27" s="178" t="n"/>
      <c r="J27" s="179" t="n"/>
      <c r="K27" s="179" t="n"/>
      <c r="L27" s="180" t="n"/>
      <c r="M27" s="170" t="n"/>
    </row>
    <row r="28" ht="25.95" customHeight="1" s="67">
      <c r="A28" s="125" t="n">
        <v>13</v>
      </c>
      <c r="B28" s="178" t="n"/>
      <c r="C28" s="170" t="n"/>
      <c r="D28" s="170" t="n"/>
      <c r="E28" s="170" t="n"/>
      <c r="F28" s="170" t="n"/>
      <c r="G28" s="170" t="n"/>
      <c r="H28" s="173" t="n"/>
      <c r="I28" s="178" t="n"/>
      <c r="J28" s="179" t="n"/>
      <c r="K28" s="179" t="n"/>
      <c r="L28" s="180" t="n"/>
      <c r="M28" s="170" t="n"/>
    </row>
    <row r="29" ht="25.95" customHeight="1" s="67">
      <c r="A29" s="125" t="n">
        <v>14</v>
      </c>
      <c r="B29" s="178" t="n"/>
      <c r="C29" s="170" t="n"/>
      <c r="D29" s="170" t="n"/>
      <c r="E29" s="170" t="n"/>
      <c r="F29" s="170" t="n"/>
      <c r="G29" s="170" t="n"/>
      <c r="H29" s="173" t="n"/>
      <c r="I29" s="178" t="n"/>
      <c r="J29" s="179" t="n"/>
      <c r="K29" s="179" t="n"/>
      <c r="L29" s="180" t="n"/>
      <c r="M29" s="170" t="n"/>
    </row>
    <row r="30" ht="25.95" customHeight="1" s="67">
      <c r="A30" s="125" t="n">
        <v>15</v>
      </c>
      <c r="B30" s="178" t="n"/>
      <c r="C30" s="170" t="n"/>
      <c r="D30" s="170" t="n"/>
      <c r="E30" s="170" t="n"/>
      <c r="F30" s="170" t="n"/>
      <c r="G30" s="170" t="n"/>
      <c r="H30" s="173" t="n"/>
      <c r="I30" s="178" t="n"/>
      <c r="J30" s="179" t="n"/>
      <c r="K30" s="179" t="n"/>
      <c r="L30" s="180" t="n"/>
      <c r="M30" s="170" t="n"/>
    </row>
    <row r="31" ht="25.95" customHeight="1" s="67">
      <c r="A31" s="125" t="n">
        <v>16</v>
      </c>
      <c r="B31" s="178" t="n"/>
      <c r="C31" s="170" t="n"/>
      <c r="D31" s="170" t="n"/>
      <c r="E31" s="170" t="n"/>
      <c r="F31" s="170" t="n"/>
      <c r="G31" s="170" t="n"/>
      <c r="H31" s="173" t="n"/>
      <c r="I31" s="178" t="n"/>
      <c r="J31" s="179" t="n"/>
      <c r="K31" s="179" t="n"/>
      <c r="L31" s="180" t="n"/>
      <c r="M31" s="170" t="n"/>
    </row>
    <row r="32" ht="25.95" customHeight="1" s="67">
      <c r="A32" s="125" t="n">
        <v>17</v>
      </c>
      <c r="B32" s="178" t="n"/>
      <c r="C32" s="170" t="n"/>
      <c r="D32" s="170" t="n"/>
      <c r="E32" s="170" t="n"/>
      <c r="F32" s="170" t="n"/>
      <c r="G32" s="170" t="n"/>
      <c r="H32" s="173" t="n"/>
      <c r="I32" s="178" t="n"/>
      <c r="J32" s="179" t="n"/>
      <c r="K32" s="179" t="n"/>
      <c r="L32" s="180" t="n"/>
      <c r="M32" s="170" t="n"/>
    </row>
    <row r="33" ht="25.95" customHeight="1" s="67">
      <c r="A33" s="125" t="n">
        <v>18</v>
      </c>
      <c r="B33" s="178" t="n"/>
      <c r="C33" s="170" t="n"/>
      <c r="D33" s="170" t="n"/>
      <c r="E33" s="170" t="n"/>
      <c r="F33" s="170" t="n"/>
      <c r="G33" s="170" t="n"/>
      <c r="H33" s="173" t="n"/>
      <c r="I33" s="178" t="n"/>
      <c r="J33" s="179" t="n"/>
      <c r="K33" s="179" t="n"/>
      <c r="L33" s="180" t="n"/>
      <c r="M33" s="170" t="n"/>
    </row>
    <row r="34" ht="19.95" customHeight="1" s="67">
      <c r="A34" s="124" t="inlineStr">
        <is>
          <t>Resumen</t>
        </is>
      </c>
      <c r="B34" s="31" t="n"/>
      <c r="C34" s="32" t="n"/>
      <c r="D34" s="124" t="inlineStr">
        <is>
          <t>Ensayos registrados</t>
        </is>
      </c>
      <c r="E34" s="32" t="n"/>
      <c r="F34" s="124" t="inlineStr">
        <is>
          <t>Cumplen</t>
        </is>
      </c>
      <c r="G34" s="32" t="n"/>
      <c r="H34" s="124" t="inlineStr">
        <is>
          <t>No cumplen</t>
        </is>
      </c>
      <c r="I34" s="32" t="n"/>
      <c r="J34" s="124" t="inlineStr">
        <is>
          <t>Pendientes de resultado</t>
        </is>
      </c>
      <c r="K34" s="32" t="n"/>
      <c r="L34" s="124" t="inlineStr">
        <is>
          <t>% de cumplimiento</t>
        </is>
      </c>
      <c r="M34" s="32" t="n"/>
    </row>
    <row r="35" ht="22.05" customHeight="1" s="67">
      <c r="A35" s="139" t="inlineStr">
        <is>
          <t>Totales del periodo</t>
        </is>
      </c>
      <c r="B35" s="31" t="n"/>
      <c r="C35" s="32" t="n"/>
      <c r="D35" s="135">
        <f>COUNTA(D16:D33)</f>
        <v/>
      </c>
      <c r="E35" s="32" t="n"/>
      <c r="F35" s="135">
        <f>COUNTIF(L16:L33,"Cumple")</f>
        <v/>
      </c>
      <c r="G35" s="32" t="n"/>
      <c r="H35" s="135">
        <f>COUNTIF(L16:L33,"No cumple")</f>
        <v/>
      </c>
      <c r="I35" s="32" t="n"/>
      <c r="J35" s="135">
        <f>COUNTIF(L16:L33,"Pendiente")</f>
        <v/>
      </c>
      <c r="K35" s="32" t="n"/>
      <c r="L35" s="140">
        <f>IF(F35+H35=0,"",F35/(F35+H35))</f>
        <v/>
      </c>
      <c r="M35" s="32" t="n"/>
    </row>
    <row r="36" ht="31.95" customHeight="1" s="67">
      <c r="A36" s="87" t="inlineStr">
        <is>
          <t>Ensayos frecuentes (guía): granulometría de agregados (NTC 77), resistencia a la compresión de cilindros (NTC 673), tracción y doblado del acero (NTC 2289), Proctor modificado (INV E-142), densidad en sitio (INV E-161). Todo resultado «No cumple» se reporta en el Registro de No Conformidades (RYR-CA-013).</t>
        </is>
      </c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2" t="n"/>
    </row>
    <row r="37" ht="16.5" customHeight="1" s="67">
      <c r="A37" s="15" t="inlineStr">
        <is>
          <t>3. FIRMAS</t>
        </is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7" t="n"/>
    </row>
    <row r="38" ht="18" customHeight="1" s="67">
      <c r="A38" s="130" t="inlineStr">
        <is>
          <t>ELABORÓ — INSPECTOR / INGENIERO DE CALIDAD</t>
        </is>
      </c>
      <c r="B38" s="31" t="n"/>
      <c r="C38" s="31" t="n"/>
      <c r="D38" s="31" t="n"/>
      <c r="E38" s="32" t="n"/>
      <c r="F38" s="130" t="inlineStr">
        <is>
          <t>REVISÓ — RESIDENTE DE OBRA</t>
        </is>
      </c>
      <c r="G38" s="31" t="n"/>
      <c r="H38" s="31" t="n"/>
      <c r="I38" s="32" t="n"/>
      <c r="J38" s="130" t="inlineStr">
        <is>
          <t>Vo.Bo. — INTERVENTORÍA / SUPERVISIÓN</t>
        </is>
      </c>
      <c r="K38" s="31" t="n"/>
      <c r="L38" s="31" t="n"/>
      <c r="M38" s="32" t="n"/>
    </row>
    <row r="39" ht="42" customHeight="1" s="67">
      <c r="A39" s="18" t="inlineStr">
        <is>
          <t>Firma:</t>
        </is>
      </c>
      <c r="B39" s="17" t="n"/>
      <c r="C39" s="170" t="n"/>
      <c r="D39" s="171" t="n"/>
      <c r="E39" s="172" t="n"/>
      <c r="F39" s="18" t="inlineStr">
        <is>
          <t>Firma:</t>
        </is>
      </c>
      <c r="G39" s="17" t="n"/>
      <c r="H39" s="170" t="n"/>
      <c r="I39" s="172" t="n"/>
      <c r="J39" s="18" t="inlineStr">
        <is>
          <t>Firma:</t>
        </is>
      </c>
      <c r="K39" s="17" t="n"/>
      <c r="L39" s="170" t="n"/>
      <c r="M39" s="172" t="n"/>
    </row>
    <row r="40" ht="21" customHeight="1" s="67">
      <c r="A40" s="18" t="inlineStr">
        <is>
          <t>Nombre:</t>
        </is>
      </c>
      <c r="B40" s="17" t="n"/>
      <c r="C40" s="170" t="n"/>
      <c r="D40" s="171" t="n"/>
      <c r="E40" s="172" t="n"/>
      <c r="F40" s="18" t="inlineStr">
        <is>
          <t>Nombre:</t>
        </is>
      </c>
      <c r="G40" s="17" t="n"/>
      <c r="H40" s="170" t="n"/>
      <c r="I40" s="172" t="n"/>
      <c r="J40" s="18" t="inlineStr">
        <is>
          <t>Nombre:</t>
        </is>
      </c>
      <c r="K40" s="17" t="n"/>
      <c r="L40" s="170" t="n"/>
      <c r="M40" s="172" t="n"/>
    </row>
    <row r="41" ht="21" customHeight="1" s="67">
      <c r="A41" s="18" t="inlineStr">
        <is>
          <t>Cargo:</t>
        </is>
      </c>
      <c r="B41" s="17" t="n"/>
      <c r="C41" s="170" t="n"/>
      <c r="D41" s="171" t="n"/>
      <c r="E41" s="172" t="n"/>
      <c r="F41" s="18" t="inlineStr">
        <is>
          <t>Cargo:</t>
        </is>
      </c>
      <c r="G41" s="17" t="n"/>
      <c r="H41" s="170" t="n"/>
      <c r="I41" s="172" t="n"/>
      <c r="J41" s="18" t="inlineStr">
        <is>
          <t>Cargo:</t>
        </is>
      </c>
      <c r="K41" s="17" t="n"/>
      <c r="L41" s="170" t="n"/>
      <c r="M41" s="172" t="n"/>
    </row>
    <row r="42">
      <c r="A42" s="2" t="inlineStr">
        <is>
          <t>REV. 09/10/2026</t>
        </is>
      </c>
      <c r="G42" s="33">
        <f>L5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9">
    <mergeCell ref="J39:K39"/>
    <mergeCell ref="H35:I35"/>
    <mergeCell ref="A14:M14"/>
    <mergeCell ref="L7:M7"/>
    <mergeCell ref="C41:E41"/>
    <mergeCell ref="G13:I13"/>
    <mergeCell ref="D34:E34"/>
    <mergeCell ref="A11:B11"/>
    <mergeCell ref="D3:M3"/>
    <mergeCell ref="F34:G34"/>
    <mergeCell ref="C40:E40"/>
    <mergeCell ref="H41:I41"/>
    <mergeCell ref="F40:G40"/>
    <mergeCell ref="H40:I40"/>
    <mergeCell ref="C12:E12"/>
    <mergeCell ref="D5:J5"/>
    <mergeCell ref="A10:M10"/>
    <mergeCell ref="J40:K40"/>
    <mergeCell ref="H39:I39"/>
    <mergeCell ref="H34:I34"/>
    <mergeCell ref="C11:E11"/>
    <mergeCell ref="J34:K34"/>
    <mergeCell ref="L12:M12"/>
    <mergeCell ref="A41:B41"/>
    <mergeCell ref="C39:E39"/>
    <mergeCell ref="A9:M9"/>
    <mergeCell ref="J38:M38"/>
    <mergeCell ref="L5:M5"/>
    <mergeCell ref="L39:M39"/>
    <mergeCell ref="A35:C35"/>
    <mergeCell ref="F41:G41"/>
    <mergeCell ref="L8:M8"/>
    <mergeCell ref="G42:M42"/>
    <mergeCell ref="F35:G35"/>
    <mergeCell ref="A12:B12"/>
    <mergeCell ref="A36:M36"/>
    <mergeCell ref="J35:K35"/>
    <mergeCell ref="H11:I11"/>
    <mergeCell ref="L35:M35"/>
    <mergeCell ref="K4:M4"/>
    <mergeCell ref="D6:J6"/>
    <mergeCell ref="J41:K41"/>
    <mergeCell ref="L41:M41"/>
    <mergeCell ref="G12:I12"/>
    <mergeCell ref="A34:C34"/>
    <mergeCell ref="L40:M40"/>
    <mergeCell ref="F39:G39"/>
    <mergeCell ref="L34:M34"/>
    <mergeCell ref="J12:K12"/>
    <mergeCell ref="A37:M37"/>
    <mergeCell ref="A38:E38"/>
    <mergeCell ref="L6:M6"/>
    <mergeCell ref="J11:M11"/>
    <mergeCell ref="A13:B13"/>
    <mergeCell ref="F38:I38"/>
    <mergeCell ref="A40:B40"/>
    <mergeCell ref="D1:M2"/>
    <mergeCell ref="A39:B39"/>
    <mergeCell ref="D35:E35"/>
  </mergeCells>
  <pageMargins left="0.4" right="0.4" top="0.4" bottom="0.7" header="0.5" footer="0.5"/>
  <pageSetup orientation="landscape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2026-10-10T14:16:31Z</dcterms:modified>
  <cp:lastModifiedBy>Hugo Fernando Hurtado Ruiz</cp:lastModifiedBy>
</cp:coreProperties>
</file>