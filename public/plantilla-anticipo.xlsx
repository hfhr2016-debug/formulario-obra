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nticipo y Amortizació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vertical="center" wrapText="1"/>
    </xf>
    <xf numFmtId="0" fontId="0" fillId="7" borderId="1" pivotButton="0" quotePrefix="0" xfId="0"/>
    <xf numFmtId="0" fontId="2" fillId="6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center" wrapText="1"/>
    </xf>
    <xf numFmtId="164" fontId="0" fillId="7" borderId="1" pivotButton="0" quotePrefix="0" xfId="0"/>
    <xf numFmtId="165" fontId="0" fillId="7" borderId="1" pivotButton="0" quotePrefix="0" xfId="0"/>
    <xf numFmtId="0" fontId="1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0" fillId="7" borderId="1" pivotButton="0" quotePrefix="0" xfId="0"/>
    <xf numFmtId="165" fontId="0" fillId="7" borderId="1" pivotButton="0" quotePrefix="0" xfId="0"/>
    <xf numFmtId="164" fontId="2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4" fontId="11" fillId="0" borderId="1" applyAlignment="1" applyProtection="1" pivotButton="0" quotePrefix="0" xfId="0">
      <alignment horizontal="center" vertical="center" wrapText="1"/>
      <protection locked="0" hidden="0"/>
    </xf>
    <xf numFmtId="164" fontId="11" fillId="0" borderId="1" applyAlignment="1" applyProtection="1" pivotButton="0" quotePrefix="0" xfId="0">
      <alignment horizontal="right" vertical="center" wrapText="1"/>
      <protection locked="0" hidden="0"/>
    </xf>
    <xf numFmtId="165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164" fontId="11" fillId="7" borderId="1" applyAlignment="1" pivotButton="0" quotePrefix="0" xfId="0">
      <alignment horizontal="right" vertical="center" wrapText="1"/>
    </xf>
    <xf numFmtId="165" fontId="2" fillId="8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916000" cy="1404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916000" cy="1404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L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3" min="1" max="1"/>
    <col width="13" customWidth="1" style="33" min="2" max="2"/>
    <col width="22" customWidth="1" style="33" min="3" max="4"/>
    <col width="20.77734375" customWidth="1" style="33" min="5" max="5"/>
    <col width="12.77734375" customWidth="1" style="33" min="6" max="6"/>
    <col width="20.77734375" customWidth="1" style="33" min="7" max="7"/>
    <col width="12.77734375" customWidth="1" style="33" min="8" max="8"/>
    <col width="20.77734375" customWidth="1" style="33" min="9" max="11"/>
    <col width="25.77734375" customWidth="1" style="33" min="12" max="12"/>
  </cols>
  <sheetData>
    <row r="1" ht="40.05" customHeight="1" s="33">
      <c r="A1" s="75" t="n"/>
      <c r="D1" s="41" t="inlineStr">
        <is>
          <t>ANTICIPO, AMORTIZACIÓN Y RETENCIONES</t>
        </is>
      </c>
    </row>
    <row r="2" ht="4.95" customHeight="1" s="33">
      <c r="D2" s="25" t="n"/>
    </row>
    <row r="3" ht="14.4" customHeight="1" s="33">
      <c r="D3" s="32" t="n"/>
      <c r="J3" s="37" t="inlineStr">
        <is>
          <t>CONTROL DOCUMENTAL</t>
        </is>
      </c>
      <c r="K3" s="76" t="n"/>
      <c r="L3" s="77" t="n"/>
    </row>
    <row r="4" ht="15" customHeight="1" s="33">
      <c r="D4" s="36" t="inlineStr">
        <is>
          <t>REFORMAS Y REMODELACIONES</t>
        </is>
      </c>
      <c r="J4" s="21" t="inlineStr">
        <is>
          <t>Código</t>
        </is>
      </c>
      <c r="K4" s="77" t="n"/>
      <c r="L4" s="2" t="inlineStr">
        <is>
          <t>RYR-CP-004</t>
        </is>
      </c>
    </row>
    <row r="5" ht="14.4" customHeight="1" s="33">
      <c r="D5" s="38" t="inlineStr">
        <is>
          <t>DISEÑAMOS, RENOVAMOS Y CONSTRUIMOS ESPACIOS QUE INSPIRAN.</t>
        </is>
      </c>
      <c r="J5" s="21" t="inlineStr">
        <is>
          <t>Versión</t>
        </is>
      </c>
      <c r="K5" s="77" t="n"/>
      <c r="L5" s="2" t="inlineStr">
        <is>
          <t>1</t>
        </is>
      </c>
    </row>
    <row r="6" ht="20.4" customHeight="1" s="33">
      <c r="D6" s="32" t="n"/>
      <c r="J6" s="21" t="inlineStr">
        <is>
          <t>Fecha de Emisión</t>
        </is>
      </c>
      <c r="K6" s="77" t="n"/>
      <c r="L6" s="2" t="inlineStr">
        <is>
          <t>08/10/2026</t>
        </is>
      </c>
    </row>
    <row r="7" ht="18" customHeight="1" s="33">
      <c r="A7" s="51" t="n"/>
      <c r="B7" s="51" t="n"/>
      <c r="C7" s="51" t="n"/>
      <c r="D7" s="32" t="n"/>
      <c r="J7" s="21" t="inlineStr">
        <is>
          <t>Página</t>
        </is>
      </c>
      <c r="K7" s="77" t="n"/>
      <c r="L7" s="2" t="inlineStr">
        <is>
          <t>1 de 1</t>
        </is>
      </c>
    </row>
    <row r="8">
      <c r="A8" s="27" t="inlineStr">
        <is>
          <t>Control del anticipo entregado, su amortización en cada acta y las retenciones aplicadas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7" t="n"/>
    </row>
    <row r="9" ht="15" customHeight="1" s="33">
      <c r="A9" s="39" t="inlineStr">
        <is>
          <t>1. DATOS GENERALES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7" t="n"/>
    </row>
    <row r="10" ht="18" customHeight="1" s="33">
      <c r="A10" s="21" t="inlineStr">
        <is>
          <t>Proyecto / Obra</t>
        </is>
      </c>
      <c r="B10" s="76" t="n"/>
      <c r="C10" s="77" t="n"/>
      <c r="D10" s="84" t="n"/>
      <c r="E10" s="85" t="n"/>
      <c r="F10" s="86" t="n"/>
      <c r="G10" s="21" t="inlineStr">
        <is>
          <t>Tipo de proyecto</t>
        </is>
      </c>
      <c r="H10" s="76" t="n"/>
      <c r="I10" s="77" t="n"/>
      <c r="J10" s="84" t="n"/>
      <c r="K10" s="85" t="n"/>
      <c r="L10" s="86" t="n"/>
    </row>
    <row r="11" ht="18" customHeight="1" s="33">
      <c r="A11" s="21" t="inlineStr">
        <is>
          <t>Contrato N°</t>
        </is>
      </c>
      <c r="B11" s="76" t="n"/>
      <c r="C11" s="77" t="n"/>
      <c r="D11" s="84" t="n"/>
      <c r="E11" s="85" t="n"/>
      <c r="F11" s="86" t="n"/>
      <c r="G11" s="21" t="inlineStr">
        <is>
          <t>Contratante</t>
        </is>
      </c>
      <c r="H11" s="76" t="n"/>
      <c r="I11" s="77" t="n"/>
      <c r="J11" s="84" t="n"/>
      <c r="K11" s="85" t="n"/>
      <c r="L11" s="86" t="n"/>
    </row>
    <row r="12" ht="18" customHeight="1" s="33">
      <c r="A12" s="21" t="inlineStr">
        <is>
          <t>Fecha del contrato</t>
        </is>
      </c>
      <c r="B12" s="76" t="n"/>
      <c r="C12" s="77" t="n"/>
      <c r="D12" s="84" t="n"/>
      <c r="E12" s="85" t="n"/>
      <c r="F12" s="86" t="n"/>
      <c r="G12" s="21" t="inlineStr">
        <is>
          <t>Fecha del anticipo</t>
        </is>
      </c>
      <c r="H12" s="76" t="n"/>
      <c r="I12" s="77" t="n"/>
      <c r="J12" s="84" t="n"/>
      <c r="K12" s="85" t="n"/>
      <c r="L12" s="86" t="n"/>
    </row>
    <row r="13" ht="15" customHeight="1" s="33">
      <c r="A13" s="39" t="inlineStr">
        <is>
          <t>2. CONDICIONES DEL CONTRATO</t>
        </is>
      </c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7" t="n"/>
    </row>
    <row r="14" ht="15" customHeight="1" s="33">
      <c r="A14" s="78" t="inlineStr">
        <is>
          <t>Valor del contrato</t>
        </is>
      </c>
      <c r="B14" s="76" t="n"/>
      <c r="C14" s="77" t="n"/>
      <c r="D14" s="87" t="n"/>
      <c r="E14" s="76" t="n"/>
      <c r="F14" s="77" t="n"/>
      <c r="G14" s="80" t="inlineStr">
        <is>
          <t>Normalmente el anticipo se amortiza con el mismo porcentaje del anticipo en cada acta (si se pactó 30 %, se descuenta el 30 % de cada acta hasta completar el anticipo). Si en el contrato se pactó otro porcentaje, escríbalo arriba.</t>
        </is>
      </c>
      <c r="H14" s="46" t="n"/>
      <c r="I14" s="46" t="n"/>
      <c r="J14" s="46" t="n"/>
      <c r="K14" s="46" t="n"/>
      <c r="L14" s="47" t="n"/>
    </row>
    <row r="15" ht="15" customHeight="1" s="33">
      <c r="A15" s="78" t="inlineStr">
        <is>
          <t>Anticipo pactado (%)</t>
        </is>
      </c>
      <c r="B15" s="76" t="n"/>
      <c r="C15" s="77" t="n"/>
      <c r="D15" s="88" t="n"/>
      <c r="E15" s="76" t="n"/>
      <c r="F15" s="77" t="n"/>
      <c r="G15" s="48" t="n"/>
      <c r="L15" s="49" t="n"/>
    </row>
    <row r="16" ht="15" customHeight="1" s="33">
      <c r="A16" s="78" t="inlineStr">
        <is>
          <t>Valor del anticipo</t>
        </is>
      </c>
      <c r="B16" s="76" t="n"/>
      <c r="C16" s="77" t="n"/>
      <c r="D16" s="89">
        <f>IF(OR(D14="",D15=""),"",D14*D15)</f>
        <v/>
      </c>
      <c r="E16" s="76" t="n"/>
      <c r="F16" s="77" t="n"/>
      <c r="G16" s="48" t="n"/>
      <c r="L16" s="49" t="n"/>
    </row>
    <row r="17" ht="15" customHeight="1" s="33">
      <c r="A17" s="78" t="inlineStr">
        <is>
          <t>Amortización por acta (%)</t>
        </is>
      </c>
      <c r="B17" s="76" t="n"/>
      <c r="C17" s="77" t="n"/>
      <c r="D17" s="88" t="n"/>
      <c r="E17" s="76" t="n"/>
      <c r="F17" s="77" t="n"/>
      <c r="G17" s="48" t="n"/>
      <c r="L17" s="49" t="n"/>
    </row>
    <row r="18" ht="15" customHeight="1" s="33">
      <c r="A18" s="78" t="inlineStr">
        <is>
          <t>Retegarantía (%)</t>
        </is>
      </c>
      <c r="B18" s="76" t="n"/>
      <c r="C18" s="77" t="n"/>
      <c r="D18" s="88" t="n"/>
      <c r="E18" s="76" t="n"/>
      <c r="F18" s="77" t="n"/>
      <c r="G18" s="50" t="n"/>
      <c r="H18" s="51" t="n"/>
      <c r="I18" s="51" t="n"/>
      <c r="J18" s="51" t="n"/>
      <c r="K18" s="51" t="n"/>
      <c r="L18" s="52" t="n"/>
    </row>
    <row r="19" ht="15" customHeight="1" s="33">
      <c r="A19" s="39" t="inlineStr">
        <is>
          <t>3. AMORTIZACIÓN Y DESCUENTOS POR ACTA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7" t="n"/>
    </row>
    <row r="20" ht="42" customHeight="1" s="33">
      <c r="A20" s="4" t="inlineStr">
        <is>
          <t>No.</t>
        </is>
      </c>
      <c r="B20" s="4" t="inlineStr">
        <is>
          <t>Acta N°</t>
        </is>
      </c>
      <c r="C20" s="4" t="inlineStr">
        <is>
          <t>Fecha</t>
        </is>
      </c>
      <c r="D20" s="4" t="inlineStr">
        <is>
          <t>Periodo o descripción</t>
        </is>
      </c>
      <c r="E20" s="4" t="inlineStr">
        <is>
          <t>Valor bruto del acta</t>
        </is>
      </c>
      <c r="F20" s="4" t="inlineStr">
        <is>
          <t>Amort. %</t>
        </is>
      </c>
      <c r="G20" s="4" t="inlineStr">
        <is>
          <t>Amortización del anticipo</t>
        </is>
      </c>
      <c r="H20" s="4" t="inlineStr">
        <is>
          <t>Retegar. %</t>
        </is>
      </c>
      <c r="I20" s="4" t="inlineStr">
        <is>
          <t>Retegarantía</t>
        </is>
      </c>
      <c r="J20" s="4" t="inlineStr">
        <is>
          <t>Otros descuentos</t>
        </is>
      </c>
      <c r="K20" s="4" t="inlineStr">
        <is>
          <t>Valor neto a pagar</t>
        </is>
      </c>
      <c r="L20" s="4" t="inlineStr">
        <is>
          <t>Saldo del anticipo por amortizar</t>
        </is>
      </c>
    </row>
    <row r="21" ht="22.05" customHeight="1" s="33">
      <c r="A21" s="90" t="n">
        <v>1</v>
      </c>
      <c r="B21" s="84" t="n"/>
      <c r="C21" s="91" t="n"/>
      <c r="D21" s="84" t="n"/>
      <c r="E21" s="92" t="n"/>
      <c r="F21" s="93">
        <f>IF(E21="","",$D$17)</f>
        <v/>
      </c>
      <c r="G21" s="94">
        <f>IF(E21="","",MIN(E21*F21,$D$16))</f>
        <v/>
      </c>
      <c r="H21" s="93">
        <f>IF(E21="","",$D$18)</f>
        <v/>
      </c>
      <c r="I21" s="94">
        <f>IF(E21="","",E21*H21)</f>
        <v/>
      </c>
      <c r="J21" s="95" t="n"/>
      <c r="K21" s="96">
        <f>IF(E21="","",E21-G21-I21-N(J21))</f>
        <v/>
      </c>
      <c r="L21" s="94">
        <f>IF(E21="","",$D$16-SUM(G$21:G21))</f>
        <v/>
      </c>
    </row>
    <row r="22" ht="22.05" customHeight="1" s="33">
      <c r="A22" s="90" t="n">
        <v>2</v>
      </c>
      <c r="B22" s="84" t="n"/>
      <c r="C22" s="91" t="n"/>
      <c r="D22" s="84" t="n"/>
      <c r="E22" s="92" t="n"/>
      <c r="F22" s="93">
        <f>IF(E22="","",$D$17)</f>
        <v/>
      </c>
      <c r="G22" s="94">
        <f>IF(E22="","",MIN(E22*F22,$D$16-SUM(G$20:G21)))</f>
        <v/>
      </c>
      <c r="H22" s="93">
        <f>IF(E22="","",$D$18)</f>
        <v/>
      </c>
      <c r="I22" s="94">
        <f>IF(E22="","",E22*H22)</f>
        <v/>
      </c>
      <c r="J22" s="95" t="n"/>
      <c r="K22" s="96">
        <f>IF(E22="","",E22-G22-I22-N(J22))</f>
        <v/>
      </c>
      <c r="L22" s="94">
        <f>IF(E22="","",$D$16-SUM(G$21:G22))</f>
        <v/>
      </c>
    </row>
    <row r="23" ht="22.05" customHeight="1" s="33">
      <c r="A23" s="90" t="n">
        <v>3</v>
      </c>
      <c r="B23" s="84" t="n"/>
      <c r="C23" s="91" t="n"/>
      <c r="D23" s="84" t="n"/>
      <c r="E23" s="92" t="n"/>
      <c r="F23" s="93">
        <f>IF(E23="","",$D$17)</f>
        <v/>
      </c>
      <c r="G23" s="94">
        <f>IF(E23="","",MIN(E23*F23,$D$16-SUM(G$20:G22)))</f>
        <v/>
      </c>
      <c r="H23" s="93">
        <f>IF(E23="","",$D$18)</f>
        <v/>
      </c>
      <c r="I23" s="94">
        <f>IF(E23="","",E23*H23)</f>
        <v/>
      </c>
      <c r="J23" s="95" t="n"/>
      <c r="K23" s="96">
        <f>IF(E23="","",E23-G23-I23-N(J23))</f>
        <v/>
      </c>
      <c r="L23" s="94">
        <f>IF(E23="","",$D$16-SUM(G$21:G23))</f>
        <v/>
      </c>
    </row>
    <row r="24" ht="22.05" customHeight="1" s="33">
      <c r="A24" s="90" t="n">
        <v>4</v>
      </c>
      <c r="B24" s="84" t="n"/>
      <c r="C24" s="91" t="n"/>
      <c r="D24" s="84" t="n"/>
      <c r="E24" s="92" t="n"/>
      <c r="F24" s="93">
        <f>IF(E24="","",$D$17)</f>
        <v/>
      </c>
      <c r="G24" s="94">
        <f>IF(E24="","",MIN(E24*F24,$D$16-SUM(G$20:G23)))</f>
        <v/>
      </c>
      <c r="H24" s="97">
        <f>IF(E24="","",$D$18)</f>
        <v/>
      </c>
      <c r="I24" s="94">
        <f>IF(E24="","",E24*H24)</f>
        <v/>
      </c>
      <c r="J24" s="95" t="n"/>
      <c r="K24" s="96">
        <f>IF(E24="","",E24-G24-I24-N(J24))</f>
        <v/>
      </c>
      <c r="L24" s="94">
        <f>IF(E24="","",$D$16-SUM(G$21:G24))</f>
        <v/>
      </c>
    </row>
    <row r="25" ht="22.05" customHeight="1" s="33">
      <c r="A25" s="90" t="n">
        <v>5</v>
      </c>
      <c r="B25" s="84" t="n"/>
      <c r="C25" s="91" t="n"/>
      <c r="D25" s="84" t="n"/>
      <c r="E25" s="92" t="n"/>
      <c r="F25" s="93">
        <f>IF(E25="","",$D$17)</f>
        <v/>
      </c>
      <c r="G25" s="94">
        <f>IF(E25="","",MIN(E25*F25,$D$16-SUM(G$20:G24)))</f>
        <v/>
      </c>
      <c r="H25" s="93">
        <f>IF(E25="","",$D$18)</f>
        <v/>
      </c>
      <c r="I25" s="94">
        <f>IF(E25="","",E25*H25)</f>
        <v/>
      </c>
      <c r="J25" s="95" t="n"/>
      <c r="K25" s="96">
        <f>IF(E25="","",E25-G25-I25-N(J25))</f>
        <v/>
      </c>
      <c r="L25" s="94">
        <f>IF(E25="","",$D$16-SUM(G$21:G25))</f>
        <v/>
      </c>
    </row>
    <row r="26" ht="22.05" customHeight="1" s="33">
      <c r="A26" s="90" t="n">
        <v>6</v>
      </c>
      <c r="B26" s="84" t="n"/>
      <c r="C26" s="91" t="n"/>
      <c r="D26" s="84" t="n"/>
      <c r="E26" s="92" t="n"/>
      <c r="F26" s="93">
        <f>IF(E26="","",$D$17)</f>
        <v/>
      </c>
      <c r="G26" s="94">
        <f>IF(E26="","",MIN(E26*F26,$D$16-SUM(G$20:G25)))</f>
        <v/>
      </c>
      <c r="H26" s="93">
        <f>IF(E26="","",$D$18)</f>
        <v/>
      </c>
      <c r="I26" s="94">
        <f>IF(E26="","",E26*H26)</f>
        <v/>
      </c>
      <c r="J26" s="95" t="n"/>
      <c r="K26" s="96">
        <f>IF(E26="","",E26-G26-I26-N(J26))</f>
        <v/>
      </c>
      <c r="L26" s="94">
        <f>IF(E26="","",$D$16-SUM(G$21:G26))</f>
        <v/>
      </c>
    </row>
    <row r="27" ht="22.05" customHeight="1" s="33">
      <c r="A27" s="90" t="n">
        <v>7</v>
      </c>
      <c r="B27" s="84" t="n"/>
      <c r="C27" s="91" t="n"/>
      <c r="D27" s="84" t="n"/>
      <c r="E27" s="92" t="n"/>
      <c r="F27" s="93">
        <f>IF(E27="","",$D$17)</f>
        <v/>
      </c>
      <c r="G27" s="94">
        <f>IF(E27="","",MIN(E27*F27,$D$16-SUM(G$20:G26)))</f>
        <v/>
      </c>
      <c r="H27" s="93">
        <f>IF(E27="","",$D$18)</f>
        <v/>
      </c>
      <c r="I27" s="94">
        <f>IF(E27="","",E27*H27)</f>
        <v/>
      </c>
      <c r="J27" s="95" t="n"/>
      <c r="K27" s="96">
        <f>IF(E27="","",E27-G27-I27-N(J27))</f>
        <v/>
      </c>
      <c r="L27" s="94">
        <f>IF(E27="","",$D$16-SUM(G$21:G27))</f>
        <v/>
      </c>
    </row>
    <row r="28" ht="22.05" customHeight="1" s="33">
      <c r="A28" s="90" t="n">
        <v>8</v>
      </c>
      <c r="B28" s="84" t="n"/>
      <c r="C28" s="91" t="n"/>
      <c r="D28" s="84" t="n"/>
      <c r="E28" s="92" t="n"/>
      <c r="F28" s="93">
        <f>IF(E28="","",$D$17)</f>
        <v/>
      </c>
      <c r="G28" s="94">
        <f>IF(E28="","",MIN(E28*F28,$D$16-SUM(G$20:G27)))</f>
        <v/>
      </c>
      <c r="H28" s="93">
        <f>IF(E28="","",$D$18)</f>
        <v/>
      </c>
      <c r="I28" s="94">
        <f>IF(E28="","",E28*H28)</f>
        <v/>
      </c>
      <c r="J28" s="95" t="n"/>
      <c r="K28" s="96">
        <f>IF(E28="","",E28-G28-I28-N(J28))</f>
        <v/>
      </c>
      <c r="L28" s="94">
        <f>IF(E28="","",$D$16-SUM(G$21:G28))</f>
        <v/>
      </c>
    </row>
    <row r="29" ht="22.05" customHeight="1" s="33">
      <c r="A29" s="90" t="n">
        <v>9</v>
      </c>
      <c r="B29" s="84" t="n"/>
      <c r="C29" s="91" t="n"/>
      <c r="D29" s="84" t="n"/>
      <c r="E29" s="92" t="n"/>
      <c r="F29" s="93">
        <f>IF(E29="","",$D$17)</f>
        <v/>
      </c>
      <c r="G29" s="94">
        <f>IF(E29="","",MIN(E29*F29,$D$16-SUM(G$20:G28)))</f>
        <v/>
      </c>
      <c r="H29" s="93">
        <f>IF(E29="","",$D$18)</f>
        <v/>
      </c>
      <c r="I29" s="94">
        <f>IF(E29="","",E29*H29)</f>
        <v/>
      </c>
      <c r="J29" s="95" t="n"/>
      <c r="K29" s="96">
        <f>IF(E29="","",E29-G29-I29-N(J29))</f>
        <v/>
      </c>
      <c r="L29" s="94">
        <f>IF(E29="","",$D$16-SUM(G$21:G29))</f>
        <v/>
      </c>
    </row>
    <row r="30" ht="22.05" customHeight="1" s="33">
      <c r="A30" s="90" t="n">
        <v>10</v>
      </c>
      <c r="B30" s="84" t="n"/>
      <c r="C30" s="91" t="n"/>
      <c r="D30" s="84" t="n"/>
      <c r="E30" s="92" t="n"/>
      <c r="F30" s="93">
        <f>IF(E30="","",$D$17)</f>
        <v/>
      </c>
      <c r="G30" s="94">
        <f>IF(E30="","",MIN(E30*F30,$D$16-SUM(G$20:G29)))</f>
        <v/>
      </c>
      <c r="H30" s="93">
        <f>IF(E30="","",$D$18)</f>
        <v/>
      </c>
      <c r="I30" s="94">
        <f>IF(E30="","",E30*H30)</f>
        <v/>
      </c>
      <c r="J30" s="95" t="n"/>
      <c r="K30" s="96">
        <f>IF(E30="","",E30-G30-I30-N(J30))</f>
        <v/>
      </c>
      <c r="L30" s="94">
        <f>IF(E30="","",$D$16-SUM(G$21:G30))</f>
        <v/>
      </c>
    </row>
    <row r="31" ht="22.05" customHeight="1" s="33">
      <c r="A31" s="90" t="n">
        <v>11</v>
      </c>
      <c r="B31" s="84" t="n"/>
      <c r="C31" s="91" t="n"/>
      <c r="D31" s="84" t="n"/>
      <c r="E31" s="92" t="n"/>
      <c r="F31" s="93">
        <f>IF(E31="","",$D$17)</f>
        <v/>
      </c>
      <c r="G31" s="94">
        <f>IF(E31="","",MIN(E31*F31,$D$16-SUM(G$20:G30)))</f>
        <v/>
      </c>
      <c r="H31" s="93">
        <f>IF(E31="","",$D$18)</f>
        <v/>
      </c>
      <c r="I31" s="94">
        <f>IF(E31="","",E31*H31)</f>
        <v/>
      </c>
      <c r="J31" s="95" t="n"/>
      <c r="K31" s="96">
        <f>IF(E31="","",E31-G31-I31-N(J31))</f>
        <v/>
      </c>
      <c r="L31" s="94">
        <f>IF(E31="","",$D$16-SUM(G$21:G31))</f>
        <v/>
      </c>
    </row>
    <row r="32" ht="22.05" customHeight="1" s="33">
      <c r="A32" s="90" t="n">
        <v>12</v>
      </c>
      <c r="B32" s="84" t="n"/>
      <c r="C32" s="91" t="n"/>
      <c r="D32" s="84" t="n"/>
      <c r="E32" s="92" t="n"/>
      <c r="F32" s="93">
        <f>IF(E32="","",$D$17)</f>
        <v/>
      </c>
      <c r="G32" s="94">
        <f>IF(E32="","",MIN(E32*F32,$D$16-SUM(G$20:G31)))</f>
        <v/>
      </c>
      <c r="H32" s="93">
        <f>IF(E32="","",$D$18)</f>
        <v/>
      </c>
      <c r="I32" s="94">
        <f>IF(E32="","",E32*H32)</f>
        <v/>
      </c>
      <c r="J32" s="95" t="n"/>
      <c r="K32" s="96">
        <f>IF(E32="","",E32-G32-I32-N(J32))</f>
        <v/>
      </c>
      <c r="L32" s="94">
        <f>IF(E32="","",$D$16-SUM(G$21:G32))</f>
        <v/>
      </c>
    </row>
    <row r="33" ht="22.05" customHeight="1" s="33">
      <c r="A33" s="90" t="n">
        <v>13</v>
      </c>
      <c r="B33" s="84" t="n"/>
      <c r="C33" s="91" t="n"/>
      <c r="D33" s="84" t="n"/>
      <c r="E33" s="92" t="n"/>
      <c r="F33" s="93">
        <f>IF(E33="","",$D$17)</f>
        <v/>
      </c>
      <c r="G33" s="94">
        <f>IF(E33="","",MIN(E33*F33,$D$16-SUM(G$20:G32)))</f>
        <v/>
      </c>
      <c r="H33" s="93">
        <f>IF(E33="","",$D$18)</f>
        <v/>
      </c>
      <c r="I33" s="94">
        <f>IF(E33="","",E33*H33)</f>
        <v/>
      </c>
      <c r="J33" s="95" t="n"/>
      <c r="K33" s="96">
        <f>IF(E33="","",E33-G33-I33-N(J33))</f>
        <v/>
      </c>
      <c r="L33" s="94">
        <f>IF(E33="","",$D$16-SUM(G$21:G33))</f>
        <v/>
      </c>
    </row>
    <row r="34" ht="22.05" customHeight="1" s="33">
      <c r="A34" s="90" t="n">
        <v>14</v>
      </c>
      <c r="B34" s="84" t="n"/>
      <c r="C34" s="91" t="n"/>
      <c r="D34" s="84" t="n"/>
      <c r="E34" s="92" t="n"/>
      <c r="F34" s="93">
        <f>IF(E34="","",$D$17)</f>
        <v/>
      </c>
      <c r="G34" s="94">
        <f>IF(E34="","",MIN(E34*F34,$D$16-SUM(G$20:G33)))</f>
        <v/>
      </c>
      <c r="H34" s="93">
        <f>IF(E34="","",$D$18)</f>
        <v/>
      </c>
      <c r="I34" s="94">
        <f>IF(E34="","",E34*H34)</f>
        <v/>
      </c>
      <c r="J34" s="95" t="n"/>
      <c r="K34" s="96">
        <f>IF(E34="","",E34-G34-I34-N(J34))</f>
        <v/>
      </c>
      <c r="L34" s="94">
        <f>IF(E34="","",$D$16-SUM(G$21:G34))</f>
        <v/>
      </c>
    </row>
    <row r="35" ht="15" customHeight="1" s="33">
      <c r="A35" s="35" t="inlineStr">
        <is>
          <t>TOTALES</t>
        </is>
      </c>
      <c r="B35" s="76" t="n"/>
      <c r="C35" s="76" t="n"/>
      <c r="D35" s="77" t="n"/>
      <c r="E35" s="98">
        <f>SUM(E21:E34)</f>
        <v/>
      </c>
      <c r="F35" s="34" t="n"/>
      <c r="G35" s="98">
        <f>SUM(G21:G34)</f>
        <v/>
      </c>
      <c r="H35" s="34" t="n"/>
      <c r="I35" s="98">
        <f>SUM(I21:I34)</f>
        <v/>
      </c>
      <c r="J35" s="98">
        <f>SUM(J21:J34)</f>
        <v/>
      </c>
      <c r="K35" s="98">
        <f>SUM(K21:K34)</f>
        <v/>
      </c>
      <c r="L35" s="98">
        <f>IF(D16="","",D16-G35)</f>
        <v/>
      </c>
    </row>
    <row r="36" ht="15" customHeight="1" s="33"/>
    <row r="37" ht="15" customHeight="1" s="33">
      <c r="A37" s="39" t="inlineStr">
        <is>
          <t>FIRMAS</t>
        </is>
      </c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7" t="n"/>
    </row>
    <row r="38" ht="15" customHeight="1" s="33">
      <c r="A38" s="27" t="inlineStr">
        <is>
          <t>REGISTRÓ — ADMINISTRACIÓN</t>
        </is>
      </c>
      <c r="B38" s="76" t="n"/>
      <c r="C38" s="76" t="n"/>
      <c r="D38" s="76" t="n"/>
      <c r="E38" s="76" t="n"/>
      <c r="F38" s="77" t="n"/>
      <c r="G38" s="27" t="inlineStr">
        <is>
          <t>REVISÓ — DIRECTOR DE OBRA</t>
        </is>
      </c>
      <c r="H38" s="76" t="n"/>
      <c r="I38" s="76" t="n"/>
      <c r="J38" s="76" t="n"/>
      <c r="K38" s="76" t="n"/>
      <c r="L38" s="77" t="n"/>
    </row>
    <row r="39" ht="15" customHeight="1" s="33">
      <c r="A39" s="21" t="inlineStr">
        <is>
          <t>Firma:</t>
        </is>
      </c>
      <c r="B39" s="76" t="n"/>
      <c r="C39" s="77" t="n"/>
      <c r="D39" s="84" t="n"/>
      <c r="E39" s="85" t="n"/>
      <c r="F39" s="86" t="n"/>
      <c r="G39" s="21" t="inlineStr">
        <is>
          <t>Firma:</t>
        </is>
      </c>
      <c r="H39" s="76" t="n"/>
      <c r="I39" s="77" t="n"/>
      <c r="J39" s="84" t="n"/>
      <c r="K39" s="85" t="n"/>
      <c r="L39" s="86" t="n"/>
    </row>
    <row r="40" ht="15" customHeight="1" s="33">
      <c r="A40" s="21" t="inlineStr">
        <is>
          <t>Nombre:</t>
        </is>
      </c>
      <c r="B40" s="76" t="n"/>
      <c r="C40" s="77" t="n"/>
      <c r="D40" s="84" t="n"/>
      <c r="E40" s="85" t="n"/>
      <c r="F40" s="86" t="n"/>
      <c r="G40" s="21" t="inlineStr">
        <is>
          <t>Nombre:</t>
        </is>
      </c>
      <c r="H40" s="76" t="n"/>
      <c r="I40" s="77" t="n"/>
      <c r="J40" s="84" t="n"/>
      <c r="K40" s="85" t="n"/>
      <c r="L40" s="86" t="n"/>
    </row>
    <row r="41" ht="15" customHeight="1" s="33">
      <c r="A41" s="21" t="inlineStr">
        <is>
          <t>Cargo:</t>
        </is>
      </c>
      <c r="B41" s="76" t="n"/>
      <c r="C41" s="77" t="n"/>
      <c r="D41" s="84" t="n"/>
      <c r="E41" s="85" t="n"/>
      <c r="F41" s="86" t="n"/>
      <c r="G41" s="21" t="inlineStr">
        <is>
          <t>Cargo:</t>
        </is>
      </c>
      <c r="H41" s="76" t="n"/>
      <c r="I41" s="77" t="n"/>
      <c r="J41" s="84" t="n"/>
      <c r="K41" s="85" t="n"/>
      <c r="L41" s="8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6">
    <mergeCell ref="D2:L2"/>
    <mergeCell ref="A41:C41"/>
    <mergeCell ref="D11:F11"/>
    <mergeCell ref="G10:I10"/>
    <mergeCell ref="J5:K5"/>
    <mergeCell ref="A1:C7"/>
    <mergeCell ref="D41:F41"/>
    <mergeCell ref="A35:D35"/>
    <mergeCell ref="A37:L37"/>
    <mergeCell ref="A18:C18"/>
    <mergeCell ref="D17:F17"/>
    <mergeCell ref="A12:C12"/>
    <mergeCell ref="D7:I7"/>
    <mergeCell ref="D16:F16"/>
    <mergeCell ref="J11:L11"/>
    <mergeCell ref="J41:L41"/>
    <mergeCell ref="J6:K6"/>
    <mergeCell ref="D4:I4"/>
    <mergeCell ref="A14:C14"/>
    <mergeCell ref="D18:F18"/>
    <mergeCell ref="A17:C17"/>
    <mergeCell ref="D12:F12"/>
    <mergeCell ref="A8:L8"/>
    <mergeCell ref="D3:I3"/>
    <mergeCell ref="J12:L12"/>
    <mergeCell ref="D39:F39"/>
    <mergeCell ref="D15:F15"/>
    <mergeCell ref="J3:L3"/>
    <mergeCell ref="A10:C10"/>
    <mergeCell ref="A38:F38"/>
    <mergeCell ref="J4:K4"/>
    <mergeCell ref="D14:F14"/>
    <mergeCell ref="G14:L18"/>
    <mergeCell ref="G41:I41"/>
    <mergeCell ref="A19:L19"/>
    <mergeCell ref="D5:I5"/>
    <mergeCell ref="J7:K7"/>
    <mergeCell ref="A13:L13"/>
    <mergeCell ref="A40:C40"/>
    <mergeCell ref="J39:L39"/>
    <mergeCell ref="G40:I40"/>
    <mergeCell ref="A9:L9"/>
    <mergeCell ref="G12:I12"/>
    <mergeCell ref="A15:C15"/>
    <mergeCell ref="A39:C39"/>
    <mergeCell ref="D10:F10"/>
    <mergeCell ref="G11:I11"/>
    <mergeCell ref="D1:L1"/>
    <mergeCell ref="A11:C11"/>
    <mergeCell ref="J10:L10"/>
    <mergeCell ref="D6:I6"/>
    <mergeCell ref="D40:F40"/>
    <mergeCell ref="G39:I39"/>
    <mergeCell ref="J40:L40"/>
    <mergeCell ref="A16:C16"/>
    <mergeCell ref="G38:L38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2026-10-10T05:18:03Z</dcterms:modified>
  <cp:lastModifiedBy>Hugo Fernando Hurtado Ruiz</cp:lastModifiedBy>
</cp:coreProperties>
</file>