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Inspeccione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0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466924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1004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7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5.77734375" customWidth="1" style="127" min="1" max="2"/>
    <col width="13" customWidth="1" style="127" min="3" max="3"/>
    <col width="15.77734375" customWidth="1" style="127" min="4" max="10"/>
    <col width="12" customWidth="1" style="127" min="11" max="11"/>
    <col width="13" customWidth="1" style="127" min="12" max="12"/>
    <col width="8.88671875" customWidth="1" style="127" min="13" max="16384"/>
  </cols>
  <sheetData>
    <row r="1" ht="40.05" customHeight="1" s="127">
      <c r="D1" s="133" t="inlineStr">
        <is>
          <t>INSPECCIÓN DE SEGURIDAD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RYR-SS-010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28" t="n"/>
      <c r="E7" s="28" t="n"/>
      <c r="F7" s="28" t="n"/>
      <c r="G7" s="28" t="n"/>
      <c r="H7" s="28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29" t="n"/>
      <c r="E8" s="29" t="n"/>
      <c r="F8" s="29" t="n"/>
      <c r="G8" s="29" t="n"/>
      <c r="H8" s="29" t="n"/>
      <c r="I8" s="67" t="n"/>
      <c r="J8" s="5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142" t="inlineStr">
        <is>
          <t>Inspección planeada de condiciones, equipos y orden en obra · Decreto 1072 de 2015 · Resolución 0312 de 2019</t>
        </is>
      </c>
      <c r="B9" s="356" t="n"/>
      <c r="C9" s="356" t="n"/>
      <c r="D9" s="356" t="n"/>
      <c r="E9" s="356" t="n"/>
      <c r="F9" s="356" t="n"/>
      <c r="G9" s="356" t="n"/>
      <c r="H9" s="356" t="n"/>
      <c r="I9" s="356" t="n"/>
      <c r="J9" s="356" t="n"/>
      <c r="K9" s="356" t="n"/>
      <c r="L9" s="357" t="n"/>
    </row>
    <row r="10" ht="16.5" customHeight="1" s="127">
      <c r="A10" s="137" t="inlineStr">
        <is>
          <t>1. DATOS DE LA INSPECCIÓN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59" t="inlineStr">
        <is>
          <t>Proyecto / Obra</t>
        </is>
      </c>
      <c r="B11" s="89" t="n"/>
      <c r="C11" s="161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89" t="n"/>
    </row>
    <row r="12" ht="21" customHeight="1" s="127">
      <c r="A12" s="59" t="inlineStr">
        <is>
          <t>Contratista / Empresa</t>
        </is>
      </c>
      <c r="B12" s="89" t="n"/>
      <c r="C12" s="68" t="n"/>
      <c r="D12" s="93" t="n"/>
      <c r="E12" s="93" t="n"/>
      <c r="F12" s="93" t="n"/>
      <c r="G12" s="89" t="n"/>
      <c r="H12" s="59" t="inlineStr">
        <is>
          <t>Ubicación</t>
        </is>
      </c>
      <c r="I12" s="89" t="n"/>
      <c r="J12" s="68" t="n"/>
      <c r="K12" s="93" t="n"/>
      <c r="L12" s="89" t="n"/>
    </row>
    <row r="13" ht="21" customHeight="1" s="127">
      <c r="A13" s="59" t="inlineStr">
        <is>
          <t>Fecha de la inspección</t>
        </is>
      </c>
      <c r="B13" s="89" t="n"/>
      <c r="C13" s="69" t="n"/>
      <c r="D13" s="59" t="inlineStr">
        <is>
          <t>Hora inicio</t>
        </is>
      </c>
      <c r="E13" s="69" t="n"/>
      <c r="F13" s="59" t="inlineStr">
        <is>
          <t>Hora fin</t>
        </is>
      </c>
      <c r="G13" s="69" t="n"/>
      <c r="H13" s="59" t="inlineStr">
        <is>
          <t>Duración</t>
        </is>
      </c>
      <c r="I13" s="69">
        <f>IFERROR(IF(OR(E13="",G13=""),"",TEXT(G13-E13,"h:mm")),"")</f>
        <v/>
      </c>
      <c r="J13" s="59" t="inlineStr">
        <is>
          <t>N° de inspección</t>
        </is>
      </c>
      <c r="K13" s="69" t="n"/>
      <c r="L13" s="89" t="n"/>
    </row>
    <row r="14" ht="21" customHeight="1" s="127">
      <c r="A14" s="59" t="inlineStr">
        <is>
          <t>Tipo de inspección</t>
        </is>
      </c>
      <c r="B14" s="89" t="n"/>
      <c r="C14" s="68" t="n"/>
      <c r="D14" s="93" t="n"/>
      <c r="E14" s="93" t="n"/>
      <c r="F14" s="93" t="n"/>
      <c r="G14" s="89" t="n"/>
      <c r="H14" s="59" t="inlineStr">
        <is>
          <t>Área / frente inspeccionado</t>
        </is>
      </c>
      <c r="I14" s="89" t="n"/>
      <c r="J14" s="68" t="n"/>
      <c r="K14" s="93" t="n"/>
      <c r="L14" s="89" t="n"/>
    </row>
    <row r="15" ht="21" customHeight="1" s="127">
      <c r="A15" s="59" t="inlineStr">
        <is>
          <t>Inspector</t>
        </is>
      </c>
      <c r="B15" s="89" t="n"/>
      <c r="C15" s="68" t="n"/>
      <c r="D15" s="93" t="n"/>
      <c r="E15" s="93" t="n"/>
      <c r="F15" s="93" t="n"/>
      <c r="G15" s="89" t="n"/>
      <c r="H15" s="59" t="inlineStr">
        <is>
          <t>Cargo</t>
        </is>
      </c>
      <c r="I15" s="89" t="n"/>
      <c r="J15" s="68" t="n"/>
      <c r="K15" s="93" t="n"/>
      <c r="L15" s="89" t="n"/>
    </row>
    <row r="16" ht="21" customHeight="1" s="127">
      <c r="A16" s="59" t="inlineStr">
        <is>
          <t>Acompaña (responsable del área)</t>
        </is>
      </c>
      <c r="B16" s="89" t="n"/>
      <c r="C16" s="68" t="n"/>
      <c r="D16" s="93" t="n"/>
      <c r="E16" s="93" t="n"/>
      <c r="F16" s="93" t="n"/>
      <c r="G16" s="89" t="n"/>
      <c r="H16" s="59" t="inlineStr">
        <is>
          <t>Cargo</t>
        </is>
      </c>
      <c r="I16" s="89" t="n"/>
      <c r="J16" s="68" t="n"/>
      <c r="K16" s="93" t="n"/>
      <c r="L16" s="89" t="n"/>
    </row>
    <row r="17" ht="16.5" customHeight="1" s="127">
      <c r="A17" s="227" t="inlineStr">
        <is>
          <t>2. LISTA DE VERIFICACIÓN (marque con X la casilla que corresponda)</t>
        </is>
      </c>
      <c r="L17" s="92" t="n"/>
    </row>
    <row r="18" ht="19.05" customHeight="1" s="127">
      <c r="A18" s="259" t="inlineStr">
        <is>
          <t>No.</t>
        </is>
      </c>
      <c r="B18" s="259" t="inlineStr">
        <is>
          <t>Aspecto verificado</t>
        </is>
      </c>
      <c r="C18" s="347" t="n"/>
      <c r="D18" s="347" t="n"/>
      <c r="E18" s="347" t="n"/>
      <c r="F18" s="347" t="n"/>
      <c r="G18" s="348" t="n"/>
      <c r="H18" s="259" t="inlineStr">
        <is>
          <t>Cumple</t>
        </is>
      </c>
      <c r="I18" s="259" t="inlineStr">
        <is>
          <t>No cumple</t>
        </is>
      </c>
      <c r="J18" s="259" t="inlineStr">
        <is>
          <t>N/A</t>
        </is>
      </c>
      <c r="K18" s="259" t="inlineStr">
        <is>
          <t>Observación / hallazgo</t>
        </is>
      </c>
      <c r="L18" s="348" t="n"/>
    </row>
    <row r="19" ht="15" customHeight="1" s="127">
      <c r="A19" s="307" t="inlineStr">
        <is>
          <t>A. ORDEN Y ASEO</t>
        </is>
      </c>
      <c r="B19" s="98" t="n"/>
      <c r="C19" s="98" t="n"/>
      <c r="D19" s="98" t="n"/>
      <c r="E19" s="98" t="n"/>
      <c r="F19" s="98" t="n"/>
      <c r="G19" s="98" t="n"/>
      <c r="H19" s="98" t="n"/>
      <c r="I19" s="98" t="n"/>
      <c r="J19" s="98" t="n"/>
      <c r="K19" s="98" t="n"/>
      <c r="L19" s="97" t="n"/>
    </row>
    <row r="20" ht="16.95" customHeight="1" s="127">
      <c r="A20" s="126" t="n">
        <v>1</v>
      </c>
      <c r="B20" s="72" t="inlineStr">
        <is>
          <t>Áreas de trabajo y de circulación despejadas</t>
        </is>
      </c>
      <c r="C20" s="93" t="n"/>
      <c r="D20" s="93" t="n"/>
      <c r="E20" s="93" t="n"/>
      <c r="F20" s="93" t="n"/>
      <c r="G20" s="89" t="n"/>
      <c r="H20" s="126" t="n"/>
      <c r="I20" s="126" t="n"/>
      <c r="J20" s="126" t="n"/>
      <c r="K20" s="76" t="n"/>
      <c r="L20" s="89" t="n"/>
    </row>
    <row r="21" ht="16.95" customHeight="1" s="127">
      <c r="A21" s="126" t="n">
        <v>2</v>
      </c>
      <c r="B21" s="72" t="inlineStr">
        <is>
          <t>Materiales apilados y almacenados de forma segura</t>
        </is>
      </c>
      <c r="C21" s="93" t="n"/>
      <c r="D21" s="93" t="n"/>
      <c r="E21" s="93" t="n"/>
      <c r="F21" s="93" t="n"/>
      <c r="G21" s="89" t="n"/>
      <c r="H21" s="126" t="n"/>
      <c r="I21" s="126" t="n"/>
      <c r="J21" s="126" t="n"/>
      <c r="K21" s="76" t="n"/>
      <c r="L21" s="89" t="n"/>
    </row>
    <row r="22" ht="16.95" customHeight="1" s="127">
      <c r="A22" s="126" t="n">
        <v>3</v>
      </c>
      <c r="B22" s="72" t="inlineStr">
        <is>
          <t>Residuos clasificados y recipientes disponibles</t>
        </is>
      </c>
      <c r="C22" s="93" t="n"/>
      <c r="D22" s="93" t="n"/>
      <c r="E22" s="93" t="n"/>
      <c r="F22" s="93" t="n"/>
      <c r="G22" s="89" t="n"/>
      <c r="H22" s="126" t="n"/>
      <c r="I22" s="126" t="n"/>
      <c r="J22" s="126" t="n"/>
      <c r="K22" s="76" t="n"/>
      <c r="L22" s="89" t="n"/>
    </row>
    <row r="23" ht="16.95" customHeight="1" s="127">
      <c r="A23" s="126" t="n">
        <v>4</v>
      </c>
      <c r="B23" s="72" t="inlineStr">
        <is>
          <t>Baños, comedor y campamento en condiciones de higiene</t>
        </is>
      </c>
      <c r="C23" s="93" t="n"/>
      <c r="D23" s="93" t="n"/>
      <c r="E23" s="93" t="n"/>
      <c r="F23" s="93" t="n"/>
      <c r="G23" s="89" t="n"/>
      <c r="H23" s="126" t="n"/>
      <c r="I23" s="126" t="n"/>
      <c r="J23" s="126" t="n"/>
      <c r="K23" s="76" t="n"/>
      <c r="L23" s="89" t="n"/>
    </row>
    <row r="24" ht="15" customHeight="1" s="127">
      <c r="A24" s="162" t="inlineStr">
        <is>
          <t>B. SEÑALIZACIÓN Y DEMARCACIÓN</t>
        </is>
      </c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89" t="n"/>
    </row>
    <row r="25" ht="16.95" customHeight="1" s="127">
      <c r="A25" s="126" t="n">
        <v>5</v>
      </c>
      <c r="B25" s="72" t="inlineStr">
        <is>
          <t>Señalización de seguridad visible y completa</t>
        </is>
      </c>
      <c r="C25" s="93" t="n"/>
      <c r="D25" s="93" t="n"/>
      <c r="E25" s="93" t="n"/>
      <c r="F25" s="93" t="n"/>
      <c r="G25" s="89" t="n"/>
      <c r="H25" s="126" t="n"/>
      <c r="I25" s="126" t="n"/>
      <c r="J25" s="126" t="n"/>
      <c r="K25" s="76" t="n"/>
      <c r="L25" s="89" t="n"/>
    </row>
    <row r="26" ht="16.95" customHeight="1" s="127">
      <c r="A26" s="126" t="n">
        <v>6</v>
      </c>
      <c r="B26" s="72" t="inlineStr">
        <is>
          <t>Áreas de riesgo demarcadas y cerradas</t>
        </is>
      </c>
      <c r="C26" s="93" t="n"/>
      <c r="D26" s="93" t="n"/>
      <c r="E26" s="93" t="n"/>
      <c r="F26" s="93" t="n"/>
      <c r="G26" s="89" t="n"/>
      <c r="H26" s="126" t="n"/>
      <c r="I26" s="126" t="n"/>
      <c r="J26" s="126" t="n"/>
      <c r="K26" s="76" t="n"/>
      <c r="L26" s="89" t="n"/>
    </row>
    <row r="27" ht="16.95" customHeight="1" s="127">
      <c r="A27" s="126" t="n">
        <v>7</v>
      </c>
      <c r="B27" s="72" t="inlineStr">
        <is>
          <t>Rutas de evacuación y puntos de encuentro señalizados</t>
        </is>
      </c>
      <c r="C27" s="93" t="n"/>
      <c r="D27" s="93" t="n"/>
      <c r="E27" s="93" t="n"/>
      <c r="F27" s="93" t="n"/>
      <c r="G27" s="89" t="n"/>
      <c r="H27" s="126" t="n"/>
      <c r="I27" s="126" t="n"/>
      <c r="J27" s="126" t="n"/>
      <c r="K27" s="76" t="n"/>
      <c r="L27" s="89" t="n"/>
    </row>
    <row r="28" ht="15" customHeight="1" s="127">
      <c r="A28" s="162" t="inlineStr">
        <is>
          <t>C. HERRAMIENTAS Y EQUIPOS</t>
        </is>
      </c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89" t="n"/>
    </row>
    <row r="29" ht="16.95" customHeight="1" s="127">
      <c r="A29" s="126" t="n">
        <v>8</v>
      </c>
      <c r="B29" s="72" t="inlineStr">
        <is>
          <t>Herramientas manuales en buen estado y bien almacenadas</t>
        </is>
      </c>
      <c r="C29" s="93" t="n"/>
      <c r="D29" s="93" t="n"/>
      <c r="E29" s="93" t="n"/>
      <c r="F29" s="93" t="n"/>
      <c r="G29" s="89" t="n"/>
      <c r="H29" s="126" t="n"/>
      <c r="I29" s="126" t="n"/>
      <c r="J29" s="126" t="n"/>
      <c r="K29" s="76" t="n"/>
      <c r="L29" s="89" t="n"/>
    </row>
    <row r="30" ht="16.95" customHeight="1" s="127">
      <c r="A30" s="126" t="n">
        <v>9</v>
      </c>
      <c r="B30" s="72" t="inlineStr">
        <is>
          <t>Equipos eléctricos con guardas y cables en buen estado</t>
        </is>
      </c>
      <c r="C30" s="93" t="n"/>
      <c r="D30" s="93" t="n"/>
      <c r="E30" s="93" t="n"/>
      <c r="F30" s="93" t="n"/>
      <c r="G30" s="89" t="n"/>
      <c r="H30" s="126" t="n"/>
      <c r="I30" s="126" t="n"/>
      <c r="J30" s="126" t="n"/>
      <c r="K30" s="76" t="n"/>
      <c r="L30" s="89" t="n"/>
    </row>
    <row r="31" ht="16.95" customHeight="1" s="127">
      <c r="A31" s="126" t="n">
        <v>10</v>
      </c>
      <c r="B31" s="72" t="inlineStr">
        <is>
          <t>Maquinaria con inspección preoperacional al día</t>
        </is>
      </c>
      <c r="C31" s="93" t="n"/>
      <c r="D31" s="93" t="n"/>
      <c r="E31" s="93" t="n"/>
      <c r="F31" s="93" t="n"/>
      <c r="G31" s="89" t="n"/>
      <c r="H31" s="126" t="n"/>
      <c r="I31" s="126" t="n"/>
      <c r="J31" s="126" t="n"/>
      <c r="K31" s="76" t="n"/>
      <c r="L31" s="89" t="n"/>
    </row>
    <row r="32" ht="16.95" customHeight="1" s="127">
      <c r="A32" s="126" t="n">
        <v>11</v>
      </c>
      <c r="B32" s="72" t="inlineStr">
        <is>
          <t>Equipos de izaje y accesorios certificados</t>
        </is>
      </c>
      <c r="C32" s="93" t="n"/>
      <c r="D32" s="93" t="n"/>
      <c r="E32" s="93" t="n"/>
      <c r="F32" s="93" t="n"/>
      <c r="G32" s="89" t="n"/>
      <c r="H32" s="126" t="n"/>
      <c r="I32" s="126" t="n"/>
      <c r="J32" s="126" t="n"/>
      <c r="K32" s="76" t="n"/>
      <c r="L32" s="89" t="n"/>
    </row>
    <row r="33" ht="15" customHeight="1" s="127">
      <c r="A33" s="162" t="inlineStr">
        <is>
          <t>D. INSTALACIONES ELÉCTRICAS</t>
        </is>
      </c>
      <c r="B33" s="93" t="n"/>
      <c r="C33" s="93" t="n"/>
      <c r="D33" s="93" t="n"/>
      <c r="E33" s="93" t="n"/>
      <c r="F33" s="93" t="n"/>
      <c r="G33" s="93" t="n"/>
      <c r="H33" s="93" t="n"/>
      <c r="I33" s="93" t="n"/>
      <c r="J33" s="93" t="n"/>
      <c r="K33" s="93" t="n"/>
      <c r="L33" s="89" t="n"/>
    </row>
    <row r="34" ht="16.95" customHeight="1" s="127">
      <c r="A34" s="126" t="n">
        <v>12</v>
      </c>
      <c r="B34" s="72" t="inlineStr">
        <is>
          <t>Tableros cerrados, rotulados y con protección</t>
        </is>
      </c>
      <c r="C34" s="93" t="n"/>
      <c r="D34" s="93" t="n"/>
      <c r="E34" s="93" t="n"/>
      <c r="F34" s="93" t="n"/>
      <c r="G34" s="89" t="n"/>
      <c r="H34" s="126" t="n"/>
      <c r="I34" s="126" t="n"/>
      <c r="J34" s="126" t="n"/>
      <c r="K34" s="76" t="n"/>
      <c r="L34" s="89" t="n"/>
    </row>
    <row r="35" ht="16.95" customHeight="1" s="127">
      <c r="A35" s="126" t="n">
        <v>13</v>
      </c>
      <c r="B35" s="72" t="inlineStr">
        <is>
          <t>Extensiones y empalmes en buen estado (sin cables pelados)</t>
        </is>
      </c>
      <c r="C35" s="93" t="n"/>
      <c r="D35" s="93" t="n"/>
      <c r="E35" s="93" t="n"/>
      <c r="F35" s="93" t="n"/>
      <c r="G35" s="89" t="n"/>
      <c r="H35" s="126" t="n"/>
      <c r="I35" s="126" t="n"/>
      <c r="J35" s="126" t="n"/>
      <c r="K35" s="76" t="n"/>
      <c r="L35" s="89" t="n"/>
    </row>
    <row r="36" ht="16.95" customHeight="1" s="127">
      <c r="A36" s="126" t="n">
        <v>14</v>
      </c>
      <c r="B36" s="72" t="inlineStr">
        <is>
          <t>Conexión a tierra y protección diferencial</t>
        </is>
      </c>
      <c r="C36" s="93" t="n"/>
      <c r="D36" s="93" t="n"/>
      <c r="E36" s="93" t="n"/>
      <c r="F36" s="93" t="n"/>
      <c r="G36" s="89" t="n"/>
      <c r="H36" s="126" t="n"/>
      <c r="I36" s="126" t="n"/>
      <c r="J36" s="126" t="n"/>
      <c r="K36" s="76" t="n"/>
      <c r="L36" s="89" t="n"/>
    </row>
    <row r="37" ht="15" customHeight="1" s="127">
      <c r="A37" s="162" t="inlineStr">
        <is>
          <t>E. TRABAJO EN ALTURAS</t>
        </is>
      </c>
      <c r="B37" s="93" t="n"/>
      <c r="C37" s="93" t="n"/>
      <c r="D37" s="93" t="n"/>
      <c r="E37" s="93" t="n"/>
      <c r="F37" s="93" t="n"/>
      <c r="G37" s="93" t="n"/>
      <c r="H37" s="93" t="n"/>
      <c r="I37" s="93" t="n"/>
      <c r="J37" s="93" t="n"/>
      <c r="K37" s="93" t="n"/>
      <c r="L37" s="89" t="n"/>
    </row>
    <row r="38" ht="16.95" customHeight="1" s="127">
      <c r="A38" s="126" t="n">
        <v>15</v>
      </c>
      <c r="B38" s="72" t="inlineStr">
        <is>
          <t>Andamios armados, certificados y con tarjeta de inspección</t>
        </is>
      </c>
      <c r="C38" s="93" t="n"/>
      <c r="D38" s="93" t="n"/>
      <c r="E38" s="93" t="n"/>
      <c r="F38" s="93" t="n"/>
      <c r="G38" s="89" t="n"/>
      <c r="H38" s="126" t="n"/>
      <c r="I38" s="126" t="n"/>
      <c r="J38" s="126" t="n"/>
      <c r="K38" s="76" t="n"/>
      <c r="L38" s="89" t="n"/>
    </row>
    <row r="39" ht="16.95" customHeight="1" s="127">
      <c r="A39" s="126" t="n">
        <v>16</v>
      </c>
      <c r="B39" s="72" t="inlineStr">
        <is>
          <t>Escaleras en buen estado y bien utilizadas</t>
        </is>
      </c>
      <c r="C39" s="93" t="n"/>
      <c r="D39" s="93" t="n"/>
      <c r="E39" s="93" t="n"/>
      <c r="F39" s="93" t="n"/>
      <c r="G39" s="89" t="n"/>
      <c r="H39" s="126" t="n"/>
      <c r="I39" s="126" t="n"/>
      <c r="J39" s="126" t="n"/>
      <c r="K39" s="76" t="n"/>
      <c r="L39" s="89" t="n"/>
    </row>
    <row r="40" ht="16.95" customHeight="1" s="127">
      <c r="A40" s="126" t="n">
        <v>17</v>
      </c>
      <c r="B40" s="72" t="inlineStr">
        <is>
          <t>Puntos de anclaje, líneas de vida y arneses inspeccionados</t>
        </is>
      </c>
      <c r="C40" s="93" t="n"/>
      <c r="D40" s="93" t="n"/>
      <c r="E40" s="93" t="n"/>
      <c r="F40" s="93" t="n"/>
      <c r="G40" s="89" t="n"/>
      <c r="H40" s="126" t="n"/>
      <c r="I40" s="126" t="n"/>
      <c r="J40" s="126" t="n"/>
      <c r="K40" s="76" t="n"/>
      <c r="L40" s="89" t="n"/>
    </row>
    <row r="41" ht="15" customHeight="1" s="127">
      <c r="A41" s="162" t="inlineStr">
        <is>
          <t>F. EMERGENCIAS</t>
        </is>
      </c>
      <c r="B41" s="93" t="n"/>
      <c r="C41" s="93" t="n"/>
      <c r="D41" s="93" t="n"/>
      <c r="E41" s="93" t="n"/>
      <c r="F41" s="93" t="n"/>
      <c r="G41" s="93" t="n"/>
      <c r="H41" s="93" t="n"/>
      <c r="I41" s="93" t="n"/>
      <c r="J41" s="93" t="n"/>
      <c r="K41" s="93" t="n"/>
      <c r="L41" s="89" t="n"/>
    </row>
    <row r="42" ht="16.95" customHeight="1" s="127">
      <c r="A42" s="126" t="n">
        <v>18</v>
      </c>
      <c r="B42" s="72" t="inlineStr">
        <is>
          <t>Extintores vigentes, señalizados y accesibles</t>
        </is>
      </c>
      <c r="C42" s="93" t="n"/>
      <c r="D42" s="93" t="n"/>
      <c r="E42" s="93" t="n"/>
      <c r="F42" s="93" t="n"/>
      <c r="G42" s="89" t="n"/>
      <c r="H42" s="126" t="n"/>
      <c r="I42" s="126" t="n"/>
      <c r="J42" s="126" t="n"/>
      <c r="K42" s="76" t="n"/>
      <c r="L42" s="89" t="n"/>
    </row>
    <row r="43" ht="16.95" customHeight="1" s="127">
      <c r="A43" s="126" t="n">
        <v>19</v>
      </c>
      <c r="B43" s="72" t="inlineStr">
        <is>
          <t>Botiquín dotado y camilla disponible</t>
        </is>
      </c>
      <c r="C43" s="93" t="n"/>
      <c r="D43" s="93" t="n"/>
      <c r="E43" s="93" t="n"/>
      <c r="F43" s="93" t="n"/>
      <c r="G43" s="89" t="n"/>
      <c r="H43" s="126" t="n"/>
      <c r="I43" s="126" t="n"/>
      <c r="J43" s="126" t="n"/>
      <c r="K43" s="76" t="n"/>
      <c r="L43" s="89" t="n"/>
    </row>
    <row r="44" ht="16.95" customHeight="1" s="127">
      <c r="A44" s="126" t="n">
        <v>20</v>
      </c>
      <c r="B44" s="72" t="inlineStr">
        <is>
          <t>Directorio de emergencias visible y brigada conformada</t>
        </is>
      </c>
      <c r="C44" s="93" t="n"/>
      <c r="D44" s="93" t="n"/>
      <c r="E44" s="93" t="n"/>
      <c r="F44" s="93" t="n"/>
      <c r="G44" s="89" t="n"/>
      <c r="H44" s="126" t="n"/>
      <c r="I44" s="126" t="n"/>
      <c r="J44" s="126" t="n"/>
      <c r="K44" s="76" t="n"/>
      <c r="L44" s="89" t="n"/>
    </row>
    <row r="45" ht="15" customHeight="1" s="127">
      <c r="A45" s="162" t="inlineStr">
        <is>
          <t>G. PERSONAL Y EPP</t>
        </is>
      </c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89" t="n"/>
    </row>
    <row r="46" ht="16.95" customHeight="1" s="127">
      <c r="A46" s="126" t="n">
        <v>21</v>
      </c>
      <c r="B46" s="72" t="inlineStr">
        <is>
          <t>Personal con EPP completos y en buen estado</t>
        </is>
      </c>
      <c r="C46" s="93" t="n"/>
      <c r="D46" s="93" t="n"/>
      <c r="E46" s="93" t="n"/>
      <c r="F46" s="93" t="n"/>
      <c r="G46" s="89" t="n"/>
      <c r="H46" s="126" t="n"/>
      <c r="I46" s="126" t="n"/>
      <c r="J46" s="126" t="n"/>
      <c r="K46" s="76" t="n"/>
      <c r="L46" s="89" t="n"/>
    </row>
    <row r="47" ht="16.95" customHeight="1" s="127">
      <c r="A47" s="126" t="n">
        <v>22</v>
      </c>
      <c r="B47" s="72" t="inlineStr">
        <is>
          <t>Personal afiliado a seguridad social y con capacitación vigente</t>
        </is>
      </c>
      <c r="C47" s="93" t="n"/>
      <c r="D47" s="93" t="n"/>
      <c r="E47" s="93" t="n"/>
      <c r="F47" s="93" t="n"/>
      <c r="G47" s="89" t="n"/>
      <c r="H47" s="126" t="n"/>
      <c r="I47" s="126" t="n"/>
      <c r="J47" s="126" t="n"/>
      <c r="K47" s="76" t="n"/>
      <c r="L47" s="89" t="n"/>
    </row>
    <row r="48" ht="16.95" customHeight="1" s="127">
      <c r="A48" s="126" t="n">
        <v>23</v>
      </c>
      <c r="B48" s="72" t="inlineStr">
        <is>
          <t>Charla de seguridad realizada y registrada</t>
        </is>
      </c>
      <c r="C48" s="93" t="n"/>
      <c r="D48" s="93" t="n"/>
      <c r="E48" s="93" t="n"/>
      <c r="F48" s="93" t="n"/>
      <c r="G48" s="89" t="n"/>
      <c r="H48" s="126" t="n"/>
      <c r="I48" s="126" t="n"/>
      <c r="J48" s="126" t="n"/>
      <c r="K48" s="76" t="n"/>
      <c r="L48" s="89" t="n"/>
    </row>
    <row r="49" ht="21" customHeight="1" s="127">
      <c r="A49" s="310" t="inlineStr">
        <is>
          <t>TOTAL (cuántos aspectos se marcaron en cada columna)</t>
        </is>
      </c>
      <c r="B49" s="104" t="n"/>
      <c r="C49" s="104" t="n"/>
      <c r="D49" s="104" t="n"/>
      <c r="E49" s="104" t="n"/>
      <c r="F49" s="104" t="n"/>
      <c r="G49" s="94" t="n"/>
      <c r="H49" s="313">
        <f>COUNTA(H19:H48)</f>
        <v/>
      </c>
      <c r="I49" s="313">
        <f>COUNTA(I19:I48)</f>
        <v/>
      </c>
      <c r="J49" s="313">
        <f>COUNTA(J19:J48)</f>
        <v/>
      </c>
      <c r="K49" s="180">
        <f>IFERROR(H49/(H49+I49),"")</f>
        <v/>
      </c>
      <c r="L49" s="89" t="n"/>
    </row>
    <row r="50" ht="16.05" customHeight="1" s="127">
      <c r="A50" s="255" t="inlineStr">
        <is>
          <t>% de cumplimiento = Cumple ÷ (Cumple + No cumple); los N/A no cuentan.</t>
        </is>
      </c>
      <c r="B50" s="349" t="n"/>
      <c r="C50" s="349" t="n"/>
      <c r="D50" s="349" t="n"/>
      <c r="E50" s="349" t="n"/>
      <c r="F50" s="349" t="n"/>
      <c r="G50" s="349" t="n"/>
      <c r="H50" s="349" t="n"/>
      <c r="I50" s="349" t="n"/>
      <c r="J50" s="351" t="n"/>
      <c r="K50" s="219" t="inlineStr">
        <is>
          <t>← % de cumplimiento</t>
        </is>
      </c>
      <c r="L50" s="357" t="n"/>
    </row>
    <row r="51" ht="16.5" customHeight="1" s="127">
      <c r="A51" s="137" t="inlineStr">
        <is>
          <t>3. HALLAZGOS Y ACCIONES CORRECTIVAS</t>
        </is>
      </c>
      <c r="B51" s="98" t="n"/>
      <c r="C51" s="98" t="n"/>
      <c r="D51" s="98" t="n"/>
      <c r="E51" s="98" t="n"/>
      <c r="F51" s="98" t="n"/>
      <c r="G51" s="98" t="n"/>
      <c r="H51" s="98" t="n"/>
      <c r="I51" s="98" t="n"/>
      <c r="J51" s="98" t="n"/>
      <c r="K51" s="98" t="n"/>
      <c r="L51" s="97" t="n"/>
    </row>
    <row r="52" ht="28.05" customHeight="1" s="127">
      <c r="A52" s="74" t="inlineStr">
        <is>
          <t>No.</t>
        </is>
      </c>
      <c r="B52" s="74" t="inlineStr">
        <is>
          <t>Hallazgo</t>
        </is>
      </c>
      <c r="C52" s="93" t="n"/>
      <c r="D52" s="89" t="n"/>
      <c r="E52" s="74" t="inlineStr">
        <is>
          <t>Nivel de riesgo</t>
        </is>
      </c>
      <c r="F52" s="74" t="inlineStr">
        <is>
          <t>Acción correctiva</t>
        </is>
      </c>
      <c r="G52" s="93" t="n"/>
      <c r="H52" s="89" t="n"/>
      <c r="I52" s="74" t="inlineStr">
        <is>
          <t>Responsable</t>
        </is>
      </c>
      <c r="J52" s="89" t="n"/>
      <c r="K52" s="74" t="inlineStr">
        <is>
          <t>Fecha límite</t>
        </is>
      </c>
      <c r="L52" s="74" t="inlineStr">
        <is>
          <t>Estado</t>
        </is>
      </c>
    </row>
    <row r="53" ht="34.05" customHeight="1" s="127">
      <c r="A53" s="126" t="n">
        <v>1</v>
      </c>
      <c r="B53" s="72" t="n"/>
      <c r="C53" s="93" t="n"/>
      <c r="D53" s="89" t="n"/>
      <c r="E53" s="126" t="n"/>
      <c r="F53" s="72" t="n"/>
      <c r="G53" s="93" t="n"/>
      <c r="H53" s="89" t="n"/>
      <c r="I53" s="76" t="n"/>
      <c r="J53" s="89" t="n"/>
      <c r="K53" s="23" t="n"/>
      <c r="L53" s="126" t="n"/>
    </row>
    <row r="54" ht="34.05" customHeight="1" s="127">
      <c r="A54" s="126" t="n">
        <v>2</v>
      </c>
      <c r="B54" s="72" t="n"/>
      <c r="C54" s="93" t="n"/>
      <c r="D54" s="89" t="n"/>
      <c r="E54" s="126" t="n"/>
      <c r="F54" s="72" t="n"/>
      <c r="G54" s="93" t="n"/>
      <c r="H54" s="89" t="n"/>
      <c r="I54" s="76" t="n"/>
      <c r="J54" s="89" t="n"/>
      <c r="K54" s="23" t="n"/>
      <c r="L54" s="126" t="n"/>
    </row>
    <row r="55" ht="34.05" customHeight="1" s="127">
      <c r="A55" s="126" t="n">
        <v>3</v>
      </c>
      <c r="B55" s="72" t="n"/>
      <c r="C55" s="93" t="n"/>
      <c r="D55" s="89" t="n"/>
      <c r="E55" s="126" t="n"/>
      <c r="F55" s="72" t="n"/>
      <c r="G55" s="93" t="n"/>
      <c r="H55" s="89" t="n"/>
      <c r="I55" s="76" t="n"/>
      <c r="J55" s="89" t="n"/>
      <c r="K55" s="23" t="n"/>
      <c r="L55" s="126" t="n"/>
    </row>
    <row r="56" ht="34.05" customHeight="1" s="127">
      <c r="A56" s="126" t="n">
        <v>4</v>
      </c>
      <c r="B56" s="72" t="n"/>
      <c r="C56" s="93" t="n"/>
      <c r="D56" s="89" t="n"/>
      <c r="E56" s="126" t="n"/>
      <c r="F56" s="72" t="n"/>
      <c r="G56" s="93" t="n"/>
      <c r="H56" s="89" t="n"/>
      <c r="I56" s="76" t="n"/>
      <c r="J56" s="89" t="n"/>
      <c r="K56" s="23" t="n"/>
      <c r="L56" s="126" t="n"/>
    </row>
    <row r="57" ht="34.05" customHeight="1" s="127">
      <c r="A57" s="126" t="n">
        <v>5</v>
      </c>
      <c r="B57" s="72" t="n"/>
      <c r="C57" s="93" t="n"/>
      <c r="D57" s="89" t="n"/>
      <c r="E57" s="126" t="n"/>
      <c r="F57" s="72" t="n"/>
      <c r="G57" s="93" t="n"/>
      <c r="H57" s="89" t="n"/>
      <c r="I57" s="76" t="n"/>
      <c r="J57" s="89" t="n"/>
      <c r="K57" s="23" t="n"/>
      <c r="L57" s="126" t="n"/>
    </row>
    <row r="58" ht="34.05" customHeight="1" s="127">
      <c r="A58" s="126" t="n">
        <v>6</v>
      </c>
      <c r="B58" s="72" t="n"/>
      <c r="C58" s="93" t="n"/>
      <c r="D58" s="89" t="n"/>
      <c r="E58" s="126" t="n"/>
      <c r="F58" s="72" t="n"/>
      <c r="G58" s="93" t="n"/>
      <c r="H58" s="89" t="n"/>
      <c r="I58" s="76" t="n"/>
      <c r="J58" s="89" t="n"/>
      <c r="K58" s="23" t="n"/>
      <c r="L58" s="126" t="n"/>
    </row>
    <row r="59" ht="34.05" customHeight="1" s="127">
      <c r="A59" s="126" t="n">
        <v>7</v>
      </c>
      <c r="B59" s="72" t="n"/>
      <c r="C59" s="93" t="n"/>
      <c r="D59" s="89" t="n"/>
      <c r="E59" s="126" t="n"/>
      <c r="F59" s="72" t="n"/>
      <c r="G59" s="93" t="n"/>
      <c r="H59" s="89" t="n"/>
      <c r="I59" s="76" t="n"/>
      <c r="J59" s="89" t="n"/>
      <c r="K59" s="23" t="n"/>
      <c r="L59" s="126" t="n"/>
    </row>
    <row r="60" ht="34.05" customHeight="1" s="127">
      <c r="A60" s="126" t="n">
        <v>8</v>
      </c>
      <c r="B60" s="72" t="n"/>
      <c r="C60" s="93" t="n"/>
      <c r="D60" s="89" t="n"/>
      <c r="E60" s="126" t="n"/>
      <c r="F60" s="72" t="n"/>
      <c r="G60" s="93" t="n"/>
      <c r="H60" s="89" t="n"/>
      <c r="I60" s="76" t="n"/>
      <c r="J60" s="89" t="n"/>
      <c r="K60" s="23" t="n"/>
      <c r="L60" s="126" t="n"/>
    </row>
    <row r="61" ht="34.05" customHeight="1" s="127">
      <c r="A61" s="126" t="n">
        <v>9</v>
      </c>
      <c r="B61" s="72" t="n"/>
      <c r="C61" s="93" t="n"/>
      <c r="D61" s="89" t="n"/>
      <c r="E61" s="126" t="n"/>
      <c r="F61" s="72" t="n"/>
      <c r="G61" s="93" t="n"/>
      <c r="H61" s="89" t="n"/>
      <c r="I61" s="76" t="n"/>
      <c r="J61" s="89" t="n"/>
      <c r="K61" s="23" t="n"/>
      <c r="L61" s="126" t="n"/>
    </row>
    <row r="62" ht="34.05" customHeight="1" s="127">
      <c r="A62" s="126" t="n">
        <v>10</v>
      </c>
      <c r="B62" s="72" t="n"/>
      <c r="C62" s="93" t="n"/>
      <c r="D62" s="89" t="n"/>
      <c r="E62" s="126" t="n"/>
      <c r="F62" s="72" t="n"/>
      <c r="G62" s="93" t="n"/>
      <c r="H62" s="89" t="n"/>
      <c r="I62" s="76" t="n"/>
      <c r="J62" s="89" t="n"/>
      <c r="K62" s="23" t="n"/>
      <c r="L62" s="126" t="n"/>
    </row>
    <row r="63" ht="16.5" customHeight="1" s="127">
      <c r="A63" s="137" t="inlineStr">
        <is>
          <t>4. OBSERVACIONES GENERALES</t>
        </is>
      </c>
      <c r="B63" s="98" t="n"/>
      <c r="C63" s="98" t="n"/>
      <c r="D63" s="98" t="n"/>
      <c r="E63" s="98" t="n"/>
      <c r="F63" s="98" t="n"/>
      <c r="G63" s="98" t="n"/>
      <c r="H63" s="98" t="n"/>
      <c r="I63" s="98" t="n"/>
      <c r="J63" s="98" t="n"/>
      <c r="K63" s="98" t="n"/>
      <c r="L63" s="97" t="n"/>
    </row>
    <row r="64" ht="30" customHeight="1" s="127">
      <c r="A64" s="100" t="n"/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94" t="n"/>
    </row>
    <row r="65" ht="30" customHeight="1" s="127">
      <c r="A65" s="96" t="n"/>
      <c r="B65" s="98" t="n"/>
      <c r="C65" s="98" t="n"/>
      <c r="D65" s="98" t="n"/>
      <c r="E65" s="98" t="n"/>
      <c r="F65" s="98" t="n"/>
      <c r="G65" s="98" t="n"/>
      <c r="H65" s="98" t="n"/>
      <c r="I65" s="98" t="n"/>
      <c r="J65" s="98" t="n"/>
      <c r="K65" s="98" t="n"/>
      <c r="L65" s="97" t="n"/>
    </row>
    <row r="66" ht="16.5" customHeight="1" s="127">
      <c r="A66" s="227" t="inlineStr">
        <is>
          <t>5. FIRMAS</t>
        </is>
      </c>
      <c r="L66" s="92" t="n"/>
    </row>
    <row r="67" ht="18" customHeight="1" s="127">
      <c r="A67" s="263" t="inlineStr">
        <is>
          <t>INSPECTOR</t>
        </is>
      </c>
      <c r="B67" s="347" t="n"/>
      <c r="C67" s="347" t="n"/>
      <c r="D67" s="347" t="n"/>
      <c r="E67" s="347" t="n"/>
      <c r="F67" s="348" t="n"/>
      <c r="G67" s="263" t="inlineStr">
        <is>
          <t>RESPONSABLE DEL ÁREA / RESIDENTE DE OBRA</t>
        </is>
      </c>
      <c r="H67" s="347" t="n"/>
      <c r="I67" s="347" t="n"/>
      <c r="J67" s="347" t="n"/>
      <c r="K67" s="347" t="n"/>
      <c r="L67" s="348" t="n"/>
    </row>
    <row r="68" ht="42" customHeight="1" s="127">
      <c r="A68" s="302" t="inlineStr">
        <is>
          <t>Firma:</t>
        </is>
      </c>
      <c r="B68" s="97" t="n"/>
      <c r="C68" s="301" t="n"/>
      <c r="D68" s="98" t="n"/>
      <c r="E68" s="98" t="n"/>
      <c r="F68" s="97" t="n"/>
      <c r="G68" s="302" t="inlineStr">
        <is>
          <t>Firma:</t>
        </is>
      </c>
      <c r="H68" s="97" t="n"/>
      <c r="I68" s="301" t="n"/>
      <c r="J68" s="98" t="n"/>
      <c r="K68" s="98" t="n"/>
      <c r="L68" s="97" t="n"/>
    </row>
    <row r="69" ht="21" customHeight="1" s="127">
      <c r="A69" s="70" t="inlineStr">
        <is>
          <t>Nombre:</t>
        </is>
      </c>
      <c r="B69" s="89" t="n"/>
      <c r="C69" s="68" t="n"/>
      <c r="D69" s="93" t="n"/>
      <c r="E69" s="93" t="n"/>
      <c r="F69" s="89" t="n"/>
      <c r="G69" s="70" t="inlineStr">
        <is>
          <t>Nombre:</t>
        </is>
      </c>
      <c r="H69" s="89" t="n"/>
      <c r="I69" s="68" t="n"/>
      <c r="J69" s="93" t="n"/>
      <c r="K69" s="93" t="n"/>
      <c r="L69" s="89" t="n"/>
    </row>
    <row r="70" ht="21" customHeight="1" s="127">
      <c r="A70" s="70" t="inlineStr">
        <is>
          <t>Cargo:</t>
        </is>
      </c>
      <c r="B70" s="89" t="n"/>
      <c r="C70" s="68" t="n"/>
      <c r="D70" s="93" t="n"/>
      <c r="E70" s="93" t="n"/>
      <c r="F70" s="89" t="n"/>
      <c r="G70" s="70" t="inlineStr">
        <is>
          <t>Cargo:</t>
        </is>
      </c>
      <c r="H70" s="89" t="n"/>
      <c r="I70" s="68" t="n"/>
      <c r="J70" s="93" t="n"/>
      <c r="K70" s="93" t="n"/>
      <c r="L70" s="89" t="n"/>
    </row>
    <row r="71">
      <c r="A71" s="25" t="inlineStr">
        <is>
          <t>REV. 04/10/2026</t>
        </is>
      </c>
      <c r="G71" s="105">
        <f>K5</f>
        <v/>
      </c>
    </row>
  </sheetData>
  <mergeCells count="143">
    <mergeCell ref="K49:L49"/>
    <mergeCell ref="B60:D60"/>
    <mergeCell ref="A15:B15"/>
    <mergeCell ref="B57:D57"/>
    <mergeCell ref="A37:L37"/>
    <mergeCell ref="B53:D53"/>
    <mergeCell ref="C14:G14"/>
    <mergeCell ref="A70:B70"/>
    <mergeCell ref="K26:L26"/>
    <mergeCell ref="K35:L35"/>
    <mergeCell ref="D1:L2"/>
    <mergeCell ref="K50:L50"/>
    <mergeCell ref="F61:H61"/>
    <mergeCell ref="I58:J58"/>
    <mergeCell ref="G68:H68"/>
    <mergeCell ref="B36:G36"/>
    <mergeCell ref="A63:L63"/>
    <mergeCell ref="D5:I5"/>
    <mergeCell ref="K42:L42"/>
    <mergeCell ref="B62:D62"/>
    <mergeCell ref="I52:J52"/>
    <mergeCell ref="B54:D54"/>
    <mergeCell ref="B47:G47"/>
    <mergeCell ref="G71:L71"/>
    <mergeCell ref="B22:G22"/>
    <mergeCell ref="A68:B68"/>
    <mergeCell ref="B31:G31"/>
    <mergeCell ref="H15:I15"/>
    <mergeCell ref="B56:D56"/>
    <mergeCell ref="I68:L68"/>
    <mergeCell ref="D6:I6"/>
    <mergeCell ref="K13:L13"/>
    <mergeCell ref="B21:G21"/>
    <mergeCell ref="B39:G39"/>
    <mergeCell ref="J15:L15"/>
    <mergeCell ref="K30:L30"/>
    <mergeCell ref="A11:B11"/>
    <mergeCell ref="B23:G23"/>
    <mergeCell ref="I61:J61"/>
    <mergeCell ref="G70:H70"/>
    <mergeCell ref="K21:L21"/>
    <mergeCell ref="I57:J57"/>
    <mergeCell ref="J16:L16"/>
    <mergeCell ref="A64:L65"/>
    <mergeCell ref="C69:F69"/>
    <mergeCell ref="I54:J54"/>
    <mergeCell ref="K32:L32"/>
    <mergeCell ref="A49:G49"/>
    <mergeCell ref="I56:J56"/>
    <mergeCell ref="K43:L43"/>
    <mergeCell ref="C12:G12"/>
    <mergeCell ref="I70:L70"/>
    <mergeCell ref="B35:G35"/>
    <mergeCell ref="K27:L27"/>
    <mergeCell ref="B25:G25"/>
    <mergeCell ref="A24:L24"/>
    <mergeCell ref="B59:D59"/>
    <mergeCell ref="H12:I12"/>
    <mergeCell ref="J14:L14"/>
    <mergeCell ref="B27:G27"/>
    <mergeCell ref="A50:J50"/>
    <mergeCell ref="I59:J59"/>
    <mergeCell ref="H14:I14"/>
    <mergeCell ref="K6:L6"/>
    <mergeCell ref="F59:H59"/>
    <mergeCell ref="I60:J60"/>
    <mergeCell ref="F55:H55"/>
    <mergeCell ref="C11:L11"/>
    <mergeCell ref="K25:L25"/>
    <mergeCell ref="A66:L66"/>
    <mergeCell ref="K5:L5"/>
    <mergeCell ref="J4:L4"/>
    <mergeCell ref="B29:G29"/>
    <mergeCell ref="A69:B69"/>
    <mergeCell ref="B38:G38"/>
    <mergeCell ref="K29:L29"/>
    <mergeCell ref="I69:L69"/>
    <mergeCell ref="K47:L47"/>
    <mergeCell ref="C16:G16"/>
    <mergeCell ref="K44:L44"/>
    <mergeCell ref="C68:F68"/>
    <mergeCell ref="F58:H58"/>
    <mergeCell ref="B40:G40"/>
    <mergeCell ref="D3:L3"/>
    <mergeCell ref="F52:H52"/>
    <mergeCell ref="K46:L46"/>
    <mergeCell ref="G69:H69"/>
    <mergeCell ref="K31:L31"/>
    <mergeCell ref="K40:L40"/>
    <mergeCell ref="A12:B12"/>
    <mergeCell ref="F60:H60"/>
    <mergeCell ref="H16:I16"/>
    <mergeCell ref="K8:L8"/>
    <mergeCell ref="I62:J62"/>
    <mergeCell ref="F57:H57"/>
    <mergeCell ref="B32:G32"/>
    <mergeCell ref="A14:B14"/>
    <mergeCell ref="B26:G26"/>
    <mergeCell ref="F53:H53"/>
    <mergeCell ref="K23:L23"/>
    <mergeCell ref="K7:L7"/>
    <mergeCell ref="A51:L51"/>
    <mergeCell ref="G67:L67"/>
    <mergeCell ref="B43:G43"/>
    <mergeCell ref="B18:G18"/>
    <mergeCell ref="K18:L18"/>
    <mergeCell ref="C70:F70"/>
    <mergeCell ref="B42:G42"/>
    <mergeCell ref="K34:L34"/>
    <mergeCell ref="A41:L41"/>
    <mergeCell ref="B61:D61"/>
    <mergeCell ref="C15:G15"/>
    <mergeCell ref="F62:H62"/>
    <mergeCell ref="B44:G44"/>
    <mergeCell ref="K36:L36"/>
    <mergeCell ref="B34:G34"/>
    <mergeCell ref="A16:B16"/>
    <mergeCell ref="K20:L20"/>
    <mergeCell ref="A33:L33"/>
    <mergeCell ref="F56:H56"/>
    <mergeCell ref="A17:L17"/>
    <mergeCell ref="I53:J53"/>
    <mergeCell ref="J12:L12"/>
    <mergeCell ref="B30:G30"/>
    <mergeCell ref="B55:D55"/>
    <mergeCell ref="K22:L22"/>
    <mergeCell ref="B20:G20"/>
    <mergeCell ref="A10:L10"/>
    <mergeCell ref="A19:L19"/>
    <mergeCell ref="I55:J55"/>
    <mergeCell ref="A28:L28"/>
    <mergeCell ref="A67:F67"/>
    <mergeCell ref="A9:L9"/>
    <mergeCell ref="K39:L39"/>
    <mergeCell ref="K48:L48"/>
    <mergeCell ref="F54:H54"/>
    <mergeCell ref="B46:G46"/>
    <mergeCell ref="K38:L38"/>
    <mergeCell ref="A45:L45"/>
    <mergeCell ref="B58:D58"/>
    <mergeCell ref="A13:B13"/>
    <mergeCell ref="B52:D52"/>
    <mergeCell ref="B48:G48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5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2026-10-07T22:19:16Z</dcterms:modified>
  <cp:lastModifiedBy>Hugo Fernando Hurtado Ruiz</cp:lastModifiedBy>
</cp:coreProperties>
</file>