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utoFilterDateGrouping="1"/>
  </bookViews>
  <sheets>
    <sheet xmlns:r="http://schemas.openxmlformats.org/officeDocument/2006/relationships" name="Cuentas por Pagar" sheetId="1" state="visible" r:id="rId1"/>
  </sheets>
  <definedNames/>
  <calcPr calcId="191029" fullCalcOnLoad="1" iterateDelta="0.0001"/>
</workbook>
</file>

<file path=xl/styles.xml><?xml version="1.0" encoding="utf-8"?>
<styleSheet xmlns="http://schemas.openxmlformats.org/spreadsheetml/2006/main">
  <numFmts count="2">
    <numFmt numFmtId="165" formatCode="&quot;$&quot;#,##0;[Red]\-&quot;$&quot;#,##0"/>
    <numFmt numFmtId="166" formatCode="0.0%"/>
  </numFmts>
  <fonts count="12">
    <font>
      <name val="Calibri"/>
      <family val="2"/>
      <color theme="1"/>
      <sz val="11"/>
      <scheme val="minor"/>
    </font>
    <font>
      <name val="Arial"/>
      <family val="2"/>
      <b val="1"/>
      <color rgb="FFFFFFFF"/>
      <sz val="16"/>
    </font>
    <font>
      <name val="Calibri"/>
      <family val="2"/>
      <color rgb="FF000000"/>
      <sz val="10"/>
    </font>
    <font>
      <name val="Arial"/>
      <family val="2"/>
      <b val="1"/>
      <color rgb="FF000000"/>
      <sz val="14"/>
    </font>
    <font>
      <name val="Calibri"/>
      <family val="2"/>
      <i val="1"/>
      <color rgb="FF000000"/>
      <sz val="14"/>
    </font>
    <font>
      <name val="Arial"/>
      <family val="2"/>
      <b val="1"/>
      <color rgb="FFFFFFFF"/>
      <sz val="10"/>
    </font>
    <font>
      <name val="Calibri"/>
      <family val="2"/>
      <b val="1"/>
      <color rgb="FF000000"/>
      <sz val="10"/>
    </font>
    <font>
      <name val="Calibri"/>
      <family val="2"/>
      <b val="1"/>
      <color rgb="FFFFFFFF"/>
      <sz val="11"/>
    </font>
    <font>
      <name val="Calibri"/>
      <family val="2"/>
      <b val="1"/>
      <color rgb="FF0F243E"/>
      <sz val="10"/>
    </font>
    <font>
      <name val="Calibri"/>
      <family val="2"/>
      <b val="1"/>
      <color rgb="FFFFFFFF"/>
      <sz val="10"/>
    </font>
    <font>
      <name val="Calibri"/>
      <family val="2"/>
      <b val="1"/>
      <i val="1"/>
      <color rgb="FF000000"/>
      <sz val="10"/>
    </font>
    <font>
      <name val="Calibri"/>
      <family val="2"/>
      <b val="1"/>
      <sz val="10"/>
    </font>
  </fonts>
  <fills count="10">
    <fill>
      <patternFill/>
    </fill>
    <fill>
      <patternFill patternType="gray125"/>
    </fill>
    <fill>
      <patternFill patternType="solid">
        <fgColor rgb="FF17365D"/>
      </patternFill>
    </fill>
    <fill>
      <patternFill patternType="solid">
        <fgColor rgb="FFD9A233"/>
      </patternFill>
    </fill>
    <fill>
      <patternFill patternType="solid">
        <fgColor rgb="FFDCE6F1"/>
      </patternFill>
    </fill>
    <fill>
      <patternFill patternType="solid">
        <fgColor rgb="FF92D050"/>
      </patternFill>
    </fill>
    <fill>
      <patternFill patternType="solid">
        <fgColor rgb="FFFAFAFA"/>
      </patternFill>
    </fill>
    <fill>
      <patternFill patternType="solid">
        <fgColor theme="0"/>
        <bgColor indexed="64"/>
      </patternFill>
    </fill>
    <fill>
      <patternFill patternType="solid">
        <fgColor rgb="FFDCE6F1"/>
        <bgColor indexed="64"/>
      </patternFill>
    </fill>
    <fill>
      <patternFill patternType="solid">
        <fgColor rgb="FFD9A233"/>
        <bgColor indexed="64"/>
      </patternFill>
    </fill>
  </fills>
  <borders count="13">
    <border>
      <left/>
      <right/>
      <top/>
      <bottom/>
      <diagonal/>
    </border>
    <border>
      <left style="thin">
        <color rgb="FFA6A6A6"/>
      </left>
      <right style="thin">
        <color rgb="FFA6A6A6"/>
      </right>
      <top style="thin">
        <color rgb="FFA6A6A6"/>
      </top>
      <bottom style="thin">
        <color rgb="FFA6A6A6"/>
      </bottom>
      <diagonal/>
    </border>
    <border>
      <left/>
      <right/>
      <top style="thin">
        <color rgb="FFA6A6A6"/>
      </top>
      <bottom/>
      <diagonal/>
    </border>
    <border>
      <left style="thin">
        <color rgb="FFA6A6A6"/>
      </left>
      <right/>
      <top/>
      <bottom/>
      <diagonal/>
    </border>
    <border>
      <left/>
      <right style="thin">
        <color rgb="FFA6A6A6"/>
      </right>
      <top style="thin">
        <color rgb="FFA6A6A6"/>
      </top>
      <bottom/>
      <diagonal/>
    </border>
    <border>
      <left/>
      <right style="thin">
        <color rgb="FFA6A6A6"/>
      </right>
      <top/>
      <bottom/>
      <diagonal/>
    </border>
    <border>
      <left style="thin">
        <color rgb="FFA6A6A6"/>
      </left>
      <right/>
      <top/>
      <bottom style="thin">
        <color rgb="FFA6A6A6"/>
      </bottom>
      <diagonal/>
    </border>
    <border>
      <left/>
      <right/>
      <top/>
      <bottom style="thin">
        <color rgb="FFA6A6A6"/>
      </bottom>
      <diagonal/>
    </border>
    <border>
      <left/>
      <right style="thin">
        <color rgb="FFA6A6A6"/>
      </right>
      <top/>
      <bottom style="thin">
        <color rgb="FFA6A6A6"/>
      </bottom>
      <diagonal/>
    </border>
    <border>
      <left style="thin">
        <color rgb="FFA6A6A6"/>
      </left>
      <right/>
      <top style="thin">
        <color rgb="FFA6A6A6"/>
      </top>
      <bottom style="thin">
        <color rgb="FFA6A6A6"/>
      </bottom>
      <diagonal/>
    </border>
    <border>
      <left/>
      <right/>
      <top style="thin">
        <color rgb="FFA6A6A6"/>
      </top>
      <bottom style="thin">
        <color rgb="FFA6A6A6"/>
      </bottom>
      <diagonal/>
    </border>
    <border>
      <left/>
      <right style="thin">
        <color rgb="FFA6A6A6"/>
      </right>
      <top style="thin">
        <color rgb="FFA6A6A6"/>
      </top>
      <bottom style="thin">
        <color rgb="FFA6A6A6"/>
      </bottom>
      <diagonal/>
    </border>
    <border>
      <left style="thin">
        <color rgb="FFA6A6A6"/>
      </left>
      <right/>
      <top style="thin">
        <color rgb="FFA6A6A6"/>
      </top>
      <bottom/>
      <diagonal/>
    </border>
  </borders>
  <cellStyleXfs count="1">
    <xf numFmtId="0" fontId="0" fillId="0" borderId="0"/>
  </cellStyleXfs>
  <cellXfs count="91">
    <xf numFmtId="0" fontId="0" fillId="0" borderId="0" pivotButton="0" quotePrefix="0" xfId="0"/>
    <xf numFmtId="0" fontId="2" fillId="0" borderId="1" applyAlignment="1" pivotButton="0" quotePrefix="0" xfId="0">
      <alignment horizontal="left" vertical="center" wrapText="1"/>
    </xf>
    <xf numFmtId="0" fontId="6" fillId="0" borderId="1" applyAlignment="1" pivotButton="0" quotePrefix="0" xfId="0">
      <alignment horizontal="center" vertical="center" wrapText="1"/>
    </xf>
    <xf numFmtId="0" fontId="6" fillId="5" borderId="1" applyAlignment="1" pivotButton="0" quotePrefix="0" xfId="0">
      <alignment horizontal="center" vertical="center" wrapText="1"/>
    </xf>
    <xf numFmtId="0" fontId="8" fillId="5" borderId="1" applyAlignment="1" pivotButton="0" quotePrefix="0" xfId="0">
      <alignment horizontal="center" vertical="center" wrapText="1"/>
    </xf>
    <xf numFmtId="0" fontId="2" fillId="0" borderId="1" applyAlignment="1" pivotButton="0" quotePrefix="0" xfId="0">
      <alignment horizontal="center" vertical="center" wrapText="1"/>
    </xf>
    <xf numFmtId="14" fontId="2" fillId="0" borderId="1" applyAlignment="1" pivotButton="0" quotePrefix="0" xfId="0">
      <alignment horizontal="left" vertical="center" wrapText="1"/>
    </xf>
    <xf numFmtId="165" fontId="2" fillId="0" borderId="1" applyAlignment="1" pivotButton="0" quotePrefix="0" xfId="0">
      <alignment horizontal="left" vertical="center" wrapText="1"/>
    </xf>
    <xf numFmtId="165" fontId="2" fillId="4" borderId="1" applyAlignment="1" pivotButton="0" quotePrefix="0" xfId="0">
      <alignment horizontal="left" vertical="center" wrapText="1"/>
    </xf>
    <xf numFmtId="165" fontId="6" fillId="5" borderId="1" applyAlignment="1" pivotButton="0" quotePrefix="0" xfId="0">
      <alignment horizontal="left" vertical="center" wrapText="1"/>
    </xf>
    <xf numFmtId="0" fontId="2" fillId="5" borderId="1" applyAlignment="1" pivotButton="0" quotePrefix="0" xfId="0">
      <alignment horizontal="left" vertical="center" wrapText="1"/>
    </xf>
    <xf numFmtId="0" fontId="9" fillId="2" borderId="1" applyAlignment="1" pivotButton="0" quotePrefix="0" xfId="0">
      <alignment horizontal="center" vertical="center" wrapText="1"/>
    </xf>
    <xf numFmtId="165" fontId="6" fillId="0" borderId="1" applyAlignment="1" pivotButton="0" quotePrefix="0" xfId="0">
      <alignment horizontal="right" vertical="center" wrapText="1"/>
    </xf>
    <xf numFmtId="166" fontId="2" fillId="0" borderId="1" applyAlignment="1" pivotButton="0" quotePrefix="0" xfId="0">
      <alignment horizontal="center" vertical="center" wrapText="1"/>
    </xf>
    <xf numFmtId="165" fontId="6" fillId="5" borderId="1" applyAlignment="1" pivotButton="0" quotePrefix="0" xfId="0">
      <alignment horizontal="right" vertical="center" wrapText="1"/>
    </xf>
    <xf numFmtId="166" fontId="2" fillId="5" borderId="1" applyAlignment="1" pivotButton="0" quotePrefix="0" xfId="0">
      <alignment horizontal="center" vertical="center" wrapText="1"/>
    </xf>
    <xf numFmtId="166" fontId="2" fillId="4" borderId="1" applyAlignment="1" pivotButton="0" quotePrefix="0" xfId="0">
      <alignment horizontal="left" vertical="center" wrapText="1"/>
    </xf>
    <xf numFmtId="0" fontId="6" fillId="4" borderId="1" applyAlignment="1" pivotButton="0" quotePrefix="0" xfId="0">
      <alignment horizontal="center" vertical="center" wrapText="1"/>
    </xf>
    <xf numFmtId="166" fontId="6" fillId="5" borderId="1" applyAlignment="1" pivotButton="0" quotePrefix="0" xfId="0">
      <alignment horizontal="left" vertical="center" wrapText="1"/>
    </xf>
    <xf numFmtId="0" fontId="0" fillId="0" borderId="7" pivotButton="0" quotePrefix="0" xfId="0"/>
    <xf numFmtId="4" fontId="2" fillId="0" borderId="1" applyAlignment="1" pivotButton="0" quotePrefix="0" xfId="0">
      <alignment horizontal="left" vertical="center" wrapText="1"/>
    </xf>
    <xf numFmtId="166" fontId="2" fillId="0" borderId="1" applyAlignment="1" pivotButton="0" quotePrefix="0" xfId="0">
      <alignment horizontal="left" vertical="center" wrapText="1"/>
    </xf>
    <xf numFmtId="0" fontId="6" fillId="4" borderId="1" applyAlignment="1" pivotButton="0" quotePrefix="0" xfId="0">
      <alignment horizontal="left" vertical="center" wrapText="1"/>
    </xf>
    <xf numFmtId="0" fontId="0" fillId="4" borderId="1" pivotButton="0" quotePrefix="0" xfId="0"/>
    <xf numFmtId="0" fontId="2" fillId="0" borderId="1" applyAlignment="1" pivotButton="0" quotePrefix="0" xfId="0">
      <alignment horizontal="left" vertical="center" wrapText="1"/>
    </xf>
    <xf numFmtId="0" fontId="0" fillId="0" borderId="1" pivotButton="0" quotePrefix="0" xfId="0"/>
    <xf numFmtId="0" fontId="2" fillId="3" borderId="0" applyAlignment="1" pivotButton="0" quotePrefix="0" xfId="0">
      <alignment horizontal="left" vertical="center" wrapText="1"/>
    </xf>
    <xf numFmtId="0" fontId="0" fillId="3" borderId="0" pivotButton="0" quotePrefix="0" xfId="0"/>
    <xf numFmtId="0" fontId="6" fillId="5" borderId="1" applyAlignment="1" pivotButton="0" quotePrefix="0" xfId="0">
      <alignment horizontal="center" vertical="center" wrapText="1"/>
    </xf>
    <xf numFmtId="0" fontId="0" fillId="5" borderId="1" pivotButton="0" quotePrefix="0" xfId="0"/>
    <xf numFmtId="0" fontId="10" fillId="0" borderId="1" applyAlignment="1" pivotButton="0" quotePrefix="0" xfId="0">
      <alignment horizontal="left" vertical="center" wrapText="1"/>
    </xf>
    <xf numFmtId="0" fontId="9" fillId="2" borderId="1" applyAlignment="1" pivotButton="0" quotePrefix="0" xfId="0">
      <alignment horizontal="center" vertical="center" wrapText="1"/>
    </xf>
    <xf numFmtId="0" fontId="0" fillId="2" borderId="1" pivotButton="0" quotePrefix="0" xfId="0"/>
    <xf numFmtId="0" fontId="2" fillId="0" borderId="0" applyAlignment="1" pivotButton="0" quotePrefix="0" xfId="0">
      <alignment horizontal="left" vertical="center" wrapText="1"/>
    </xf>
    <xf numFmtId="0" fontId="0" fillId="0" borderId="0" pivotButton="0" quotePrefix="0" xfId="0"/>
    <xf numFmtId="0" fontId="2" fillId="5" borderId="1" applyAlignment="1" pivotButton="0" quotePrefix="0" xfId="0">
      <alignment horizontal="left" vertical="center" wrapText="1"/>
    </xf>
    <xf numFmtId="0" fontId="6" fillId="5" borderId="1" applyAlignment="1" pivotButton="0" quotePrefix="0" xfId="0">
      <alignment horizontal="right" vertical="center" wrapText="1"/>
    </xf>
    <xf numFmtId="0" fontId="3" fillId="0" borderId="0" applyAlignment="1" pivotButton="0" quotePrefix="0" xfId="0">
      <alignment horizontal="center" vertical="center" wrapText="1"/>
    </xf>
    <xf numFmtId="0" fontId="5" fillId="2" borderId="1" applyAlignment="1" pivotButton="0" quotePrefix="0" xfId="0">
      <alignment horizontal="center" vertical="center" wrapText="1"/>
    </xf>
    <xf numFmtId="0" fontId="4" fillId="0" borderId="0" applyAlignment="1" pivotButton="0" quotePrefix="0" xfId="0">
      <alignment horizontal="center" vertical="center" wrapText="1"/>
    </xf>
    <xf numFmtId="0" fontId="7" fillId="2" borderId="1" applyAlignment="1" pivotButton="0" quotePrefix="0" xfId="0">
      <alignment horizontal="left" vertical="center" wrapText="1"/>
    </xf>
    <xf numFmtId="165" fontId="6" fillId="0" borderId="1" applyAlignment="1" pivotButton="0" quotePrefix="0" xfId="0">
      <alignment horizontal="right" vertical="center" wrapText="1"/>
    </xf>
    <xf numFmtId="0" fontId="1" fillId="2" borderId="0" applyAlignment="1" pivotButton="0" quotePrefix="0" xfId="0">
      <alignment horizontal="center" vertical="center" wrapText="1"/>
    </xf>
    <xf numFmtId="0" fontId="0" fillId="2" borderId="0" pivotButton="0" quotePrefix="0" xfId="0"/>
    <xf numFmtId="165" fontId="2" fillId="0" borderId="1" applyAlignment="1" pivotButton="0" quotePrefix="0" xfId="0">
      <alignment horizontal="right" vertical="center" wrapText="1"/>
    </xf>
    <xf numFmtId="166" fontId="2" fillId="0" borderId="1" applyAlignment="1" pivotButton="0" quotePrefix="0" xfId="0">
      <alignment horizontal="right" vertical="center" wrapText="1"/>
    </xf>
    <xf numFmtId="0" fontId="2" fillId="6" borderId="1" applyAlignment="1" pivotButton="0" quotePrefix="0" xfId="0">
      <alignment vertical="top" wrapText="1"/>
    </xf>
    <xf numFmtId="0" fontId="0" fillId="0" borderId="2" pivotButton="0" quotePrefix="0" xfId="0"/>
    <xf numFmtId="0" fontId="0" fillId="0" borderId="4" pivotButton="0" quotePrefix="0" xfId="0"/>
    <xf numFmtId="0" fontId="0" fillId="0" borderId="3" pivotButton="0" quotePrefix="0" xfId="0"/>
    <xf numFmtId="0" fontId="0" fillId="0" borderId="5" pivotButton="0" quotePrefix="0" xfId="0"/>
    <xf numFmtId="0" fontId="0" fillId="0" borderId="6" pivotButton="0" quotePrefix="0" xfId="0"/>
    <xf numFmtId="0" fontId="0" fillId="0" borderId="7" pivotButton="0" quotePrefix="0" xfId="0"/>
    <xf numFmtId="0" fontId="0" fillId="0" borderId="8" pivotButton="0" quotePrefix="0" xfId="0"/>
    <xf numFmtId="165" fontId="2" fillId="7" borderId="1" applyAlignment="1" pivotButton="0" quotePrefix="0" xfId="0">
      <alignment horizontal="left" vertical="center" wrapText="1"/>
    </xf>
    <xf numFmtId="0" fontId="6" fillId="4" borderId="9" applyAlignment="1" pivotButton="0" quotePrefix="0" xfId="0">
      <alignment vertical="center" wrapText="1"/>
    </xf>
    <xf numFmtId="0" fontId="6" fillId="4" borderId="10" applyAlignment="1" pivotButton="0" quotePrefix="0" xfId="0">
      <alignment vertical="center" wrapText="1"/>
    </xf>
    <xf numFmtId="0" fontId="6" fillId="4" borderId="11" applyAlignment="1" pivotButton="0" quotePrefix="0" xfId="0">
      <alignment vertical="center" wrapText="1"/>
    </xf>
    <xf numFmtId="0" fontId="0" fillId="7" borderId="9" pivotButton="0" quotePrefix="0" xfId="0"/>
    <xf numFmtId="0" fontId="0" fillId="7" borderId="10" pivotButton="0" quotePrefix="0" xfId="0"/>
    <xf numFmtId="0" fontId="0" fillId="7" borderId="11" pivotButton="0" quotePrefix="0" xfId="0"/>
    <xf numFmtId="165" fontId="2" fillId="4" borderId="9" applyAlignment="1" pivotButton="0" quotePrefix="0" xfId="0">
      <alignment horizontal="center" vertical="center" wrapText="1"/>
    </xf>
    <xf numFmtId="165" fontId="2" fillId="4" borderId="10" applyAlignment="1" pivotButton="0" quotePrefix="0" xfId="0">
      <alignment horizontal="center" vertical="center" wrapText="1"/>
    </xf>
    <xf numFmtId="165" fontId="2" fillId="4" borderId="11" applyAlignment="1" pivotButton="0" quotePrefix="0" xfId="0">
      <alignment horizontal="center" vertical="center" wrapText="1"/>
    </xf>
    <xf numFmtId="0" fontId="2" fillId="6" borderId="12" applyAlignment="1" pivotButton="0" quotePrefix="0" xfId="0">
      <alignment horizontal="left" vertical="top" wrapText="1"/>
    </xf>
    <xf numFmtId="0" fontId="2" fillId="6" borderId="2" applyAlignment="1" pivotButton="0" quotePrefix="0" xfId="0">
      <alignment horizontal="left" vertical="top" wrapText="1"/>
    </xf>
    <xf numFmtId="0" fontId="2" fillId="6" borderId="4" applyAlignment="1" pivotButton="0" quotePrefix="0" xfId="0">
      <alignment horizontal="left" vertical="top" wrapText="1"/>
    </xf>
    <xf numFmtId="0" fontId="2" fillId="6" borderId="3" applyAlignment="1" pivotButton="0" quotePrefix="0" xfId="0">
      <alignment horizontal="left" vertical="top" wrapText="1"/>
    </xf>
    <xf numFmtId="0" fontId="2" fillId="6" borderId="0" applyAlignment="1" pivotButton="0" quotePrefix="0" xfId="0">
      <alignment horizontal="left" vertical="top" wrapText="1"/>
    </xf>
    <xf numFmtId="0" fontId="2" fillId="6" borderId="5" applyAlignment="1" pivotButton="0" quotePrefix="0" xfId="0">
      <alignment horizontal="left" vertical="top" wrapText="1"/>
    </xf>
    <xf numFmtId="0" fontId="2" fillId="6" borderId="6" applyAlignment="1" pivotButton="0" quotePrefix="0" xfId="0">
      <alignment horizontal="left" vertical="top" wrapText="1"/>
    </xf>
    <xf numFmtId="0" fontId="2" fillId="6" borderId="7" applyAlignment="1" pivotButton="0" quotePrefix="0" xfId="0">
      <alignment horizontal="left" vertical="top" wrapText="1"/>
    </xf>
    <xf numFmtId="0" fontId="2" fillId="6" borderId="8" applyAlignment="1" pivotButton="0" quotePrefix="0" xfId="0">
      <alignment horizontal="left" vertical="top" wrapText="1"/>
    </xf>
    <xf numFmtId="166" fontId="2" fillId="8" borderId="1" applyAlignment="1" pivotButton="0" quotePrefix="0" xfId="0">
      <alignment horizontal="left" vertical="center" wrapText="1"/>
    </xf>
    <xf numFmtId="165" fontId="2" fillId="8" borderId="1" applyAlignment="1" pivotButton="0" quotePrefix="0" xfId="0">
      <alignment horizontal="left" vertical="center" wrapText="1"/>
    </xf>
    <xf numFmtId="0" fontId="0" fillId="0" borderId="0" applyAlignment="1" pivotButton="0" quotePrefix="0" xfId="0">
      <alignment horizontal="center"/>
    </xf>
    <xf numFmtId="0" fontId="0" fillId="0" borderId="7" applyAlignment="1" pivotButton="0" quotePrefix="0" xfId="0">
      <alignment horizontal="center"/>
    </xf>
    <xf numFmtId="4" fontId="2" fillId="4" borderId="1" applyAlignment="1" pivotButton="0" quotePrefix="0" xfId="0">
      <alignment horizontal="left" vertical="center" wrapText="1"/>
    </xf>
    <xf numFmtId="0" fontId="11" fillId="4" borderId="1" applyAlignment="1" pivotButton="0" quotePrefix="0" xfId="0">
      <alignment horizontal="center" vertical="center" wrapText="1"/>
    </xf>
    <xf numFmtId="0" fontId="0" fillId="0" borderId="1" applyAlignment="1" pivotButton="0" quotePrefix="0" xfId="0">
      <alignment horizontal="left"/>
    </xf>
    <xf numFmtId="166" fontId="6" fillId="0" borderId="1" applyAlignment="1" pivotButton="0" quotePrefix="0" xfId="0">
      <alignment horizontal="right" vertical="center" wrapText="1"/>
    </xf>
    <xf numFmtId="0" fontId="2" fillId="4" borderId="1" applyAlignment="1" pivotButton="0" quotePrefix="0" xfId="0">
      <alignment horizontal="center" vertical="center" wrapText="1"/>
    </xf>
    <xf numFmtId="166" fontId="6" fillId="5" borderId="1" applyAlignment="1" pivotButton="0" quotePrefix="0" xfId="0">
      <alignment horizontal="right" vertical="center" wrapText="1"/>
    </xf>
    <xf numFmtId="0" fontId="8" fillId="5" borderId="1" applyAlignment="1" pivotButton="0" quotePrefix="0" xfId="0">
      <alignment horizontal="center" vertical="center" wrapText="1"/>
    </xf>
    <xf numFmtId="0" fontId="0" fillId="0" borderId="11" pivotButton="0" quotePrefix="0" xfId="0"/>
    <xf numFmtId="0" fontId="6" fillId="5" borderId="1" applyAlignment="1" pivotButton="0" quotePrefix="0" xfId="0">
      <alignment horizontal="left" vertical="center" wrapText="1"/>
    </xf>
    <xf numFmtId="165" fontId="6" fillId="5" borderId="1" applyAlignment="1" pivotButton="0" quotePrefix="0" xfId="0">
      <alignment horizontal="right" vertical="center" wrapText="1"/>
    </xf>
    <xf numFmtId="0" fontId="0" fillId="9" borderId="0" applyAlignment="1" pivotButton="0" quotePrefix="0" xfId="0">
      <alignment horizontal="center"/>
    </xf>
    <xf numFmtId="14" fontId="2" fillId="0" borderId="1" applyAlignment="1" pivotButton="0" quotePrefix="0" xfId="0">
      <alignment horizontal="center" vertical="center" wrapText="1"/>
    </xf>
    <xf numFmtId="1" fontId="2" fillId="4" borderId="1" applyAlignment="1" pivotButton="0" quotePrefix="0" xfId="0">
      <alignment horizontal="center" vertical="center" wrapText="1"/>
    </xf>
    <xf numFmtId="0" fontId="0" fillId="0" borderId="10" pivotButton="0" quotePrefix="0" xfId="0"/>
  </cellXfs>
  <cellStyles count="1">
    <cellStyle name="Normal" xfId="0" builtinId="0"/>
  </cellStyles>
  <dxfs count="3">
    <dxf>
      <fill>
        <patternFill patternType="solid">
          <fgColor rgb="FFC6E0B4"/>
        </patternFill>
      </fill>
    </dxf>
    <dxf>
      <fill>
        <patternFill patternType="solid">
          <fgColor rgb="FFFFE699"/>
        </patternFill>
      </fill>
    </dxf>
    <dxf>
      <fill>
        <patternFill patternType="solid">
          <fgColor rgb="FFF8CBAD"/>
        </patternFill>
      </fill>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xdr:wsDr xmlns:xdr="http://schemas.openxmlformats.org/drawingml/2006/spreadsheetDrawing" xmlns:a="http://schemas.openxmlformats.org/drawingml/2006/main" xmlns:r="http://schemas.openxmlformats.org/officeDocument/2006/relationships">
  <xdr:oneCellAnchor>
    <xdr:from>
      <xdr:col>0</xdr:col>
      <xdr:colOff>0</xdr:colOff>
      <xdr:row>0</xdr:row>
      <xdr:rowOff>0</xdr:rowOff>
    </xdr:from>
    <xdr:ext cx="3420000" cy="1620000"/>
    <xdr:pic>
      <xdr:nvPicPr>
        <xdr:cNvPr id="2" name="Image 1" descr="Picture"/>
        <xdr:cNvPicPr/>
      </xdr:nvPicPr>
      <xdr:blipFill>
        <a:blip xmlns:a="http://schemas.openxmlformats.org/drawingml/2006/main" xmlns:r="http://schemas.openxmlformats.org/officeDocument/2006/relationships" cstate="print" r:embed="rId1"/>
        <a:stretch xmlns:a="http://schemas.openxmlformats.org/drawingml/2006/main">
          <a:fillRect/>
        </a:stretch>
      </xdr:blipFill>
      <xdr:spPr>
        <a:xfrm xmlns:a="http://schemas.openxmlformats.org/drawingml/2006/main">
          <a:off x="0" y="0"/>
          <a:ext cx="3420000" cy="1620000"/>
        </a:xfrm>
        <a:prstGeom xmlns:a="http://schemas.openxmlformats.org/drawingml/2006/main" prst="rect">
          <avLst/>
        </a:prstGeom>
        <a:ln xmlns:a="http://schemas.openxmlformats.org/drawingml/2006/main">
          <a:prstDash val="solid"/>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pageSetUpPr fitToPage="1"/>
  </sheetPr>
  <dimension ref="A1:M51"/>
  <sheetViews>
    <sheetView showGridLines="0" tabSelected="1" zoomScale="79" zoomScaleNormal="79" workbookViewId="0">
      <selection activeCell="A1" sqref="A1"/>
    </sheetView>
  </sheetViews>
  <sheetFormatPr baseColWidth="10" defaultColWidth="8.88671875" defaultRowHeight="14.4"/>
  <cols>
    <col width="7.77734375" customWidth="1" style="34" min="1" max="1"/>
    <col width="40.77734375" customWidth="1" style="34" min="2" max="2"/>
    <col width="25.77734375" customWidth="1" style="34" min="3" max="3"/>
    <col width="20.77734375" customWidth="1" style="34" min="4" max="4"/>
    <col width="15.77734375" customWidth="1" style="34" min="5" max="6"/>
    <col width="25.77734375" customWidth="1" style="34" min="7" max="7"/>
    <col width="16" customWidth="1" style="34" min="8" max="8"/>
    <col width="25.77734375" customWidth="1" style="34" min="9" max="9"/>
    <col width="11" customWidth="1" style="34" min="10" max="10"/>
    <col width="13" customWidth="1" style="34" min="11" max="11"/>
    <col width="26" customWidth="1" style="34" min="12" max="12"/>
    <col width="35.77734375" customWidth="1" style="34" min="13" max="13"/>
  </cols>
  <sheetData>
    <row r="1" ht="40.05" customHeight="1" s="34">
      <c r="C1" s="42" t="inlineStr">
        <is>
          <t>CUENTAS POR PAGAR Y VENCIMIENTOS</t>
        </is>
      </c>
    </row>
    <row r="2" ht="4.95" customHeight="1" s="34">
      <c r="C2" s="87" t="n"/>
    </row>
    <row r="3" ht="14.4" customHeight="1" s="34">
      <c r="D3" s="33" t="n"/>
      <c r="K3" s="38" t="inlineStr">
        <is>
          <t>CONTROL DOCUMENTAL</t>
        </is>
      </c>
      <c r="L3" s="90" t="n"/>
      <c r="M3" s="84" t="n"/>
    </row>
    <row r="4" ht="15" customHeight="1" s="34">
      <c r="D4" s="37" t="inlineStr">
        <is>
          <t>REFORMAS Y REMODELACIONES</t>
        </is>
      </c>
      <c r="K4" s="22" t="inlineStr">
        <is>
          <t>Código</t>
        </is>
      </c>
      <c r="L4" s="84" t="n"/>
      <c r="M4" s="2" t="inlineStr">
        <is>
          <t>RYR-CP-008</t>
        </is>
      </c>
    </row>
    <row r="5" ht="14.4" customHeight="1" s="34">
      <c r="D5" s="39" t="inlineStr">
        <is>
          <t>DISEÑAMOS, RENOVAMOS Y CONSTRUIMOS ESPACIOS QUE INSPIRAN.</t>
        </is>
      </c>
      <c r="K5" s="22" t="inlineStr">
        <is>
          <t>Versión</t>
        </is>
      </c>
      <c r="L5" s="84" t="n"/>
      <c r="M5" s="2" t="inlineStr">
        <is>
          <t>1</t>
        </is>
      </c>
    </row>
    <row r="6" ht="20.4" customHeight="1" s="34">
      <c r="D6" s="33" t="n"/>
      <c r="K6" s="22" t="inlineStr">
        <is>
          <t>Fecha de Emisión</t>
        </is>
      </c>
      <c r="L6" s="84" t="n"/>
      <c r="M6" s="2" t="inlineStr">
        <is>
          <t>08/10/2026</t>
        </is>
      </c>
    </row>
    <row r="7" ht="18" customHeight="1" s="34">
      <c r="A7" s="52" t="n"/>
      <c r="B7" s="52" t="n"/>
      <c r="C7" s="52" t="n"/>
      <c r="D7" s="33" t="n"/>
      <c r="K7" s="22" t="inlineStr">
        <is>
          <t>Página</t>
        </is>
      </c>
      <c r="L7" s="84" t="n"/>
      <c r="M7" s="2" t="inlineStr">
        <is>
          <t>1 de 1</t>
        </is>
      </c>
    </row>
    <row r="8">
      <c r="A8" s="28" t="inlineStr">
        <is>
          <t>Facturas pendientes de pago a proveedores y subcontratistas · Antigüedad de la deuda a la fecha de corte</t>
        </is>
      </c>
      <c r="B8" s="90" t="n"/>
      <c r="C8" s="90" t="n"/>
      <c r="D8" s="90" t="n"/>
      <c r="E8" s="90" t="n"/>
      <c r="F8" s="90" t="n"/>
      <c r="G8" s="90" t="n"/>
      <c r="H8" s="90" t="n"/>
      <c r="I8" s="90" t="n"/>
      <c r="J8" s="90" t="n"/>
      <c r="K8" s="90" t="n"/>
      <c r="L8" s="90" t="n"/>
      <c r="M8" s="84" t="n"/>
    </row>
    <row r="9" ht="15" customHeight="1" s="34">
      <c r="A9" s="40" t="inlineStr">
        <is>
          <t>1. DATOS GENERALES</t>
        </is>
      </c>
      <c r="B9" s="90" t="n"/>
      <c r="C9" s="90" t="n"/>
      <c r="D9" s="90" t="n"/>
      <c r="E9" s="90" t="n"/>
      <c r="F9" s="90" t="n"/>
      <c r="G9" s="90" t="n"/>
      <c r="H9" s="90" t="n"/>
      <c r="I9" s="90" t="n"/>
      <c r="J9" s="90" t="n"/>
      <c r="K9" s="90" t="n"/>
      <c r="L9" s="90" t="n"/>
      <c r="M9" s="84" t="n"/>
    </row>
    <row r="10" ht="18" customHeight="1" s="34">
      <c r="A10" s="22" t="inlineStr">
        <is>
          <t>Proyecto / Obra</t>
        </is>
      </c>
      <c r="B10" s="90" t="n"/>
      <c r="C10" s="84" t="n"/>
      <c r="D10" s="24" t="n"/>
      <c r="E10" s="90" t="n"/>
      <c r="F10" s="84" t="n"/>
      <c r="G10" s="22" t="inlineStr">
        <is>
          <t>Tipo de proyecto</t>
        </is>
      </c>
      <c r="H10" s="90" t="n"/>
      <c r="I10" s="84" t="n"/>
      <c r="J10" s="24" t="n"/>
      <c r="K10" s="90" t="n"/>
      <c r="L10" s="90" t="n"/>
      <c r="M10" s="84" t="n"/>
    </row>
    <row r="11" ht="18" customHeight="1" s="34">
      <c r="A11" s="22" t="inlineStr">
        <is>
          <t>Contrato N°</t>
        </is>
      </c>
      <c r="B11" s="90" t="n"/>
      <c r="C11" s="84" t="n"/>
      <c r="D11" s="24" t="n"/>
      <c r="E11" s="90" t="n"/>
      <c r="F11" s="84" t="n"/>
      <c r="G11" s="22" t="inlineStr">
        <is>
          <t>Contratante</t>
        </is>
      </c>
      <c r="H11" s="90" t="n"/>
      <c r="I11" s="84" t="n"/>
      <c r="J11" s="24" t="n"/>
      <c r="K11" s="90" t="n"/>
      <c r="L11" s="90" t="n"/>
      <c r="M11" s="84" t="n"/>
    </row>
    <row r="12" ht="18" customHeight="1" s="34">
      <c r="A12" s="22" t="inlineStr">
        <is>
          <t>Fecha de corte</t>
        </is>
      </c>
      <c r="B12" s="90" t="n"/>
      <c r="C12" s="84" t="n"/>
      <c r="D12" s="24" t="n"/>
      <c r="E12" s="90" t="n"/>
      <c r="F12" s="84" t="n"/>
      <c r="G12" s="22" t="inlineStr">
        <is>
          <t>Responsable del control</t>
        </is>
      </c>
      <c r="H12" s="90" t="n"/>
      <c r="I12" s="84" t="n"/>
      <c r="J12" s="24" t="n"/>
      <c r="K12" s="90" t="n"/>
      <c r="L12" s="90" t="n"/>
      <c r="M12" s="84" t="n"/>
    </row>
    <row r="13" ht="15" customHeight="1" s="34">
      <c r="A13" s="40" t="inlineStr">
        <is>
          <t>2. FACTURAS Y CUENTAS POR PAGAR</t>
        </is>
      </c>
      <c r="B13" s="90" t="n"/>
      <c r="C13" s="90" t="n"/>
      <c r="D13" s="90" t="n"/>
      <c r="E13" s="90" t="n"/>
      <c r="F13" s="90" t="n"/>
      <c r="G13" s="90" t="n"/>
      <c r="H13" s="90" t="n"/>
      <c r="I13" s="90" t="n"/>
      <c r="J13" s="90" t="n"/>
      <c r="K13" s="90" t="n"/>
      <c r="L13" s="90" t="n"/>
      <c r="M13" s="84" t="n"/>
    </row>
    <row r="14" ht="40.05" customHeight="1" s="34">
      <c r="A14" s="83" t="inlineStr">
        <is>
          <t>No.</t>
        </is>
      </c>
      <c r="B14" s="83" t="inlineStr">
        <is>
          <t>Proveedor o acreedor</t>
        </is>
      </c>
      <c r="C14" s="83" t="inlineStr">
        <is>
          <t>NIT / C.C.</t>
        </is>
      </c>
      <c r="D14" s="83" t="inlineStr">
        <is>
          <t>N° factura / cuenta de cobro</t>
        </is>
      </c>
      <c r="E14" s="83" t="inlineStr">
        <is>
          <t>Fecha de emisión</t>
        </is>
      </c>
      <c r="F14" s="83" t="inlineStr">
        <is>
          <t>Fecha de vencimiento</t>
        </is>
      </c>
      <c r="G14" s="83" t="inlineStr">
        <is>
          <t>Valor total a pagar</t>
        </is>
      </c>
      <c r="H14" s="83" t="inlineStr">
        <is>
          <t>Abonado</t>
        </is>
      </c>
      <c r="I14" s="83" t="inlineStr">
        <is>
          <t>Saldo por pagar</t>
        </is>
      </c>
      <c r="J14" s="83" t="inlineStr">
        <is>
          <t>Días de mora</t>
        </is>
      </c>
      <c r="K14" s="83" t="inlineStr">
        <is>
          <t>Estado</t>
        </is>
      </c>
      <c r="L14" s="83" t="inlineStr">
        <is>
          <t>Capítulo del presupuesto</t>
        </is>
      </c>
      <c r="M14" s="83" t="inlineStr">
        <is>
          <t>Observaciones</t>
        </is>
      </c>
    </row>
    <row r="15" ht="22.05" customHeight="1" s="34">
      <c r="A15" s="5" t="n">
        <v>1</v>
      </c>
      <c r="B15" s="24" t="n"/>
      <c r="C15" s="24" t="n"/>
      <c r="D15" s="24" t="n"/>
      <c r="E15" s="88" t="n"/>
      <c r="F15" s="88" t="n"/>
      <c r="G15" s="7" t="n"/>
      <c r="H15" s="7" t="n"/>
      <c r="I15" s="8">
        <f>IF(G15="","",G15-N(H15))</f>
        <v/>
      </c>
      <c r="J15" s="89">
        <f>IF(OR(I15="",I15&lt;=0,F15="",$D$12=""),"",MAX(0,$D$12-F15))</f>
        <v/>
      </c>
      <c r="K15" s="78">
        <f>IF(I15="","",IF(I15&lt;=0,"Pagada",IF(J15="","Pendiente",IF(J15&gt;0,"Vencida","Por vencer"))))</f>
        <v/>
      </c>
      <c r="L15" s="24" t="n"/>
      <c r="M15" s="24" t="n"/>
    </row>
    <row r="16" ht="22.05" customHeight="1" s="34">
      <c r="A16" s="5" t="n">
        <v>2</v>
      </c>
      <c r="B16" s="24" t="n"/>
      <c r="C16" s="24" t="n"/>
      <c r="D16" s="24" t="n"/>
      <c r="E16" s="88" t="n"/>
      <c r="F16" s="88" t="n"/>
      <c r="G16" s="7" t="n"/>
      <c r="H16" s="7" t="n"/>
      <c r="I16" s="8">
        <f>IF(G16="","",G16-N(H16))</f>
        <v/>
      </c>
      <c r="J16" s="89">
        <f>IF(OR(I16="",I16&lt;=0,F16="",$D$12=""),"",MAX(0,$D$12-F16))</f>
        <v/>
      </c>
      <c r="K16" s="78">
        <f>IF(I16="","",IF(I16&lt;=0,"Pagada",IF(J16="","Pendiente",IF(J16&gt;0,"Vencida","Por vencer"))))</f>
        <v/>
      </c>
      <c r="L16" s="24" t="n"/>
      <c r="M16" s="24" t="n"/>
    </row>
    <row r="17" ht="22.05" customHeight="1" s="34">
      <c r="A17" s="5" t="n">
        <v>3</v>
      </c>
      <c r="B17" s="24" t="n"/>
      <c r="C17" s="24" t="n"/>
      <c r="D17" s="24" t="n"/>
      <c r="E17" s="88" t="n"/>
      <c r="F17" s="88" t="n"/>
      <c r="G17" s="7" t="n"/>
      <c r="H17" s="7" t="n"/>
      <c r="I17" s="8">
        <f>IF(G17="","",G17-N(H17))</f>
        <v/>
      </c>
      <c r="J17" s="89">
        <f>IF(OR(I17="",I17&lt;=0,F17="",$D$12=""),"",MAX(0,$D$12-F17))</f>
        <v/>
      </c>
      <c r="K17" s="78">
        <f>IF(I17="","",IF(I17&lt;=0,"Pagada",IF(J17="","Pendiente",IF(J17&gt;0,"Vencida","Por vencer"))))</f>
        <v/>
      </c>
      <c r="L17" s="24" t="n"/>
      <c r="M17" s="24" t="n"/>
    </row>
    <row r="18" ht="22.05" customHeight="1" s="34">
      <c r="A18" s="5" t="n">
        <v>4</v>
      </c>
      <c r="B18" s="24" t="n"/>
      <c r="C18" s="24" t="n"/>
      <c r="D18" s="24" t="n"/>
      <c r="E18" s="88" t="n"/>
      <c r="F18" s="88" t="n"/>
      <c r="G18" s="7" t="n"/>
      <c r="H18" s="7" t="n"/>
      <c r="I18" s="8">
        <f>IF(G18="","",G18-N(H18))</f>
        <v/>
      </c>
      <c r="J18" s="89">
        <f>IF(OR(I18="",I18&lt;=0,F18="",$D$12=""),"",MAX(0,$D$12-F18))</f>
        <v/>
      </c>
      <c r="K18" s="78">
        <f>IF(I18="","",IF(I18&lt;=0,"Pagada",IF(J18="","Pendiente",IF(J18&gt;0,"Vencida","Por vencer"))))</f>
        <v/>
      </c>
      <c r="L18" s="24" t="n"/>
      <c r="M18" s="24" t="n"/>
    </row>
    <row r="19" ht="22.05" customHeight="1" s="34">
      <c r="A19" s="5" t="n">
        <v>5</v>
      </c>
      <c r="B19" s="24" t="n"/>
      <c r="C19" s="24" t="n"/>
      <c r="D19" s="24" t="n"/>
      <c r="E19" s="88" t="n"/>
      <c r="F19" s="88" t="n"/>
      <c r="G19" s="7" t="n"/>
      <c r="H19" s="7" t="n"/>
      <c r="I19" s="8">
        <f>IF(G19="","",G19-N(H19))</f>
        <v/>
      </c>
      <c r="J19" s="89">
        <f>IF(OR(I19="",I19&lt;=0,F19="",$D$12=""),"",MAX(0,$D$12-F19))</f>
        <v/>
      </c>
      <c r="K19" s="78">
        <f>IF(I19="","",IF(I19&lt;=0,"Pagada",IF(J19="","Pendiente",IF(J19&gt;0,"Vencida","Por vencer"))))</f>
        <v/>
      </c>
      <c r="L19" s="24" t="n"/>
      <c r="M19" s="24" t="n"/>
    </row>
    <row r="20" ht="22.05" customHeight="1" s="34">
      <c r="A20" s="5" t="n">
        <v>6</v>
      </c>
      <c r="B20" s="24" t="n"/>
      <c r="C20" s="24" t="n"/>
      <c r="D20" s="24" t="n"/>
      <c r="E20" s="88" t="n"/>
      <c r="F20" s="88" t="n"/>
      <c r="G20" s="7" t="n"/>
      <c r="H20" s="7" t="n"/>
      <c r="I20" s="8">
        <f>IF(G20="","",G20-N(H20))</f>
        <v/>
      </c>
      <c r="J20" s="89">
        <f>IF(OR(I20="",I20&lt;=0,F20="",$D$12=""),"",MAX(0,$D$12-F20))</f>
        <v/>
      </c>
      <c r="K20" s="78">
        <f>IF(I20="","",IF(I20&lt;=0,"Pagada",IF(J20="","Pendiente",IF(J20&gt;0,"Vencida","Por vencer"))))</f>
        <v/>
      </c>
      <c r="L20" s="24" t="n"/>
      <c r="M20" s="24" t="n"/>
    </row>
    <row r="21" ht="22.05" customHeight="1" s="34">
      <c r="A21" s="5" t="n">
        <v>7</v>
      </c>
      <c r="B21" s="24" t="n"/>
      <c r="C21" s="24" t="n"/>
      <c r="D21" s="24" t="n"/>
      <c r="E21" s="88" t="n"/>
      <c r="F21" s="88" t="n"/>
      <c r="G21" s="7" t="n"/>
      <c r="H21" s="7" t="n"/>
      <c r="I21" s="8">
        <f>IF(G21="","",G21-N(H21))</f>
        <v/>
      </c>
      <c r="J21" s="89">
        <f>IF(OR(I21="",I21&lt;=0,F21="",$D$12=""),"",MAX(0,$D$12-F21))</f>
        <v/>
      </c>
      <c r="K21" s="78">
        <f>IF(I21="","",IF(I21&lt;=0,"Pagada",IF(J21="","Pendiente",IF(J21&gt;0,"Vencida","Por vencer"))))</f>
        <v/>
      </c>
      <c r="L21" s="24" t="n"/>
      <c r="M21" s="24" t="n"/>
    </row>
    <row r="22" ht="22.05" customHeight="1" s="34">
      <c r="A22" s="5" t="n">
        <v>8</v>
      </c>
      <c r="B22" s="24" t="n"/>
      <c r="C22" s="24" t="n"/>
      <c r="D22" s="24" t="n"/>
      <c r="E22" s="88" t="n"/>
      <c r="F22" s="88" t="n"/>
      <c r="G22" s="7" t="n"/>
      <c r="H22" s="7" t="n"/>
      <c r="I22" s="8">
        <f>IF(G22="","",G22-N(H22))</f>
        <v/>
      </c>
      <c r="J22" s="89">
        <f>IF(OR(I22="",I22&lt;=0,F22="",$D$12=""),"",MAX(0,$D$12-F22))</f>
        <v/>
      </c>
      <c r="K22" s="78">
        <f>IF(I22="","",IF(I22&lt;=0,"Pagada",IF(J22="","Pendiente",IF(J22&gt;0,"Vencida","Por vencer"))))</f>
        <v/>
      </c>
      <c r="L22" s="24" t="n"/>
      <c r="M22" s="24" t="n"/>
    </row>
    <row r="23" ht="22.05" customHeight="1" s="34">
      <c r="A23" s="5" t="n">
        <v>9</v>
      </c>
      <c r="B23" s="24" t="n"/>
      <c r="C23" s="24" t="n"/>
      <c r="D23" s="24" t="n"/>
      <c r="E23" s="88" t="n"/>
      <c r="F23" s="88" t="n"/>
      <c r="G23" s="7" t="n"/>
      <c r="H23" s="7" t="n"/>
      <c r="I23" s="8">
        <f>IF(G23="","",G23-N(H23))</f>
        <v/>
      </c>
      <c r="J23" s="89">
        <f>IF(OR(I23="",I23&lt;=0,F23="",$D$12=""),"",MAX(0,$D$12-F23))</f>
        <v/>
      </c>
      <c r="K23" s="78">
        <f>IF(I23="","",IF(I23&lt;=0,"Pagada",IF(J23="","Pendiente",IF(J23&gt;0,"Vencida","Por vencer"))))</f>
        <v/>
      </c>
      <c r="L23" s="24" t="n"/>
      <c r="M23" s="24" t="n"/>
    </row>
    <row r="24" ht="22.05" customHeight="1" s="34">
      <c r="A24" s="5" t="n">
        <v>10</v>
      </c>
      <c r="B24" s="24" t="n"/>
      <c r="C24" s="24" t="n"/>
      <c r="D24" s="24" t="n"/>
      <c r="E24" s="88" t="n"/>
      <c r="F24" s="88" t="n"/>
      <c r="G24" s="7" t="n"/>
      <c r="H24" s="7" t="n"/>
      <c r="I24" s="8">
        <f>IF(G24="","",G24-N(H24))</f>
        <v/>
      </c>
      <c r="J24" s="89">
        <f>IF(OR(I24="",I24&lt;=0,F24="",$D$12=""),"",MAX(0,$D$12-F24))</f>
        <v/>
      </c>
      <c r="K24" s="78">
        <f>IF(I24="","",IF(I24&lt;=0,"Pagada",IF(J24="","Pendiente",IF(J24&gt;0,"Vencida","Por vencer"))))</f>
        <v/>
      </c>
      <c r="L24" s="24" t="n"/>
      <c r="M24" s="24" t="n"/>
    </row>
    <row r="25" ht="22.05" customHeight="1" s="34">
      <c r="A25" s="5" t="n">
        <v>11</v>
      </c>
      <c r="B25" s="24" t="n"/>
      <c r="C25" s="24" t="n"/>
      <c r="D25" s="24" t="n"/>
      <c r="E25" s="88" t="n"/>
      <c r="F25" s="88" t="n"/>
      <c r="G25" s="7" t="n"/>
      <c r="H25" s="7" t="n"/>
      <c r="I25" s="8">
        <f>IF(G25="","",G25-N(H25))</f>
        <v/>
      </c>
      <c r="J25" s="89">
        <f>IF(OR(I25="",I25&lt;=0,F25="",$D$12=""),"",MAX(0,$D$12-F25))</f>
        <v/>
      </c>
      <c r="K25" s="78">
        <f>IF(I25="","",IF(I25&lt;=0,"Pagada",IF(J25="","Pendiente",IF(J25&gt;0,"Vencida","Por vencer"))))</f>
        <v/>
      </c>
      <c r="L25" s="24" t="n"/>
      <c r="M25" s="24" t="n"/>
    </row>
    <row r="26" ht="22.05" customHeight="1" s="34">
      <c r="A26" s="5" t="n">
        <v>12</v>
      </c>
      <c r="B26" s="24" t="n"/>
      <c r="C26" s="24" t="n"/>
      <c r="D26" s="24" t="n"/>
      <c r="E26" s="88" t="n"/>
      <c r="F26" s="88" t="n"/>
      <c r="G26" s="7" t="n"/>
      <c r="H26" s="7" t="n"/>
      <c r="I26" s="8">
        <f>IF(G26="","",G26-N(H26))</f>
        <v/>
      </c>
      <c r="J26" s="89">
        <f>IF(OR(I26="",I26&lt;=0,F26="",$D$12=""),"",MAX(0,$D$12-F26))</f>
        <v/>
      </c>
      <c r="K26" s="78">
        <f>IF(I26="","",IF(I26&lt;=0,"Pagada",IF(J26="","Pendiente",IF(J26&gt;0,"Vencida","Por vencer"))))</f>
        <v/>
      </c>
      <c r="L26" s="24" t="n"/>
      <c r="M26" s="24" t="n"/>
    </row>
    <row r="27" ht="22.05" customHeight="1" s="34">
      <c r="A27" s="5" t="n">
        <v>13</v>
      </c>
      <c r="B27" s="24" t="n"/>
      <c r="C27" s="24" t="n"/>
      <c r="D27" s="24" t="n"/>
      <c r="E27" s="88" t="n"/>
      <c r="F27" s="88" t="n"/>
      <c r="G27" s="7" t="n"/>
      <c r="H27" s="7" t="n"/>
      <c r="I27" s="8">
        <f>IF(G27="","",G27-N(H27))</f>
        <v/>
      </c>
      <c r="J27" s="89">
        <f>IF(OR(I27="",I27&lt;=0,F27="",$D$12=""),"",MAX(0,$D$12-F27))</f>
        <v/>
      </c>
      <c r="K27" s="78">
        <f>IF(I27="","",IF(I27&lt;=0,"Pagada",IF(J27="","Pendiente",IF(J27&gt;0,"Vencida","Por vencer"))))</f>
        <v/>
      </c>
      <c r="L27" s="24" t="n"/>
      <c r="M27" s="24" t="n"/>
    </row>
    <row r="28" ht="22.05" customHeight="1" s="34">
      <c r="A28" s="5" t="n">
        <v>14</v>
      </c>
      <c r="B28" s="24" t="n"/>
      <c r="C28" s="24" t="n"/>
      <c r="D28" s="24" t="n"/>
      <c r="E28" s="88" t="n"/>
      <c r="F28" s="88" t="n"/>
      <c r="G28" s="7" t="n"/>
      <c r="H28" s="7" t="n"/>
      <c r="I28" s="8">
        <f>IF(G28="","",G28-N(H28))</f>
        <v/>
      </c>
      <c r="J28" s="89">
        <f>IF(OR(I28="",I28&lt;=0,F28="",$D$12=""),"",MAX(0,$D$12-F28))</f>
        <v/>
      </c>
      <c r="K28" s="78">
        <f>IF(I28="","",IF(I28&lt;=0,"Pagada",IF(J28="","Pendiente",IF(J28&gt;0,"Vencida","Por vencer"))))</f>
        <v/>
      </c>
      <c r="L28" s="24" t="n"/>
      <c r="M28" s="24" t="n"/>
    </row>
    <row r="29" ht="22.05" customHeight="1" s="34">
      <c r="A29" s="5" t="n">
        <v>15</v>
      </c>
      <c r="B29" s="24" t="n"/>
      <c r="C29" s="24" t="n"/>
      <c r="D29" s="24" t="n"/>
      <c r="E29" s="88" t="n"/>
      <c r="F29" s="88" t="n"/>
      <c r="G29" s="7" t="n"/>
      <c r="H29" s="7" t="n"/>
      <c r="I29" s="8">
        <f>IF(G29="","",G29-N(H29))</f>
        <v/>
      </c>
      <c r="J29" s="89">
        <f>IF(OR(I29="",I29&lt;=0,F29="",$D$12=""),"",MAX(0,$D$12-F29))</f>
        <v/>
      </c>
      <c r="K29" s="78">
        <f>IF(I29="","",IF(I29&lt;=0,"Pagada",IF(J29="","Pendiente",IF(J29&gt;0,"Vencida","Por vencer"))))</f>
        <v/>
      </c>
      <c r="L29" s="24" t="n"/>
      <c r="M29" s="24" t="n"/>
    </row>
    <row r="30" ht="22.05" customHeight="1" s="34">
      <c r="A30" s="5" t="n">
        <v>16</v>
      </c>
      <c r="B30" s="24" t="n"/>
      <c r="C30" s="24" t="n"/>
      <c r="D30" s="24" t="n"/>
      <c r="E30" s="88" t="n"/>
      <c r="F30" s="88" t="n"/>
      <c r="G30" s="7" t="n"/>
      <c r="H30" s="7" t="n"/>
      <c r="I30" s="8">
        <f>IF(G30="","",G30-N(H30))</f>
        <v/>
      </c>
      <c r="J30" s="89">
        <f>IF(OR(I30="",I30&lt;=0,F30="",$D$12=""),"",MAX(0,$D$12-F30))</f>
        <v/>
      </c>
      <c r="K30" s="78">
        <f>IF(I30="","",IF(I30&lt;=0,"Pagada",IF(J30="","Pendiente",IF(J30&gt;0,"Vencida","Por vencer"))))</f>
        <v/>
      </c>
      <c r="L30" s="24" t="n"/>
      <c r="M30" s="24" t="n"/>
    </row>
    <row r="31" ht="22.05" customHeight="1" s="34">
      <c r="A31" s="5" t="n">
        <v>17</v>
      </c>
      <c r="B31" s="24" t="n"/>
      <c r="C31" s="24" t="n"/>
      <c r="D31" s="24" t="n"/>
      <c r="E31" s="88" t="n"/>
      <c r="F31" s="88" t="n"/>
      <c r="G31" s="7" t="n"/>
      <c r="H31" s="7" t="n"/>
      <c r="I31" s="8">
        <f>IF(G31="","",G31-N(H31))</f>
        <v/>
      </c>
      <c r="J31" s="89">
        <f>IF(OR(I31="",I31&lt;=0,F31="",$D$12=""),"",MAX(0,$D$12-F31))</f>
        <v/>
      </c>
      <c r="K31" s="78">
        <f>IF(I31="","",IF(I31&lt;=0,"Pagada",IF(J31="","Pendiente",IF(J31&gt;0,"Vencida","Por vencer"))))</f>
        <v/>
      </c>
      <c r="L31" s="24" t="n"/>
      <c r="M31" s="24" t="n"/>
    </row>
    <row r="32" ht="22.05" customHeight="1" s="34">
      <c r="A32" s="5" t="n">
        <v>18</v>
      </c>
      <c r="B32" s="24" t="n"/>
      <c r="C32" s="24" t="n"/>
      <c r="D32" s="24" t="n"/>
      <c r="E32" s="88" t="n"/>
      <c r="F32" s="88" t="n"/>
      <c r="G32" s="7" t="n"/>
      <c r="H32" s="7" t="n"/>
      <c r="I32" s="8">
        <f>IF(G32="","",G32-N(H32))</f>
        <v/>
      </c>
      <c r="J32" s="89">
        <f>IF(OR(I32="",I32&lt;=0,F32="",$D$12=""),"",MAX(0,$D$12-F32))</f>
        <v/>
      </c>
      <c r="K32" s="78">
        <f>IF(I32="","",IF(I32&lt;=0,"Pagada",IF(J32="","Pendiente",IF(J32&gt;0,"Vencida","Por vencer"))))</f>
        <v/>
      </c>
      <c r="L32" s="24" t="n"/>
      <c r="M32" s="24" t="n"/>
    </row>
    <row r="33" ht="22.05" customHeight="1" s="34">
      <c r="A33" s="5" t="n">
        <v>19</v>
      </c>
      <c r="B33" s="24" t="n"/>
      <c r="C33" s="24" t="n"/>
      <c r="D33" s="24" t="n"/>
      <c r="E33" s="88" t="n"/>
      <c r="F33" s="88" t="n"/>
      <c r="G33" s="7" t="n"/>
      <c r="H33" s="7" t="n"/>
      <c r="I33" s="8">
        <f>IF(G33="","",G33-N(H33))</f>
        <v/>
      </c>
      <c r="J33" s="89">
        <f>IF(OR(I33="",I33&lt;=0,F33="",$D$12=""),"",MAX(0,$D$12-F33))</f>
        <v/>
      </c>
      <c r="K33" s="78">
        <f>IF(I33="","",IF(I33&lt;=0,"Pagada",IF(J33="","Pendiente",IF(J33&gt;0,"Vencida","Por vencer"))))</f>
        <v/>
      </c>
      <c r="L33" s="24" t="n"/>
      <c r="M33" s="24" t="n"/>
    </row>
    <row r="34" ht="22.05" customHeight="1" s="34">
      <c r="A34" s="5" t="n">
        <v>20</v>
      </c>
      <c r="B34" s="24" t="n"/>
      <c r="C34" s="24" t="n"/>
      <c r="D34" s="24" t="n"/>
      <c r="E34" s="88" t="n"/>
      <c r="F34" s="88" t="n"/>
      <c r="G34" s="7" t="n"/>
      <c r="H34" s="7" t="n"/>
      <c r="I34" s="8">
        <f>IF(G34="","",G34-N(H34))</f>
        <v/>
      </c>
      <c r="J34" s="89">
        <f>IF(OR(I34="",I34&lt;=0,F34="",$D$12=""),"",MAX(0,$D$12-F34))</f>
        <v/>
      </c>
      <c r="K34" s="78">
        <f>IF(I34="","",IF(I34&lt;=0,"Pagada",IF(J34="","Pendiente",IF(J34&gt;0,"Vencida","Por vencer"))))</f>
        <v/>
      </c>
      <c r="L34" s="24" t="n"/>
      <c r="M34" s="24" t="n"/>
    </row>
    <row r="35">
      <c r="A35" s="36" t="inlineStr">
        <is>
          <t>TOTAL</t>
        </is>
      </c>
      <c r="B35" s="90" t="n"/>
      <c r="C35" s="90" t="n"/>
      <c r="D35" s="90" t="n"/>
      <c r="E35" s="90" t="n"/>
      <c r="F35" s="84" t="n"/>
      <c r="G35" s="86">
        <f>SUM(G15:G34)</f>
        <v/>
      </c>
      <c r="H35" s="86">
        <f>SUM(H15:H34)</f>
        <v/>
      </c>
      <c r="I35" s="86">
        <f>SUM(I15:I34)</f>
        <v/>
      </c>
      <c r="J35" s="35" t="n"/>
      <c r="K35" s="90" t="n"/>
      <c r="L35" s="90" t="n"/>
      <c r="M35" s="84" t="n"/>
    </row>
    <row r="36"/>
    <row r="37" ht="15" customHeight="1" s="34">
      <c r="A37" s="40" t="inlineStr">
        <is>
          <t>3. ANTIGÜEDAD DE LA DEUDA</t>
        </is>
      </c>
      <c r="B37" s="90" t="n"/>
      <c r="C37" s="90" t="n"/>
      <c r="D37" s="90" t="n"/>
      <c r="E37" s="90" t="n"/>
      <c r="F37" s="90" t="n"/>
      <c r="G37" s="90" t="n"/>
      <c r="H37" s="90" t="n"/>
      <c r="I37" s="90" t="n"/>
      <c r="J37" s="90" t="n"/>
      <c r="K37" s="90" t="n"/>
      <c r="L37" s="90" t="n"/>
      <c r="M37" s="84" t="n"/>
    </row>
    <row r="38">
      <c r="B38" s="31" t="inlineStr">
        <is>
          <t>Rango</t>
        </is>
      </c>
      <c r="C38" s="84" t="n"/>
      <c r="D38" s="31" t="inlineStr">
        <is>
          <t>Saldo</t>
        </is>
      </c>
      <c r="E38" s="31" t="inlineStr">
        <is>
          <t>% del saldo</t>
        </is>
      </c>
      <c r="G38" s="24" t="inlineStr">
        <is>
          <t>Los días de mora se cuentan desde la fecha de vencimiento hasta la fecha de corte.
«Por vencer» es una deuda cuya fecha de vencimiento aún no llega.
Lo vencido por más de 60 días suele generar intereses de mora o la suspensión del suministro: priorícelo en el flujo de caja.</t>
        </is>
      </c>
      <c r="H38" s="47" t="n"/>
      <c r="I38" s="47" t="n"/>
      <c r="J38" s="47" t="n"/>
      <c r="K38" s="47" t="n"/>
      <c r="L38" s="47" t="n"/>
      <c r="M38" s="48" t="n"/>
    </row>
    <row r="39">
      <c r="A39" s="24" t="n"/>
      <c r="B39" s="22" t="inlineStr">
        <is>
          <t>Por vencer</t>
        </is>
      </c>
      <c r="C39" s="84" t="n"/>
      <c r="D39" s="41">
        <f>SUMIF($K$15:$K$34,"Por vencer",$I$15:$I$34)</f>
        <v/>
      </c>
      <c r="E39" s="13">
        <f>IF($I$35=0,"",D39/$I$35)</f>
        <v/>
      </c>
      <c r="G39" s="49" t="n"/>
      <c r="M39" s="50" t="n"/>
    </row>
    <row r="40">
      <c r="A40" s="24" t="n"/>
      <c r="B40" s="22" t="inlineStr">
        <is>
          <t>Vencida de 1 a 30 días</t>
        </is>
      </c>
      <c r="C40" s="84" t="n"/>
      <c r="D40" s="41">
        <f>SUMIFS($I$15:$I$34,$K$15:$K$34,"Vencida",$J$15:$J$34,"&gt;=1",$J$15:$J$34,"&lt;=30")</f>
        <v/>
      </c>
      <c r="E40" s="13">
        <f>IF($I$35=0,"",D40/$I$35)</f>
        <v/>
      </c>
      <c r="G40" s="49" t="n"/>
      <c r="M40" s="50" t="n"/>
    </row>
    <row r="41">
      <c r="A41" s="24" t="n"/>
      <c r="B41" s="22" t="inlineStr">
        <is>
          <t>Vencida de 31 a 60 días</t>
        </is>
      </c>
      <c r="C41" s="84" t="n"/>
      <c r="D41" s="41">
        <f>SUMIFS($I$15:$I$34,$K$15:$K$34,"Vencida",$J$15:$J$34,"&gt;=31",$J$15:$J$34,"&lt;=60")</f>
        <v/>
      </c>
      <c r="E41" s="13">
        <f>IF($I$35=0,"",D41/$I$35)</f>
        <v/>
      </c>
      <c r="G41" s="49" t="n"/>
      <c r="M41" s="50" t="n"/>
    </row>
    <row r="42">
      <c r="A42" s="24" t="n"/>
      <c r="B42" s="22" t="inlineStr">
        <is>
          <t>Vencida de 61 a 90 días</t>
        </is>
      </c>
      <c r="C42" s="84" t="n"/>
      <c r="D42" s="41">
        <f>SUMIFS($I$15:$I$34,$K$15:$K$34,"Vencida",$J$15:$J$34,"&gt;=61",$J$15:$J$34,"&lt;=90")</f>
        <v/>
      </c>
      <c r="E42" s="13">
        <f>IF($I$35=0,"",D42/$I$35)</f>
        <v/>
      </c>
      <c r="G42" s="49" t="n"/>
      <c r="M42" s="50" t="n"/>
    </row>
    <row r="43">
      <c r="A43" s="24" t="n"/>
      <c r="B43" s="22" t="inlineStr">
        <is>
          <t>Vencida de más de 90 días</t>
        </is>
      </c>
      <c r="C43" s="84" t="n"/>
      <c r="D43" s="41">
        <f>SUMIFS($I$15:$I$34,$K$15:$K$34,"Vencida",$J$15:$J$34,"&gt;90")</f>
        <v/>
      </c>
      <c r="E43" s="13">
        <f>IF($I$35=0,"",D43/$I$35)</f>
        <v/>
      </c>
      <c r="G43" s="49" t="n"/>
      <c r="M43" s="50" t="n"/>
    </row>
    <row r="44">
      <c r="A44" s="24" t="n"/>
      <c r="B44" s="22" t="inlineStr">
        <is>
          <t>Pendiente sin fecha de corte o de vencimiento</t>
        </is>
      </c>
      <c r="C44" s="84" t="n"/>
      <c r="D44" s="41">
        <f>SUMIF($K$15:$K$34,"Pendiente",$I$15:$I$34)</f>
        <v/>
      </c>
      <c r="E44" s="13">
        <f>IF($I$35=0,"",D44/$I$35)</f>
        <v/>
      </c>
      <c r="G44" s="49" t="n"/>
      <c r="M44" s="50" t="n"/>
    </row>
    <row r="45">
      <c r="A45" s="36" t="inlineStr">
        <is>
          <t>SALDO TOTAL POR PAGAR</t>
        </is>
      </c>
      <c r="B45" s="90" t="n"/>
      <c r="C45" s="84" t="n"/>
      <c r="D45" s="86">
        <f>SUM(D39:D44)</f>
        <v/>
      </c>
      <c r="E45" s="15">
        <f>IF(D45=0,"",1)</f>
        <v/>
      </c>
      <c r="G45" s="51" t="n"/>
      <c r="H45" s="52" t="n"/>
      <c r="I45" s="52" t="n"/>
      <c r="J45" s="52" t="n"/>
      <c r="K45" s="52" t="n"/>
      <c r="L45" s="52" t="n"/>
      <c r="M45" s="53" t="n"/>
    </row>
    <row r="46"/>
    <row r="47" ht="15" customHeight="1" s="34">
      <c r="A47" s="40" t="inlineStr">
        <is>
          <t>FIRMAS</t>
        </is>
      </c>
      <c r="B47" s="90" t="n"/>
      <c r="C47" s="90" t="n"/>
      <c r="D47" s="90" t="n"/>
      <c r="E47" s="90" t="n"/>
      <c r="F47" s="90" t="n"/>
      <c r="G47" s="90" t="n"/>
      <c r="H47" s="90" t="n"/>
      <c r="I47" s="90" t="n"/>
      <c r="J47" s="90" t="n"/>
      <c r="K47" s="90" t="n"/>
      <c r="L47" s="90" t="n"/>
      <c r="M47" s="84" t="n"/>
    </row>
    <row r="48">
      <c r="A48" s="28" t="inlineStr">
        <is>
          <t>ELABORÓ — ADMINISTRACIÓN</t>
        </is>
      </c>
      <c r="B48" s="90" t="n"/>
      <c r="C48" s="90" t="n"/>
      <c r="D48" s="90" t="n"/>
      <c r="E48" s="90" t="n"/>
      <c r="F48" s="84" t="n"/>
      <c r="G48" s="28" t="inlineStr">
        <is>
          <t>REVISÓ — DIRECTOR DE OBRA</t>
        </is>
      </c>
      <c r="H48" s="90" t="n"/>
      <c r="I48" s="90" t="n"/>
      <c r="J48" s="90" t="n"/>
      <c r="K48" s="90" t="n"/>
      <c r="L48" s="90" t="n"/>
      <c r="M48" s="84" t="n"/>
    </row>
    <row r="49" ht="15" customHeight="1" s="34">
      <c r="A49" s="22" t="inlineStr">
        <is>
          <t>Firma:</t>
        </is>
      </c>
      <c r="B49" s="90" t="n"/>
      <c r="C49" s="84" t="n"/>
      <c r="D49" s="24" t="n"/>
      <c r="E49" s="90" t="n"/>
      <c r="F49" s="84" t="n"/>
      <c r="G49" s="22" t="inlineStr">
        <is>
          <t>Firma:</t>
        </is>
      </c>
      <c r="H49" s="90" t="n"/>
      <c r="I49" s="84" t="n"/>
      <c r="J49" s="24" t="n"/>
      <c r="K49" s="90" t="n"/>
      <c r="L49" s="90" t="n"/>
      <c r="M49" s="84" t="n"/>
    </row>
    <row r="50" ht="15" customHeight="1" s="34">
      <c r="A50" s="22" t="inlineStr">
        <is>
          <t>Nombre:</t>
        </is>
      </c>
      <c r="B50" s="90" t="n"/>
      <c r="C50" s="84" t="n"/>
      <c r="D50" s="24" t="n"/>
      <c r="E50" s="90" t="n"/>
      <c r="F50" s="84" t="n"/>
      <c r="G50" s="22" t="inlineStr">
        <is>
          <t>Nombre:</t>
        </is>
      </c>
      <c r="H50" s="90" t="n"/>
      <c r="I50" s="84" t="n"/>
      <c r="J50" s="24" t="n"/>
      <c r="K50" s="90" t="n"/>
      <c r="L50" s="90" t="n"/>
      <c r="M50" s="84" t="n"/>
    </row>
    <row r="51" ht="15" customHeight="1" s="34">
      <c r="A51" s="22" t="inlineStr">
        <is>
          <t>Cargo:</t>
        </is>
      </c>
      <c r="B51" s="90" t="n"/>
      <c r="C51" s="84" t="n"/>
      <c r="D51" s="24" t="n"/>
      <c r="E51" s="90" t="n"/>
      <c r="F51" s="84" t="n"/>
      <c r="G51" s="22" t="inlineStr">
        <is>
          <t>Cargo:</t>
        </is>
      </c>
      <c r="H51" s="90" t="n"/>
      <c r="I51" s="84" t="n"/>
      <c r="J51" s="24" t="n"/>
      <c r="K51" s="90" t="n"/>
      <c r="L51" s="90" t="n"/>
      <c r="M51" s="84" t="n"/>
    </row>
  </sheetData>
  <mergeCells count="54">
    <mergeCell ref="D4:J4"/>
    <mergeCell ref="D11:F11"/>
    <mergeCell ref="G10:I10"/>
    <mergeCell ref="D3:J3"/>
    <mergeCell ref="A8:M8"/>
    <mergeCell ref="J50:M50"/>
    <mergeCell ref="G49:I49"/>
    <mergeCell ref="J12:M12"/>
    <mergeCell ref="K5:L5"/>
    <mergeCell ref="A12:C12"/>
    <mergeCell ref="A50:C50"/>
    <mergeCell ref="J51:M51"/>
    <mergeCell ref="D5:J5"/>
    <mergeCell ref="B43:C43"/>
    <mergeCell ref="B39:C39"/>
    <mergeCell ref="A13:M13"/>
    <mergeCell ref="C1:M1"/>
    <mergeCell ref="B42:C42"/>
    <mergeCell ref="D12:F12"/>
    <mergeCell ref="A9:M9"/>
    <mergeCell ref="A35:F35"/>
    <mergeCell ref="G51:I51"/>
    <mergeCell ref="G38:M45"/>
    <mergeCell ref="D51:F51"/>
    <mergeCell ref="A10:C10"/>
    <mergeCell ref="J10:M10"/>
    <mergeCell ref="B44:C44"/>
    <mergeCell ref="B38:C38"/>
    <mergeCell ref="G50:I50"/>
    <mergeCell ref="G48:M48"/>
    <mergeCell ref="B41:C41"/>
    <mergeCell ref="D6:J6"/>
    <mergeCell ref="D50:F50"/>
    <mergeCell ref="K6:L6"/>
    <mergeCell ref="C2:M2"/>
    <mergeCell ref="G12:I12"/>
    <mergeCell ref="A48:F48"/>
    <mergeCell ref="B40:C40"/>
    <mergeCell ref="K3:M3"/>
    <mergeCell ref="J49:M49"/>
    <mergeCell ref="A51:C51"/>
    <mergeCell ref="G11:I11"/>
    <mergeCell ref="D10:F10"/>
    <mergeCell ref="K7:L7"/>
    <mergeCell ref="A49:C49"/>
    <mergeCell ref="A11:C11"/>
    <mergeCell ref="A37:M37"/>
    <mergeCell ref="A45:C45"/>
    <mergeCell ref="J35:M35"/>
    <mergeCell ref="D7:J7"/>
    <mergeCell ref="J11:M11"/>
    <mergeCell ref="K4:L4"/>
    <mergeCell ref="D49:F49"/>
    <mergeCell ref="A47:M47"/>
  </mergeCells>
  <pageMargins left="0.4" right="0.4" top="0.4" bottom="0.6" header="0.5" footer="0.5"/>
  <pageSetup orientation="landscape" horizontalDpi="300" verticalDpi="300"/>
  <headerFooter>
    <oddHeader/>
    <oddFooter>&amp;C&amp;8 Página &amp;P de &amp;N</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2026-10-09T05:18:12Z</dcterms:created>
  <dcterms:modified xmlns:dcterms="http://purl.org/dc/terms/" xmlns:xsi="http://www.w3.org/2001/XMLSchema-instance" xsi:type="dcterms:W3CDTF">2026-10-09T06:19:51Z</dcterms:modified>
  <cp:lastModifiedBy>Hugo Fernando Hurtado Ruiz</cp:lastModifiedBy>
</cp:coreProperties>
</file>