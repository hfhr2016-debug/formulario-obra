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Informe Semanal" sheetId="3" state="visible" r:id="rId3"/>
  </sheets>
  <definedName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1">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
      <i val="1"/>
      <color rgb="006B7280"/>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4">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334">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xf numFmtId="167" fontId="48" fillId="0" borderId="30" applyAlignment="1" pivotButton="0" quotePrefix="0" xfId="0">
      <alignment horizontal="center"/>
    </xf>
    <xf numFmtId="167" fontId="48" fillId="0" borderId="30" pivotButton="0" quotePrefix="0" xfId="0"/>
    <xf numFmtId="167" fontId="36" fillId="0" borderId="32" applyAlignment="1" pivotButton="0" quotePrefix="0" xfId="2">
      <alignment horizontal="center" vertical="center"/>
    </xf>
    <xf numFmtId="167" fontId="0" fillId="0" borderId="33" pivotButton="0" quotePrefix="0" xfId="0"/>
    <xf numFmtId="167" fontId="0" fillId="0" borderId="32" pivotButton="0" quotePrefix="0" xfId="0"/>
    <xf numFmtId="167" fontId="0" fillId="0" borderId="29" pivotButton="0" quotePrefix="0" xfId="0"/>
    <xf numFmtId="0" fontId="0" fillId="17" borderId="32" applyAlignment="1" pivotButton="0" quotePrefix="0" xfId="0">
      <alignment horizontal="center" vertical="center" wrapText="1"/>
    </xf>
    <xf numFmtId="0" fontId="0" fillId="0" borderId="107" applyAlignment="1" pivotButton="0" quotePrefix="0" xfId="0">
      <alignment horizontal="left" vertical="center" wrapText="1"/>
    </xf>
    <xf numFmtId="0" fontId="46" fillId="0" borderId="116" applyAlignment="1" pivotButton="0" quotePrefix="0" xfId="0">
      <alignment horizontal="left" vertical="center" wrapText="1"/>
    </xf>
    <xf numFmtId="0" fontId="46" fillId="0" borderId="91" applyAlignment="1" pivotButton="0" quotePrefix="0" xfId="0">
      <alignment horizontal="left" vertical="center" wrapText="1"/>
    </xf>
    <xf numFmtId="0" fontId="63" fillId="22" borderId="249" applyAlignment="1" pivotButton="0" quotePrefix="0" xfId="0">
      <alignment horizontal="center" vertical="center"/>
    </xf>
    <xf numFmtId="0" fontId="46" fillId="0" borderId="126" applyAlignment="1" pivotButton="0" quotePrefix="0" xfId="0">
      <alignment horizontal="center" vertical="center"/>
    </xf>
    <xf numFmtId="172" fontId="46" fillId="0" borderId="291"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2" applyAlignment="1" pivotButton="0" quotePrefix="0" xfId="0">
      <alignment horizontal="right" vertical="center"/>
    </xf>
    <xf numFmtId="0" fontId="46" fillId="0" borderId="338" applyAlignment="1" pivotButton="0" quotePrefix="0" xfId="0">
      <alignment horizontal="left" vertical="top" wrapText="1"/>
    </xf>
    <xf numFmtId="0" fontId="46" fillId="0" borderId="295" applyAlignment="1" pivotButton="0" quotePrefix="0" xfId="0">
      <alignment horizontal="left" vertical="top" wrapText="1"/>
    </xf>
    <xf numFmtId="0" fontId="0" fillId="0" borderId="412" applyAlignment="1" pivotButton="0" quotePrefix="0" xfId="0">
      <alignment horizontal="left" vertical="center" wrapText="1"/>
    </xf>
    <xf numFmtId="0" fontId="46" fillId="0" borderId="413" applyAlignment="1" pivotButton="0" quotePrefix="0" xfId="0">
      <alignment horizontal="left" vertical="center" wrapText="1"/>
    </xf>
    <xf numFmtId="0" fontId="170" fillId="0" borderId="0" applyAlignment="1" pivotButton="0" quotePrefix="0" xfId="0">
      <alignment horizontal="center"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4</xdr:col>
      <xdr:colOff>13630</xdr:colOff>
      <xdr:row>8</xdr:row>
      <xdr:rowOff>176148</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00B050"/>
    <pageSetUpPr/>
  </sheetPr>
  <dimension ref="A1:N122"/>
  <sheetViews>
    <sheetView zoomScale="81" zoomScaleNormal="81" workbookViewId="0">
      <selection activeCell="R14" sqref="R14"/>
    </sheetView>
  </sheetViews>
  <sheetFormatPr baseColWidth="10" defaultColWidth="8.6640625" defaultRowHeight="14.4"/>
  <cols>
    <col width="11" customWidth="1" style="1223" min="1" max="14"/>
  </cols>
  <sheetData>
    <row r="1" ht="15" customHeight="1" s="1223">
      <c r="A1" s="1229" t="n"/>
      <c r="B1" s="1258" t="n"/>
      <c r="C1" s="1258" t="n"/>
      <c r="D1" s="1258" t="n"/>
      <c r="E1" s="1227" t="inlineStr">
        <is>
          <t>INFORME SEMANAL</t>
        </is>
      </c>
    </row>
    <row r="2" ht="14.4" customHeight="1" s="1223">
      <c r="A2" s="1258" t="n"/>
      <c r="B2" s="1258" t="n"/>
      <c r="C2" s="1258" t="n"/>
      <c r="D2" s="1258" t="n"/>
    </row>
    <row r="3" ht="14.4" customHeight="1" s="1223">
      <c r="A3" s="1258" t="n"/>
      <c r="B3" s="1258" t="n"/>
      <c r="C3" s="1258" t="n"/>
      <c r="D3" s="1258" t="n"/>
    </row>
    <row r="4" ht="14.4" customHeight="1" s="1223">
      <c r="A4" s="1258" t="n"/>
      <c r="B4" s="1258" t="n"/>
      <c r="C4" s="1258" t="n"/>
      <c r="D4" s="1258" t="n"/>
    </row>
    <row r="5" ht="14.4" customHeight="1" s="1223">
      <c r="A5" s="1258" t="n"/>
      <c r="B5" s="1258" t="n"/>
      <c r="C5" s="1258" t="n"/>
      <c r="D5" s="1258" t="n"/>
    </row>
    <row r="6" ht="4.95" customHeight="1" s="1223">
      <c r="A6" s="1258" t="n"/>
      <c r="B6" s="1258" t="n"/>
      <c r="C6" s="1258" t="n"/>
      <c r="D6" s="1258" t="n"/>
      <c r="E6" s="132" t="n"/>
      <c r="F6" s="132" t="n"/>
      <c r="G6" s="132" t="n"/>
      <c r="H6" s="132" t="n"/>
      <c r="I6" s="132" t="n"/>
      <c r="J6" s="132" t="n"/>
      <c r="K6" s="132" t="n"/>
      <c r="L6" s="132" t="n"/>
      <c r="M6" s="132" t="n"/>
      <c r="N6" s="133" t="n"/>
    </row>
    <row r="7" ht="15" customHeight="1" s="1223">
      <c r="A7" s="1258" t="n"/>
      <c r="B7" s="1258" t="n"/>
      <c r="C7" s="1258" t="n"/>
      <c r="D7" s="1258" t="n"/>
      <c r="E7" s="134" t="n"/>
      <c r="F7" s="134" t="n"/>
      <c r="G7" s="134" t="n"/>
      <c r="H7" s="134" t="n"/>
      <c r="I7" s="134" t="n"/>
      <c r="J7" s="134" t="n"/>
      <c r="K7" s="134" t="n"/>
      <c r="L7" s="679" t="inlineStr">
        <is>
          <t>CONTROL DOCUMENTAL</t>
        </is>
      </c>
      <c r="M7" s="550" t="n"/>
      <c r="N7" s="551" t="n"/>
    </row>
    <row r="8" ht="15" customHeight="1" s="1223">
      <c r="A8" s="1258" t="n"/>
      <c r="B8" s="1258" t="n"/>
      <c r="C8" s="1258" t="n"/>
      <c r="D8" s="1258" t="n"/>
      <c r="E8" s="996" t="inlineStr">
        <is>
          <t>REFORMAS Y REMODELACIONES</t>
        </is>
      </c>
      <c r="L8" s="355" t="inlineStr">
        <is>
          <t>Código</t>
        </is>
      </c>
      <c r="M8" s="978" t="inlineStr">
        <is>
          <t>RYR-IS-001</t>
        </is>
      </c>
      <c r="N8" s="730" t="n"/>
    </row>
    <row r="9" ht="15" customHeight="1" s="1223">
      <c r="A9" s="1258" t="n"/>
      <c r="B9" s="1258" t="n"/>
      <c r="C9" s="1258" t="n"/>
      <c r="D9" s="1258" t="n"/>
      <c r="L9" s="356" t="inlineStr">
        <is>
          <t>Versión</t>
        </is>
      </c>
      <c r="M9" s="982" t="n">
        <v>1</v>
      </c>
      <c r="N9" s="565" t="n"/>
    </row>
    <row r="10" ht="15" customHeight="1" s="1223">
      <c r="A10" s="1258" t="n"/>
      <c r="B10" s="1258" t="n"/>
      <c r="C10" s="1258" t="n"/>
      <c r="D10" s="1258" t="n"/>
      <c r="E10" s="945" t="inlineStr">
        <is>
          <t>DISEÑAMOS, RENOVAMOS Y CONSTRUIMOS ESPACIOS QUE INSPIRAN.</t>
        </is>
      </c>
      <c r="L10" s="356" t="inlineStr">
        <is>
          <t>Fecha de Emisión</t>
        </is>
      </c>
      <c r="M10" s="982" t="inlineStr">
        <is>
          <t>10/09/2026</t>
        </is>
      </c>
      <c r="N10" s="565" t="n"/>
    </row>
    <row r="11" ht="15" customHeight="1" s="1223">
      <c r="A11" s="1258" t="n"/>
      <c r="B11" s="1258" t="n"/>
      <c r="C11" s="1258" t="n"/>
      <c r="D11" s="1258" t="n"/>
      <c r="E11" s="135" t="n"/>
      <c r="F11" s="135" t="n"/>
      <c r="G11" s="135" t="n"/>
      <c r="H11" s="135" t="n"/>
      <c r="I11" s="135" t="n"/>
      <c r="J11" s="135" t="n"/>
      <c r="K11" s="135" t="n"/>
      <c r="L11" s="357" t="inlineStr">
        <is>
          <t>Página</t>
        </is>
      </c>
      <c r="M11" s="1094" t="inlineStr">
        <is>
          <t>1 de 1</t>
        </is>
      </c>
      <c r="N11" s="551" t="n"/>
    </row>
    <row r="12" ht="15" customHeight="1" s="1223">
      <c r="A12" s="1228" t="inlineStr">
        <is>
          <t>IDENTIFICACIÓN DEL INFORME Y DEL PROYECTO</t>
        </is>
      </c>
      <c r="N12" s="546" t="n"/>
    </row>
    <row r="13" ht="15" customHeight="1" s="1223">
      <c r="A13" s="1024" t="inlineStr">
        <is>
          <t>Proyecto</t>
        </is>
      </c>
      <c r="B13" s="684" t="n"/>
      <c r="C13" s="684" t="n"/>
      <c r="D13" s="684" t="n"/>
      <c r="E13" s="1125" t="n"/>
      <c r="F13" s="581" t="n"/>
      <c r="G13" s="581" t="n"/>
      <c r="H13" s="581" t="n"/>
      <c r="I13" s="581" t="n"/>
      <c r="J13" s="581" t="n"/>
      <c r="K13" s="581" t="n"/>
      <c r="L13" s="581" t="n"/>
      <c r="M13" s="581" t="n"/>
      <c r="N13" s="1032" t="n"/>
    </row>
    <row r="14" ht="15" customHeight="1" s="1223">
      <c r="A14" s="1036" t="inlineStr">
        <is>
          <t>No de Contrato</t>
        </is>
      </c>
      <c r="B14" s="530" t="n"/>
      <c r="C14" s="530" t="n"/>
      <c r="D14" s="530" t="n"/>
      <c r="E14" s="1068" t="n"/>
      <c r="F14" s="530" t="n"/>
      <c r="G14" s="530" t="n"/>
      <c r="H14" s="654" t="n"/>
      <c r="I14" s="1066" t="inlineStr">
        <is>
          <t>Presupuesto Total del Contrato</t>
        </is>
      </c>
      <c r="J14" s="530" t="n"/>
      <c r="K14" s="530" t="n"/>
      <c r="L14" s="1086">
        <f>'Presupuesto '!F249</f>
        <v/>
      </c>
      <c r="M14" s="530" t="n"/>
      <c r="N14" s="579" t="n"/>
    </row>
    <row r="15" ht="15" customHeight="1" s="1223">
      <c r="A15" s="1036" t="inlineStr">
        <is>
          <t>Contratista</t>
        </is>
      </c>
      <c r="B15" s="530" t="n"/>
      <c r="C15" s="530" t="n"/>
      <c r="D15" s="530" t="n"/>
      <c r="E15" s="1068" t="inlineStr">
        <is>
          <t>REFORMAS Y REMODELACIONES</t>
        </is>
      </c>
      <c r="F15" s="530" t="n"/>
      <c r="G15" s="530" t="n"/>
      <c r="H15" s="654" t="n"/>
      <c r="I15" s="1066" t="inlineStr">
        <is>
          <t>Período (Semana)</t>
        </is>
      </c>
      <c r="J15" s="530" t="n"/>
      <c r="K15" s="530" t="n"/>
      <c r="L15" s="1056" t="n"/>
      <c r="M15" s="530" t="n"/>
      <c r="N15" s="579" t="n"/>
    </row>
    <row r="16" ht="15" customHeight="1" s="1223">
      <c r="A16" s="1036" t="inlineStr">
        <is>
          <t>Elaborado Por</t>
        </is>
      </c>
      <c r="B16" s="530" t="n"/>
      <c r="C16" s="530" t="n"/>
      <c r="D16" s="530" t="n"/>
      <c r="E16" s="1068" t="n"/>
      <c r="F16" s="530" t="n"/>
      <c r="G16" s="530" t="n"/>
      <c r="H16" s="654" t="n"/>
      <c r="I16" s="1066" t="inlineStr">
        <is>
          <t>Fecha de Emisión</t>
        </is>
      </c>
      <c r="J16" s="530" t="n"/>
      <c r="K16" s="530" t="n"/>
      <c r="L16" s="1056" t="n"/>
      <c r="M16" s="530" t="n"/>
      <c r="N16" s="579" t="n"/>
    </row>
    <row r="17" ht="15.75" customHeight="1" s="1223">
      <c r="A17" s="1124" t="inlineStr">
        <is>
          <t>RESUMEN EJECUTIVO</t>
        </is>
      </c>
      <c r="B17" s="596" t="n"/>
      <c r="C17" s="596" t="n"/>
      <c r="D17" s="596" t="n"/>
      <c r="E17" s="596" t="n"/>
      <c r="F17" s="596" t="n"/>
      <c r="G17" s="596" t="n"/>
      <c r="H17" s="596" t="n"/>
      <c r="I17" s="596" t="n"/>
      <c r="J17" s="596" t="n"/>
      <c r="K17" s="596" t="n"/>
      <c r="L17" s="596" t="n"/>
      <c r="M17" s="596" t="n"/>
      <c r="N17" s="730" t="n"/>
    </row>
    <row r="18" ht="15" customHeight="1" s="1223">
      <c r="A18" s="1100" t="n"/>
      <c r="B18" s="528" t="n"/>
      <c r="C18" s="528" t="n"/>
      <c r="D18" s="528" t="n"/>
      <c r="E18" s="528" t="n"/>
      <c r="F18" s="528" t="n"/>
      <c r="G18" s="528" t="n"/>
      <c r="H18" s="528" t="n"/>
      <c r="I18" s="528" t="n"/>
      <c r="J18" s="528" t="n"/>
      <c r="K18" s="528" t="n"/>
      <c r="L18" s="528" t="n"/>
      <c r="M18" s="528" t="n"/>
      <c r="N18" s="1101" t="n"/>
    </row>
    <row r="19" ht="15.75" customHeight="1" s="1223">
      <c r="A19" s="1128" t="inlineStr">
        <is>
          <t>AVANCE TÉCNICO Y ECONÓMICO DEL PROYECTO (POR CAPÍTULO)</t>
        </is>
      </c>
      <c r="B19" s="550" t="n"/>
      <c r="C19" s="550" t="n"/>
      <c r="D19" s="550" t="n"/>
      <c r="E19" s="550" t="n"/>
      <c r="F19" s="550" t="n"/>
      <c r="G19" s="550" t="n"/>
      <c r="H19" s="550" t="n"/>
      <c r="I19" s="550" t="n"/>
      <c r="J19" s="550" t="n"/>
      <c r="K19" s="550" t="n"/>
      <c r="L19" s="550" t="n"/>
      <c r="M19" s="550" t="n"/>
      <c r="N19" s="551" t="n"/>
    </row>
    <row r="20" ht="15" customHeight="1" s="1223">
      <c r="A20" s="1098" t="inlineStr">
        <is>
          <t>AVANCE PROGRAMADO GLOBAL</t>
        </is>
      </c>
      <c r="B20" s="1040" t="n"/>
      <c r="C20" s="1040" t="n"/>
      <c r="D20" s="1097" t="inlineStr">
        <is>
          <t>AVANCE REAL GLOBAL</t>
        </is>
      </c>
      <c r="E20" s="1040" t="n"/>
      <c r="F20" s="1040" t="n"/>
      <c r="G20" s="1097" t="inlineStr">
        <is>
          <t>DIFERENCIA</t>
        </is>
      </c>
      <c r="H20" s="1040" t="n"/>
      <c r="I20" s="1040" t="n"/>
      <c r="J20" s="1039" t="inlineStr">
        <is>
          <t>% EJECUTADO FINANCIERO</t>
        </is>
      </c>
      <c r="K20" s="1040" t="n"/>
      <c r="L20" s="1040" t="n"/>
      <c r="M20" s="1040" t="n"/>
      <c r="N20" s="1041" t="n"/>
    </row>
    <row r="21">
      <c r="A21" s="1016">
        <f>H46</f>
        <v/>
      </c>
      <c r="B21" s="567" t="n"/>
      <c r="C21" s="567" t="n"/>
      <c r="D21" s="1082">
        <f>I46</f>
        <v/>
      </c>
      <c r="E21" s="567" t="n"/>
      <c r="F21" s="567" t="n"/>
      <c r="G21" s="1082">
        <f>D21-A21</f>
        <v/>
      </c>
      <c r="H21" s="567" t="n"/>
      <c r="I21" s="567" t="n"/>
      <c r="J21" s="1126">
        <f>IFERROR(J46/$L$14,0)</f>
        <v/>
      </c>
      <c r="K21" s="567" t="n"/>
      <c r="L21" s="567" t="n"/>
      <c r="M21" s="567" t="n"/>
      <c r="N21" s="1127" t="n"/>
    </row>
    <row r="22" ht="15" customHeight="1" s="1223">
      <c r="A22" s="1051" t="inlineStr">
        <is>
          <t>CAPÍTULO</t>
        </is>
      </c>
      <c r="C22" s="603" t="n"/>
      <c r="D22" s="1046" t="inlineStr">
        <is>
          <t>PESO %</t>
        </is>
      </c>
      <c r="E22" s="1046" t="inlineStr">
        <is>
          <t>PROG. %</t>
        </is>
      </c>
      <c r="F22" s="1046" t="inlineStr">
        <is>
          <t>REAL %</t>
        </is>
      </c>
      <c r="G22" s="1046" t="inlineStr">
        <is>
          <t>DIF. %</t>
        </is>
      </c>
      <c r="H22" s="1046" t="inlineStr">
        <is>
          <t>PROG. POND. %</t>
        </is>
      </c>
      <c r="I22" s="1046" t="inlineStr">
        <is>
          <t>REAL POND. %</t>
        </is>
      </c>
      <c r="J22" s="1095" t="inlineStr">
        <is>
          <t>VALOR EJECUTADO ($)</t>
        </is>
      </c>
      <c r="N22" s="546" t="n"/>
    </row>
    <row r="23">
      <c r="A23" s="1052" t="n"/>
      <c r="B23" s="613" t="n"/>
      <c r="C23" s="614" t="n"/>
      <c r="D23" s="1047" t="n"/>
      <c r="E23" s="1047" t="n"/>
      <c r="F23" s="1047" t="n"/>
      <c r="G23" s="1047" t="n"/>
      <c r="H23" s="1047" t="n"/>
      <c r="I23" s="1047" t="n"/>
      <c r="J23" s="1096" t="n"/>
      <c r="N23" s="546" t="n"/>
    </row>
    <row r="24" ht="15" customHeight="1" s="1223">
      <c r="A24" s="1013">
        <f>'Presupuesto '!B14</f>
        <v/>
      </c>
      <c r="B24" s="530" t="n"/>
      <c r="C24" s="654" t="n"/>
      <c r="D24" s="514">
        <f>'Presupuesto '!F25/'Presupuesto '!$F$240</f>
        <v/>
      </c>
      <c r="E24" s="1313" t="n"/>
      <c r="F24" s="1313" t="n"/>
      <c r="G24" s="515">
        <f>F24-E24</f>
        <v/>
      </c>
      <c r="H24" s="516">
        <f>D24*E24</f>
        <v/>
      </c>
      <c r="I24" s="516">
        <f>D24*F24</f>
        <v/>
      </c>
      <c r="J24" s="1037">
        <f>D24*$L$14*G24</f>
        <v/>
      </c>
      <c r="K24" s="581" t="n"/>
      <c r="L24" s="581" t="n"/>
      <c r="M24" s="581" t="n"/>
      <c r="N24" s="1032" t="n"/>
    </row>
    <row r="25" ht="15" customHeight="1" s="1223">
      <c r="A25" s="1013">
        <f>'Presupuesto '!B27</f>
        <v/>
      </c>
      <c r="B25" s="530" t="n"/>
      <c r="C25" s="654" t="n"/>
      <c r="D25" s="514">
        <f>'Presupuesto '!F39/'Presupuesto '!$F$240</f>
        <v/>
      </c>
      <c r="E25" s="1313" t="n"/>
      <c r="F25" s="1313" t="n"/>
      <c r="G25" s="515">
        <f>F25-E25</f>
        <v/>
      </c>
      <c r="H25" s="516">
        <f>D25*E25</f>
        <v/>
      </c>
      <c r="I25" s="516">
        <f>D25*F25</f>
        <v/>
      </c>
      <c r="J25" s="1037">
        <f>D25*$L$14*G25</f>
        <v/>
      </c>
      <c r="K25" s="581" t="n"/>
      <c r="L25" s="581" t="n"/>
      <c r="M25" s="581" t="n"/>
      <c r="N25" s="1032" t="n"/>
    </row>
    <row r="26" ht="15" customHeight="1" s="1223">
      <c r="A26" s="1013">
        <f>'Presupuesto '!B41</f>
        <v/>
      </c>
      <c r="B26" s="530" t="n"/>
      <c r="C26" s="654" t="n"/>
      <c r="D26" s="514">
        <f>'Presupuesto '!F49/'Presupuesto '!$F$240</f>
        <v/>
      </c>
      <c r="E26" s="1313" t="n"/>
      <c r="F26" s="1313" t="n"/>
      <c r="G26" s="515">
        <f>F26-E26</f>
        <v/>
      </c>
      <c r="H26" s="516">
        <f>D26*E26</f>
        <v/>
      </c>
      <c r="I26" s="516">
        <f>D26*F26</f>
        <v/>
      </c>
      <c r="J26" s="1037">
        <f>D26*$L$14*G26</f>
        <v/>
      </c>
      <c r="K26" s="581" t="n"/>
      <c r="L26" s="581" t="n"/>
      <c r="M26" s="581" t="n"/>
      <c r="N26" s="1032" t="n"/>
    </row>
    <row r="27" ht="15" customHeight="1" s="1223">
      <c r="A27" s="1013">
        <f>'Presupuesto '!B51</f>
        <v/>
      </c>
      <c r="B27" s="530" t="n"/>
      <c r="C27" s="654" t="n"/>
      <c r="D27" s="514">
        <f>'Presupuesto '!F69/'Presupuesto '!$F$240</f>
        <v/>
      </c>
      <c r="E27" s="1313" t="n"/>
      <c r="F27" s="1313" t="n"/>
      <c r="G27" s="515">
        <f>F27-E27</f>
        <v/>
      </c>
      <c r="H27" s="516">
        <f>D27*E27</f>
        <v/>
      </c>
      <c r="I27" s="516">
        <f>D27*F27</f>
        <v/>
      </c>
      <c r="J27" s="1037">
        <f>D27*$L$14*G27</f>
        <v/>
      </c>
      <c r="K27" s="581" t="n"/>
      <c r="L27" s="581" t="n"/>
      <c r="M27" s="581" t="n"/>
      <c r="N27" s="1032" t="n"/>
    </row>
    <row r="28" ht="15" customHeight="1" s="1223">
      <c r="A28" s="1013">
        <f>'Presupuesto '!B71</f>
        <v/>
      </c>
      <c r="B28" s="530" t="n"/>
      <c r="C28" s="654" t="n"/>
      <c r="D28" s="514">
        <f>'Presupuesto '!F81/'Presupuesto '!$F$240</f>
        <v/>
      </c>
      <c r="E28" s="1313" t="n"/>
      <c r="F28" s="1313" t="n"/>
      <c r="G28" s="515">
        <f>F28-E28</f>
        <v/>
      </c>
      <c r="H28" s="516">
        <f>D28*E28</f>
        <v/>
      </c>
      <c r="I28" s="516">
        <f>D28*F28</f>
        <v/>
      </c>
      <c r="J28" s="1037">
        <f>D28*$L$14*G28</f>
        <v/>
      </c>
      <c r="K28" s="581" t="n"/>
      <c r="L28" s="581" t="n"/>
      <c r="M28" s="581" t="n"/>
      <c r="N28" s="1032" t="n"/>
    </row>
    <row r="29" ht="15" customHeight="1" s="1223">
      <c r="A29" s="1013">
        <f>'Presupuesto '!B83</f>
        <v/>
      </c>
      <c r="B29" s="530" t="n"/>
      <c r="C29" s="654" t="n"/>
      <c r="D29" s="514">
        <f>'Presupuesto '!F93/'Presupuesto '!$F$240</f>
        <v/>
      </c>
      <c r="E29" s="1313" t="n"/>
      <c r="F29" s="1313" t="n"/>
      <c r="G29" s="515">
        <f>F29-E29</f>
        <v/>
      </c>
      <c r="H29" s="516">
        <f>D29*E29</f>
        <v/>
      </c>
      <c r="I29" s="516">
        <f>D29*F29</f>
        <v/>
      </c>
      <c r="J29" s="1037">
        <f>D29*$L$14*G29</f>
        <v/>
      </c>
      <c r="K29" s="581" t="n"/>
      <c r="L29" s="581" t="n"/>
      <c r="M29" s="581" t="n"/>
      <c r="N29" s="1032" t="n"/>
    </row>
    <row r="30" ht="15" customHeight="1" s="1223">
      <c r="A30" s="1013">
        <f>'Presupuesto '!B95</f>
        <v/>
      </c>
      <c r="B30" s="530" t="n"/>
      <c r="C30" s="654" t="n"/>
      <c r="D30" s="514">
        <f>'Presupuesto '!F100/'Presupuesto '!$F$240</f>
        <v/>
      </c>
      <c r="E30" s="1313" t="n"/>
      <c r="F30" s="1313" t="n"/>
      <c r="G30" s="515">
        <f>F30-E30</f>
        <v/>
      </c>
      <c r="H30" s="516">
        <f>D30*E30</f>
        <v/>
      </c>
      <c r="I30" s="516">
        <f>D30*F30</f>
        <v/>
      </c>
      <c r="J30" s="1037">
        <f>D30*$L$14*G30</f>
        <v/>
      </c>
      <c r="K30" s="581" t="n"/>
      <c r="L30" s="581" t="n"/>
      <c r="M30" s="581" t="n"/>
      <c r="N30" s="1032" t="n"/>
    </row>
    <row r="31" ht="15" customHeight="1" s="1223">
      <c r="A31" s="1013">
        <f>'Presupuesto '!B102</f>
        <v/>
      </c>
      <c r="B31" s="530" t="n"/>
      <c r="C31" s="654" t="n"/>
      <c r="D31" s="514">
        <f>'Presupuesto '!F107/'Presupuesto '!$F$240</f>
        <v/>
      </c>
      <c r="E31" s="1313" t="n"/>
      <c r="F31" s="1313" t="n"/>
      <c r="G31" s="515">
        <f>F31-E31</f>
        <v/>
      </c>
      <c r="H31" s="516">
        <f>D31*E31</f>
        <v/>
      </c>
      <c r="I31" s="516">
        <f>D31*F31</f>
        <v/>
      </c>
      <c r="J31" s="1037">
        <f>D31*$L$14*G31</f>
        <v/>
      </c>
      <c r="K31" s="581" t="n"/>
      <c r="L31" s="581" t="n"/>
      <c r="M31" s="581" t="n"/>
      <c r="N31" s="1032" t="n"/>
    </row>
    <row r="32" ht="15" customHeight="1" s="1223">
      <c r="A32" s="1013">
        <f>'Presupuesto '!B109</f>
        <v/>
      </c>
      <c r="B32" s="530" t="n"/>
      <c r="C32" s="654" t="n"/>
      <c r="D32" s="514">
        <f>'Presupuesto '!F121/'Presupuesto '!$F$240</f>
        <v/>
      </c>
      <c r="E32" s="1313" t="n"/>
      <c r="F32" s="1313" t="n"/>
      <c r="G32" s="515">
        <f>F32-E32</f>
        <v/>
      </c>
      <c r="H32" s="516">
        <f>D32*E32</f>
        <v/>
      </c>
      <c r="I32" s="516">
        <f>D32*F32</f>
        <v/>
      </c>
      <c r="J32" s="1037">
        <f>D32*$L$14*G32</f>
        <v/>
      </c>
      <c r="K32" s="581" t="n"/>
      <c r="L32" s="581" t="n"/>
      <c r="M32" s="581" t="n"/>
      <c r="N32" s="1032" t="n"/>
    </row>
    <row r="33" ht="15" customHeight="1" s="1223">
      <c r="A33" s="1013">
        <f>'Presupuesto '!B123</f>
        <v/>
      </c>
      <c r="B33" s="530" t="n"/>
      <c r="C33" s="654" t="n"/>
      <c r="D33" s="514">
        <f>'Presupuesto '!F129/'Presupuesto '!$F$240</f>
        <v/>
      </c>
      <c r="E33" s="1313" t="n"/>
      <c r="F33" s="1313" t="n"/>
      <c r="G33" s="515">
        <f>F33-E33</f>
        <v/>
      </c>
      <c r="H33" s="516">
        <f>D33*E33</f>
        <v/>
      </c>
      <c r="I33" s="516">
        <f>D33*F33</f>
        <v/>
      </c>
      <c r="J33" s="1037">
        <f>D33*$L$14*G33</f>
        <v/>
      </c>
      <c r="K33" s="581" t="n"/>
      <c r="L33" s="581" t="n"/>
      <c r="M33" s="581" t="n"/>
      <c r="N33" s="1032" t="n"/>
    </row>
    <row r="34" ht="15" customHeight="1" s="1223">
      <c r="A34" s="1013">
        <f>'Presupuesto '!B131</f>
        <v/>
      </c>
      <c r="B34" s="530" t="n"/>
      <c r="C34" s="654" t="n"/>
      <c r="D34" s="514">
        <f>'Presupuesto '!F140/'Presupuesto '!$F$240</f>
        <v/>
      </c>
      <c r="E34" s="1313" t="n"/>
      <c r="F34" s="1313" t="n"/>
      <c r="G34" s="515">
        <f>F34-E34</f>
        <v/>
      </c>
      <c r="H34" s="516">
        <f>D34*E34</f>
        <v/>
      </c>
      <c r="I34" s="516">
        <f>D34*F34</f>
        <v/>
      </c>
      <c r="J34" s="1037">
        <f>D34*$L$14*G34</f>
        <v/>
      </c>
      <c r="K34" s="581" t="n"/>
      <c r="L34" s="581" t="n"/>
      <c r="M34" s="581" t="n"/>
      <c r="N34" s="1032" t="n"/>
    </row>
    <row r="35" ht="15" customHeight="1" s="1223">
      <c r="A35" s="1013">
        <f>'Presupuesto '!B142</f>
        <v/>
      </c>
      <c r="B35" s="530" t="n"/>
      <c r="C35" s="654" t="n"/>
      <c r="D35" s="514">
        <f>'Presupuesto '!F147/'Presupuesto '!$F$240</f>
        <v/>
      </c>
      <c r="E35" s="1313" t="n"/>
      <c r="F35" s="1313" t="n"/>
      <c r="G35" s="515">
        <f>F35-E35</f>
        <v/>
      </c>
      <c r="H35" s="516">
        <f>D35*E35</f>
        <v/>
      </c>
      <c r="I35" s="516">
        <f>D35*F35</f>
        <v/>
      </c>
      <c r="J35" s="1037">
        <f>D35*$L$14*G35</f>
        <v/>
      </c>
      <c r="K35" s="581" t="n"/>
      <c r="L35" s="581" t="n"/>
      <c r="M35" s="581" t="n"/>
      <c r="N35" s="1032" t="n"/>
    </row>
    <row r="36" ht="15" customHeight="1" s="1223">
      <c r="A36" s="1013">
        <f>'Presupuesto '!B149</f>
        <v/>
      </c>
      <c r="B36" s="530" t="n"/>
      <c r="C36" s="654" t="n"/>
      <c r="D36" s="514">
        <f>'Presupuesto '!F162/'Presupuesto '!$F$240</f>
        <v/>
      </c>
      <c r="E36" s="1313" t="n"/>
      <c r="F36" s="1313" t="n"/>
      <c r="G36" s="515">
        <f>F36-E36</f>
        <v/>
      </c>
      <c r="H36" s="516">
        <f>D36*E36</f>
        <v/>
      </c>
      <c r="I36" s="516">
        <f>D36*F36</f>
        <v/>
      </c>
      <c r="J36" s="1037">
        <f>D36*$L$14*G36</f>
        <v/>
      </c>
      <c r="K36" s="581" t="n"/>
      <c r="L36" s="581" t="n"/>
      <c r="M36" s="581" t="n"/>
      <c r="N36" s="1032" t="n"/>
    </row>
    <row r="37" ht="15" customHeight="1" s="1223">
      <c r="A37" s="1013">
        <f>'Presupuesto '!B164</f>
        <v/>
      </c>
      <c r="B37" s="530" t="n"/>
      <c r="C37" s="654" t="n"/>
      <c r="D37" s="514">
        <f>'Presupuesto '!F176/'Presupuesto '!$F$240</f>
        <v/>
      </c>
      <c r="E37" s="1313" t="n"/>
      <c r="F37" s="1313" t="n"/>
      <c r="G37" s="515">
        <f>F37-E37</f>
        <v/>
      </c>
      <c r="H37" s="516">
        <f>D37*E37</f>
        <v/>
      </c>
      <c r="I37" s="516">
        <f>D37*F37</f>
        <v/>
      </c>
      <c r="J37" s="1037">
        <f>D37*$L$14*G37</f>
        <v/>
      </c>
      <c r="K37" s="581" t="n"/>
      <c r="L37" s="581" t="n"/>
      <c r="M37" s="581" t="n"/>
      <c r="N37" s="1032" t="n"/>
    </row>
    <row r="38" ht="15" customHeight="1" s="1223">
      <c r="A38" s="1013">
        <f>'Presupuesto '!B178</f>
        <v/>
      </c>
      <c r="B38" s="530" t="n"/>
      <c r="C38" s="654" t="n"/>
      <c r="D38" s="514">
        <f>'Presupuesto '!F185/'Presupuesto '!$F$240</f>
        <v/>
      </c>
      <c r="E38" s="1313" t="n"/>
      <c r="F38" s="1313" t="n"/>
      <c r="G38" s="515">
        <f>F38-E38</f>
        <v/>
      </c>
      <c r="H38" s="516">
        <f>D38*E38</f>
        <v/>
      </c>
      <c r="I38" s="516">
        <f>D38*F38</f>
        <v/>
      </c>
      <c r="J38" s="1037">
        <f>D38*$L$14*G38</f>
        <v/>
      </c>
      <c r="K38" s="581" t="n"/>
      <c r="L38" s="581" t="n"/>
      <c r="M38" s="581" t="n"/>
      <c r="N38" s="1032" t="n"/>
    </row>
    <row r="39" ht="15" customHeight="1" s="1223">
      <c r="A39" s="1072">
        <f>'Presupuesto '!B187</f>
        <v/>
      </c>
      <c r="B39" s="530" t="n"/>
      <c r="C39" s="654" t="n"/>
      <c r="D39" s="517">
        <f>'Presupuesto '!F192/'Presupuesto '!$F$240</f>
        <v/>
      </c>
      <c r="E39" s="1314" t="n"/>
      <c r="F39" s="1314" t="n"/>
      <c r="G39" s="515">
        <f>F39-E39</f>
        <v/>
      </c>
      <c r="H39" s="518">
        <f>D39*E39</f>
        <v/>
      </c>
      <c r="I39" s="518">
        <f>D39*F39</f>
        <v/>
      </c>
      <c r="J39" s="1053">
        <f>D39*$L$14*G39</f>
        <v/>
      </c>
      <c r="N39" s="1054" t="n"/>
    </row>
    <row r="40" ht="15" customHeight="1" s="1223">
      <c r="A40" s="1072">
        <f>'Presupuesto '!B194</f>
        <v/>
      </c>
      <c r="B40" s="530" t="n"/>
      <c r="C40" s="654" t="n"/>
      <c r="D40" s="517">
        <f>'Presupuesto '!F198/'Presupuesto '!$F$240</f>
        <v/>
      </c>
      <c r="E40" s="1314" t="n"/>
      <c r="F40" s="1314" t="n"/>
      <c r="G40" s="515">
        <f>F40-E40</f>
        <v/>
      </c>
      <c r="H40" s="518">
        <f>D40*E40</f>
        <v/>
      </c>
      <c r="I40" s="518">
        <f>D40*F40</f>
        <v/>
      </c>
      <c r="J40" s="1064">
        <f>D40*$L$14*G40</f>
        <v/>
      </c>
      <c r="N40" s="1054" t="n"/>
    </row>
    <row r="41" ht="15" customHeight="1" s="1223">
      <c r="A41" s="1072">
        <f>'Presupuesto '!B200</f>
        <v/>
      </c>
      <c r="B41" s="530" t="n"/>
      <c r="C41" s="654" t="n"/>
      <c r="D41" s="517">
        <f>'Presupuesto '!F212/'Presupuesto '!$F$240</f>
        <v/>
      </c>
      <c r="E41" s="1314" t="n"/>
      <c r="F41" s="1314" t="n"/>
      <c r="G41" s="515">
        <f>F41-E41</f>
        <v/>
      </c>
      <c r="H41" s="518">
        <f>D41*E41</f>
        <v/>
      </c>
      <c r="I41" s="518">
        <f>D41*F41</f>
        <v/>
      </c>
      <c r="J41" s="1064">
        <f>D41*$L$14*G41</f>
        <v/>
      </c>
      <c r="N41" s="1054" t="n"/>
    </row>
    <row r="42" ht="15" customHeight="1" s="1223">
      <c r="A42" s="1013">
        <f>'Presupuesto '!B214</f>
        <v/>
      </c>
      <c r="B42" s="530" t="n"/>
      <c r="C42" s="654" t="n"/>
      <c r="D42" s="517">
        <f>'Presupuesto '!F219/'Presupuesto '!$F$240</f>
        <v/>
      </c>
      <c r="E42" s="1314" t="n"/>
      <c r="F42" s="1314" t="n"/>
      <c r="G42" s="515">
        <f>F42-E42</f>
        <v/>
      </c>
      <c r="H42" s="518">
        <f>D42*E42</f>
        <v/>
      </c>
      <c r="I42" s="518">
        <f>D42*F42</f>
        <v/>
      </c>
      <c r="J42" s="1064">
        <f>D42*$L$14*G42</f>
        <v/>
      </c>
      <c r="N42" s="1054" t="n"/>
    </row>
    <row r="43" ht="15" customHeight="1" s="1223">
      <c r="A43" s="1013">
        <f>'Presupuesto '!B221</f>
        <v/>
      </c>
      <c r="B43" s="530" t="n"/>
      <c r="C43" s="654" t="n"/>
      <c r="D43" s="517">
        <f>'Presupuesto '!F227/'Presupuesto '!$F$240</f>
        <v/>
      </c>
      <c r="E43" s="1314" t="n"/>
      <c r="F43" s="1314" t="n"/>
      <c r="G43" s="515">
        <f>F43-E43</f>
        <v/>
      </c>
      <c r="H43" s="518">
        <f>D43*E43</f>
        <v/>
      </c>
      <c r="I43" s="518">
        <f>D43*F43</f>
        <v/>
      </c>
      <c r="J43" s="1064">
        <f>D43*$L$14*G43</f>
        <v/>
      </c>
      <c r="N43" s="1054" t="n"/>
    </row>
    <row r="44" ht="15" customHeight="1" s="1223">
      <c r="A44" s="1013">
        <f>'Presupuesto '!B229</f>
        <v/>
      </c>
      <c r="B44" s="530" t="n"/>
      <c r="C44" s="654" t="n"/>
      <c r="D44" s="517">
        <f>'Presupuesto '!F231/'Presupuesto '!$F$240</f>
        <v/>
      </c>
      <c r="E44" s="1314" t="n"/>
      <c r="F44" s="1314" t="n"/>
      <c r="G44" s="515">
        <f>F44-E44</f>
        <v/>
      </c>
      <c r="H44" s="518">
        <f>D44*E44</f>
        <v/>
      </c>
      <c r="I44" s="518">
        <f>D44*F44</f>
        <v/>
      </c>
      <c r="J44" s="1064">
        <f>D44*$L$14*G44</f>
        <v/>
      </c>
      <c r="N44" s="1054" t="n"/>
    </row>
    <row r="45" ht="15" customHeight="1" s="1223">
      <c r="A45" s="1013">
        <f>'Presupuesto '!B233</f>
        <v/>
      </c>
      <c r="B45" s="530" t="n"/>
      <c r="C45" s="654" t="n"/>
      <c r="D45" s="517">
        <f>'Presupuesto '!F238/'Presupuesto '!$F$240</f>
        <v/>
      </c>
      <c r="E45" s="1314" t="n"/>
      <c r="F45" s="1314" t="n"/>
      <c r="G45" s="515">
        <f>F45-E45</f>
        <v/>
      </c>
      <c r="H45" s="518">
        <f>D45*E45</f>
        <v/>
      </c>
      <c r="I45" s="518">
        <f>D45*F45</f>
        <v/>
      </c>
      <c r="J45" s="1120">
        <f>D45*$L$14*G45</f>
        <v/>
      </c>
      <c r="K45" s="581" t="n"/>
      <c r="L45" s="581" t="n"/>
      <c r="M45" s="581" t="n"/>
      <c r="N45" s="1032" t="n"/>
    </row>
    <row r="46">
      <c r="A46" s="1012" t="inlineStr">
        <is>
          <t>TOTAL</t>
        </is>
      </c>
      <c r="B46" s="530" t="n"/>
      <c r="C46" s="654" t="n"/>
      <c r="D46" s="519">
        <f>SUM(D24:D45)</f>
        <v/>
      </c>
      <c r="E46" s="265" t="n"/>
      <c r="F46" s="265" t="n"/>
      <c r="G46" s="266" t="n"/>
      <c r="H46" s="520">
        <f>SUM(H24:H45)</f>
        <v/>
      </c>
      <c r="I46" s="520">
        <f>SUM(I24:I45)</f>
        <v/>
      </c>
      <c r="J46" s="1050">
        <f>SUM(J24:J45)</f>
        <v/>
      </c>
      <c r="K46" s="1018" t="n"/>
      <c r="L46" s="1018" t="n"/>
      <c r="M46" s="1018" t="n"/>
      <c r="N46" s="1030" t="n"/>
    </row>
    <row r="47" ht="15.75" customHeight="1" s="1223">
      <c r="A47" s="1065" t="inlineStr">
        <is>
          <t>ACTIVIDADES MÁS RELEVANTES DEL PERÍODO</t>
        </is>
      </c>
      <c r="N47" s="546" t="n"/>
    </row>
    <row r="48" ht="15" customHeight="1" s="1223">
      <c r="A48" s="1055" t="inlineStr">
        <is>
          <t>UBICACIÓN</t>
        </is>
      </c>
      <c r="B48" s="581" t="n"/>
      <c r="C48" s="1060" t="inlineStr">
        <is>
          <t>DESCRIPCIÓN DE LA ACTIVIDAD</t>
        </is>
      </c>
      <c r="D48" s="581" t="n"/>
      <c r="E48" s="581" t="n"/>
      <c r="F48" s="581" t="n"/>
      <c r="G48" s="1060" t="inlineStr">
        <is>
          <t>AVANCE DEL PERÍODO</t>
        </is>
      </c>
      <c r="H48" s="581" t="n"/>
      <c r="I48" s="1060" t="inlineStr">
        <is>
          <t>RESPONSABLE</t>
        </is>
      </c>
      <c r="J48" s="581" t="n"/>
      <c r="K48" s="1011" t="inlineStr">
        <is>
          <t>OBSERVACIONES</t>
        </is>
      </c>
      <c r="L48" s="581" t="n"/>
      <c r="M48" s="581" t="n"/>
      <c r="N48" s="582" t="n"/>
    </row>
    <row r="49" ht="14.4" customHeight="1" s="1223">
      <c r="A49" s="1031" t="n"/>
      <c r="B49" s="581" t="n"/>
      <c r="C49" s="1116" t="n"/>
      <c r="D49" s="581" t="n"/>
      <c r="E49" s="581" t="n"/>
      <c r="F49" s="581" t="n"/>
      <c r="G49" s="1319" t="n"/>
      <c r="H49" s="581" t="n"/>
      <c r="I49" s="581" t="n"/>
      <c r="J49" s="581" t="n"/>
      <c r="K49" s="1331" t="n"/>
      <c r="L49" s="581" t="n"/>
      <c r="M49" s="581" t="n"/>
      <c r="N49" s="582" t="n"/>
    </row>
    <row r="50">
      <c r="A50" s="1015" t="n"/>
      <c r="B50" s="530" t="n"/>
      <c r="C50" s="1010" t="n"/>
      <c r="D50" s="530" t="n"/>
      <c r="E50" s="530" t="n"/>
      <c r="F50" s="530" t="n"/>
      <c r="G50" s="1035" t="n"/>
      <c r="H50" s="530" t="n"/>
      <c r="I50" s="1045" t="n"/>
      <c r="J50" s="530" t="n"/>
      <c r="K50" s="1332" t="n"/>
      <c r="L50" s="530" t="n"/>
      <c r="M50" s="530" t="n"/>
      <c r="N50" s="579" t="n"/>
    </row>
    <row r="51">
      <c r="A51" s="1015" t="n"/>
      <c r="B51" s="530" t="n"/>
      <c r="C51" s="1010" t="n"/>
      <c r="D51" s="530" t="n"/>
      <c r="E51" s="530" t="n"/>
      <c r="F51" s="530" t="n"/>
      <c r="G51" s="1035" t="n"/>
      <c r="H51" s="530" t="n"/>
      <c r="I51" s="1045" t="n"/>
      <c r="J51" s="530" t="n"/>
      <c r="K51" s="1332" t="n"/>
      <c r="L51" s="530" t="n"/>
      <c r="M51" s="530" t="n"/>
      <c r="N51" s="579" t="n"/>
    </row>
    <row r="52">
      <c r="A52" s="1015" t="n"/>
      <c r="B52" s="530" t="n"/>
      <c r="C52" s="1010" t="n"/>
      <c r="D52" s="530" t="n"/>
      <c r="E52" s="530" t="n"/>
      <c r="F52" s="530" t="n"/>
      <c r="G52" s="1035" t="n"/>
      <c r="H52" s="530" t="n"/>
      <c r="I52" s="1045" t="n"/>
      <c r="J52" s="530" t="n"/>
      <c r="K52" s="1332" t="n"/>
      <c r="L52" s="530" t="n"/>
      <c r="M52" s="530" t="n"/>
      <c r="N52" s="579" t="n"/>
    </row>
    <row r="53">
      <c r="A53" s="1026" t="n"/>
      <c r="B53" s="530" t="n"/>
      <c r="C53" s="1042" t="n"/>
      <c r="D53" s="530" t="n"/>
      <c r="E53" s="530" t="n"/>
      <c r="F53" s="530" t="n"/>
      <c r="G53" s="1035" t="n"/>
      <c r="H53" s="530" t="n"/>
      <c r="I53" s="530" t="n"/>
      <c r="J53" s="530" t="n"/>
      <c r="K53" s="1332" t="n"/>
      <c r="L53" s="530" t="n"/>
      <c r="M53" s="530" t="n"/>
      <c r="N53" s="579" t="n"/>
    </row>
    <row r="54">
      <c r="A54" s="1026" t="n"/>
      <c r="B54" s="530" t="n"/>
      <c r="C54" s="1042" t="n"/>
      <c r="D54" s="530" t="n"/>
      <c r="E54" s="530" t="n"/>
      <c r="F54" s="530" t="n"/>
      <c r="G54" s="1035" t="n"/>
      <c r="H54" s="530" t="n"/>
      <c r="I54" s="530" t="n"/>
      <c r="J54" s="530" t="n"/>
      <c r="K54" s="1332" t="n"/>
      <c r="L54" s="530" t="n"/>
      <c r="M54" s="530" t="n"/>
      <c r="N54" s="579" t="n"/>
    </row>
    <row r="55">
      <c r="A55" s="1026" t="n"/>
      <c r="B55" s="530" t="n"/>
      <c r="C55" s="1042" t="n"/>
      <c r="D55" s="530" t="n"/>
      <c r="E55" s="530" t="n"/>
      <c r="F55" s="530" t="n"/>
      <c r="G55" s="1035" t="n"/>
      <c r="H55" s="530" t="n"/>
      <c r="I55" s="530" t="n"/>
      <c r="J55" s="530" t="n"/>
      <c r="K55" s="1332" t="n"/>
      <c r="L55" s="530" t="n"/>
      <c r="M55" s="530" t="n"/>
      <c r="N55" s="579" t="n"/>
    </row>
    <row r="56">
      <c r="A56" s="1026" t="n"/>
      <c r="B56" s="530" t="n"/>
      <c r="C56" s="1042" t="n"/>
      <c r="D56" s="530" t="n"/>
      <c r="E56" s="530" t="n"/>
      <c r="F56" s="530" t="n"/>
      <c r="G56" s="1035" t="n"/>
      <c r="H56" s="530" t="n"/>
      <c r="I56" s="530" t="n"/>
      <c r="J56" s="530" t="n"/>
      <c r="K56" s="1332" t="n"/>
      <c r="L56" s="530" t="n"/>
      <c r="M56" s="530" t="n"/>
      <c r="N56" s="579" t="n"/>
    </row>
    <row r="57">
      <c r="A57" s="1026" t="n"/>
      <c r="B57" s="530" t="n"/>
      <c r="C57" s="1042" t="n"/>
      <c r="D57" s="530" t="n"/>
      <c r="E57" s="530" t="n"/>
      <c r="F57" s="530" t="n"/>
      <c r="G57" s="1035" t="n"/>
      <c r="H57" s="530" t="n"/>
      <c r="I57" s="530" t="n"/>
      <c r="J57" s="530" t="n"/>
      <c r="K57" s="1332" t="n"/>
      <c r="L57" s="530" t="n"/>
      <c r="M57" s="530" t="n"/>
      <c r="N57" s="579" t="n"/>
    </row>
    <row r="58" ht="15.75" customHeight="1" s="1223">
      <c r="A58" s="1083" t="inlineStr">
        <is>
          <t>AVANCE FINANCIERO Y ADMINISTRATIVO</t>
        </is>
      </c>
      <c r="N58" s="1054" t="n"/>
    </row>
    <row r="59" ht="15" customHeight="1" s="1223">
      <c r="A59" s="1076" t="inlineStr">
        <is>
          <t>INGRESOS DEL PERÍODO</t>
        </is>
      </c>
      <c r="B59" s="530" t="n"/>
      <c r="C59" s="530" t="n"/>
      <c r="D59" s="530" t="n"/>
      <c r="E59" s="530" t="n"/>
      <c r="F59" s="530" t="n"/>
      <c r="G59" s="272" t="n"/>
      <c r="H59" s="1103" t="inlineStr">
        <is>
          <t>EGRESOS / GASTOS DEL PERÍODO</t>
        </is>
      </c>
      <c r="N59" s="546" t="n"/>
    </row>
    <row r="60" ht="15" customHeight="1" s="1223">
      <c r="A60" s="1078" t="inlineStr">
        <is>
          <t>CONCEPTO</t>
        </is>
      </c>
      <c r="B60" s="1079" t="n"/>
      <c r="C60" s="1079" t="n"/>
      <c r="D60" s="1323" t="inlineStr">
        <is>
          <t>FECHA</t>
        </is>
      </c>
      <c r="E60" s="1119" t="inlineStr">
        <is>
          <t>VALOR ($)</t>
        </is>
      </c>
      <c r="F60" s="1079" t="n"/>
      <c r="G60" s="271" t="n"/>
      <c r="H60" s="1057" t="inlineStr">
        <is>
          <t>CONCEPTO</t>
        </is>
      </c>
      <c r="I60" s="632" t="n"/>
      <c r="J60" s="632" t="n"/>
      <c r="K60" s="1057" t="inlineStr">
        <is>
          <t>FECHA</t>
        </is>
      </c>
      <c r="L60" s="632" t="n"/>
      <c r="M60" s="1027" t="inlineStr">
        <is>
          <t>VALOR ($)</t>
        </is>
      </c>
      <c r="N60" s="1028" t="n"/>
    </row>
    <row r="61">
      <c r="A61" s="1087" t="n"/>
      <c r="B61" s="1088" t="n"/>
      <c r="C61" s="1089" t="n"/>
      <c r="D61" s="1324" t="n"/>
      <c r="E61" s="1325" t="n"/>
      <c r="F61" s="1089" t="n"/>
      <c r="G61" s="269" t="n"/>
      <c r="H61" s="1087" t="n"/>
      <c r="I61" s="1088" t="n"/>
      <c r="J61" s="1089" t="n"/>
      <c r="K61" s="1121" t="n"/>
      <c r="L61" s="1089" t="n"/>
      <c r="M61" s="1325" t="n"/>
      <c r="N61" s="1089" t="n"/>
    </row>
    <row r="62">
      <c r="A62" s="1038" t="n"/>
      <c r="B62" s="530" t="n"/>
      <c r="C62" s="654" t="n"/>
      <c r="D62" s="1326" t="n"/>
      <c r="E62" s="1327" t="n"/>
      <c r="F62" s="654" t="n"/>
      <c r="G62" s="267" t="n"/>
      <c r="H62" s="1038" t="n"/>
      <c r="I62" s="530" t="n"/>
      <c r="J62" s="654" t="n"/>
      <c r="K62" s="1061" t="n"/>
      <c r="L62" s="654" t="n"/>
      <c r="M62" s="1327" t="n"/>
      <c r="N62" s="654" t="n"/>
    </row>
    <row r="63">
      <c r="A63" s="1038" t="n"/>
      <c r="B63" s="530" t="n"/>
      <c r="C63" s="654" t="n"/>
      <c r="D63" s="1326" t="n"/>
      <c r="E63" s="1327" t="n"/>
      <c r="F63" s="654" t="n"/>
      <c r="G63" s="267" t="n"/>
      <c r="H63" s="1038" t="n"/>
      <c r="I63" s="530" t="n"/>
      <c r="J63" s="654" t="n"/>
      <c r="K63" s="1061" t="n"/>
      <c r="L63" s="654" t="n"/>
      <c r="M63" s="1327" t="n"/>
      <c r="N63" s="654" t="n"/>
    </row>
    <row r="64">
      <c r="A64" s="1038" t="n"/>
      <c r="B64" s="530" t="n"/>
      <c r="C64" s="654" t="n"/>
      <c r="D64" s="1326" t="n"/>
      <c r="E64" s="1327" t="n"/>
      <c r="F64" s="654" t="n"/>
      <c r="G64" s="267" t="n"/>
      <c r="H64" s="1038" t="n"/>
      <c r="I64" s="530" t="n"/>
      <c r="J64" s="654" t="n"/>
      <c r="K64" s="1061" t="n"/>
      <c r="L64" s="654" t="n"/>
      <c r="M64" s="1327" t="n"/>
      <c r="N64" s="654" t="n"/>
    </row>
    <row r="65">
      <c r="A65" s="1038" t="n"/>
      <c r="B65" s="530" t="n"/>
      <c r="C65" s="654" t="n"/>
      <c r="D65" s="1326" t="n"/>
      <c r="E65" s="1327" t="n"/>
      <c r="F65" s="654" t="n"/>
      <c r="G65" s="267" t="n"/>
      <c r="H65" s="1038" t="n"/>
      <c r="I65" s="530" t="n"/>
      <c r="J65" s="654" t="n"/>
      <c r="K65" s="1105" t="n"/>
      <c r="L65" s="1030" t="n"/>
      <c r="M65" s="1328" t="n"/>
      <c r="N65" s="1030" t="n"/>
    </row>
    <row r="66" ht="15" customHeight="1" s="1223">
      <c r="A66" s="1123" t="inlineStr">
        <is>
          <t>TOTAL INGRESOS</t>
        </is>
      </c>
      <c r="B66" s="530" t="n"/>
      <c r="C66" s="530" t="n"/>
      <c r="D66" s="530" t="n"/>
      <c r="E66" s="1081">
        <f>SUM(E61:F65)</f>
        <v/>
      </c>
      <c r="F66" s="530" t="n"/>
      <c r="G66" s="264" t="n"/>
      <c r="H66" s="1044" t="inlineStr">
        <is>
          <t>TOTAL EGRESOS</t>
        </is>
      </c>
      <c r="M66" s="1080">
        <f>SUM(M61:N65)</f>
        <v/>
      </c>
      <c r="N66" s="546" t="n"/>
    </row>
    <row r="67" ht="15" customHeight="1" s="1223">
      <c r="A67" s="1075" t="inlineStr">
        <is>
          <t>BALANCE DEL PERÍODO (INGRESOS - EGRESOS)</t>
        </is>
      </c>
      <c r="B67" s="581" t="n"/>
      <c r="C67" s="581" t="n"/>
      <c r="D67" s="581" t="n"/>
      <c r="E67" s="581" t="n"/>
      <c r="F67" s="581" t="n"/>
      <c r="G67" s="581" t="n"/>
      <c r="H67" s="581" t="n"/>
      <c r="I67" s="581" t="n"/>
      <c r="J67" s="581" t="n"/>
      <c r="K67" s="581" t="n"/>
      <c r="L67" s="581" t="n"/>
      <c r="M67" s="1090">
        <f>E66-M66</f>
        <v/>
      </c>
      <c r="N67" s="582" t="n"/>
    </row>
    <row r="68" ht="25.05" customHeight="1" s="1223">
      <c r="A68" s="1102" t="inlineStr">
        <is>
          <t>PRESUPUESTO EJECUTADO ACUMULADO ($)</t>
        </is>
      </c>
      <c r="B68" s="1092" t="n"/>
      <c r="C68" s="1092" t="n"/>
      <c r="D68" s="1092" t="n"/>
      <c r="E68" s="1092" t="n"/>
      <c r="F68" s="1092" t="n"/>
      <c r="G68" s="1091">
        <f>J46</f>
        <v/>
      </c>
      <c r="H68" s="1092" t="n"/>
      <c r="I68" s="1092" t="n"/>
      <c r="J68" s="1108" t="inlineStr">
        <is>
          <t>% EJECUTADO vs PRESUPUESTO</t>
        </is>
      </c>
      <c r="K68" s="1092" t="n"/>
      <c r="L68" s="1109" t="n"/>
      <c r="M68" s="1084">
        <f>IFERROR(J46/$L$14,0)</f>
        <v/>
      </c>
      <c r="N68" s="1085" t="n"/>
    </row>
    <row r="69" ht="15.75" customHeight="1" s="1223">
      <c r="A69" s="1065" t="inlineStr">
        <is>
          <t>ASPECTOS HSE Y AMBIENTALES</t>
        </is>
      </c>
      <c r="N69" s="546" t="n"/>
    </row>
    <row r="70" ht="15" customHeight="1" s="1223">
      <c r="A70" s="1114" t="inlineStr">
        <is>
          <t>HORAS HOMBRE TRABAJADAS</t>
        </is>
      </c>
      <c r="B70" s="1079" t="n"/>
      <c r="C70" s="1079" t="n"/>
      <c r="D70" s="1079" t="n"/>
      <c r="E70" s="1079" t="n"/>
      <c r="F70" s="1079" t="n"/>
      <c r="G70" s="1079" t="n"/>
      <c r="H70" s="1079" t="n"/>
      <c r="I70" s="1079" t="n"/>
      <c r="J70" s="1079" t="n"/>
      <c r="K70" s="1079" t="n"/>
      <c r="L70" s="1079" t="n"/>
      <c r="M70" s="1079" t="n"/>
      <c r="N70" s="1115" t="n"/>
    </row>
    <row r="71">
      <c r="A71" s="1043" t="n"/>
      <c r="N71" s="546" t="n"/>
    </row>
    <row r="72" ht="15" customHeight="1" s="1223">
      <c r="A72" s="1106" t="inlineStr">
        <is>
          <t>OBSERVACIONES HSE</t>
        </is>
      </c>
      <c r="B72" s="528" t="n"/>
      <c r="C72" s="528" t="n"/>
      <c r="D72" s="528" t="n"/>
      <c r="E72" s="528" t="n"/>
      <c r="F72" s="528" t="n"/>
      <c r="G72" s="528" t="n"/>
      <c r="H72" s="528" t="n"/>
      <c r="I72" s="528" t="n"/>
      <c r="J72" s="528" t="n"/>
      <c r="K72" s="528" t="n"/>
      <c r="L72" s="528" t="n"/>
      <c r="M72" s="528" t="n"/>
      <c r="N72" s="565" t="n"/>
    </row>
    <row r="73">
      <c r="A73" s="1329" t="n"/>
      <c r="B73" s="684" t="n"/>
      <c r="C73" s="684" t="n"/>
      <c r="D73" s="684" t="n"/>
      <c r="E73" s="684" t="n"/>
      <c r="F73" s="684" t="n"/>
      <c r="G73" s="684" t="n"/>
      <c r="H73" s="684" t="n"/>
      <c r="I73" s="684" t="n"/>
      <c r="J73" s="684" t="n"/>
      <c r="K73" s="684" t="n"/>
      <c r="L73" s="684" t="n"/>
      <c r="M73" s="684" t="n"/>
      <c r="N73" s="1112" t="n"/>
    </row>
    <row r="74">
      <c r="A74" s="1330" t="n"/>
      <c r="B74" s="530" t="n"/>
      <c r="C74" s="530" t="n"/>
      <c r="D74" s="530" t="n"/>
      <c r="E74" s="530" t="n"/>
      <c r="F74" s="530" t="n"/>
      <c r="G74" s="530" t="n"/>
      <c r="H74" s="530" t="n"/>
      <c r="I74" s="530" t="n"/>
      <c r="J74" s="530" t="n"/>
      <c r="K74" s="530" t="n"/>
      <c r="L74" s="530" t="n"/>
      <c r="M74" s="530" t="n"/>
      <c r="N74" s="579" t="n"/>
    </row>
    <row r="75">
      <c r="A75" s="1330" t="n"/>
      <c r="B75" s="530" t="n"/>
      <c r="C75" s="530" t="n"/>
      <c r="D75" s="530" t="n"/>
      <c r="E75" s="530" t="n"/>
      <c r="F75" s="530" t="n"/>
      <c r="G75" s="530" t="n"/>
      <c r="H75" s="530" t="n"/>
      <c r="I75" s="530" t="n"/>
      <c r="J75" s="530" t="n"/>
      <c r="K75" s="530" t="n"/>
      <c r="L75" s="530" t="n"/>
      <c r="M75" s="530" t="n"/>
      <c r="N75" s="579" t="n"/>
    </row>
    <row r="76">
      <c r="A76" s="1330" t="n"/>
      <c r="B76" s="530" t="n"/>
      <c r="C76" s="530" t="n"/>
      <c r="D76" s="530" t="n"/>
      <c r="E76" s="530" t="n"/>
      <c r="F76" s="530" t="n"/>
      <c r="G76" s="530" t="n"/>
      <c r="H76" s="530" t="n"/>
      <c r="I76" s="530" t="n"/>
      <c r="J76" s="530" t="n"/>
      <c r="K76" s="530" t="n"/>
      <c r="L76" s="530" t="n"/>
      <c r="M76" s="530" t="n"/>
      <c r="N76" s="579" t="n"/>
    </row>
    <row r="77" ht="15" customHeight="1" s="1223">
      <c r="A77" s="1058" t="inlineStr">
        <is>
          <t>ASPECTOS AMBIENTALES / NO CONFORMIDADES</t>
        </is>
      </c>
      <c r="B77" s="530" t="n"/>
      <c r="C77" s="530" t="n"/>
      <c r="D77" s="530" t="n"/>
      <c r="E77" s="530" t="n"/>
      <c r="F77" s="530" t="n"/>
      <c r="G77" s="530" t="n"/>
      <c r="H77" s="530" t="n"/>
      <c r="I77" s="530" t="n"/>
      <c r="J77" s="530" t="n"/>
      <c r="K77" s="530" t="n"/>
      <c r="L77" s="530" t="n"/>
      <c r="M77" s="530" t="n"/>
      <c r="N77" s="579" t="n"/>
    </row>
    <row r="78">
      <c r="A78" s="1025" t="n"/>
      <c r="B78" s="530" t="n"/>
      <c r="C78" s="530" t="n"/>
      <c r="D78" s="530" t="n"/>
      <c r="E78" s="530" t="n"/>
      <c r="F78" s="530" t="n"/>
      <c r="G78" s="530" t="n"/>
      <c r="H78" s="530" t="n"/>
      <c r="I78" s="530" t="n"/>
      <c r="J78" s="530" t="n"/>
      <c r="K78" s="530" t="n"/>
      <c r="L78" s="530" t="n"/>
      <c r="M78" s="530" t="n"/>
      <c r="N78" s="579" t="n"/>
    </row>
    <row r="79">
      <c r="A79" s="1025" t="n"/>
      <c r="B79" s="530" t="n"/>
      <c r="C79" s="530" t="n"/>
      <c r="D79" s="530" t="n"/>
      <c r="E79" s="530" t="n"/>
      <c r="F79" s="530" t="n"/>
      <c r="G79" s="530" t="n"/>
      <c r="H79" s="530" t="n"/>
      <c r="I79" s="530" t="n"/>
      <c r="J79" s="530" t="n"/>
      <c r="K79" s="530" t="n"/>
      <c r="L79" s="530" t="n"/>
      <c r="M79" s="530" t="n"/>
      <c r="N79" s="579" t="n"/>
    </row>
    <row r="80">
      <c r="A80" s="1110" t="inlineStr">
        <is>
          <t>INSERTAR FOTOGRAFÍA</t>
        </is>
      </c>
      <c r="B80" s="1018" t="n"/>
      <c r="C80" s="1018" t="n"/>
      <c r="D80" s="1018" t="n"/>
      <c r="E80" s="1018" t="n"/>
      <c r="F80" s="1018" t="n"/>
      <c r="G80" s="1030" t="n"/>
      <c r="H80" s="1062" t="inlineStr">
        <is>
          <t>INSERTAR FOTOGRAFÍA</t>
        </is>
      </c>
      <c r="I80" s="1018" t="n"/>
      <c r="J80" s="1018" t="n"/>
      <c r="K80" s="1018" t="n"/>
      <c r="L80" s="1018" t="n"/>
      <c r="M80" s="1018" t="n"/>
      <c r="N80" s="1019" t="n"/>
    </row>
    <row r="81">
      <c r="A81" s="1020" t="n"/>
      <c r="G81" s="1054" t="n"/>
      <c r="H81" s="1020" t="n"/>
      <c r="N81" s="546" t="n"/>
    </row>
    <row r="82" ht="15" customHeight="1" s="1223">
      <c r="A82" s="1020" t="n"/>
      <c r="G82" s="1054" t="n"/>
      <c r="H82" s="1020" t="n"/>
      <c r="N82" s="546" t="n"/>
    </row>
    <row r="83">
      <c r="A83" s="1020" t="n"/>
      <c r="G83" s="1054" t="n"/>
      <c r="H83" s="1020" t="n"/>
      <c r="N83" s="546" t="n"/>
    </row>
    <row r="84">
      <c r="A84" s="1020" t="n"/>
      <c r="G84" s="1054" t="n"/>
      <c r="H84" s="1020" t="n"/>
      <c r="N84" s="546" t="n"/>
    </row>
    <row r="85">
      <c r="A85" s="1020" t="n"/>
      <c r="G85" s="1054" t="n"/>
      <c r="H85" s="1020" t="n"/>
      <c r="N85" s="546" t="n"/>
    </row>
    <row r="86">
      <c r="A86" s="1020" t="n"/>
      <c r="G86" s="1054" t="n"/>
      <c r="H86" s="1020" t="n"/>
      <c r="N86" s="546" t="n"/>
    </row>
    <row r="87" ht="15.75" customHeight="1" s="1223">
      <c r="A87" s="1020" t="n"/>
      <c r="G87" s="1054" t="n"/>
      <c r="H87" s="1020" t="n"/>
      <c r="N87" s="546" t="n"/>
    </row>
    <row r="88">
      <c r="A88" s="1020" t="n"/>
      <c r="G88" s="1054" t="n"/>
      <c r="H88" s="1020" t="n"/>
      <c r="N88" s="546" t="n"/>
    </row>
    <row r="89">
      <c r="A89" s="1020" t="n"/>
      <c r="G89" s="1054" t="n"/>
      <c r="H89" s="1020" t="n"/>
      <c r="N89" s="546" t="n"/>
    </row>
    <row r="90">
      <c r="A90" s="1020" t="n"/>
      <c r="G90" s="1054" t="n"/>
      <c r="H90" s="1020" t="n"/>
      <c r="N90" s="546" t="n"/>
    </row>
    <row r="91">
      <c r="A91" s="1020" t="n"/>
      <c r="G91" s="1054" t="n"/>
      <c r="H91" s="1020" t="n"/>
      <c r="N91" s="546" t="n"/>
    </row>
    <row r="92">
      <c r="A92" s="1020" t="n"/>
      <c r="G92" s="1054" t="n"/>
      <c r="H92" s="1020" t="n"/>
      <c r="N92" s="546" t="n"/>
    </row>
    <row r="93">
      <c r="A93" s="1031" t="n"/>
      <c r="B93" s="581" t="n"/>
      <c r="C93" s="581" t="n"/>
      <c r="D93" s="581" t="n"/>
      <c r="E93" s="581" t="n"/>
      <c r="F93" s="581" t="n"/>
      <c r="G93" s="1032" t="n"/>
      <c r="H93" s="1031" t="n"/>
      <c r="I93" s="581" t="n"/>
      <c r="J93" s="581" t="n"/>
      <c r="K93" s="581" t="n"/>
      <c r="L93" s="581" t="n"/>
      <c r="M93" s="581" t="n"/>
      <c r="N93" s="582" t="n"/>
    </row>
    <row r="94">
      <c r="A94" s="1333" t="n"/>
      <c r="H94" s="1333" t="n"/>
    </row>
    <row r="95"/>
    <row r="96">
      <c r="A96" s="1117" t="inlineStr">
        <is>
          <t>INSERTAR FOTOGRAFÍA</t>
        </is>
      </c>
      <c r="B96" s="1018" t="n"/>
      <c r="C96" s="1018" t="n"/>
      <c r="D96" s="1018" t="n"/>
      <c r="E96" s="1018" t="n"/>
      <c r="F96" s="1018" t="n"/>
      <c r="G96" s="1030" t="n"/>
      <c r="H96" s="1017" t="inlineStr">
        <is>
          <t>INSERTAR FOTOGRAFÍA</t>
        </is>
      </c>
      <c r="I96" s="1018" t="n"/>
      <c r="J96" s="1018" t="n"/>
      <c r="K96" s="1018" t="n"/>
      <c r="L96" s="1018" t="n"/>
      <c r="M96" s="1018" t="n"/>
      <c r="N96" s="1019" t="n"/>
    </row>
    <row r="97">
      <c r="A97" s="1020" t="n"/>
      <c r="G97" s="1054" t="n"/>
      <c r="H97" s="1020" t="n"/>
      <c r="N97" s="546" t="n"/>
    </row>
    <row r="98">
      <c r="A98" s="1020" t="n"/>
      <c r="G98" s="1054" t="n"/>
      <c r="H98" s="1020" t="n"/>
      <c r="N98" s="546" t="n"/>
    </row>
    <row r="99">
      <c r="A99" s="1020" t="n"/>
      <c r="G99" s="1054" t="n"/>
      <c r="H99" s="1020" t="n"/>
      <c r="N99" s="546" t="n"/>
    </row>
    <row r="100">
      <c r="A100" s="1020" t="n"/>
      <c r="G100" s="1054" t="n"/>
      <c r="H100" s="1020" t="n"/>
      <c r="N100" s="546" t="n"/>
    </row>
    <row r="101">
      <c r="A101" s="1020" t="n"/>
      <c r="G101" s="1054" t="n"/>
      <c r="H101" s="1020" t="n"/>
      <c r="N101" s="546" t="n"/>
    </row>
    <row r="102">
      <c r="A102" s="1020" t="n"/>
      <c r="G102" s="1054" t="n"/>
      <c r="H102" s="1020" t="n"/>
      <c r="N102" s="546" t="n"/>
    </row>
    <row r="103">
      <c r="A103" s="1020" t="n"/>
      <c r="G103" s="1054" t="n"/>
      <c r="H103" s="1020" t="n"/>
      <c r="N103" s="546" t="n"/>
    </row>
    <row r="104" ht="14.4" customHeight="1" s="1223">
      <c r="A104" s="1020" t="n"/>
      <c r="G104" s="1054" t="n"/>
      <c r="H104" s="1020" t="n"/>
      <c r="N104" s="546" t="n"/>
    </row>
    <row r="105">
      <c r="A105" s="1020" t="n"/>
      <c r="G105" s="1054" t="n"/>
      <c r="H105" s="1020" t="n"/>
      <c r="N105" s="546" t="n"/>
    </row>
    <row r="106">
      <c r="A106" s="1020" t="n"/>
      <c r="G106" s="1054" t="n"/>
      <c r="H106" s="1020" t="n"/>
      <c r="N106" s="546" t="n"/>
    </row>
    <row r="107">
      <c r="A107" s="1020" t="n"/>
      <c r="G107" s="1054" t="n"/>
      <c r="H107" s="1020" t="n"/>
      <c r="N107" s="546" t="n"/>
    </row>
    <row r="108">
      <c r="A108" s="1020" t="n"/>
      <c r="G108" s="1054" t="n"/>
      <c r="H108" s="1020" t="n"/>
      <c r="N108" s="546" t="n"/>
    </row>
    <row r="109">
      <c r="A109" s="1021" t="n"/>
      <c r="B109" s="596" t="n"/>
      <c r="C109" s="596" t="n"/>
      <c r="D109" s="596" t="n"/>
      <c r="E109" s="596" t="n"/>
      <c r="F109" s="596" t="n"/>
      <c r="G109" s="1118" t="n"/>
      <c r="H109" s="1021" t="n"/>
      <c r="I109" s="596" t="n"/>
      <c r="J109" s="596" t="n"/>
      <c r="K109" s="596" t="n"/>
      <c r="L109" s="596" t="n"/>
      <c r="M109" s="596" t="n"/>
      <c r="N109" s="730" t="n"/>
    </row>
    <row r="110">
      <c r="A110" s="1333" t="n"/>
      <c r="H110" s="1333" t="n"/>
    </row>
    <row r="111"/>
    <row r="112">
      <c r="A112" s="1113" t="n"/>
      <c r="H112" s="1099" t="n"/>
      <c r="N112" s="546" t="n"/>
    </row>
    <row r="113">
      <c r="A113" s="1073" t="inlineStr">
        <is>
          <t>FIRMAS</t>
        </is>
      </c>
      <c r="B113" s="650" t="n"/>
      <c r="C113" s="650" t="n"/>
      <c r="D113" s="650" t="n"/>
      <c r="E113" s="650" t="n"/>
      <c r="F113" s="650" t="n"/>
      <c r="G113" s="650" t="n"/>
      <c r="H113" s="650" t="n"/>
      <c r="I113" s="650" t="n"/>
      <c r="J113" s="650" t="n"/>
      <c r="K113" s="650" t="n"/>
      <c r="L113" s="650" t="n"/>
      <c r="M113" s="650" t="n"/>
      <c r="N113" s="1074" t="n"/>
    </row>
    <row r="114">
      <c r="A114" s="1033" t="inlineStr">
        <is>
          <t>ELABORADO POR</t>
        </is>
      </c>
      <c r="D114" s="1034" t="n"/>
      <c r="E114" s="1070" t="inlineStr">
        <is>
          <t>REVISADO POR</t>
        </is>
      </c>
      <c r="I114" s="1034" t="n"/>
      <c r="J114" s="1048" t="inlineStr">
        <is>
          <t>APROBADO POR</t>
        </is>
      </c>
      <c r="N114" s="546" t="n"/>
    </row>
    <row r="115">
      <c r="A115" s="1022" t="inlineStr">
        <is>
          <t>FIRMA:</t>
        </is>
      </c>
      <c r="B115" s="1029" t="n"/>
      <c r="C115" s="1018" t="n"/>
      <c r="D115" s="1030" t="n"/>
      <c r="E115" s="1022" t="inlineStr">
        <is>
          <t>FIRMA:</t>
        </is>
      </c>
      <c r="F115" s="1029" t="n"/>
      <c r="G115" s="1018" t="n"/>
      <c r="H115" s="1018" t="n"/>
      <c r="I115" s="1030" t="n"/>
      <c r="J115" s="1022" t="inlineStr">
        <is>
          <t>FIRMA:</t>
        </is>
      </c>
      <c r="K115" s="1093" t="n"/>
      <c r="N115" s="546" t="n"/>
    </row>
    <row r="116">
      <c r="A116" s="1023" t="n"/>
      <c r="B116" s="1031" t="n"/>
      <c r="C116" s="581" t="n"/>
      <c r="D116" s="1032" t="n"/>
      <c r="E116" s="1023" t="n"/>
      <c r="F116" s="1031" t="n"/>
      <c r="G116" s="581" t="n"/>
      <c r="H116" s="581" t="n"/>
      <c r="I116" s="1032" t="n"/>
      <c r="J116" s="1023" t="n"/>
      <c r="K116" s="1020" t="n"/>
      <c r="N116" s="546" t="n"/>
    </row>
    <row r="117">
      <c r="A117" s="1022" t="inlineStr">
        <is>
          <t>NOMBRE:</t>
        </is>
      </c>
      <c r="B117" s="1029" t="n"/>
      <c r="C117" s="1018" t="n"/>
      <c r="D117" s="1030" t="n"/>
      <c r="E117" s="1022" t="inlineStr">
        <is>
          <t>NOMBRE:</t>
        </is>
      </c>
      <c r="F117" s="1029" t="n"/>
      <c r="G117" s="1018" t="n"/>
      <c r="H117" s="1018" t="n"/>
      <c r="I117" s="1030" t="n"/>
      <c r="J117" s="1022" t="inlineStr">
        <is>
          <t>NOMBRE:</t>
        </is>
      </c>
      <c r="K117" s="1093" t="n"/>
      <c r="N117" s="546" t="n"/>
    </row>
    <row r="118">
      <c r="A118" s="1023" t="n"/>
      <c r="B118" s="1031" t="n"/>
      <c r="C118" s="581" t="n"/>
      <c r="D118" s="1032" t="n"/>
      <c r="E118" s="1023" t="n"/>
      <c r="F118" s="1031" t="n"/>
      <c r="G118" s="581" t="n"/>
      <c r="H118" s="581" t="n"/>
      <c r="I118" s="1032" t="n"/>
      <c r="J118" s="1023" t="n"/>
      <c r="K118" s="1020" t="n"/>
      <c r="N118" s="546" t="n"/>
    </row>
    <row r="119">
      <c r="A119" s="1022" t="inlineStr">
        <is>
          <t>CARGO:</t>
        </is>
      </c>
      <c r="B119" s="1029" t="n"/>
      <c r="C119" s="1018" t="n"/>
      <c r="D119" s="1030" t="n"/>
      <c r="E119" s="1022" t="inlineStr">
        <is>
          <t>CARGO:</t>
        </is>
      </c>
      <c r="F119" s="1029" t="n"/>
      <c r="G119" s="1018" t="n"/>
      <c r="H119" s="1018" t="n"/>
      <c r="I119" s="1030" t="n"/>
      <c r="J119" s="1022" t="inlineStr">
        <is>
          <t>CARGO:</t>
        </is>
      </c>
      <c r="K119" s="1063" t="n"/>
      <c r="N119" s="546" t="n"/>
    </row>
    <row r="120">
      <c r="A120" s="1023" t="n"/>
      <c r="B120" s="1031" t="n"/>
      <c r="C120" s="581" t="n"/>
      <c r="D120" s="1032" t="n"/>
      <c r="E120" s="1023" t="n"/>
      <c r="F120" s="1031" t="n"/>
      <c r="G120" s="581" t="n"/>
      <c r="H120" s="581" t="n"/>
      <c r="I120" s="1032" t="n"/>
      <c r="J120" s="1023" t="n"/>
      <c r="K120" s="1021" t="n"/>
      <c r="L120" s="596" t="n"/>
      <c r="M120" s="596" t="n"/>
      <c r="N120" s="730" t="n"/>
    </row>
    <row r="121">
      <c r="A121" s="208" t="inlineStr">
        <is>
          <t>REV. 10/09/2026</t>
        </is>
      </c>
      <c r="B121" s="26" t="n"/>
      <c r="C121" s="26" t="n"/>
      <c r="D121" s="26" t="n"/>
      <c r="E121" s="26" t="n"/>
      <c r="F121" s="26" t="n"/>
      <c r="G121" s="26" t="n"/>
      <c r="H121" s="26" t="n"/>
      <c r="I121" s="26" t="n"/>
      <c r="J121" s="26" t="n"/>
      <c r="K121" s="26" t="n"/>
      <c r="L121" s="26" t="n"/>
      <c r="M121" s="26" t="n"/>
      <c r="N121" s="340">
        <f>M8</f>
        <v/>
      </c>
    </row>
    <row r="122">
      <c r="A122" s="7" t="n"/>
    </row>
  </sheetData>
  <mergeCells count="225">
    <mergeCell ref="C52:F52"/>
    <mergeCell ref="K48:N48"/>
    <mergeCell ref="A37:C37"/>
    <mergeCell ref="A46:C46"/>
    <mergeCell ref="E62:F62"/>
    <mergeCell ref="A51:B51"/>
    <mergeCell ref="A94:G95"/>
    <mergeCell ref="A21:C2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H96:N109"/>
    <mergeCell ref="G48:H48"/>
    <mergeCell ref="K64:L64"/>
    <mergeCell ref="H80:N93"/>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M9:N9"/>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H94:N95"/>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80:G93"/>
    <mergeCell ref="A61:C61"/>
    <mergeCell ref="A72:N72"/>
    <mergeCell ref="E15:H15"/>
    <mergeCell ref="G50:H50"/>
    <mergeCell ref="I50:J50"/>
    <mergeCell ref="C51:F51"/>
    <mergeCell ref="J33:N33"/>
    <mergeCell ref="J68:L68"/>
    <mergeCell ref="G56:H56"/>
    <mergeCell ref="A14:D14"/>
    <mergeCell ref="I16:K16"/>
    <mergeCell ref="A41:C41"/>
    <mergeCell ref="C48:F48"/>
    <mergeCell ref="G52:H52"/>
    <mergeCell ref="A110:G111"/>
    <mergeCell ref="I49:J49"/>
    <mergeCell ref="A27:C27"/>
    <mergeCell ref="A73:N73"/>
    <mergeCell ref="A112:G112"/>
    <mergeCell ref="A96:G109"/>
    <mergeCell ref="K57:N57"/>
    <mergeCell ref="I22:I23"/>
    <mergeCell ref="A70:N70"/>
    <mergeCell ref="J34:N34"/>
    <mergeCell ref="A33:C33"/>
    <mergeCell ref="C49:F49"/>
    <mergeCell ref="G53:H53"/>
    <mergeCell ref="I53:J53"/>
    <mergeCell ref="J36:N36"/>
    <mergeCell ref="E60:F60"/>
    <mergeCell ref="A35:C35"/>
    <mergeCell ref="J45:N45"/>
    <mergeCell ref="A74:N74"/>
    <mergeCell ref="A50:B50"/>
    <mergeCell ref="H110:N111"/>
    <mergeCell ref="H62:J62"/>
    <mergeCell ref="E119:E120"/>
    <mergeCell ref="I55:J55"/>
    <mergeCell ref="A76:N76"/>
    <mergeCell ref="A39:C39"/>
    <mergeCell ref="K61:L61"/>
    <mergeCell ref="M61:N61"/>
    <mergeCell ref="I48:J48"/>
    <mergeCell ref="J31:N31"/>
    <mergeCell ref="C55:F55"/>
    <mergeCell ref="A66:D66"/>
    <mergeCell ref="L7:N7"/>
    <mergeCell ref="E13:N13"/>
    <mergeCell ref="G55:H55"/>
    <mergeCell ref="A17:N17"/>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2026-09-20T03:30:02Z</dcterms:modified>
  <cp:lastModifiedBy>Hugo Fernando Hurtado Ruiz</cp:lastModifiedBy>
  <cp:revision>1</cp:revision>
  <cp:lastPrinted>2026-09-14T01:27:33Z</cp:lastPrinted>
</cp:coreProperties>
</file>