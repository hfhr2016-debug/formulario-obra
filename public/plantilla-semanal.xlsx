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Semanal" sheetId="3" r:id="rId18"/>
  </sheets>
  <calcPr calcId="191029" fullCalcOnLoad="1" iterateDelta="0.0001"/>
</workbook>
</file>

<file path=xl/styles.xml><?xml version="1.0" encoding="utf-8"?>
<styleSheet xmlns="http://schemas.openxmlformats.org/spreadsheetml/2006/main">
  <numFmts count="9">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 numFmtId="172" formatCode="$ #,##0"/>
  </numFmts>
  <fonts count="170">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
      <color rgb="00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2">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
      <left style="thin">
        <color rgb="FFB8C2CC"/>
      </left>
      <right style="thin">
        <color rgb="FFB8C2CC"/>
      </right>
      <top style="thin">
        <color rgb="FFB8C2CC"/>
      </top>
      <bottom style="thin">
        <color rgb="FFB8C2CC"/>
      </bottom>
    </border>
  </borders>
  <cellStyleXfs count="5">
    <xf numFmtId="0" fontId="28" fillId="0" borderId="0"/>
    <xf numFmtId="0" fontId="28" fillId="0" borderId="0"/>
    <xf numFmtId="0" fontId="28" fillId="0" borderId="0"/>
    <xf numFmtId="0" fontId="28" fillId="0" borderId="0"/>
    <xf numFmtId="0" fontId="6" fillId="0" borderId="0"/>
  </cellStyleXfs>
  <cellXfs count="1319">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xf numFmtId="0" fontId="169" fillId="0" borderId="0" pivotButton="0" quotePrefix="0" xfId="0"/>
    <xf numFmtId="172" fontId="127" fillId="55" borderId="188" applyAlignment="1" pivotButton="0" quotePrefix="0" xfId="4">
      <alignment vertical="center" wrapText="1"/>
    </xf>
    <xf numFmtId="172" fontId="124" fillId="17" borderId="188" applyAlignment="1" pivotButton="0" quotePrefix="0" xfId="4">
      <alignment vertical="center" wrapText="1"/>
    </xf>
    <xf numFmtId="172" fontId="124" fillId="17" borderId="411" applyAlignment="1" pivotButton="0" quotePrefix="0" xfId="4">
      <alignment vertical="center" wrapText="1"/>
    </xf>
    <xf numFmtId="0" fontId="124" fillId="28" borderId="411" applyAlignment="1" pivotButton="0" quotePrefix="0" xfId="4">
      <alignment vertical="center" wrapText="1"/>
    </xf>
    <xf numFmtId="167" fontId="48" fillId="0" borderId="30" applyAlignment="1" pivotButton="0" quotePrefix="0" xfId="0">
      <alignment horizontal="center"/>
    </xf>
    <xf numFmtId="167" fontId="48" fillId="0" borderId="30" pivotButton="0" quotePrefix="0" xfId="0"/>
    <xf numFmtId="167" fontId="36" fillId="0" borderId="32" applyAlignment="1" pivotButton="0" quotePrefix="0" xfId="2">
      <alignment horizontal="center" vertical="center"/>
    </xf>
    <xf numFmtId="167" fontId="0" fillId="0" borderId="33" pivotButton="0" quotePrefix="0" xfId="0"/>
    <xf numFmtId="167" fontId="0" fillId="0" borderId="32" pivotButton="0" quotePrefix="0" xfId="0"/>
    <xf numFmtId="167" fontId="0" fillId="0" borderId="29" pivotButton="0" quotePrefix="0" xfId="0"/>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8.xml" Id="rId18"/><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8.xml.rels><Relationships xmlns="http://schemas.openxmlformats.org/package/2006/relationships"><Relationship Type="http://schemas.openxmlformats.org/officeDocument/2006/relationships/image" Target="/xl/media/image19.png" Id="rId1"/><Relationship Type="http://schemas.openxmlformats.org/officeDocument/2006/relationships/image" Target="/xl/media/image20.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4</xdr:col>
      <xdr:colOff>13630</xdr:colOff>
      <xdr:row>8</xdr:row>
      <xdr:rowOff>176148</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24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sheet1.xml><?xml version="1.0" encoding="utf-8"?>
<worksheet xmlns="http://schemas.openxmlformats.org/spreadsheetml/2006/main">
  <sheetPr>
    <tabColor rgb="FFFFFF00"/>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C29:E2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A13:E13"/>
    <mergeCell ref="C35:E35"/>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pageSetUpPr/>
  </sheetPr>
  <dimension ref="A1:F259"/>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Localización y Replanteo</t>
        </is>
      </c>
      <c r="C15" s="261" t="inlineStr">
        <is>
          <t>M²</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1" t="inlineStr">
        <is>
          <t>4.17</t>
        </is>
      </c>
      <c r="B68" s="373" t="inlineStr">
        <is>
          <t>Concreto premezclado o de planta (suministro)</t>
        </is>
      </c>
      <c r="C68" s="261" t="inlineStr">
        <is>
          <t>M³</t>
        </is>
      </c>
      <c r="D68" s="262" t="n"/>
      <c r="E68" s="477" t="n"/>
      <c r="F68" s="478">
        <f>D68*E68</f>
        <v/>
      </c>
    </row>
    <row r="69">
      <c r="A69" s="82" t="n"/>
      <c r="B69" s="674" t="inlineStr">
        <is>
          <t>SUBTOTAL CAPÍTULO 4 - ESTRUCTURA</t>
        </is>
      </c>
      <c r="C69" s="530" t="n"/>
      <c r="D69" s="530" t="n"/>
      <c r="E69" s="530" t="n"/>
      <c r="F69" s="479">
        <f>SUM(F51:F68)</f>
        <v/>
      </c>
    </row>
    <row r="70">
      <c r="A70" s="83" t="n"/>
      <c r="B70" s="681" t="n"/>
      <c r="C70" s="681" t="n"/>
      <c r="D70" s="681" t="n"/>
      <c r="E70" s="681" t="n"/>
      <c r="F70" s="675" t="n"/>
    </row>
    <row r="71">
      <c r="A71" s="185" t="inlineStr">
        <is>
          <t>5</t>
        </is>
      </c>
      <c r="B71" s="680" t="inlineStr">
        <is>
          <t>MAMPOSTERÍA</t>
        </is>
      </c>
      <c r="C71" s="581" t="n"/>
      <c r="D71" s="581" t="n"/>
      <c r="E71" s="581" t="n"/>
      <c r="F71" s="582" t="n"/>
    </row>
    <row r="72">
      <c r="A72" s="81" t="inlineStr">
        <is>
          <t>5.1</t>
        </is>
      </c>
      <c r="B72" s="373" t="inlineStr">
        <is>
          <t>Mampostería en bloque de concreto</t>
        </is>
      </c>
      <c r="C72" s="261" t="inlineStr">
        <is>
          <t>M²</t>
        </is>
      </c>
      <c r="D72" s="262" t="n"/>
      <c r="E72" s="477" t="n"/>
      <c r="F72" s="478">
        <f>D72*E72</f>
        <v/>
      </c>
    </row>
    <row r="73">
      <c r="A73" s="81" t="inlineStr">
        <is>
          <t>5.2</t>
        </is>
      </c>
      <c r="B73" s="373" t="inlineStr">
        <is>
          <t>Mampostería en ladrillo</t>
        </is>
      </c>
      <c r="C73" s="261" t="inlineStr">
        <is>
          <t>M²</t>
        </is>
      </c>
      <c r="D73" s="262" t="n"/>
      <c r="E73" s="477" t="n"/>
      <c r="F73" s="478">
        <f>D73*E73</f>
        <v/>
      </c>
    </row>
    <row r="74">
      <c r="A74" s="81" t="inlineStr">
        <is>
          <t>5.3</t>
        </is>
      </c>
      <c r="B74" s="373" t="inlineStr">
        <is>
          <t>Mampostería estructural</t>
        </is>
      </c>
      <c r="C74" s="261" t="inlineStr">
        <is>
          <t>M²</t>
        </is>
      </c>
      <c r="D74" s="262" t="n"/>
      <c r="E74" s="477" t="n"/>
      <c r="F74" s="478">
        <f>D74*E74</f>
        <v/>
      </c>
    </row>
    <row r="75">
      <c r="A75" s="81" t="inlineStr">
        <is>
          <t>5.4</t>
        </is>
      </c>
      <c r="B75" s="373" t="inlineStr">
        <is>
          <t>Muros en sistema liviano / drywall</t>
        </is>
      </c>
      <c r="C75" s="261" t="inlineStr">
        <is>
          <t>M²</t>
        </is>
      </c>
      <c r="D75" s="262" t="n"/>
      <c r="E75" s="477" t="n"/>
      <c r="F75" s="478">
        <f>D75*E75</f>
        <v/>
      </c>
    </row>
    <row r="76">
      <c r="A76" s="81" t="inlineStr">
        <is>
          <t>5.5</t>
        </is>
      </c>
      <c r="B76" s="373" t="inlineStr">
        <is>
          <t>Dinteles sobre vanos</t>
        </is>
      </c>
      <c r="C76" s="261" t="inlineStr">
        <is>
          <t>ML</t>
        </is>
      </c>
      <c r="D76" s="262" t="n"/>
      <c r="E76" s="477" t="n"/>
      <c r="F76" s="478">
        <f>D76*E76</f>
        <v/>
      </c>
    </row>
    <row r="77">
      <c r="A77" s="81" t="inlineStr">
        <is>
          <t>5.6</t>
        </is>
      </c>
      <c r="B77" s="373" t="inlineStr">
        <is>
          <t>Alfajías y remates</t>
        </is>
      </c>
      <c r="C77" s="261" t="inlineStr">
        <is>
          <t>ML</t>
        </is>
      </c>
      <c r="D77" s="262" t="n"/>
      <c r="E77" s="477" t="n"/>
      <c r="F77" s="478">
        <f>D77*E77</f>
        <v/>
      </c>
    </row>
    <row r="78">
      <c r="A78" s="81" t="inlineStr">
        <is>
          <t>5.7</t>
        </is>
      </c>
      <c r="B78" s="373" t="inlineStr">
        <is>
          <t>Anclajes y refuerzos de mampostería</t>
        </is>
      </c>
      <c r="C78" s="261" t="inlineStr">
        <is>
          <t>UND</t>
        </is>
      </c>
      <c r="D78" s="262" t="n"/>
      <c r="E78" s="477" t="n"/>
      <c r="F78" s="478">
        <f>D78*E78</f>
        <v/>
      </c>
    </row>
    <row r="79">
      <c r="A79" s="81" t="inlineStr">
        <is>
          <t>5.8</t>
        </is>
      </c>
      <c r="B79" s="373" t="inlineStr">
        <is>
          <t>Mampostería en ladrillo tolete a la vista (reforzada)</t>
        </is>
      </c>
      <c r="C79" s="261" t="inlineStr">
        <is>
          <t>M²</t>
        </is>
      </c>
      <c r="D79" s="262" t="n"/>
      <c r="E79" s="477" t="n"/>
      <c r="F79" s="478">
        <f>D79*E79</f>
        <v/>
      </c>
    </row>
    <row r="80">
      <c r="A80" s="81" t="inlineStr">
        <is>
          <t>5.9</t>
        </is>
      </c>
      <c r="B80" s="373" t="inlineStr">
        <is>
          <t>Mampostería en ladrillo a la vista (no reforzada)</t>
        </is>
      </c>
      <c r="C80" s="261" t="inlineStr">
        <is>
          <t>M²</t>
        </is>
      </c>
      <c r="D80" s="262" t="n"/>
      <c r="E80" s="477" t="n"/>
      <c r="F80" s="478">
        <f>D80*E80</f>
        <v/>
      </c>
    </row>
    <row r="81">
      <c r="A81" s="82" t="n"/>
      <c r="B81" s="674" t="inlineStr">
        <is>
          <t>SUBTOTAL CAPÍTULO 5 - MAMPOSTERÍA</t>
        </is>
      </c>
      <c r="C81" s="530" t="n"/>
      <c r="D81" s="530" t="n"/>
      <c r="E81" s="530" t="n"/>
      <c r="F81" s="479">
        <f>SUM(F72:F80)</f>
        <v/>
      </c>
    </row>
    <row r="82">
      <c r="A82" s="83" t="n"/>
      <c r="B82" s="681" t="n"/>
      <c r="C82" s="530" t="n"/>
      <c r="D82" s="530" t="n"/>
      <c r="E82" s="530" t="n"/>
      <c r="F82" s="675" t="n"/>
    </row>
    <row r="83">
      <c r="A83" s="185" t="inlineStr">
        <is>
          <t>6</t>
        </is>
      </c>
      <c r="B83" s="682" t="inlineStr">
        <is>
          <t>CUBIERTAS</t>
        </is>
      </c>
      <c r="C83" s="530" t="n"/>
      <c r="D83" s="530" t="n"/>
      <c r="E83" s="530" t="n"/>
      <c r="F83" s="530" t="n"/>
    </row>
    <row r="84">
      <c r="A84" s="81" t="inlineStr">
        <is>
          <t>6.1</t>
        </is>
      </c>
      <c r="B84" s="374" t="inlineStr">
        <is>
          <t>Estructura metálica o de madera para cubierta</t>
        </is>
      </c>
      <c r="C84" s="261" t="inlineStr">
        <is>
          <t>KG</t>
        </is>
      </c>
      <c r="F84">
        <f>D84*E84</f>
        <v/>
      </c>
    </row>
    <row r="85">
      <c r="A85" s="81" t="inlineStr">
        <is>
          <t>6.2</t>
        </is>
      </c>
      <c r="B85" s="373" t="inlineStr">
        <is>
          <t>Cerchas y elementos estructurales</t>
        </is>
      </c>
      <c r="C85" s="261" t="inlineStr">
        <is>
          <t>KG</t>
        </is>
      </c>
      <c r="D85" s="262" t="n"/>
      <c r="E85" s="477" t="n"/>
      <c r="F85" s="478">
        <f>D85*E85</f>
        <v/>
      </c>
    </row>
    <row r="86">
      <c r="A86" s="81" t="inlineStr">
        <is>
          <t>6.3</t>
        </is>
      </c>
      <c r="B86" s="373" t="inlineStr">
        <is>
          <t>Suministro e instalación de teja</t>
        </is>
      </c>
      <c r="C86" s="261" t="inlineStr">
        <is>
          <t>M²</t>
        </is>
      </c>
      <c r="D86" s="262" t="n"/>
      <c r="E86" s="477" t="n"/>
      <c r="F86" s="478">
        <f>D86*E86</f>
        <v/>
      </c>
    </row>
    <row r="87">
      <c r="A87" s="81" t="inlineStr">
        <is>
          <t>6.4</t>
        </is>
      </c>
      <c r="B87" s="373" t="inlineStr">
        <is>
          <t>Impermeabilización de cubierta</t>
        </is>
      </c>
      <c r="C87" s="261" t="inlineStr">
        <is>
          <t>M²</t>
        </is>
      </c>
      <c r="D87" s="262" t="n"/>
      <c r="E87" s="477" t="n"/>
      <c r="F87" s="478">
        <f>D87*E87</f>
        <v/>
      </c>
    </row>
    <row r="88">
      <c r="A88" s="81" t="inlineStr">
        <is>
          <t>6.5</t>
        </is>
      </c>
      <c r="B88" s="373" t="inlineStr">
        <is>
          <t>Aislamiento térmico/acústico</t>
        </is>
      </c>
      <c r="C88" s="261" t="inlineStr">
        <is>
          <t>M²</t>
        </is>
      </c>
      <c r="D88" s="262" t="n"/>
      <c r="E88" s="477" t="n"/>
      <c r="F88" s="478">
        <f>D88*E88</f>
        <v/>
      </c>
    </row>
    <row r="89">
      <c r="A89" s="81" t="inlineStr">
        <is>
          <t>6.6</t>
        </is>
      </c>
      <c r="B89" s="373" t="inlineStr">
        <is>
          <t>Canales de aguas lluvias</t>
        </is>
      </c>
      <c r="C89" s="261" t="inlineStr">
        <is>
          <t>ML</t>
        </is>
      </c>
      <c r="D89" s="262" t="n"/>
      <c r="E89" s="477" t="n"/>
      <c r="F89" s="478">
        <f>D89*E89</f>
        <v/>
      </c>
    </row>
    <row r="90">
      <c r="A90" s="81" t="inlineStr">
        <is>
          <t>6.7</t>
        </is>
      </c>
      <c r="B90" s="373" t="inlineStr">
        <is>
          <t>Bajantes de aguas lluvias</t>
        </is>
      </c>
      <c r="C90" s="261" t="inlineStr">
        <is>
          <t>ML</t>
        </is>
      </c>
      <c r="D90" s="262" t="n"/>
      <c r="E90" s="477" t="n"/>
      <c r="F90" s="478">
        <f>D90*E90</f>
        <v/>
      </c>
    </row>
    <row r="91">
      <c r="A91" s="81" t="inlineStr">
        <is>
          <t>6.8</t>
        </is>
      </c>
      <c r="B91" s="373" t="inlineStr">
        <is>
          <t>Cielo raso Dry Wall</t>
        </is>
      </c>
      <c r="C91" s="261" t="inlineStr">
        <is>
          <t>M²</t>
        </is>
      </c>
      <c r="D91" s="262" t="n"/>
      <c r="E91" s="477" t="n"/>
      <c r="F91" s="478">
        <f>D91*E91</f>
        <v/>
      </c>
    </row>
    <row r="92">
      <c r="A92" s="81" t="inlineStr">
        <is>
          <t>6.9</t>
        </is>
      </c>
      <c r="B92" s="373" t="inlineStr">
        <is>
          <t>Cielo raso en lámina acústica de fibra mineral</t>
        </is>
      </c>
      <c r="C92" s="261" t="inlineStr">
        <is>
          <t>M²</t>
        </is>
      </c>
      <c r="D92" s="262" t="n"/>
      <c r="E92" s="477" t="n"/>
      <c r="F92" s="478">
        <f>D92*E92</f>
        <v/>
      </c>
    </row>
    <row r="93">
      <c r="A93" s="82" t="n"/>
      <c r="B93" s="674" t="inlineStr">
        <is>
          <t>SUBTOTAL CAPÍTULO 6 - CUBIERTAS</t>
        </is>
      </c>
      <c r="C93" s="530" t="n"/>
      <c r="D93" s="530" t="n"/>
      <c r="E93" s="530" t="n"/>
      <c r="F93" s="479">
        <f>SUM(F84:F92)</f>
        <v/>
      </c>
    </row>
    <row r="94">
      <c r="A94" s="83" t="n"/>
      <c r="B94" s="681" t="n"/>
      <c r="C94" s="681" t="n"/>
      <c r="D94" s="681" t="n"/>
      <c r="E94" s="681" t="n"/>
      <c r="F94" s="675" t="n"/>
    </row>
    <row r="95">
      <c r="A95" s="185" t="inlineStr">
        <is>
          <t>7</t>
        </is>
      </c>
      <c r="B95" s="677" t="inlineStr">
        <is>
          <t>IMPERMEABILIZACIONES</t>
        </is>
      </c>
      <c r="C95" s="530" t="n"/>
      <c r="D95" s="530" t="n"/>
      <c r="E95" s="530" t="n"/>
      <c r="F95" s="530" t="n"/>
    </row>
    <row r="96">
      <c r="A96" s="81" t="inlineStr">
        <is>
          <t>7.1</t>
        </is>
      </c>
      <c r="B96" s="373" t="inlineStr">
        <is>
          <t>Impermeabilización de losas y terrazas</t>
        </is>
      </c>
      <c r="C96" s="261" t="inlineStr">
        <is>
          <t>M²</t>
        </is>
      </c>
      <c r="D96" s="262" t="n"/>
      <c r="E96" s="477" t="n"/>
      <c r="F96" s="478">
        <f>D96*E96</f>
        <v/>
      </c>
    </row>
    <row r="97">
      <c r="A97" s="81" t="inlineStr">
        <is>
          <t>7.2</t>
        </is>
      </c>
      <c r="B97" s="374" t="inlineStr">
        <is>
          <t>Impermeabilización de muros</t>
        </is>
      </c>
      <c r="C97" s="261" t="inlineStr">
        <is>
          <t>M²</t>
        </is>
      </c>
      <c r="F97">
        <f>D97*E97</f>
        <v/>
      </c>
    </row>
    <row r="98">
      <c r="A98" s="81" t="inlineStr">
        <is>
          <t>7.3</t>
        </is>
      </c>
      <c r="B98" s="373" t="inlineStr">
        <is>
          <t>Impermeabilización de zonas húmedas</t>
        </is>
      </c>
      <c r="C98" s="261" t="inlineStr">
        <is>
          <t>M²</t>
        </is>
      </c>
      <c r="D98" s="262" t="n"/>
      <c r="E98" s="477" t="n"/>
      <c r="F98" s="478">
        <f>D98*E98</f>
        <v/>
      </c>
    </row>
    <row r="99">
      <c r="A99" s="81" t="inlineStr">
        <is>
          <t>7.4</t>
        </is>
      </c>
      <c r="B99" s="373" t="inlineStr">
        <is>
          <t>Geomembrana HDPE para impermeabilización de terrenos</t>
        </is>
      </c>
      <c r="C99" s="261" t="inlineStr">
        <is>
          <t>M²</t>
        </is>
      </c>
      <c r="D99" s="262" t="n"/>
      <c r="E99" s="477" t="n"/>
      <c r="F99" s="478">
        <f>D99*E99</f>
        <v/>
      </c>
    </row>
    <row r="100">
      <c r="A100" s="82" t="n"/>
      <c r="B100" s="674" t="inlineStr">
        <is>
          <t>SUBTOTAL CAPÍTULO 7 - IMPERMEABILIZACIONES</t>
        </is>
      </c>
      <c r="C100" s="530" t="n"/>
      <c r="D100" s="530" t="n"/>
      <c r="E100" s="530" t="n"/>
      <c r="F100" s="479">
        <f>SUM(F96:F99)</f>
        <v/>
      </c>
    </row>
    <row r="101">
      <c r="A101" s="83" t="n"/>
      <c r="B101" s="681" t="n"/>
      <c r="C101" s="530" t="n"/>
      <c r="D101" s="530" t="n"/>
      <c r="E101" s="530" t="n"/>
      <c r="F101" s="675" t="n"/>
    </row>
    <row r="102">
      <c r="A102" s="185" t="inlineStr">
        <is>
          <t>8</t>
        </is>
      </c>
      <c r="B102" s="677" t="inlineStr">
        <is>
          <t>PAÑETES Y REVOQUES</t>
        </is>
      </c>
      <c r="C102" s="530" t="n"/>
      <c r="D102" s="530" t="n"/>
      <c r="E102" s="530" t="n"/>
      <c r="F102" s="530" t="n"/>
    </row>
    <row r="103">
      <c r="A103" s="81" t="inlineStr">
        <is>
          <t>8.1</t>
        </is>
      </c>
      <c r="B103" s="374" t="inlineStr">
        <is>
          <t>Pañete / revoque interior</t>
        </is>
      </c>
      <c r="C103" s="261" t="inlineStr">
        <is>
          <t>M²</t>
        </is>
      </c>
      <c r="F103">
        <f>D103*E103</f>
        <v/>
      </c>
    </row>
    <row r="104">
      <c r="A104" s="81" t="inlineStr">
        <is>
          <t>8.2</t>
        </is>
      </c>
      <c r="B104" s="373" t="inlineStr">
        <is>
          <t>Pañete / revoque exterior</t>
        </is>
      </c>
      <c r="C104" s="261" t="inlineStr">
        <is>
          <t>M²</t>
        </is>
      </c>
      <c r="D104" s="262" t="n"/>
      <c r="E104" s="477" t="n"/>
      <c r="F104" s="478">
        <f>D104*E104</f>
        <v/>
      </c>
    </row>
    <row r="105">
      <c r="A105" s="81" t="inlineStr">
        <is>
          <t>8.3</t>
        </is>
      </c>
      <c r="B105" s="373" t="inlineStr">
        <is>
          <t>Pañete impermeabilizado</t>
        </is>
      </c>
      <c r="C105" s="261" t="inlineStr">
        <is>
          <t>M²</t>
        </is>
      </c>
      <c r="D105" s="262" t="n"/>
      <c r="E105" s="477" t="n"/>
      <c r="F105" s="478">
        <f>D105*E105</f>
        <v/>
      </c>
    </row>
    <row r="106">
      <c r="A106" s="81" t="inlineStr">
        <is>
          <t>8.4</t>
        </is>
      </c>
      <c r="B106" s="373" t="inlineStr">
        <is>
          <t>Estuco plástico o tradicional</t>
        </is>
      </c>
      <c r="C106" s="261" t="inlineStr">
        <is>
          <t>M²</t>
        </is>
      </c>
      <c r="F106" s="478">
        <f>D106*E106</f>
        <v/>
      </c>
    </row>
    <row r="107">
      <c r="A107" s="82" t="n"/>
      <c r="B107" s="674" t="inlineStr">
        <is>
          <t>SUBTOTAL CAPÍTULO 8 - PAÑETES Y REVOQUES</t>
        </is>
      </c>
      <c r="C107" s="530" t="n"/>
      <c r="D107" s="530" t="n"/>
      <c r="E107" s="530" t="n"/>
      <c r="F107" s="479">
        <f>SUM(F103:F106)</f>
        <v/>
      </c>
    </row>
    <row r="108">
      <c r="A108" s="83" t="n"/>
      <c r="B108" s="675" t="n"/>
      <c r="C108" s="530" t="n"/>
      <c r="D108" s="530" t="n"/>
      <c r="E108" s="530" t="n"/>
      <c r="F108" s="579" t="n"/>
    </row>
    <row r="109">
      <c r="A109" s="185" t="inlineStr">
        <is>
          <t>9</t>
        </is>
      </c>
      <c r="B109" s="677" t="inlineStr">
        <is>
          <t>PISOS Y ENCHAPES</t>
        </is>
      </c>
      <c r="C109" s="530" t="n"/>
      <c r="D109" s="530" t="n"/>
      <c r="E109" s="530" t="n"/>
      <c r="F109" s="530" t="n"/>
    </row>
    <row r="110">
      <c r="A110" s="81" t="inlineStr">
        <is>
          <t>9.1</t>
        </is>
      </c>
      <c r="B110" s="373" t="inlineStr">
        <is>
          <t>Mortero de nivelación</t>
        </is>
      </c>
      <c r="C110" s="261" t="inlineStr">
        <is>
          <t>M²</t>
        </is>
      </c>
      <c r="D110" s="262" t="n"/>
      <c r="E110" s="477" t="n"/>
      <c r="F110" s="478">
        <f>D110*E110</f>
        <v/>
      </c>
    </row>
    <row r="111">
      <c r="A111" s="81" t="inlineStr">
        <is>
          <t>9.2</t>
        </is>
      </c>
      <c r="B111" s="373" t="inlineStr">
        <is>
          <t>Piso cerámico</t>
        </is>
      </c>
      <c r="C111" s="261" t="inlineStr">
        <is>
          <t>M²</t>
        </is>
      </c>
      <c r="D111" s="262" t="n"/>
      <c r="E111" s="477" t="n"/>
      <c r="F111" s="478">
        <f>D111*E111</f>
        <v/>
      </c>
    </row>
    <row r="112">
      <c r="A112" s="81" t="inlineStr">
        <is>
          <t>9.3</t>
        </is>
      </c>
      <c r="B112" s="373" t="inlineStr">
        <is>
          <t>Piso en porcelanato</t>
        </is>
      </c>
      <c r="C112" s="261" t="inlineStr">
        <is>
          <t>M²</t>
        </is>
      </c>
      <c r="D112" s="262" t="n"/>
      <c r="E112" s="477" t="n"/>
      <c r="F112" s="478">
        <f>D112*E112</f>
        <v/>
      </c>
    </row>
    <row r="113">
      <c r="A113" s="81" t="inlineStr">
        <is>
          <t>9.4</t>
        </is>
      </c>
      <c r="B113" s="373" t="inlineStr">
        <is>
          <t>Piso vinílico</t>
        </is>
      </c>
      <c r="C113" s="261" t="inlineStr">
        <is>
          <t>M²</t>
        </is>
      </c>
      <c r="D113" s="262" t="n"/>
      <c r="E113" s="477" t="n"/>
      <c r="F113" s="478">
        <f>D113*E113</f>
        <v/>
      </c>
    </row>
    <row r="114">
      <c r="A114" s="81" t="inlineStr">
        <is>
          <t>9.5</t>
        </is>
      </c>
      <c r="B114" s="373" t="inlineStr">
        <is>
          <t>Piso laminado</t>
        </is>
      </c>
      <c r="C114" s="261" t="inlineStr">
        <is>
          <t>M²</t>
        </is>
      </c>
      <c r="D114" s="262" t="n"/>
      <c r="E114" s="477" t="n"/>
      <c r="F114" s="478">
        <f>D114*E114</f>
        <v/>
      </c>
    </row>
    <row r="115">
      <c r="A115" s="81" t="inlineStr">
        <is>
          <t>9.6</t>
        </is>
      </c>
      <c r="B115" s="373" t="inlineStr">
        <is>
          <t>Enchape cerámico en muros</t>
        </is>
      </c>
      <c r="C115" s="261" t="inlineStr">
        <is>
          <t>M²</t>
        </is>
      </c>
      <c r="F115" s="478">
        <f>D115*E115</f>
        <v/>
      </c>
    </row>
    <row r="116">
      <c r="A116" s="81" t="inlineStr">
        <is>
          <t>9.7</t>
        </is>
      </c>
      <c r="B116" s="373" t="inlineStr">
        <is>
          <t>Guardaescoba</t>
        </is>
      </c>
      <c r="C116" s="261" t="inlineStr">
        <is>
          <t>ML</t>
        </is>
      </c>
      <c r="D116" s="262" t="n"/>
      <c r="E116" s="477" t="n"/>
      <c r="F116" s="478">
        <f>D116*E116</f>
        <v/>
      </c>
    </row>
    <row r="117">
      <c r="A117" s="81" t="inlineStr">
        <is>
          <t>9.8</t>
        </is>
      </c>
      <c r="B117" s="374" t="inlineStr">
        <is>
          <t>Juntas de dilatación / construcción</t>
        </is>
      </c>
      <c r="C117" s="261" t="inlineStr">
        <is>
          <t>ML</t>
        </is>
      </c>
      <c r="F117">
        <f>D117*E117</f>
        <v/>
      </c>
    </row>
    <row r="118">
      <c r="A118" s="81" t="inlineStr">
        <is>
          <t>9.9</t>
        </is>
      </c>
      <c r="B118" s="374" t="inlineStr">
        <is>
          <t>Piso en concreto afinado con endurecedor de cuarzo</t>
        </is>
      </c>
      <c r="C118" s="261" t="inlineStr">
        <is>
          <t>M²</t>
        </is>
      </c>
      <c r="F118">
        <f>D118*E118</f>
        <v/>
      </c>
    </row>
    <row r="119">
      <c r="A119" s="81" t="inlineStr">
        <is>
          <t>9.10</t>
        </is>
      </c>
      <c r="B119" s="374" t="inlineStr">
        <is>
          <t>Baldosa de granito</t>
        </is>
      </c>
      <c r="C119" s="261" t="inlineStr">
        <is>
          <t>M²</t>
        </is>
      </c>
      <c r="F119">
        <f>D119*E119</f>
        <v/>
      </c>
    </row>
    <row r="120">
      <c r="A120" s="81" t="inlineStr">
        <is>
          <t>9.11</t>
        </is>
      </c>
      <c r="B120" s="374" t="inlineStr">
        <is>
          <t>Enchape en granito pulido</t>
        </is>
      </c>
      <c r="C120" s="261" t="inlineStr">
        <is>
          <t>M²</t>
        </is>
      </c>
      <c r="F120">
        <f>D120*E120</f>
        <v/>
      </c>
    </row>
    <row r="121">
      <c r="A121" s="82" t="n"/>
      <c r="B121" s="674" t="inlineStr">
        <is>
          <t>SUBTOTAL CAPÍTULO 9 - PISOS Y ENCHAPES</t>
        </is>
      </c>
      <c r="C121" s="530" t="n"/>
      <c r="D121" s="530" t="n"/>
      <c r="E121" s="530" t="n"/>
      <c r="F121" s="479">
        <f>SUM(F110:F120)</f>
        <v/>
      </c>
    </row>
    <row r="122">
      <c r="A122" s="83" t="n"/>
      <c r="B122" s="681" t="n"/>
      <c r="C122" s="681" t="n"/>
      <c r="D122" s="681" t="n"/>
      <c r="E122" s="681" t="n"/>
      <c r="F122" s="675" t="n"/>
    </row>
    <row r="123">
      <c r="A123" s="185" t="inlineStr">
        <is>
          <t>10</t>
        </is>
      </c>
      <c r="B123" s="677" t="inlineStr">
        <is>
          <t>PINTURA</t>
        </is>
      </c>
      <c r="C123" s="530" t="n"/>
      <c r="D123" s="530" t="n"/>
      <c r="E123" s="530" t="n"/>
      <c r="F123" s="530" t="n"/>
    </row>
    <row r="124">
      <c r="A124" s="81" t="inlineStr">
        <is>
          <t>10.1</t>
        </is>
      </c>
      <c r="B124" s="373" t="inlineStr">
        <is>
          <t>Pintura vinílica interior</t>
        </is>
      </c>
      <c r="C124" s="261" t="inlineStr">
        <is>
          <t>M²</t>
        </is>
      </c>
      <c r="D124" s="262" t="n"/>
      <c r="E124" s="477" t="n"/>
      <c r="F124" s="478">
        <f>D124*E124</f>
        <v/>
      </c>
    </row>
    <row r="125">
      <c r="A125" s="81" t="inlineStr">
        <is>
          <t>10.2</t>
        </is>
      </c>
      <c r="B125" s="373" t="inlineStr">
        <is>
          <t>Pintura exterior</t>
        </is>
      </c>
      <c r="C125" s="261" t="inlineStr">
        <is>
          <t>M²</t>
        </is>
      </c>
      <c r="D125" s="262" t="n"/>
      <c r="E125" s="477" t="n"/>
      <c r="F125" s="478">
        <f>D125*E125</f>
        <v/>
      </c>
    </row>
    <row r="126">
      <c r="A126" s="81" t="inlineStr">
        <is>
          <t>10.3</t>
        </is>
      </c>
      <c r="B126" s="373" t="inlineStr">
        <is>
          <t>Pintura esmalte en superficies metálicas/madera</t>
        </is>
      </c>
      <c r="C126" s="261" t="inlineStr">
        <is>
          <t>M²</t>
        </is>
      </c>
      <c r="D126" s="262" t="n"/>
      <c r="E126" s="477" t="n"/>
      <c r="F126" s="478">
        <f>D126*E126</f>
        <v/>
      </c>
    </row>
    <row r="127">
      <c r="A127" s="81" t="inlineStr">
        <is>
          <t>10.4</t>
        </is>
      </c>
      <c r="B127" s="373" t="inlineStr">
        <is>
          <t>Pintura anticorrosiva</t>
        </is>
      </c>
      <c r="C127" s="261" t="inlineStr">
        <is>
          <t>M²</t>
        </is>
      </c>
      <c r="D127" s="262" t="n"/>
      <c r="E127" s="477" t="n"/>
      <c r="F127" s="478">
        <f>D127*E127</f>
        <v/>
      </c>
    </row>
    <row r="128">
      <c r="A128" s="81" t="inlineStr">
        <is>
          <t>10.5</t>
        </is>
      </c>
      <c r="B128" s="373" t="inlineStr">
        <is>
          <t>Sellador / imprimante</t>
        </is>
      </c>
      <c r="C128" s="261" t="inlineStr">
        <is>
          <t>M²</t>
        </is>
      </c>
      <c r="F128" s="478">
        <f>D128*E128</f>
        <v/>
      </c>
    </row>
    <row r="129">
      <c r="A129" s="82" t="n"/>
      <c r="B129" s="674" t="inlineStr">
        <is>
          <t>SUBTOTAL CAPÍTULO 10 - PINTURA</t>
        </is>
      </c>
      <c r="C129" s="530" t="n"/>
      <c r="D129" s="530" t="n"/>
      <c r="E129" s="530" t="n"/>
      <c r="F129" s="479">
        <f>SUM(F124:F128)</f>
        <v/>
      </c>
    </row>
    <row r="130">
      <c r="A130" s="83" t="n"/>
      <c r="B130" s="675" t="n"/>
      <c r="C130" s="530" t="n"/>
      <c r="D130" s="530" t="n"/>
      <c r="E130" s="530" t="n"/>
      <c r="F130" s="579" t="n"/>
    </row>
    <row r="131">
      <c r="A131" s="185" t="inlineStr">
        <is>
          <t>11</t>
        </is>
      </c>
      <c r="B131" s="677" t="inlineStr">
        <is>
          <t>CARPINTERÍA</t>
        </is>
      </c>
      <c r="C131" s="530" t="n"/>
      <c r="D131" s="530" t="n"/>
      <c r="E131" s="530" t="n"/>
      <c r="F131" s="530" t="n"/>
    </row>
    <row r="132">
      <c r="A132" s="81" t="inlineStr">
        <is>
          <t>11.1</t>
        </is>
      </c>
      <c r="B132" s="373" t="inlineStr">
        <is>
          <t>Puertas de madera</t>
        </is>
      </c>
      <c r="C132" s="261" t="inlineStr">
        <is>
          <t>UND</t>
        </is>
      </c>
      <c r="D132" s="262" t="n"/>
      <c r="E132" s="477" t="n"/>
      <c r="F132" s="478">
        <f>D132*E132</f>
        <v/>
      </c>
    </row>
    <row r="133">
      <c r="A133" s="81" t="inlineStr">
        <is>
          <t>11.2</t>
        </is>
      </c>
      <c r="B133" s="373" t="inlineStr">
        <is>
          <t>Muebles fijos de madera</t>
        </is>
      </c>
      <c r="C133" s="261" t="inlineStr">
        <is>
          <t>ML</t>
        </is>
      </c>
      <c r="F133" s="478">
        <f>D133*E133</f>
        <v/>
      </c>
    </row>
    <row r="134">
      <c r="A134" s="81" t="inlineStr">
        <is>
          <t>11.3</t>
        </is>
      </c>
      <c r="B134" s="373" t="inlineStr">
        <is>
          <t>Puertas metálicas</t>
        </is>
      </c>
      <c r="C134" s="261" t="inlineStr">
        <is>
          <t>UND</t>
        </is>
      </c>
      <c r="D134" s="262" t="n"/>
      <c r="E134" s="477" t="n"/>
      <c r="F134" s="478">
        <f>D134*E134</f>
        <v/>
      </c>
    </row>
    <row r="135">
      <c r="A135" s="81" t="inlineStr">
        <is>
          <t>11.4</t>
        </is>
      </c>
      <c r="B135" s="374" t="inlineStr">
        <is>
          <t>Barandas metálicas</t>
        </is>
      </c>
      <c r="C135" s="261" t="inlineStr">
        <is>
          <t>ML</t>
        </is>
      </c>
      <c r="F135">
        <f>D135*E135</f>
        <v/>
      </c>
    </row>
    <row r="136">
      <c r="A136" s="81" t="inlineStr">
        <is>
          <t>11.5</t>
        </is>
      </c>
      <c r="B136" s="373" t="inlineStr">
        <is>
          <t>Pasamanos</t>
        </is>
      </c>
      <c r="C136" s="261" t="inlineStr">
        <is>
          <t>ML</t>
        </is>
      </c>
      <c r="D136" s="262" t="n"/>
      <c r="E136" s="477" t="n"/>
      <c r="F136" s="478">
        <f>D136*E136</f>
        <v/>
      </c>
    </row>
    <row r="137">
      <c r="A137" s="81" t="inlineStr">
        <is>
          <t>11.6</t>
        </is>
      </c>
      <c r="B137" s="373" t="inlineStr">
        <is>
          <t>Ventanas de aluminio</t>
        </is>
      </c>
      <c r="C137" s="261" t="inlineStr">
        <is>
          <t>M²</t>
        </is>
      </c>
      <c r="D137" s="262" t="n"/>
      <c r="E137" s="477" t="n"/>
      <c r="F137" s="478">
        <f>D137*E137</f>
        <v/>
      </c>
    </row>
    <row r="138">
      <c r="A138" s="81" t="inlineStr">
        <is>
          <t>11.7</t>
        </is>
      </c>
      <c r="B138" s="373" t="inlineStr">
        <is>
          <t>Divisiones de aluminio</t>
        </is>
      </c>
      <c r="C138" s="261" t="inlineStr">
        <is>
          <t>M²</t>
        </is>
      </c>
      <c r="D138" s="262" t="n"/>
      <c r="E138" s="477" t="n"/>
      <c r="F138" s="478">
        <f>D138*E138</f>
        <v/>
      </c>
    </row>
    <row r="139">
      <c r="A139" s="81" t="inlineStr">
        <is>
          <t>11.8</t>
        </is>
      </c>
      <c r="B139" s="373" t="inlineStr">
        <is>
          <t>Puerta antipánico</t>
        </is>
      </c>
      <c r="C139" s="261" t="inlineStr">
        <is>
          <t>UND</t>
        </is>
      </c>
      <c r="D139" s="262" t="n"/>
      <c r="E139" s="477" t="n"/>
      <c r="F139" s="478">
        <f>D139*E139</f>
        <v/>
      </c>
    </row>
    <row r="140">
      <c r="A140" s="82" t="n"/>
      <c r="B140" s="674" t="inlineStr">
        <is>
          <t>SUBTOTAL CAPÍTULO 11 - CARPINTERÍA</t>
        </is>
      </c>
      <c r="C140" s="530" t="n"/>
      <c r="D140" s="530" t="n"/>
      <c r="E140" s="530" t="n"/>
      <c r="F140" s="479">
        <f>SUM(F132:F139)</f>
        <v/>
      </c>
    </row>
    <row r="141">
      <c r="A141" s="83" t="n"/>
      <c r="B141" s="681" t="n"/>
      <c r="C141" s="681" t="n"/>
      <c r="D141" s="681" t="n"/>
      <c r="E141" s="681" t="n"/>
      <c r="F141" s="675" t="n"/>
    </row>
    <row r="142">
      <c r="A142" s="185" t="inlineStr">
        <is>
          <t>12</t>
        </is>
      </c>
      <c r="B142" s="677" t="inlineStr">
        <is>
          <t>VIDRIOS</t>
        </is>
      </c>
      <c r="C142" s="530" t="n"/>
      <c r="D142" s="530" t="n"/>
      <c r="E142" s="530" t="n"/>
      <c r="F142" s="530" t="n"/>
    </row>
    <row r="143">
      <c r="A143" s="81" t="inlineStr">
        <is>
          <t>12.1</t>
        </is>
      </c>
      <c r="B143" s="373" t="inlineStr">
        <is>
          <t>Vidrio templado</t>
        </is>
      </c>
      <c r="C143" s="261" t="inlineStr">
        <is>
          <t>M²</t>
        </is>
      </c>
      <c r="F143" s="478">
        <f>D143*E143</f>
        <v/>
      </c>
    </row>
    <row r="144">
      <c r="A144" s="81" t="inlineStr">
        <is>
          <t>12.2</t>
        </is>
      </c>
      <c r="B144" s="373" t="inlineStr">
        <is>
          <t>Vidrio laminado</t>
        </is>
      </c>
      <c r="C144" s="261" t="inlineStr">
        <is>
          <t>M²</t>
        </is>
      </c>
      <c r="D144" s="262" t="n"/>
      <c r="E144" s="477" t="n"/>
      <c r="F144" s="478">
        <f>D144*E144</f>
        <v/>
      </c>
    </row>
    <row r="145">
      <c r="A145" s="81" t="inlineStr">
        <is>
          <t>12.3</t>
        </is>
      </c>
      <c r="B145" s="374" t="inlineStr">
        <is>
          <t>Espejos</t>
        </is>
      </c>
      <c r="C145" s="261" t="inlineStr">
        <is>
          <t>M²</t>
        </is>
      </c>
      <c r="F145">
        <f>D145*E145</f>
        <v/>
      </c>
    </row>
    <row r="146">
      <c r="A146" s="81" t="inlineStr">
        <is>
          <t>12.4</t>
        </is>
      </c>
      <c r="B146" s="373" t="inlineStr">
        <is>
          <t>Sellos y silicona</t>
        </is>
      </c>
      <c r="C146" s="261" t="inlineStr">
        <is>
          <t>ML</t>
        </is>
      </c>
      <c r="D146" s="262" t="n"/>
      <c r="E146" s="477" t="n"/>
      <c r="F146" s="478">
        <f>D146*E146</f>
        <v/>
      </c>
    </row>
    <row r="147">
      <c r="A147" s="82" t="n"/>
      <c r="B147" s="674" t="inlineStr">
        <is>
          <t>SUBTOTAL CAPÍTULO 12 - VIDRIOS</t>
        </is>
      </c>
      <c r="C147" s="530" t="n"/>
      <c r="D147" s="530" t="n"/>
      <c r="E147" s="530" t="n"/>
      <c r="F147" s="479">
        <f>SUM(F143:F146)</f>
        <v/>
      </c>
    </row>
    <row r="148">
      <c r="A148" s="83" t="n"/>
      <c r="B148" s="681" t="n"/>
      <c r="C148" s="681" t="n"/>
      <c r="D148" s="681" t="n"/>
      <c r="E148" s="681" t="n"/>
      <c r="F148" s="675" t="n"/>
    </row>
    <row r="149">
      <c r="A149" s="185" t="inlineStr">
        <is>
          <t>13</t>
        </is>
      </c>
      <c r="B149" s="677" t="inlineStr">
        <is>
          <t>INSTALACIONES HIDROSANITARIAS</t>
        </is>
      </c>
      <c r="C149" s="530" t="n"/>
      <c r="D149" s="530" t="n"/>
      <c r="E149" s="530" t="n"/>
      <c r="F149" s="530" t="n"/>
    </row>
    <row r="150">
      <c r="A150" s="81" t="inlineStr">
        <is>
          <t>13.1</t>
        </is>
      </c>
      <c r="B150" s="373" t="inlineStr">
        <is>
          <t>Tubería de agua fría</t>
        </is>
      </c>
      <c r="C150" s="261" t="inlineStr">
        <is>
          <t>ML</t>
        </is>
      </c>
      <c r="F150" s="478">
        <f>D150*E150</f>
        <v/>
      </c>
    </row>
    <row r="151">
      <c r="A151" s="81" t="inlineStr">
        <is>
          <t>13.2</t>
        </is>
      </c>
      <c r="B151" s="373" t="inlineStr">
        <is>
          <t>Tubería de agua caliente</t>
        </is>
      </c>
      <c r="C151" s="261" t="inlineStr">
        <is>
          <t>ML</t>
        </is>
      </c>
      <c r="D151" s="262" t="n"/>
      <c r="E151" s="477" t="n"/>
      <c r="F151" s="478">
        <f>D151*E151</f>
        <v/>
      </c>
    </row>
    <row r="152">
      <c r="A152" s="81" t="inlineStr">
        <is>
          <t>13.3</t>
        </is>
      </c>
      <c r="B152" s="373" t="inlineStr">
        <is>
          <t>Válvulas y accesorios</t>
        </is>
      </c>
      <c r="C152" s="261" t="inlineStr">
        <is>
          <t>UND</t>
        </is>
      </c>
      <c r="F152" s="478">
        <f>D152*E152</f>
        <v/>
      </c>
    </row>
    <row r="153">
      <c r="A153" s="81" t="inlineStr">
        <is>
          <t>13.4</t>
        </is>
      </c>
      <c r="B153" s="373" t="inlineStr">
        <is>
          <t>Tubería sanitaria</t>
        </is>
      </c>
      <c r="C153" s="261" t="inlineStr">
        <is>
          <t>ML</t>
        </is>
      </c>
      <c r="D153" s="262" t="n"/>
      <c r="E153" s="477" t="n"/>
      <c r="F153" s="478">
        <f>D153*E153</f>
        <v/>
      </c>
    </row>
    <row r="154">
      <c r="A154" s="81" t="inlineStr">
        <is>
          <t>13.5</t>
        </is>
      </c>
      <c r="B154" s="373" t="inlineStr">
        <is>
          <t>Tubería de aguas lluvias</t>
        </is>
      </c>
      <c r="C154" s="261" t="inlineStr">
        <is>
          <t>ML</t>
        </is>
      </c>
      <c r="D154" s="262" t="n"/>
      <c r="E154" s="477" t="n"/>
      <c r="F154" s="478">
        <f>D154*E154</f>
        <v/>
      </c>
    </row>
    <row r="155">
      <c r="A155" s="81" t="inlineStr">
        <is>
          <t>13.6</t>
        </is>
      </c>
      <c r="B155" s="373" t="inlineStr">
        <is>
          <t>Cajas de inspección</t>
        </is>
      </c>
      <c r="C155" s="261" t="inlineStr">
        <is>
          <t>UND</t>
        </is>
      </c>
      <c r="D155" s="262" t="n"/>
      <c r="E155" s="477" t="n"/>
      <c r="F155" s="478">
        <f>D155*E155</f>
        <v/>
      </c>
    </row>
    <row r="156">
      <c r="A156" s="81" t="inlineStr">
        <is>
          <t>13.7</t>
        </is>
      </c>
      <c r="B156" s="373" t="inlineStr">
        <is>
          <t>Aparatos sanitarios</t>
        </is>
      </c>
      <c r="C156" s="261" t="inlineStr">
        <is>
          <t>UND</t>
        </is>
      </c>
      <c r="D156" s="262" t="n"/>
      <c r="E156" s="477" t="n"/>
      <c r="F156" s="478">
        <f>D156*E156</f>
        <v/>
      </c>
    </row>
    <row r="157">
      <c r="A157" s="81" t="inlineStr">
        <is>
          <t>13.8</t>
        </is>
      </c>
      <c r="B157" s="373" t="inlineStr">
        <is>
          <t>Lavamanos</t>
        </is>
      </c>
      <c r="C157" s="261" t="inlineStr">
        <is>
          <t>UND</t>
        </is>
      </c>
      <c r="D157" s="262" t="n"/>
      <c r="E157" s="477" t="n"/>
      <c r="F157" s="478">
        <f>D157*E157</f>
        <v/>
      </c>
    </row>
    <row r="158">
      <c r="A158" s="81" t="inlineStr">
        <is>
          <t>13.9</t>
        </is>
      </c>
      <c r="B158" s="373" t="inlineStr">
        <is>
          <t>Griferías</t>
        </is>
      </c>
      <c r="C158" s="261" t="inlineStr">
        <is>
          <t>UND</t>
        </is>
      </c>
      <c r="D158" s="262" t="n"/>
      <c r="E158" s="477" t="n"/>
      <c r="F158" s="478">
        <f>D158*E158</f>
        <v/>
      </c>
    </row>
    <row r="159">
      <c r="A159" s="81" t="inlineStr">
        <is>
          <t>13.10</t>
        </is>
      </c>
      <c r="B159" s="373" t="inlineStr">
        <is>
          <t>Duchas</t>
        </is>
      </c>
      <c r="C159" s="261" t="inlineStr">
        <is>
          <t>UND</t>
        </is>
      </c>
      <c r="D159" s="262" t="n"/>
      <c r="E159" s="477" t="n"/>
      <c r="F159" s="478">
        <f>D159*E159</f>
        <v/>
      </c>
    </row>
    <row r="160">
      <c r="A160" s="81" t="inlineStr">
        <is>
          <t>13.11</t>
        </is>
      </c>
      <c r="B160" s="373" t="inlineStr">
        <is>
          <t>Pruebas hidráulicas y de estanqueidad</t>
        </is>
      </c>
      <c r="C160" s="261" t="inlineStr">
        <is>
          <t>GL</t>
        </is>
      </c>
      <c r="D160" s="262" t="n"/>
      <c r="E160" s="477" t="n"/>
      <c r="F160" s="478">
        <f>D160*E160</f>
        <v/>
      </c>
    </row>
    <row r="161">
      <c r="A161" s="81" t="inlineStr">
        <is>
          <t>13.12</t>
        </is>
      </c>
      <c r="B161" s="373" t="inlineStr">
        <is>
          <t>Orinal institucional</t>
        </is>
      </c>
      <c r="C161" s="261" t="inlineStr">
        <is>
          <t>UND</t>
        </is>
      </c>
      <c r="D161" s="262" t="n"/>
      <c r="E161" s="477" t="n"/>
      <c r="F161" s="478">
        <f>D161*E161</f>
        <v/>
      </c>
    </row>
    <row r="162">
      <c r="A162" s="82" t="n"/>
      <c r="B162" s="674" t="inlineStr">
        <is>
          <t>SUBTOTAL CAPÍTULO 13 - INSTALACIONES HIDROSANITARIAS</t>
        </is>
      </c>
      <c r="C162" s="530" t="n"/>
      <c r="D162" s="530" t="n"/>
      <c r="E162" s="530" t="n"/>
      <c r="F162" s="479">
        <f>SUM(F150:F161)</f>
        <v/>
      </c>
    </row>
    <row r="163">
      <c r="A163" s="83" t="n"/>
      <c r="B163" s="681" t="n"/>
      <c r="C163" s="681" t="n"/>
      <c r="D163" s="681" t="n"/>
      <c r="E163" s="681" t="n"/>
      <c r="F163" s="675" t="n"/>
    </row>
    <row r="164">
      <c r="A164" s="185" t="inlineStr">
        <is>
          <t>14</t>
        </is>
      </c>
      <c r="B164" s="677" t="inlineStr">
        <is>
          <t>INSTALACIONES ELÉCTRICAS</t>
        </is>
      </c>
      <c r="C164" s="530" t="n"/>
      <c r="D164" s="530" t="n"/>
      <c r="E164" s="530" t="n"/>
      <c r="F164" s="530" t="n"/>
    </row>
    <row r="165">
      <c r="A165" s="81" t="inlineStr">
        <is>
          <t>14.1</t>
        </is>
      </c>
      <c r="B165" s="373" t="inlineStr">
        <is>
          <t>Tubería/conduit eléctrica</t>
        </is>
      </c>
      <c r="C165" s="261" t="inlineStr">
        <is>
          <t>ML</t>
        </is>
      </c>
      <c r="D165" s="262" t="n"/>
      <c r="E165" s="477" t="n"/>
      <c r="F165" s="478">
        <f>D165*E165</f>
        <v/>
      </c>
    </row>
    <row r="166">
      <c r="A166" s="81" t="inlineStr">
        <is>
          <t>14.2</t>
        </is>
      </c>
      <c r="B166" s="373" t="inlineStr">
        <is>
          <t>Bandejas portacables</t>
        </is>
      </c>
      <c r="C166" s="261" t="inlineStr">
        <is>
          <t>ML</t>
        </is>
      </c>
      <c r="D166" s="262" t="n"/>
      <c r="E166" s="477" t="n"/>
      <c r="F166" s="478">
        <f>D166*E166</f>
        <v/>
      </c>
    </row>
    <row r="167">
      <c r="A167" s="81" t="inlineStr">
        <is>
          <t>14.3</t>
        </is>
      </c>
      <c r="B167" s="373" t="inlineStr">
        <is>
          <t>Cajas eléctricas</t>
        </is>
      </c>
      <c r="C167" s="261" t="inlineStr">
        <is>
          <t>UND</t>
        </is>
      </c>
      <c r="D167" s="262" t="n"/>
      <c r="E167" s="477" t="n"/>
      <c r="F167" s="478">
        <f>D167*E167</f>
        <v/>
      </c>
    </row>
    <row r="168">
      <c r="A168" s="81" t="inlineStr">
        <is>
          <t>14.4</t>
        </is>
      </c>
      <c r="B168" s="373" t="inlineStr">
        <is>
          <t>Cableado de fuerza</t>
        </is>
      </c>
      <c r="C168" s="261" t="inlineStr">
        <is>
          <t>ML</t>
        </is>
      </c>
      <c r="D168" s="262" t="n"/>
      <c r="E168" s="477" t="n"/>
      <c r="F168" s="478">
        <f>D168*E168</f>
        <v/>
      </c>
    </row>
    <row r="169">
      <c r="A169" s="81" t="inlineStr">
        <is>
          <t>14.5</t>
        </is>
      </c>
      <c r="B169" s="373" t="inlineStr">
        <is>
          <t>Cableado de iluminación</t>
        </is>
      </c>
      <c r="C169" s="261" t="inlineStr">
        <is>
          <t>ML</t>
        </is>
      </c>
      <c r="D169" s="262" t="n"/>
      <c r="E169" s="477" t="n"/>
      <c r="F169" s="478">
        <f>D169*E169</f>
        <v/>
      </c>
    </row>
    <row r="170">
      <c r="A170" s="81" t="inlineStr">
        <is>
          <t>14.6</t>
        </is>
      </c>
      <c r="B170" s="373" t="inlineStr">
        <is>
          <t>Tableros eléctricos</t>
        </is>
      </c>
      <c r="C170" s="261" t="inlineStr">
        <is>
          <t>UND</t>
        </is>
      </c>
      <c r="D170" s="262" t="n"/>
      <c r="E170" s="477" t="n"/>
      <c r="F170" s="478">
        <f>D170*E170</f>
        <v/>
      </c>
    </row>
    <row r="171">
      <c r="A171" s="81" t="inlineStr">
        <is>
          <t>14.7</t>
        </is>
      </c>
      <c r="B171" s="373" t="inlineStr">
        <is>
          <t>Tomacorrientes</t>
        </is>
      </c>
      <c r="C171" s="261" t="inlineStr">
        <is>
          <t>UND</t>
        </is>
      </c>
      <c r="D171" s="262" t="n"/>
      <c r="E171" s="477" t="n"/>
      <c r="F171" s="478">
        <f>D171*E171</f>
        <v/>
      </c>
    </row>
    <row r="172">
      <c r="A172" s="81" t="inlineStr">
        <is>
          <t>14.8</t>
        </is>
      </c>
      <c r="B172" s="373" t="inlineStr">
        <is>
          <t>Interruptores</t>
        </is>
      </c>
      <c r="C172" s="261" t="inlineStr">
        <is>
          <t>UND</t>
        </is>
      </c>
      <c r="D172" s="262" t="n"/>
      <c r="E172" s="477" t="n"/>
      <c r="F172" s="478">
        <f>D172*E172</f>
        <v/>
      </c>
    </row>
    <row r="173">
      <c r="A173" s="81" t="inlineStr">
        <is>
          <t>14.9</t>
        </is>
      </c>
      <c r="B173" s="373" t="inlineStr">
        <is>
          <t>Luminarias</t>
        </is>
      </c>
      <c r="C173" s="261" t="inlineStr">
        <is>
          <t>UND</t>
        </is>
      </c>
      <c r="D173" s="262" t="n"/>
      <c r="E173" s="477" t="n"/>
      <c r="F173" s="478">
        <f>D173*E173</f>
        <v/>
      </c>
    </row>
    <row r="174">
      <c r="A174" s="81" t="inlineStr">
        <is>
          <t>14.10</t>
        </is>
      </c>
      <c r="B174" s="373" t="inlineStr">
        <is>
          <t>Sistema de puesta a tierra</t>
        </is>
      </c>
      <c r="C174" s="261" t="inlineStr">
        <is>
          <t>GL</t>
        </is>
      </c>
      <c r="D174" s="262" t="n"/>
      <c r="E174" s="477" t="n"/>
      <c r="F174" s="478">
        <f>D174*E174</f>
        <v/>
      </c>
    </row>
    <row r="175">
      <c r="A175" s="81" t="inlineStr">
        <is>
          <t>14.11</t>
        </is>
      </c>
      <c r="B175" s="373" t="inlineStr">
        <is>
          <t>Pruebas y certificaciones</t>
        </is>
      </c>
      <c r="C175" s="261" t="inlineStr">
        <is>
          <t>GL</t>
        </is>
      </c>
      <c r="D175" s="262" t="n"/>
      <c r="E175" s="477" t="n"/>
      <c r="F175" s="478">
        <f>D175*E175</f>
        <v/>
      </c>
    </row>
    <row r="176">
      <c r="A176" s="82" t="n"/>
      <c r="B176" s="674" t="inlineStr">
        <is>
          <t>SUBTOTAL CAPÍTULO 14 - INSTALACIONES ELÉCTRICAS</t>
        </is>
      </c>
      <c r="C176" s="530" t="n"/>
      <c r="D176" s="530" t="n"/>
      <c r="E176" s="530" t="n"/>
      <c r="F176" s="479">
        <f>SUM(F165:F175)</f>
        <v/>
      </c>
    </row>
    <row r="177">
      <c r="A177" s="83" t="n"/>
      <c r="B177" s="681" t="n"/>
      <c r="C177" s="681" t="n"/>
      <c r="D177" s="681" t="n"/>
      <c r="E177" s="681" t="n"/>
      <c r="F177" s="675" t="n"/>
    </row>
    <row r="178">
      <c r="A178" s="185" t="inlineStr">
        <is>
          <t>15</t>
        </is>
      </c>
      <c r="B178" s="677" t="inlineStr">
        <is>
          <t>COMUNICACIONES Y SEGURIDAD</t>
        </is>
      </c>
      <c r="C178" s="530" t="n"/>
      <c r="D178" s="530" t="n"/>
      <c r="E178" s="530" t="n"/>
      <c r="F178" s="530" t="n"/>
    </row>
    <row r="179">
      <c r="A179" s="81" t="inlineStr">
        <is>
          <t>15.1</t>
        </is>
      </c>
      <c r="B179" s="373" t="inlineStr">
        <is>
          <t>Cableado estructurado de datos</t>
        </is>
      </c>
      <c r="C179" s="261" t="inlineStr">
        <is>
          <t>ML</t>
        </is>
      </c>
      <c r="D179" s="262" t="n"/>
      <c r="E179" s="477" t="n"/>
      <c r="F179" s="478">
        <f>D179*E179</f>
        <v/>
      </c>
    </row>
    <row r="180">
      <c r="A180" s="81" t="inlineStr">
        <is>
          <t>15.2</t>
        </is>
      </c>
      <c r="B180" s="373" t="inlineStr">
        <is>
          <t>Rack de comunicaciones</t>
        </is>
      </c>
      <c r="C180" s="261" t="inlineStr">
        <is>
          <t>UND</t>
        </is>
      </c>
      <c r="D180" s="262" t="n"/>
      <c r="E180" s="477" t="n"/>
      <c r="F180" s="478">
        <f>D180*E180</f>
        <v/>
      </c>
    </row>
    <row r="181">
      <c r="A181" s="81" t="inlineStr">
        <is>
          <t>15.3</t>
        </is>
      </c>
      <c r="B181" s="373" t="inlineStr">
        <is>
          <t>Cámaras y sistema CCTV</t>
        </is>
      </c>
      <c r="C181" s="261" t="inlineStr">
        <is>
          <t>UND</t>
        </is>
      </c>
      <c r="D181" s="262" t="n"/>
      <c r="E181" s="477" t="n"/>
      <c r="F181" s="478">
        <f>D181*E181</f>
        <v/>
      </c>
    </row>
    <row r="182">
      <c r="A182" s="81" t="inlineStr">
        <is>
          <t>15.4</t>
        </is>
      </c>
      <c r="B182" s="373" t="inlineStr">
        <is>
          <t>Control de acceso</t>
        </is>
      </c>
      <c r="C182" s="261" t="inlineStr">
        <is>
          <t>UND</t>
        </is>
      </c>
      <c r="D182" s="262" t="n"/>
      <c r="E182" s="477" t="n"/>
      <c r="F182" s="478">
        <f>D182*E182</f>
        <v/>
      </c>
    </row>
    <row r="183">
      <c r="A183" s="81" t="inlineStr">
        <is>
          <t>15.5</t>
        </is>
      </c>
      <c r="B183" s="373" t="inlineStr">
        <is>
          <t>Sistema de citofonía</t>
        </is>
      </c>
      <c r="C183" s="261" t="inlineStr">
        <is>
          <t>UND</t>
        </is>
      </c>
      <c r="D183" s="262" t="n"/>
      <c r="E183" s="477" t="n"/>
      <c r="F183" s="478">
        <f>D183*E183</f>
        <v/>
      </c>
    </row>
    <row r="184">
      <c r="A184" s="81" t="inlineStr">
        <is>
          <t>15.6</t>
        </is>
      </c>
      <c r="B184" s="373" t="inlineStr">
        <is>
          <t>Sistema de detección de incendios</t>
        </is>
      </c>
      <c r="C184" s="261" t="inlineStr">
        <is>
          <t>GL</t>
        </is>
      </c>
      <c r="D184" s="262" t="n"/>
      <c r="E184" s="477" t="n"/>
      <c r="F184" s="478">
        <f>D184*E184</f>
        <v/>
      </c>
    </row>
    <row r="185">
      <c r="A185" s="82" t="n"/>
      <c r="B185" s="674" t="inlineStr">
        <is>
          <t>SUBTOTAL CAPÍTULO 15 - COMUNICACIONES Y SEGURIDAD</t>
        </is>
      </c>
      <c r="C185" s="530" t="n"/>
      <c r="D185" s="530" t="n"/>
      <c r="E185" s="530" t="n"/>
      <c r="F185" s="479">
        <f>SUM(F179:F184)</f>
        <v/>
      </c>
    </row>
    <row r="186">
      <c r="A186" s="83" t="n"/>
      <c r="B186" s="681" t="n"/>
      <c r="C186" s="681" t="n"/>
      <c r="D186" s="681" t="n"/>
      <c r="E186" s="681" t="n"/>
      <c r="F186" s="675" t="n"/>
    </row>
    <row r="187">
      <c r="A187" s="185" t="inlineStr">
        <is>
          <t>16</t>
        </is>
      </c>
      <c r="B187" s="677" t="inlineStr">
        <is>
          <t>CLIMATIZACIÓN Y VENTILACIÓN</t>
        </is>
      </c>
      <c r="C187" s="530" t="n"/>
      <c r="D187" s="530" t="n"/>
      <c r="E187" s="530" t="n"/>
      <c r="F187" s="530" t="n"/>
    </row>
    <row r="188">
      <c r="A188" s="81" t="inlineStr">
        <is>
          <t>16.1</t>
        </is>
      </c>
      <c r="B188" s="373" t="inlineStr">
        <is>
          <t>Equipos de aire acondicionado</t>
        </is>
      </c>
      <c r="C188" s="261" t="inlineStr">
        <is>
          <t>UND</t>
        </is>
      </c>
      <c r="D188" s="262" t="n"/>
      <c r="E188" s="477" t="n"/>
      <c r="F188" s="478">
        <f>D188*E188</f>
        <v/>
      </c>
    </row>
    <row r="189">
      <c r="A189" s="81" t="inlineStr">
        <is>
          <t>16.2</t>
        </is>
      </c>
      <c r="B189" s="373" t="inlineStr">
        <is>
          <t>Ductos de ventilación</t>
        </is>
      </c>
      <c r="C189" s="261" t="inlineStr">
        <is>
          <t>M²</t>
        </is>
      </c>
      <c r="D189" s="262" t="n"/>
      <c r="E189" s="477" t="n"/>
      <c r="F189" s="478">
        <f>D189*E189</f>
        <v/>
      </c>
    </row>
    <row r="190">
      <c r="A190" s="81" t="inlineStr">
        <is>
          <t>16.3</t>
        </is>
      </c>
      <c r="B190" s="373" t="inlineStr">
        <is>
          <t>Tubería de refrigerante</t>
        </is>
      </c>
      <c r="C190" s="261" t="inlineStr">
        <is>
          <t>ML</t>
        </is>
      </c>
      <c r="D190" s="262" t="n"/>
      <c r="E190" s="477" t="n"/>
      <c r="F190" s="478">
        <f>D190*E190</f>
        <v/>
      </c>
    </row>
    <row r="191">
      <c r="A191" s="81" t="inlineStr">
        <is>
          <t>16.4</t>
        </is>
      </c>
      <c r="B191" s="373" t="inlineStr">
        <is>
          <t>Rejillas y difusores</t>
        </is>
      </c>
      <c r="C191" s="261" t="inlineStr">
        <is>
          <t>UND</t>
        </is>
      </c>
      <c r="D191" s="262" t="n"/>
      <c r="E191" s="477" t="n"/>
      <c r="F191" s="478">
        <f>D191*E191</f>
        <v/>
      </c>
    </row>
    <row r="192">
      <c r="A192" s="82" t="n"/>
      <c r="B192" s="674" t="inlineStr">
        <is>
          <t>SUBTOTAL CAPÍTULO 16 - CLIMATIZACIÓN Y VENTILACIÓN</t>
        </is>
      </c>
      <c r="C192" s="530" t="n"/>
      <c r="D192" s="530" t="n"/>
      <c r="E192" s="530" t="n"/>
      <c r="F192" s="479">
        <f>SUM(F188:F191)</f>
        <v/>
      </c>
    </row>
    <row r="193">
      <c r="A193" s="83" t="n"/>
      <c r="B193" s="681" t="n"/>
      <c r="C193" s="681" t="n"/>
      <c r="D193" s="681" t="n"/>
      <c r="E193" s="681" t="n"/>
      <c r="F193" s="675" t="n"/>
    </row>
    <row r="194">
      <c r="A194" s="185" t="inlineStr">
        <is>
          <t>17</t>
        </is>
      </c>
      <c r="B194" s="677" t="inlineStr">
        <is>
          <t>GAS</t>
        </is>
      </c>
      <c r="C194" s="530" t="n"/>
      <c r="D194" s="530" t="n"/>
      <c r="E194" s="530" t="n"/>
      <c r="F194" s="530" t="n"/>
    </row>
    <row r="195">
      <c r="A195" s="81" t="inlineStr">
        <is>
          <t>17.1</t>
        </is>
      </c>
      <c r="B195" s="373" t="inlineStr">
        <is>
          <t>Red interna de gas</t>
        </is>
      </c>
      <c r="C195" s="261" t="inlineStr">
        <is>
          <t>ML</t>
        </is>
      </c>
      <c r="D195" s="262" t="n"/>
      <c r="E195" s="477" t="n"/>
      <c r="F195" s="478">
        <f>D195*E195</f>
        <v/>
      </c>
    </row>
    <row r="196">
      <c r="A196" s="81" t="inlineStr">
        <is>
          <t>17.2</t>
        </is>
      </c>
      <c r="B196" s="373" t="inlineStr">
        <is>
          <t>Válvulas y accesorios</t>
        </is>
      </c>
      <c r="C196" s="261" t="inlineStr">
        <is>
          <t>UND</t>
        </is>
      </c>
      <c r="D196" s="262" t="n"/>
      <c r="E196" s="477" t="n"/>
      <c r="F196" s="478">
        <f>D196*E196</f>
        <v/>
      </c>
    </row>
    <row r="197">
      <c r="A197" s="81" t="inlineStr">
        <is>
          <t>17.3</t>
        </is>
      </c>
      <c r="B197" s="373" t="inlineStr">
        <is>
          <t>Pruebas y certificación</t>
        </is>
      </c>
      <c r="C197" s="261" t="inlineStr">
        <is>
          <t>GL</t>
        </is>
      </c>
      <c r="D197" s="262" t="n"/>
      <c r="E197" s="477" t="n"/>
      <c r="F197" s="478">
        <f>D197*E197</f>
        <v/>
      </c>
    </row>
    <row r="198">
      <c r="A198" s="82" t="n"/>
      <c r="B198" s="674" t="inlineStr">
        <is>
          <t>SUBTOTAL CAPÍTULO 17 - GAS</t>
        </is>
      </c>
      <c r="C198" s="530" t="n"/>
      <c r="D198" s="530" t="n"/>
      <c r="E198" s="530" t="n"/>
      <c r="F198" s="479">
        <f>SUM(F195:F197)</f>
        <v/>
      </c>
    </row>
    <row r="199">
      <c r="A199" s="83" t="n"/>
      <c r="B199" s="681" t="n"/>
      <c r="C199" s="681" t="n"/>
      <c r="D199" s="681" t="n"/>
      <c r="E199" s="681" t="n"/>
      <c r="F199" s="675" t="n"/>
    </row>
    <row r="200">
      <c r="A200" s="185" t="inlineStr">
        <is>
          <t>18</t>
        </is>
      </c>
      <c r="B200" s="677" t="inlineStr">
        <is>
          <t>URBANISMO Y EXTERIORES</t>
        </is>
      </c>
      <c r="C200" s="530" t="n"/>
      <c r="D200" s="530" t="n"/>
      <c r="E200" s="530" t="n"/>
      <c r="F200" s="530" t="n"/>
    </row>
    <row r="201">
      <c r="A201" s="81" t="inlineStr">
        <is>
          <t>18.1</t>
        </is>
      </c>
      <c r="B201" s="373" t="inlineStr">
        <is>
          <t>Construcción de andenes</t>
        </is>
      </c>
      <c r="C201" s="261" t="inlineStr">
        <is>
          <t>M²</t>
        </is>
      </c>
      <c r="D201" s="262" t="n"/>
      <c r="E201" s="477" t="n"/>
      <c r="F201" s="478">
        <f>D201*E201</f>
        <v/>
      </c>
    </row>
    <row r="202">
      <c r="A202" s="81" t="inlineStr">
        <is>
          <t>18.2</t>
        </is>
      </c>
      <c r="B202" s="373" t="inlineStr">
        <is>
          <t>Placas de concreto exteriores</t>
        </is>
      </c>
      <c r="C202" s="261" t="inlineStr">
        <is>
          <t>M³</t>
        </is>
      </c>
      <c r="D202" s="262" t="n"/>
      <c r="E202" s="477" t="n"/>
      <c r="F202" s="478">
        <f>D202*E202</f>
        <v/>
      </c>
    </row>
    <row r="203">
      <c r="A203" s="81" t="inlineStr">
        <is>
          <t>18.3</t>
        </is>
      </c>
      <c r="B203" s="373" t="inlineStr">
        <is>
          <t>Pavimento en adoquín</t>
        </is>
      </c>
      <c r="C203" s="261" t="inlineStr">
        <is>
          <t>M²</t>
        </is>
      </c>
      <c r="D203" s="262" t="n"/>
      <c r="E203" s="477" t="n"/>
      <c r="F203" s="478">
        <f>D203*E203</f>
        <v/>
      </c>
    </row>
    <row r="204">
      <c r="A204" s="81" t="inlineStr">
        <is>
          <t>18.4</t>
        </is>
      </c>
      <c r="B204" s="373" t="inlineStr">
        <is>
          <t>Sardineles y bordillos</t>
        </is>
      </c>
      <c r="C204" s="261" t="inlineStr">
        <is>
          <t>ML</t>
        </is>
      </c>
      <c r="D204" s="262" t="n"/>
      <c r="E204" s="477" t="n"/>
      <c r="F204" s="478">
        <f>D204*E204</f>
        <v/>
      </c>
    </row>
    <row r="205">
      <c r="A205" s="81" t="inlineStr">
        <is>
          <t>18.5</t>
        </is>
      </c>
      <c r="B205" s="373" t="inlineStr">
        <is>
          <t>Sumideros exteriores</t>
        </is>
      </c>
      <c r="C205" s="261" t="inlineStr">
        <is>
          <t>UND</t>
        </is>
      </c>
      <c r="D205" s="262" t="n"/>
      <c r="E205" s="477" t="n"/>
      <c r="F205" s="478">
        <f>D205*E205</f>
        <v/>
      </c>
    </row>
    <row r="206">
      <c r="A206" s="81" t="inlineStr">
        <is>
          <t>18.6</t>
        </is>
      </c>
      <c r="B206" s="373" t="inlineStr">
        <is>
          <t>Suministro y extendido de tierra vegetal</t>
        </is>
      </c>
      <c r="C206" s="261" t="inlineStr">
        <is>
          <t>M³</t>
        </is>
      </c>
      <c r="D206" s="262" t="n"/>
      <c r="E206" s="477" t="n"/>
      <c r="F206" s="478">
        <f>D206*E206</f>
        <v/>
      </c>
    </row>
    <row r="207">
      <c r="A207" s="81" t="inlineStr">
        <is>
          <t>18.7</t>
        </is>
      </c>
      <c r="B207" s="373" t="inlineStr">
        <is>
          <t>Siembra y jardinería</t>
        </is>
      </c>
      <c r="C207" s="261" t="inlineStr">
        <is>
          <t>M²</t>
        </is>
      </c>
      <c r="D207" s="262" t="n"/>
      <c r="E207" s="477" t="n"/>
      <c r="F207" s="478">
        <f>D207*E207</f>
        <v/>
      </c>
    </row>
    <row r="208">
      <c r="A208" s="81" t="inlineStr">
        <is>
          <t>18.8</t>
        </is>
      </c>
      <c r="B208" s="373" t="inlineStr">
        <is>
          <t>Geotextil para drenaje y filtración</t>
        </is>
      </c>
      <c r="C208" s="261" t="inlineStr">
        <is>
          <t>M²</t>
        </is>
      </c>
      <c r="D208" s="262" t="n"/>
      <c r="E208" s="477" t="n"/>
      <c r="F208" s="478">
        <f>D208*E208</f>
        <v/>
      </c>
    </row>
    <row r="209">
      <c r="A209" s="81" t="inlineStr">
        <is>
          <t>18.9</t>
        </is>
      </c>
      <c r="B209" s="373" t="inlineStr">
        <is>
          <t>Gaviones para obras de contención</t>
        </is>
      </c>
      <c r="C209" s="261" t="inlineStr">
        <is>
          <t>M³</t>
        </is>
      </c>
      <c r="D209" s="262" t="n"/>
      <c r="E209" s="477" t="n"/>
      <c r="F209" s="478">
        <f>D209*E209</f>
        <v/>
      </c>
    </row>
    <row r="210">
      <c r="A210" s="81" t="inlineStr">
        <is>
          <t>18.10</t>
        </is>
      </c>
      <c r="B210" s="373" t="inlineStr">
        <is>
          <t>Filtro francés (drenaje de terrenos)</t>
        </is>
      </c>
      <c r="C210" s="261" t="inlineStr">
        <is>
          <t>ML</t>
        </is>
      </c>
      <c r="D210" s="262" t="n"/>
      <c r="E210" s="477" t="n"/>
      <c r="F210" s="478">
        <f>D210*E210</f>
        <v/>
      </c>
    </row>
    <row r="211">
      <c r="A211" s="81" t="inlineStr">
        <is>
          <t>18.11</t>
        </is>
      </c>
      <c r="B211" s="373" t="inlineStr">
        <is>
          <t>Revegetalización / empradización</t>
        </is>
      </c>
      <c r="C211" s="261" t="inlineStr">
        <is>
          <t>M²</t>
        </is>
      </c>
      <c r="D211" s="262" t="n"/>
      <c r="E211" s="477" t="n"/>
      <c r="F211" s="478">
        <f>D211*E211</f>
        <v/>
      </c>
    </row>
    <row r="212">
      <c r="A212" s="82" t="n"/>
      <c r="B212" s="674" t="inlineStr">
        <is>
          <t>SUBTOTAL CAPÍTULO 18 - URBANISMO Y EXTERIORES</t>
        </is>
      </c>
      <c r="C212" s="530" t="n"/>
      <c r="D212" s="530" t="n"/>
      <c r="E212" s="530" t="n"/>
      <c r="F212" s="479">
        <f>SUM(F201:F211)</f>
        <v/>
      </c>
    </row>
    <row r="213">
      <c r="A213" s="83" t="n"/>
      <c r="B213" s="681" t="n"/>
      <c r="C213" s="681" t="n"/>
      <c r="D213" s="681" t="n"/>
      <c r="E213" s="681" t="n"/>
      <c r="F213" s="675" t="n"/>
    </row>
    <row r="214">
      <c r="A214" s="185" t="inlineStr">
        <is>
          <t>19</t>
        </is>
      </c>
      <c r="B214" s="677" t="inlineStr">
        <is>
          <t>OBRAS COMPLEMENTARIAS</t>
        </is>
      </c>
      <c r="C214" s="530" t="n"/>
      <c r="D214" s="530" t="n"/>
      <c r="E214" s="530" t="n"/>
      <c r="F214" s="530" t="n"/>
    </row>
    <row r="215">
      <c r="A215" s="81" t="inlineStr">
        <is>
          <t>19.1</t>
        </is>
      </c>
      <c r="B215" s="373" t="inlineStr">
        <is>
          <t>Rejas metálicas</t>
        </is>
      </c>
      <c r="C215" s="261" t="inlineStr">
        <is>
          <t>M²</t>
        </is>
      </c>
      <c r="D215" s="262" t="n"/>
      <c r="E215" s="477" t="n"/>
      <c r="F215" s="478">
        <f>D215*E215</f>
        <v/>
      </c>
    </row>
    <row r="216">
      <c r="A216" s="81" t="inlineStr">
        <is>
          <t>19.2</t>
        </is>
      </c>
      <c r="B216" s="373" t="inlineStr">
        <is>
          <t>Escaleras metálicas</t>
        </is>
      </c>
      <c r="C216" s="261" t="inlineStr">
        <is>
          <t>KG</t>
        </is>
      </c>
      <c r="D216" s="262" t="n"/>
      <c r="E216" s="477" t="n"/>
      <c r="F216" s="478">
        <f>D216*E216</f>
        <v/>
      </c>
    </row>
    <row r="217">
      <c r="A217" s="81" t="inlineStr">
        <is>
          <t>19.3</t>
        </is>
      </c>
      <c r="B217" s="373" t="inlineStr">
        <is>
          <t>Elementos metálicos especiales</t>
        </is>
      </c>
      <c r="C217" s="261" t="inlineStr">
        <is>
          <t>KG</t>
        </is>
      </c>
      <c r="D217" s="262" t="n"/>
      <c r="E217" s="477" t="n"/>
      <c r="F217" s="478">
        <f>D217*E217</f>
        <v/>
      </c>
    </row>
    <row r="218">
      <c r="A218" s="81" t="inlineStr">
        <is>
          <t>19.4</t>
        </is>
      </c>
      <c r="B218" s="373" t="inlineStr">
        <is>
          <t>Mobiliario fijo de obra</t>
        </is>
      </c>
      <c r="C218" s="261" t="inlineStr">
        <is>
          <t>UND</t>
        </is>
      </c>
      <c r="D218" s="262" t="n"/>
      <c r="E218" s="477" t="n"/>
      <c r="F218" s="478">
        <f>D218*E218</f>
        <v/>
      </c>
    </row>
    <row r="219">
      <c r="A219" s="82" t="n"/>
      <c r="B219" s="674" t="inlineStr">
        <is>
          <t>SUBTOTAL CAPÍTULO 19 - OBRAS COMPLEMENTARIAS</t>
        </is>
      </c>
      <c r="C219" s="530" t="n"/>
      <c r="D219" s="530" t="n"/>
      <c r="E219" s="530" t="n"/>
      <c r="F219" s="479">
        <f>SUM(F215:F218)</f>
        <v/>
      </c>
    </row>
    <row r="220">
      <c r="A220" s="83" t="n"/>
      <c r="B220" s="681" t="n"/>
      <c r="C220" s="681" t="n"/>
      <c r="D220" s="681" t="n"/>
      <c r="E220" s="681" t="n"/>
      <c r="F220" s="675" t="n"/>
    </row>
    <row r="221">
      <c r="A221" s="185" t="inlineStr">
        <is>
          <t>20</t>
        </is>
      </c>
      <c r="B221" s="677" t="inlineStr">
        <is>
          <t>ASEO, ENTREGA Y CIERRE</t>
        </is>
      </c>
      <c r="C221" s="530" t="n"/>
      <c r="D221" s="530" t="n"/>
      <c r="E221" s="530" t="n"/>
      <c r="F221" s="530" t="n"/>
    </row>
    <row r="222">
      <c r="A222" s="81" t="inlineStr">
        <is>
          <t>20.1</t>
        </is>
      </c>
      <c r="B222" s="373" t="inlineStr">
        <is>
          <t>Limpieza gruesa y fina de obra</t>
        </is>
      </c>
      <c r="C222" s="261" t="inlineStr">
        <is>
          <t>M²</t>
        </is>
      </c>
      <c r="D222" s="262" t="n"/>
      <c r="E222" s="477" t="n"/>
      <c r="F222" s="478">
        <f>D222*E222</f>
        <v/>
      </c>
    </row>
    <row r="223">
      <c r="A223" s="81" t="inlineStr">
        <is>
          <t>20.2</t>
        </is>
      </c>
      <c r="B223" s="373" t="inlineStr">
        <is>
          <t>Limpieza final para entrega</t>
        </is>
      </c>
      <c r="C223" s="261" t="inlineStr">
        <is>
          <t>M²</t>
        </is>
      </c>
      <c r="D223" s="262" t="n"/>
      <c r="E223" s="477" t="n"/>
      <c r="F223" s="478">
        <f>D223*E223</f>
        <v/>
      </c>
    </row>
    <row r="224">
      <c r="A224" s="81" t="inlineStr">
        <is>
          <t>20.3</t>
        </is>
      </c>
      <c r="B224" s="373" t="inlineStr">
        <is>
          <t>Pruebas, puesta en marcha y ajustes</t>
        </is>
      </c>
      <c r="C224" s="261" t="inlineStr">
        <is>
          <t>GL</t>
        </is>
      </c>
      <c r="D224" s="262" t="n"/>
      <c r="E224" s="477" t="n"/>
      <c r="F224" s="478">
        <f>D224*E224</f>
        <v/>
      </c>
    </row>
    <row r="225">
      <c r="A225" s="81" t="inlineStr">
        <is>
          <t>20.4</t>
        </is>
      </c>
      <c r="B225" s="373" t="inlineStr">
        <is>
          <t>Actualización de planos récord / as-built</t>
        </is>
      </c>
      <c r="C225" s="261" t="inlineStr">
        <is>
          <t>GL</t>
        </is>
      </c>
      <c r="D225" s="262" t="n"/>
      <c r="E225" s="477" t="n"/>
      <c r="F225" s="478">
        <f>D225*E225</f>
        <v/>
      </c>
    </row>
    <row r="226">
      <c r="A226" s="81" t="inlineStr">
        <is>
          <t>20.5</t>
        </is>
      </c>
      <c r="B226" s="373" t="inlineStr">
        <is>
          <t>Entrega, manuales y acta de recibo</t>
        </is>
      </c>
      <c r="C226" s="261" t="inlineStr">
        <is>
          <t>GL</t>
        </is>
      </c>
      <c r="D226" s="262" t="n"/>
      <c r="E226" s="477" t="n"/>
      <c r="F226" s="478">
        <f>D226*E226</f>
        <v/>
      </c>
    </row>
    <row r="227">
      <c r="A227" s="82" t="n"/>
      <c r="B227" s="674" t="inlineStr">
        <is>
          <t>SUBTOTAL CAPÍTULO 20 - ASEO, ENTREGA Y CIERRE</t>
        </is>
      </c>
      <c r="C227" s="530" t="n"/>
      <c r="D227" s="530" t="n"/>
      <c r="E227" s="530" t="n"/>
      <c r="F227" s="479">
        <f>SUM(F222:F226)</f>
        <v/>
      </c>
    </row>
    <row r="228">
      <c r="A228" s="83" t="n"/>
      <c r="B228" s="681" t="n"/>
      <c r="C228" s="681" t="n"/>
      <c r="D228" s="681" t="n"/>
      <c r="E228" s="681" t="n"/>
      <c r="F228" s="675" t="n"/>
    </row>
    <row r="229">
      <c r="A229" s="185" t="inlineStr">
        <is>
          <t>21</t>
        </is>
      </c>
      <c r="B229" s="677" t="inlineStr">
        <is>
          <t>ASCENSORES</t>
        </is>
      </c>
      <c r="C229" s="530" t="n"/>
      <c r="D229" s="530" t="n"/>
      <c r="E229" s="530" t="n"/>
      <c r="F229" s="530" t="n"/>
    </row>
    <row r="230">
      <c r="A230" s="81" t="inlineStr">
        <is>
          <t>21.1</t>
        </is>
      </c>
      <c r="B230" s="373" t="inlineStr">
        <is>
          <t>Suministro e instalación de ascensor eléctrico</t>
        </is>
      </c>
      <c r="C230" s="261" t="inlineStr">
        <is>
          <t>UND</t>
        </is>
      </c>
      <c r="D230" s="262" t="n"/>
      <c r="E230" s="477" t="n"/>
      <c r="F230" s="478">
        <f>D230*E230</f>
        <v/>
      </c>
    </row>
    <row r="231">
      <c r="A231" s="82" t="n"/>
      <c r="B231" s="674" t="inlineStr">
        <is>
          <t>SUBTOTAL CAPÍTULO 21 - ASCENSORES</t>
        </is>
      </c>
      <c r="C231" s="530" t="n"/>
      <c r="D231" s="530" t="n"/>
      <c r="E231" s="530" t="n"/>
      <c r="F231" s="479">
        <f>SUM(F230:F230)</f>
        <v/>
      </c>
    </row>
    <row r="232">
      <c r="A232" s="83" t="n"/>
      <c r="B232" s="681" t="n"/>
      <c r="C232" s="681" t="n"/>
      <c r="D232" s="681" t="n"/>
      <c r="E232" s="681" t="n"/>
      <c r="F232" s="675" t="n"/>
    </row>
    <row r="233">
      <c r="A233" s="185" t="inlineStr">
        <is>
          <t>22</t>
        </is>
      </c>
      <c r="B233" s="677" t="inlineStr">
        <is>
          <t>GESTIÓN, DISEÑO Y ADMINISTRACIÓN</t>
        </is>
      </c>
      <c r="C233" s="530" t="n"/>
      <c r="D233" s="530" t="n"/>
      <c r="E233" s="530" t="n"/>
      <c r="F233" s="530" t="n"/>
    </row>
    <row r="234">
      <c r="A234" s="81" t="inlineStr">
        <is>
          <t>22.1</t>
        </is>
      </c>
      <c r="B234" s="373" t="inlineStr">
        <is>
          <t>Estudio de suelos y geotecnia</t>
        </is>
      </c>
      <c r="C234" s="261" t="inlineStr">
        <is>
          <t>GL</t>
        </is>
      </c>
      <c r="D234" s="262" t="n"/>
      <c r="E234" s="477" t="n"/>
      <c r="F234" s="478">
        <f>D234*E234</f>
        <v/>
      </c>
    </row>
    <row r="235">
      <c r="A235" s="81" t="inlineStr">
        <is>
          <t>22.2</t>
        </is>
      </c>
      <c r="B235" s="373" t="inlineStr">
        <is>
          <t>Diseños arquitectónicos, estructurales, hidrosanitarios y eléctricos</t>
        </is>
      </c>
      <c r="C235" s="261" t="inlineStr">
        <is>
          <t>GL</t>
        </is>
      </c>
      <c r="D235" s="262" t="n"/>
      <c r="E235" s="477" t="n"/>
      <c r="F235" s="478">
        <f>D235*E235</f>
        <v/>
      </c>
    </row>
    <row r="236">
      <c r="A236" s="81" t="inlineStr">
        <is>
          <t>22.3</t>
        </is>
      </c>
      <c r="B236" s="373" t="inlineStr">
        <is>
          <t>Licencia de construcción y trámites de curaduría urbana</t>
        </is>
      </c>
      <c r="C236" s="261" t="inlineStr">
        <is>
          <t>GL</t>
        </is>
      </c>
      <c r="D236" s="262" t="n"/>
      <c r="E236" s="477" t="n"/>
      <c r="F236" s="478">
        <f>D236*E236</f>
        <v/>
      </c>
    </row>
    <row r="237">
      <c r="A237" s="81" t="inlineStr">
        <is>
          <t>22.4</t>
        </is>
      </c>
      <c r="B237" s="373" t="inlineStr">
        <is>
          <t>Póliza de estabilidad de obra y seguros de construcción (todo riesgo)</t>
        </is>
      </c>
      <c r="C237" s="261" t="inlineStr">
        <is>
          <t>GL</t>
        </is>
      </c>
      <c r="D237" s="262" t="n"/>
      <c r="E237" s="477" t="n"/>
      <c r="F237" s="478">
        <f>D237*E237</f>
        <v/>
      </c>
    </row>
    <row r="238">
      <c r="A238" s="82" t="n"/>
      <c r="B238" s="674" t="inlineStr">
        <is>
          <t>SUBTOTAL CAPÍTULO 22 - GESTIÓN, DISEÑO Y ADMINISTRACIÓN</t>
        </is>
      </c>
      <c r="C238" s="530" t="n"/>
      <c r="D238" s="530" t="n"/>
      <c r="E238" s="530" t="n"/>
      <c r="F238" s="479">
        <f>SUM(F234:F237)</f>
        <v/>
      </c>
    </row>
    <row r="239">
      <c r="A239" s="83" t="n"/>
      <c r="B239" s="681" t="n"/>
      <c r="C239" s="681" t="n"/>
      <c r="D239" s="681" t="n"/>
      <c r="E239" s="681" t="n"/>
      <c r="F239" s="675" t="n"/>
    </row>
    <row r="240" ht="15" customHeight="1" s="1223">
      <c r="A240" s="84" t="n"/>
      <c r="B240" s="676" t="inlineStr">
        <is>
          <t>COSTO DIRECTO TOTAL (suma de capítulos 1 a 22)</t>
        </is>
      </c>
      <c r="C240" s="530" t="n"/>
      <c r="D240" s="530" t="n"/>
      <c r="E240" s="530" t="n"/>
      <c r="F240" s="480">
        <f>F25+F39+F49+F69+F81+F93+F100+F107+F121+F129+F140+F147+F162+F176+F185+F192+F198+F212+F219+F227+F231+F238</f>
        <v/>
      </c>
    </row>
    <row r="241">
      <c r="A241" s="85" t="n"/>
      <c r="B241" s="28" t="n"/>
      <c r="C241" s="28" t="n"/>
      <c r="D241" s="28" t="n"/>
      <c r="E241" s="28" t="n"/>
      <c r="F241" s="86" t="n"/>
    </row>
    <row r="242" ht="15" customHeight="1" s="1223">
      <c r="A242" s="83" t="n"/>
      <c r="B242" s="46" t="inlineStr">
        <is>
          <t>Administración (A)</t>
        </is>
      </c>
      <c r="C242" s="681" t="n"/>
      <c r="D242" s="681" t="n"/>
      <c r="E242" s="481">
        <f>'Ficha Técnica del Proyecto'!$B$29</f>
        <v/>
      </c>
      <c r="F242" s="482">
        <f>F240*E242</f>
        <v/>
      </c>
    </row>
    <row r="243" ht="15" customHeight="1" s="1223">
      <c r="A243" s="83" t="n"/>
      <c r="B243" s="46" t="inlineStr">
        <is>
          <t>Imprevistos (I)</t>
        </is>
      </c>
      <c r="C243" s="681" t="n"/>
      <c r="D243" s="681" t="n"/>
      <c r="E243" s="481">
        <f>'Ficha Técnica del Proyecto'!$B$30</f>
        <v/>
      </c>
      <c r="F243" s="482">
        <f>F240*E243</f>
        <v/>
      </c>
    </row>
    <row r="244" ht="15" customHeight="1" s="1223">
      <c r="A244" s="83" t="n"/>
      <c r="B244" s="46" t="inlineStr">
        <is>
          <t>Utilidad (U)</t>
        </is>
      </c>
      <c r="C244" s="681" t="n"/>
      <c r="D244" s="681" t="n"/>
      <c r="E244" s="481">
        <f>'Ficha Técnica del Proyecto'!$B$31</f>
        <v/>
      </c>
      <c r="F244" s="482">
        <f>F240*E244</f>
        <v/>
      </c>
    </row>
    <row r="245" ht="15" customHeight="1" s="1223">
      <c r="A245" s="82" t="n"/>
      <c r="B245" s="674" t="inlineStr">
        <is>
          <t>SUBTOTAL AIU (A+I+U)</t>
        </is>
      </c>
      <c r="C245" s="29" t="n"/>
      <c r="D245" s="29" t="n"/>
      <c r="E245" s="30" t="n"/>
      <c r="F245" s="479">
        <f>F242+F243+F244</f>
        <v/>
      </c>
    </row>
    <row r="246" ht="15" customHeight="1" s="1223">
      <c r="A246" s="83" t="n"/>
      <c r="B246" s="46" t="inlineStr">
        <is>
          <t>COSTO DIRECTO + AIU</t>
        </is>
      </c>
      <c r="C246" s="681" t="n"/>
      <c r="D246" s="681" t="n"/>
      <c r="E246" s="47" t="n"/>
      <c r="F246" s="482">
        <f>F240+F245</f>
        <v/>
      </c>
    </row>
    <row r="247" ht="15" customHeight="1" s="1223">
      <c r="A247" s="83" t="n"/>
      <c r="B247" s="46" t="inlineStr">
        <is>
          <t>IVA sobre Utilidad (19%)</t>
        </is>
      </c>
      <c r="C247" s="681" t="n"/>
      <c r="D247" s="681" t="n"/>
      <c r="E247" s="481">
        <f>'Ficha Técnica del Proyecto'!$B$32</f>
        <v/>
      </c>
      <c r="F247" s="482">
        <f>F244*E247</f>
        <v/>
      </c>
    </row>
    <row r="248">
      <c r="A248" s="83" t="n"/>
      <c r="B248" s="681" t="n"/>
      <c r="C248" s="681" t="n"/>
      <c r="D248" s="681" t="n"/>
      <c r="E248" s="681" t="n"/>
      <c r="F248" s="675" t="n"/>
    </row>
    <row r="249" ht="24" customHeight="1" s="1223">
      <c r="A249" s="87" t="n"/>
      <c r="B249" s="677" t="inlineStr">
        <is>
          <t>PRESUPUESTO TOTAL DE OBRA</t>
        </is>
      </c>
      <c r="C249" s="530" t="n"/>
      <c r="D249" s="530" t="n"/>
      <c r="E249" s="530" t="n"/>
      <c r="F249" s="483">
        <f>F246+F247</f>
        <v/>
      </c>
    </row>
    <row r="250">
      <c r="A250" s="88" t="n"/>
      <c r="B250" s="206" t="inlineStr">
        <is>
          <t>REV. 10/09/2026</t>
        </is>
      </c>
      <c r="C250" s="281" t="n"/>
      <c r="D250" s="281" t="n"/>
      <c r="E250" s="281" t="n"/>
      <c r="F250" s="350">
        <f>F6</f>
        <v/>
      </c>
    </row>
    <row r="251">
      <c r="A251" s="88" t="n"/>
      <c r="B251" s="206" t="n"/>
      <c r="C251" s="281" t="n"/>
      <c r="D251" s="281" t="n"/>
      <c r="E251" s="281" t="n"/>
      <c r="F251" s="204" t="n"/>
    </row>
    <row r="252" ht="15" customHeight="1" s="1223">
      <c r="A252" s="88" t="n"/>
      <c r="B252" s="90" t="inlineStr">
        <is>
          <t>Costo por m² construido (sobre Costo Directo Total)</t>
        </is>
      </c>
      <c r="C252" s="91" t="n"/>
      <c r="D252" s="91" t="n"/>
      <c r="E252" s="91" t="n"/>
      <c r="F252" s="484">
        <f>F240/'Ficha Técnica del Proyecto'!$B$21</f>
        <v/>
      </c>
    </row>
    <row r="253" ht="15" customHeight="1" s="1223">
      <c r="A253" s="89" t="n"/>
      <c r="B253" s="92" t="inlineStr">
        <is>
          <t>Costo por m² construido (sobre Presupuesto Total)</t>
        </is>
      </c>
      <c r="C253" s="93" t="n"/>
      <c r="D253" s="93" t="n"/>
      <c r="E253" s="93" t="n"/>
      <c r="F253" s="485">
        <f>F249/'Ficha Técnica del Proyecto'!$B$21</f>
        <v/>
      </c>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row r="259">
      <c r="A259" s="27" t="n"/>
      <c r="B259" s="281" t="n"/>
      <c r="C259" s="281" t="n"/>
      <c r="D259" s="281" t="n"/>
      <c r="E259" s="281" t="n"/>
      <c r="F259" s="281" t="n"/>
    </row>
  </sheetData>
  <mergeCells count="61">
    <mergeCell ref="B233:F233"/>
    <mergeCell ref="B109:F109"/>
    <mergeCell ref="C6:D6"/>
    <mergeCell ref="B49:E49"/>
    <mergeCell ref="B200:F200"/>
    <mergeCell ref="B194:F194"/>
    <mergeCell ref="B192:E192"/>
    <mergeCell ref="C5:D5"/>
    <mergeCell ref="E5:F5"/>
    <mergeCell ref="B71:F71"/>
    <mergeCell ref="B131:F131"/>
    <mergeCell ref="B149:F149"/>
    <mergeCell ref="B214:F214"/>
    <mergeCell ref="B198:E198"/>
    <mergeCell ref="B102:F102"/>
    <mergeCell ref="B27:F27"/>
    <mergeCell ref="B130:F130"/>
    <mergeCell ref="B212:E212"/>
    <mergeCell ref="B129:E129"/>
    <mergeCell ref="B100:E100"/>
    <mergeCell ref="B229:F229"/>
    <mergeCell ref="B227:E227"/>
    <mergeCell ref="B25:E25"/>
    <mergeCell ref="B185:E185"/>
    <mergeCell ref="B81:E81"/>
    <mergeCell ref="C9:D9"/>
    <mergeCell ref="B14:F14"/>
    <mergeCell ref="B121:E121"/>
    <mergeCell ref="B93:E93"/>
    <mergeCell ref="A12:B12"/>
    <mergeCell ref="C12:D12"/>
    <mergeCell ref="B140:E140"/>
    <mergeCell ref="A10:F10"/>
    <mergeCell ref="B238:E238"/>
    <mergeCell ref="B178:F178"/>
    <mergeCell ref="B176:E176"/>
    <mergeCell ref="B219:E219"/>
    <mergeCell ref="B108:F108"/>
    <mergeCell ref="B39:E39"/>
    <mergeCell ref="B231:E231"/>
    <mergeCell ref="B240:E240"/>
    <mergeCell ref="B107:E107"/>
    <mergeCell ref="B101:E101"/>
    <mergeCell ref="B187:F187"/>
    <mergeCell ref="C8:D8"/>
    <mergeCell ref="B83:F83"/>
    <mergeCell ref="A11:F11"/>
    <mergeCell ref="C7:D7"/>
    <mergeCell ref="B164:F164"/>
    <mergeCell ref="B95:F95"/>
    <mergeCell ref="C1:F3"/>
    <mergeCell ref="B69:E69"/>
    <mergeCell ref="B142:F142"/>
    <mergeCell ref="B82:E82"/>
    <mergeCell ref="B147:E147"/>
    <mergeCell ref="B249:E249"/>
    <mergeCell ref="B162:E162"/>
    <mergeCell ref="B51:F51"/>
    <mergeCell ref="B123:F123"/>
    <mergeCell ref="B221:F221"/>
    <mergeCell ref="B41:F41"/>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8.xml><?xml version="1.0" encoding="utf-8"?>
<worksheet xmlns="http://schemas.openxmlformats.org/spreadsheetml/2006/main">
  <sheetPr>
    <tabColor rgb="FF00B050"/>
    <pageSetUpPr/>
  </sheetPr>
  <dimension ref="A1:N122"/>
  <sheetViews>
    <sheetView zoomScale="81" zoomScaleNormal="81" workbookViewId="0">
      <selection activeCell="R14" sqref="R14"/>
    </sheetView>
  </sheetViews>
  <sheetFormatPr baseColWidth="10" defaultColWidth="8.6640625" defaultRowHeight="14.4"/>
  <cols>
    <col width="11" customWidth="1" style="1223" min="1" max="14"/>
  </cols>
  <sheetData>
    <row r="1" ht="15" customHeight="1" s="1223">
      <c r="A1" s="1229" t="n"/>
      <c r="B1" s="1258" t="n"/>
      <c r="C1" s="1258" t="n"/>
      <c r="D1" s="1258" t="n"/>
      <c r="E1" s="1227" t="inlineStr">
        <is>
          <t>INFORME SEMANAL</t>
        </is>
      </c>
    </row>
    <row r="2" ht="14.4" customHeight="1" s="1223">
      <c r="A2" s="1258" t="n"/>
      <c r="B2" s="1258" t="n"/>
      <c r="C2" s="1258" t="n"/>
      <c r="D2" s="1258" t="n"/>
    </row>
    <row r="3" ht="14.4" customHeight="1" s="1223">
      <c r="A3" s="1258" t="n"/>
      <c r="B3" s="1258" t="n"/>
      <c r="C3" s="1258" t="n"/>
      <c r="D3" s="1258" t="n"/>
    </row>
    <row r="4" ht="14.4" customHeight="1" s="1223">
      <c r="A4" s="1258" t="n"/>
      <c r="B4" s="1258" t="n"/>
      <c r="C4" s="1258" t="n"/>
      <c r="D4" s="1258" t="n"/>
    </row>
    <row r="5" ht="14.4" customHeight="1" s="1223">
      <c r="A5" s="1258" t="n"/>
      <c r="B5" s="1258" t="n"/>
      <c r="C5" s="1258" t="n"/>
      <c r="D5" s="1258" t="n"/>
    </row>
    <row r="6" ht="4.95" customHeight="1" s="1223">
      <c r="A6" s="1258" t="n"/>
      <c r="B6" s="1258" t="n"/>
      <c r="C6" s="1258" t="n"/>
      <c r="D6" s="1258" t="n"/>
      <c r="E6" s="132" t="n"/>
      <c r="F6" s="132" t="n"/>
      <c r="G6" s="132" t="n"/>
      <c r="H6" s="132" t="n"/>
      <c r="I6" s="132" t="n"/>
      <c r="J6" s="132" t="n"/>
      <c r="K6" s="132" t="n"/>
      <c r="L6" s="132" t="n"/>
      <c r="M6" s="132" t="n"/>
      <c r="N6" s="133" t="n"/>
    </row>
    <row r="7" ht="15" customHeight="1" s="1223">
      <c r="A7" s="1258" t="n"/>
      <c r="B7" s="1258" t="n"/>
      <c r="C7" s="1258" t="n"/>
      <c r="D7" s="1258" t="n"/>
      <c r="E7" s="134" t="n"/>
      <c r="F7" s="134" t="n"/>
      <c r="G7" s="134" t="n"/>
      <c r="H7" s="134" t="n"/>
      <c r="I7" s="134" t="n"/>
      <c r="J7" s="134" t="n"/>
      <c r="K7" s="134" t="n"/>
      <c r="L7" s="679" t="inlineStr">
        <is>
          <t>CONTROL DOCUMENTAL</t>
        </is>
      </c>
      <c r="M7" s="550" t="n"/>
      <c r="N7" s="551" t="n"/>
    </row>
    <row r="8" ht="15" customHeight="1" s="1223">
      <c r="A8" s="1258" t="n"/>
      <c r="B8" s="1258" t="n"/>
      <c r="C8" s="1258" t="n"/>
      <c r="D8" s="1258" t="n"/>
      <c r="E8" s="996" t="inlineStr">
        <is>
          <t>REFORMAS Y REMODELACIONES</t>
        </is>
      </c>
      <c r="L8" s="355" t="inlineStr">
        <is>
          <t>Código</t>
        </is>
      </c>
      <c r="M8" s="978" t="inlineStr">
        <is>
          <t>RYR-IS-001</t>
        </is>
      </c>
      <c r="N8" s="730" t="n"/>
    </row>
    <row r="9" ht="15" customHeight="1" s="1223">
      <c r="A9" s="1258" t="n"/>
      <c r="B9" s="1258" t="n"/>
      <c r="C9" s="1258" t="n"/>
      <c r="D9" s="1258" t="n"/>
      <c r="L9" s="356" t="inlineStr">
        <is>
          <t>Versión</t>
        </is>
      </c>
      <c r="M9" s="199" t="n">
        <v>1</v>
      </c>
      <c r="N9" s="982" t="n"/>
    </row>
    <row r="10" ht="15" customHeight="1" s="1223">
      <c r="A10" s="1258" t="n"/>
      <c r="B10" s="1258" t="n"/>
      <c r="C10" s="1258" t="n"/>
      <c r="D10" s="1258" t="n"/>
      <c r="E10" s="945" t="inlineStr">
        <is>
          <t>DISEÑAMOS, RENOVAMOS Y CONSTRUIMOS ESPACIOS QUE INSPIRAN.</t>
        </is>
      </c>
      <c r="L10" s="356" t="inlineStr">
        <is>
          <t>Fecha de Emisión</t>
        </is>
      </c>
      <c r="M10" s="982" t="inlineStr">
        <is>
          <t>10/09/2026</t>
        </is>
      </c>
      <c r="N10" s="565" t="n"/>
    </row>
    <row r="11" ht="15" customHeight="1" s="1223">
      <c r="A11" s="1258" t="n"/>
      <c r="B11" s="1258" t="n"/>
      <c r="C11" s="1258" t="n"/>
      <c r="D11" s="1258" t="n"/>
      <c r="E11" s="135" t="n"/>
      <c r="F11" s="135" t="n"/>
      <c r="G11" s="135" t="n"/>
      <c r="H11" s="135" t="n"/>
      <c r="I11" s="135" t="n"/>
      <c r="J11" s="135" t="n"/>
      <c r="K11" s="135" t="n"/>
      <c r="L11" s="357" t="inlineStr">
        <is>
          <t>Página</t>
        </is>
      </c>
      <c r="M11" s="1094" t="inlineStr">
        <is>
          <t>1 de 1</t>
        </is>
      </c>
      <c r="N11" s="551" t="n"/>
    </row>
    <row r="12" ht="15" customHeight="1" s="1223">
      <c r="A12" s="1228" t="inlineStr">
        <is>
          <t>IDENTIFICACIÓN DEL INFORME Y DEL PROYECTO</t>
        </is>
      </c>
      <c r="N12" s="546" t="n"/>
    </row>
    <row r="13" ht="15" customHeight="1" s="1223">
      <c r="A13" s="1024" t="inlineStr">
        <is>
          <t>Proyecto</t>
        </is>
      </c>
      <c r="B13" s="684" t="n"/>
      <c r="C13" s="684" t="n"/>
      <c r="D13" s="684" t="n"/>
      <c r="E13" s="1125" t="n"/>
      <c r="F13" s="581" t="n"/>
      <c r="G13" s="581" t="n"/>
      <c r="H13" s="581" t="n"/>
      <c r="I13" s="581" t="n"/>
      <c r="J13" s="581" t="n"/>
      <c r="K13" s="581" t="n"/>
      <c r="L13" s="581" t="n"/>
      <c r="M13" s="581" t="n"/>
      <c r="N13" s="1032" t="n"/>
    </row>
    <row r="14" ht="15" customHeight="1" s="1223">
      <c r="A14" s="1036" t="inlineStr">
        <is>
          <t>No de Contrato</t>
        </is>
      </c>
      <c r="B14" s="530" t="n"/>
      <c r="C14" s="530" t="n"/>
      <c r="D14" s="530" t="n"/>
      <c r="E14" s="1068" t="n"/>
      <c r="F14" s="530" t="n"/>
      <c r="G14" s="530" t="n"/>
      <c r="H14" s="654" t="n"/>
      <c r="I14" s="1066" t="inlineStr">
        <is>
          <t>Presupuesto Total del Contrato</t>
        </is>
      </c>
      <c r="J14" s="530" t="n"/>
      <c r="K14" s="530" t="n"/>
      <c r="L14" s="1086">
        <f>'Presupuesto '!F249</f>
        <v/>
      </c>
      <c r="M14" s="530" t="n"/>
      <c r="N14" s="579" t="n"/>
    </row>
    <row r="15" ht="15" customHeight="1" s="1223">
      <c r="A15" s="1036" t="inlineStr">
        <is>
          <t>Contratista</t>
        </is>
      </c>
      <c r="B15" s="530" t="n"/>
      <c r="C15" s="530" t="n"/>
      <c r="D15" s="530" t="n"/>
      <c r="E15" s="1068" t="inlineStr">
        <is>
          <t>REFORMAS Y REMODELACIONES</t>
        </is>
      </c>
      <c r="F15" s="530" t="n"/>
      <c r="G15" s="530" t="n"/>
      <c r="H15" s="654" t="n"/>
      <c r="I15" s="1066" t="inlineStr">
        <is>
          <t>Mes</t>
        </is>
      </c>
      <c r="J15" s="530" t="n"/>
      <c r="K15" s="530" t="n"/>
      <c r="L15" s="1056" t="n"/>
      <c r="M15" s="530" t="n"/>
      <c r="N15" s="579" t="n"/>
    </row>
    <row r="16" ht="15" customHeight="1" s="1223">
      <c r="A16" s="1036" t="inlineStr">
        <is>
          <t>Elaborado Por</t>
        </is>
      </c>
      <c r="B16" s="530" t="n"/>
      <c r="C16" s="530" t="n"/>
      <c r="D16" s="530" t="n"/>
      <c r="E16" s="1068" t="n"/>
      <c r="F16" s="530" t="n"/>
      <c r="G16" s="530" t="n"/>
      <c r="H16" s="654" t="n"/>
      <c r="I16" s="1066" t="inlineStr">
        <is>
          <t>Fecha de Emisión</t>
        </is>
      </c>
      <c r="J16" s="530" t="n"/>
      <c r="K16" s="530" t="n"/>
      <c r="L16" s="1056" t="n"/>
      <c r="M16" s="530" t="n"/>
      <c r="N16" s="579" t="n"/>
    </row>
    <row r="17" ht="15.75" customHeight="1" s="1223">
      <c r="A17" s="1124" t="inlineStr">
        <is>
          <t>RESUMEN EJECUTIVO</t>
        </is>
      </c>
      <c r="B17" s="596" t="n"/>
      <c r="C17" s="596" t="n"/>
      <c r="D17" s="596" t="n"/>
      <c r="E17" s="596" t="n"/>
      <c r="F17" s="596" t="n"/>
      <c r="G17" s="596" t="n"/>
      <c r="H17" s="596" t="n"/>
      <c r="I17" s="596" t="n"/>
      <c r="J17" s="596" t="n"/>
      <c r="K17" s="596" t="n"/>
      <c r="L17" s="596" t="n"/>
      <c r="M17" s="596" t="n"/>
      <c r="N17" s="730" t="n"/>
    </row>
    <row r="18" ht="15" customHeight="1" s="1223">
      <c r="A18" s="1100" t="n"/>
      <c r="B18" s="528" t="n"/>
      <c r="C18" s="528" t="n"/>
      <c r="D18" s="528" t="n"/>
      <c r="E18" s="528" t="n"/>
      <c r="F18" s="528" t="n"/>
      <c r="G18" s="528" t="n"/>
      <c r="H18" s="528" t="n"/>
      <c r="I18" s="528" t="n"/>
      <c r="J18" s="528" t="n"/>
      <c r="K18" s="528" t="n"/>
      <c r="L18" s="528" t="n"/>
      <c r="M18" s="528" t="n"/>
      <c r="N18" s="1101" t="n"/>
    </row>
    <row r="19" ht="15.75" customHeight="1" s="1223">
      <c r="A19" s="1128" t="inlineStr">
        <is>
          <t>AVANCE TÉCNICO Y ECONÓMICO DEL PROYECTO (POR CAPÍTULO)</t>
        </is>
      </c>
      <c r="B19" s="550" t="n"/>
      <c r="C19" s="550" t="n"/>
      <c r="D19" s="550" t="n"/>
      <c r="E19" s="550" t="n"/>
      <c r="F19" s="550" t="n"/>
      <c r="G19" s="550" t="n"/>
      <c r="H19" s="550" t="n"/>
      <c r="I19" s="550" t="n"/>
      <c r="J19" s="550" t="n"/>
      <c r="K19" s="550" t="n"/>
      <c r="L19" s="550" t="n"/>
      <c r="M19" s="550" t="n"/>
      <c r="N19" s="551" t="n"/>
    </row>
    <row r="20" ht="15" customHeight="1" s="1223">
      <c r="A20" s="1098" t="inlineStr">
        <is>
          <t>AVANCE PROGRAMADO GLOBAL</t>
        </is>
      </c>
      <c r="B20" s="1040" t="n"/>
      <c r="C20" s="1040" t="n"/>
      <c r="D20" s="1097" t="inlineStr">
        <is>
          <t>AVANCE REAL GLOBAL</t>
        </is>
      </c>
      <c r="E20" s="1040" t="n"/>
      <c r="F20" s="1040" t="n"/>
      <c r="G20" s="1097" t="inlineStr">
        <is>
          <t>DIFERENCIA</t>
        </is>
      </c>
      <c r="H20" s="1040" t="n"/>
      <c r="I20" s="1040" t="n"/>
      <c r="J20" s="1039" t="inlineStr">
        <is>
          <t>% EJECUTADO FINANCIERO</t>
        </is>
      </c>
      <c r="K20" s="1040" t="n"/>
      <c r="L20" s="1040" t="n"/>
      <c r="M20" s="1040" t="n"/>
      <c r="N20" s="1041" t="n"/>
    </row>
    <row r="21">
      <c r="A21" s="1016">
        <f>H46</f>
        <v/>
      </c>
      <c r="B21" s="567" t="n"/>
      <c r="C21" s="567" t="n"/>
      <c r="D21" s="1082">
        <f>I46</f>
        <v/>
      </c>
      <c r="E21" s="567" t="n"/>
      <c r="F21" s="567" t="n"/>
      <c r="G21" s="1082">
        <f>D21-A21</f>
        <v/>
      </c>
      <c r="H21" s="567" t="n"/>
      <c r="I21" s="567" t="n"/>
      <c r="J21" s="1126">
        <f>IFERROR(J46/$L$14,0)</f>
        <v/>
      </c>
      <c r="K21" s="567" t="n"/>
      <c r="L21" s="567" t="n"/>
      <c r="M21" s="567" t="n"/>
      <c r="N21" s="1127" t="n"/>
    </row>
    <row r="22" ht="15" customHeight="1" s="1223">
      <c r="A22" s="1051" t="inlineStr">
        <is>
          <t>CAPÍTULO</t>
        </is>
      </c>
      <c r="C22" s="603" t="n"/>
      <c r="D22" s="1046" t="inlineStr">
        <is>
          <t>PESO %</t>
        </is>
      </c>
      <c r="E22" s="1046" t="inlineStr">
        <is>
          <t>PROG. %</t>
        </is>
      </c>
      <c r="F22" s="1046" t="inlineStr">
        <is>
          <t>REAL %</t>
        </is>
      </c>
      <c r="G22" s="1046" t="inlineStr">
        <is>
          <t>DIF. %</t>
        </is>
      </c>
      <c r="H22" s="1046" t="inlineStr">
        <is>
          <t>PROG. POND. %</t>
        </is>
      </c>
      <c r="I22" s="1046" t="inlineStr">
        <is>
          <t>REAL POND. %</t>
        </is>
      </c>
      <c r="J22" s="1095" t="inlineStr">
        <is>
          <t>VALOR EJECUTADO ($)</t>
        </is>
      </c>
      <c r="N22" s="546" t="n"/>
    </row>
    <row r="23">
      <c r="A23" s="1052" t="n"/>
      <c r="B23" s="613" t="n"/>
      <c r="C23" s="614" t="n"/>
      <c r="D23" s="1047" t="n"/>
      <c r="E23" s="1047" t="n"/>
      <c r="F23" s="1047" t="n"/>
      <c r="G23" s="1047" t="n"/>
      <c r="H23" s="1047" t="n"/>
      <c r="I23" s="1047" t="n"/>
      <c r="J23" s="1096" t="n"/>
      <c r="N23" s="546" t="n"/>
    </row>
    <row r="24" ht="15" customHeight="1" s="1223">
      <c r="A24" s="1013">
        <f>'Presupuesto '!B14</f>
        <v/>
      </c>
      <c r="B24" s="530" t="n"/>
      <c r="C24" s="654" t="n"/>
      <c r="D24" s="514">
        <f>'Presupuesto '!F25/'Presupuesto '!$F$240</f>
        <v/>
      </c>
      <c r="E24" s="1313" t="n"/>
      <c r="F24" s="1313" t="n"/>
      <c r="G24" s="515">
        <f>F24-E24</f>
        <v/>
      </c>
      <c r="H24" s="516">
        <f>D24*E24</f>
        <v/>
      </c>
      <c r="I24" s="516">
        <f>D24*F24</f>
        <v/>
      </c>
      <c r="J24" s="1037">
        <f>D24*$L$14*G24</f>
        <v/>
      </c>
      <c r="K24" s="581" t="n"/>
      <c r="L24" s="581" t="n"/>
      <c r="M24" s="581" t="n"/>
      <c r="N24" s="1032" t="n"/>
    </row>
    <row r="25" ht="15" customHeight="1" s="1223">
      <c r="A25" s="1013">
        <f>'Presupuesto '!B27</f>
        <v/>
      </c>
      <c r="B25" s="530" t="n"/>
      <c r="C25" s="654" t="n"/>
      <c r="D25" s="514">
        <f>'Presupuesto '!F39/'Presupuesto '!$F$240</f>
        <v/>
      </c>
      <c r="E25" s="1313" t="n"/>
      <c r="F25" s="1313" t="n"/>
      <c r="G25" s="515">
        <f>F25-E25</f>
        <v/>
      </c>
      <c r="H25" s="516">
        <f>D25*E25</f>
        <v/>
      </c>
      <c r="I25" s="516">
        <f>D25*F25</f>
        <v/>
      </c>
      <c r="J25" s="1037">
        <f>D25*$L$14*G25</f>
        <v/>
      </c>
      <c r="K25" s="581" t="n"/>
      <c r="L25" s="581" t="n"/>
      <c r="M25" s="581" t="n"/>
      <c r="N25" s="1032" t="n"/>
    </row>
    <row r="26" ht="15" customHeight="1" s="1223">
      <c r="A26" s="1013">
        <f>'Presupuesto '!B41</f>
        <v/>
      </c>
      <c r="B26" s="530" t="n"/>
      <c r="C26" s="654" t="n"/>
      <c r="D26" s="514">
        <f>'Presupuesto '!F49/'Presupuesto '!$F$240</f>
        <v/>
      </c>
      <c r="E26" s="1313" t="n"/>
      <c r="F26" s="1313" t="n"/>
      <c r="G26" s="515">
        <f>F26-E26</f>
        <v/>
      </c>
      <c r="H26" s="516">
        <f>D26*E26</f>
        <v/>
      </c>
      <c r="I26" s="516">
        <f>D26*F26</f>
        <v/>
      </c>
      <c r="J26" s="1037">
        <f>D26*$L$14*G26</f>
        <v/>
      </c>
      <c r="K26" s="581" t="n"/>
      <c r="L26" s="581" t="n"/>
      <c r="M26" s="581" t="n"/>
      <c r="N26" s="1032" t="n"/>
    </row>
    <row r="27" ht="15" customHeight="1" s="1223">
      <c r="A27" s="1013">
        <f>'Presupuesto '!B51</f>
        <v/>
      </c>
      <c r="B27" s="530" t="n"/>
      <c r="C27" s="654" t="n"/>
      <c r="D27" s="514">
        <f>'Presupuesto '!F69/'Presupuesto '!$F$240</f>
        <v/>
      </c>
      <c r="E27" s="1313" t="n"/>
      <c r="F27" s="1313" t="n"/>
      <c r="G27" s="515">
        <f>F27-E27</f>
        <v/>
      </c>
      <c r="H27" s="516">
        <f>D27*E27</f>
        <v/>
      </c>
      <c r="I27" s="516">
        <f>D27*F27</f>
        <v/>
      </c>
      <c r="J27" s="1037">
        <f>D27*$L$14*G27</f>
        <v/>
      </c>
      <c r="K27" s="581" t="n"/>
      <c r="L27" s="581" t="n"/>
      <c r="M27" s="581" t="n"/>
      <c r="N27" s="1032" t="n"/>
    </row>
    <row r="28" ht="15" customHeight="1" s="1223">
      <c r="A28" s="1013">
        <f>'Presupuesto '!B71</f>
        <v/>
      </c>
      <c r="B28" s="530" t="n"/>
      <c r="C28" s="654" t="n"/>
      <c r="D28" s="514">
        <f>'Presupuesto '!F81/'Presupuesto '!$F$240</f>
        <v/>
      </c>
      <c r="E28" s="1313" t="n"/>
      <c r="F28" s="1313" t="n"/>
      <c r="G28" s="515">
        <f>F28-E28</f>
        <v/>
      </c>
      <c r="H28" s="516">
        <f>D28*E28</f>
        <v/>
      </c>
      <c r="I28" s="516">
        <f>D28*F28</f>
        <v/>
      </c>
      <c r="J28" s="1037">
        <f>D28*$L$14*G28</f>
        <v/>
      </c>
      <c r="K28" s="581" t="n"/>
      <c r="L28" s="581" t="n"/>
      <c r="M28" s="581" t="n"/>
      <c r="N28" s="1032" t="n"/>
    </row>
    <row r="29" ht="15" customHeight="1" s="1223">
      <c r="A29" s="1013">
        <f>'Presupuesto '!B83</f>
        <v/>
      </c>
      <c r="B29" s="530" t="n"/>
      <c r="C29" s="654" t="n"/>
      <c r="D29" s="514">
        <f>'Presupuesto '!F93/'Presupuesto '!$F$240</f>
        <v/>
      </c>
      <c r="E29" s="1313" t="n"/>
      <c r="F29" s="1313" t="n"/>
      <c r="G29" s="515">
        <f>F29-E29</f>
        <v/>
      </c>
      <c r="H29" s="516">
        <f>D29*E29</f>
        <v/>
      </c>
      <c r="I29" s="516">
        <f>D29*F29</f>
        <v/>
      </c>
      <c r="J29" s="1037">
        <f>D29*$L$14*G29</f>
        <v/>
      </c>
      <c r="K29" s="581" t="n"/>
      <c r="L29" s="581" t="n"/>
      <c r="M29" s="581" t="n"/>
      <c r="N29" s="1032" t="n"/>
    </row>
    <row r="30" ht="15" customHeight="1" s="1223">
      <c r="A30" s="1013">
        <f>'Presupuesto '!B95</f>
        <v/>
      </c>
      <c r="B30" s="530" t="n"/>
      <c r="C30" s="654" t="n"/>
      <c r="D30" s="514">
        <f>'Presupuesto '!F100/'Presupuesto '!$F$240</f>
        <v/>
      </c>
      <c r="E30" s="1313" t="n"/>
      <c r="F30" s="1313" t="n"/>
      <c r="G30" s="515">
        <f>F30-E30</f>
        <v/>
      </c>
      <c r="H30" s="516">
        <f>D30*E30</f>
        <v/>
      </c>
      <c r="I30" s="516">
        <f>D30*F30</f>
        <v/>
      </c>
      <c r="J30" s="1037">
        <f>D30*$L$14*G30</f>
        <v/>
      </c>
      <c r="K30" s="581" t="n"/>
      <c r="L30" s="581" t="n"/>
      <c r="M30" s="581" t="n"/>
      <c r="N30" s="1032" t="n"/>
    </row>
    <row r="31" ht="15" customHeight="1" s="1223">
      <c r="A31" s="1013">
        <f>'Presupuesto '!B102</f>
        <v/>
      </c>
      <c r="B31" s="530" t="n"/>
      <c r="C31" s="654" t="n"/>
      <c r="D31" s="514">
        <f>'Presupuesto '!F107/'Presupuesto '!$F$240</f>
        <v/>
      </c>
      <c r="E31" s="1313" t="n"/>
      <c r="F31" s="1313" t="n"/>
      <c r="G31" s="515">
        <f>F31-E31</f>
        <v/>
      </c>
      <c r="H31" s="516">
        <f>D31*E31</f>
        <v/>
      </c>
      <c r="I31" s="516">
        <f>D31*F31</f>
        <v/>
      </c>
      <c r="J31" s="1037">
        <f>D31*$L$14*G31</f>
        <v/>
      </c>
      <c r="K31" s="581" t="n"/>
      <c r="L31" s="581" t="n"/>
      <c r="M31" s="581" t="n"/>
      <c r="N31" s="1032" t="n"/>
    </row>
    <row r="32" ht="15" customHeight="1" s="1223">
      <c r="A32" s="1013">
        <f>'Presupuesto '!B109</f>
        <v/>
      </c>
      <c r="B32" s="530" t="n"/>
      <c r="C32" s="654" t="n"/>
      <c r="D32" s="514">
        <f>'Presupuesto '!F121/'Presupuesto '!$F$240</f>
        <v/>
      </c>
      <c r="E32" s="1313" t="n"/>
      <c r="F32" s="1313" t="n"/>
      <c r="G32" s="515">
        <f>F32-E32</f>
        <v/>
      </c>
      <c r="H32" s="516">
        <f>D32*E32</f>
        <v/>
      </c>
      <c r="I32" s="516">
        <f>D32*F32</f>
        <v/>
      </c>
      <c r="J32" s="1037">
        <f>D32*$L$14*G32</f>
        <v/>
      </c>
      <c r="K32" s="581" t="n"/>
      <c r="L32" s="581" t="n"/>
      <c r="M32" s="581" t="n"/>
      <c r="N32" s="1032" t="n"/>
    </row>
    <row r="33" ht="15" customHeight="1" s="1223">
      <c r="A33" s="1013">
        <f>'Presupuesto '!B123</f>
        <v/>
      </c>
      <c r="B33" s="530" t="n"/>
      <c r="C33" s="654" t="n"/>
      <c r="D33" s="514">
        <f>'Presupuesto '!F129/'Presupuesto '!$F$240</f>
        <v/>
      </c>
      <c r="E33" s="1313" t="n"/>
      <c r="F33" s="1313" t="n"/>
      <c r="G33" s="515">
        <f>F33-E33</f>
        <v/>
      </c>
      <c r="H33" s="516">
        <f>D33*E33</f>
        <v/>
      </c>
      <c r="I33" s="516">
        <f>D33*F33</f>
        <v/>
      </c>
      <c r="J33" s="1037">
        <f>D33*$L$14*G33</f>
        <v/>
      </c>
      <c r="K33" s="581" t="n"/>
      <c r="L33" s="581" t="n"/>
      <c r="M33" s="581" t="n"/>
      <c r="N33" s="1032" t="n"/>
    </row>
    <row r="34" ht="15" customHeight="1" s="1223">
      <c r="A34" s="1013">
        <f>'Presupuesto '!B131</f>
        <v/>
      </c>
      <c r="B34" s="530" t="n"/>
      <c r="C34" s="654" t="n"/>
      <c r="D34" s="514">
        <f>'Presupuesto '!F140/'Presupuesto '!$F$240</f>
        <v/>
      </c>
      <c r="E34" s="1313" t="n"/>
      <c r="F34" s="1313" t="n"/>
      <c r="G34" s="515">
        <f>F34-E34</f>
        <v/>
      </c>
      <c r="H34" s="516">
        <f>D34*E34</f>
        <v/>
      </c>
      <c r="I34" s="516">
        <f>D34*F34</f>
        <v/>
      </c>
      <c r="J34" s="1037">
        <f>D34*$L$14*G34</f>
        <v/>
      </c>
      <c r="K34" s="581" t="n"/>
      <c r="L34" s="581" t="n"/>
      <c r="M34" s="581" t="n"/>
      <c r="N34" s="1032" t="n"/>
    </row>
    <row r="35" ht="15" customHeight="1" s="1223">
      <c r="A35" s="1013">
        <f>'Presupuesto '!B142</f>
        <v/>
      </c>
      <c r="B35" s="530" t="n"/>
      <c r="C35" s="654" t="n"/>
      <c r="D35" s="514">
        <f>'Presupuesto '!F147/'Presupuesto '!$F$240</f>
        <v/>
      </c>
      <c r="E35" s="1313" t="n"/>
      <c r="F35" s="1313" t="n"/>
      <c r="G35" s="515">
        <f>F35-E35</f>
        <v/>
      </c>
      <c r="H35" s="516">
        <f>D35*E35</f>
        <v/>
      </c>
      <c r="I35" s="516">
        <f>D35*F35</f>
        <v/>
      </c>
      <c r="J35" s="1037">
        <f>D35*$L$14*G35</f>
        <v/>
      </c>
      <c r="K35" s="581" t="n"/>
      <c r="L35" s="581" t="n"/>
      <c r="M35" s="581" t="n"/>
      <c r="N35" s="1032" t="n"/>
    </row>
    <row r="36" ht="15" customHeight="1" s="1223">
      <c r="A36" s="1013">
        <f>'Presupuesto '!B149</f>
        <v/>
      </c>
      <c r="B36" s="530" t="n"/>
      <c r="C36" s="654" t="n"/>
      <c r="D36" s="514">
        <f>'Presupuesto '!F162/'Presupuesto '!$F$240</f>
        <v/>
      </c>
      <c r="E36" s="1313" t="n"/>
      <c r="F36" s="1313" t="n"/>
      <c r="G36" s="515">
        <f>F36-E36</f>
        <v/>
      </c>
      <c r="H36" s="516">
        <f>D36*E36</f>
        <v/>
      </c>
      <c r="I36" s="516">
        <f>D36*F36</f>
        <v/>
      </c>
      <c r="J36" s="1037">
        <f>D36*$L$14*G36</f>
        <v/>
      </c>
      <c r="K36" s="581" t="n"/>
      <c r="L36" s="581" t="n"/>
      <c r="M36" s="581" t="n"/>
      <c r="N36" s="1032" t="n"/>
    </row>
    <row r="37" ht="15" customHeight="1" s="1223">
      <c r="A37" s="1013">
        <f>'Presupuesto '!B164</f>
        <v/>
      </c>
      <c r="B37" s="530" t="n"/>
      <c r="C37" s="654" t="n"/>
      <c r="D37" s="514">
        <f>'Presupuesto '!F176/'Presupuesto '!$F$240</f>
        <v/>
      </c>
      <c r="E37" s="1313" t="n"/>
      <c r="F37" s="1313" t="n"/>
      <c r="G37" s="515">
        <f>F37-E37</f>
        <v/>
      </c>
      <c r="H37" s="516">
        <f>D37*E37</f>
        <v/>
      </c>
      <c r="I37" s="516">
        <f>D37*F37</f>
        <v/>
      </c>
      <c r="J37" s="1037">
        <f>D37*$L$14*G37</f>
        <v/>
      </c>
      <c r="K37" s="581" t="n"/>
      <c r="L37" s="581" t="n"/>
      <c r="M37" s="581" t="n"/>
      <c r="N37" s="1032" t="n"/>
    </row>
    <row r="38" ht="15" customHeight="1" s="1223">
      <c r="A38" s="1013">
        <f>'Presupuesto '!B178</f>
        <v/>
      </c>
      <c r="B38" s="530" t="n"/>
      <c r="C38" s="654" t="n"/>
      <c r="D38" s="514">
        <f>'Presupuesto '!F185/'Presupuesto '!$F$240</f>
        <v/>
      </c>
      <c r="E38" s="1313" t="n"/>
      <c r="F38" s="1313" t="n"/>
      <c r="G38" s="515">
        <f>F38-E38</f>
        <v/>
      </c>
      <c r="H38" s="516">
        <f>D38*E38</f>
        <v/>
      </c>
      <c r="I38" s="516">
        <f>D38*F38</f>
        <v/>
      </c>
      <c r="J38" s="1037">
        <f>D38*$L$14*G38</f>
        <v/>
      </c>
      <c r="K38" s="581" t="n"/>
      <c r="L38" s="581" t="n"/>
      <c r="M38" s="581" t="n"/>
      <c r="N38" s="1032" t="n"/>
    </row>
    <row r="39" ht="15" customHeight="1" s="1223">
      <c r="A39" s="1072">
        <f>'Presupuesto '!B187</f>
        <v/>
      </c>
      <c r="B39" s="530" t="n"/>
      <c r="C39" s="654" t="n"/>
      <c r="D39" s="517">
        <f>'Presupuesto '!F192/'Presupuesto '!$F$240</f>
        <v/>
      </c>
      <c r="E39" s="1314" t="n"/>
      <c r="F39" s="1314" t="n"/>
      <c r="G39" s="515">
        <f>F39-E39</f>
        <v/>
      </c>
      <c r="H39" s="518">
        <f>D39*E39</f>
        <v/>
      </c>
      <c r="I39" s="518">
        <f>D39*F39</f>
        <v/>
      </c>
      <c r="J39" s="1053">
        <f>D39*$L$14*G39</f>
        <v/>
      </c>
      <c r="N39" s="1054" t="n"/>
    </row>
    <row r="40" ht="15" customHeight="1" s="1223">
      <c r="A40" s="1072">
        <f>'Presupuesto '!B194</f>
        <v/>
      </c>
      <c r="B40" s="530" t="n"/>
      <c r="C40" s="654" t="n"/>
      <c r="D40" s="517">
        <f>'Presupuesto '!F198/'Presupuesto '!$F$240</f>
        <v/>
      </c>
      <c r="E40" s="1314" t="n"/>
      <c r="F40" s="1314" t="n"/>
      <c r="G40" s="515">
        <f>F40-E40</f>
        <v/>
      </c>
      <c r="H40" s="518">
        <f>D40*E40</f>
        <v/>
      </c>
      <c r="I40" s="518">
        <f>D40*F40</f>
        <v/>
      </c>
      <c r="J40" s="1064">
        <f>D40*$L$14*G40</f>
        <v/>
      </c>
      <c r="N40" s="1054" t="n"/>
    </row>
    <row r="41" ht="15" customHeight="1" s="1223">
      <c r="A41" s="1072">
        <f>'Presupuesto '!B200</f>
        <v/>
      </c>
      <c r="B41" s="530" t="n"/>
      <c r="C41" s="654" t="n"/>
      <c r="D41" s="517">
        <f>'Presupuesto '!F212/'Presupuesto '!$F$240</f>
        <v/>
      </c>
      <c r="E41" s="1314" t="n"/>
      <c r="F41" s="1314" t="n"/>
      <c r="G41" s="515">
        <f>F41-E41</f>
        <v/>
      </c>
      <c r="H41" s="518">
        <f>D41*E41</f>
        <v/>
      </c>
      <c r="I41" s="518">
        <f>D41*F41</f>
        <v/>
      </c>
      <c r="J41" s="1064">
        <f>D41*$L$14*G41</f>
        <v/>
      </c>
      <c r="N41" s="1054" t="n"/>
    </row>
    <row r="42" ht="15" customHeight="1" s="1223">
      <c r="A42" s="1013">
        <f>'Presupuesto '!B214</f>
        <v/>
      </c>
      <c r="B42" s="530" t="n"/>
      <c r="C42" s="654" t="n"/>
      <c r="D42" s="517">
        <f>'Presupuesto '!F219/'Presupuesto '!$F$240</f>
        <v/>
      </c>
      <c r="E42" s="1314" t="n"/>
      <c r="F42" s="1314" t="n"/>
      <c r="G42" s="515">
        <f>F42-E42</f>
        <v/>
      </c>
      <c r="H42" s="518">
        <f>D42*E42</f>
        <v/>
      </c>
      <c r="I42" s="518">
        <f>D42*F42</f>
        <v/>
      </c>
      <c r="J42" s="1064">
        <f>D42*$L$14*G42</f>
        <v/>
      </c>
      <c r="N42" s="1054" t="n"/>
    </row>
    <row r="43" ht="15" customHeight="1" s="1223">
      <c r="A43" s="1013">
        <f>'Presupuesto '!B221</f>
        <v/>
      </c>
      <c r="B43" s="530" t="n"/>
      <c r="C43" s="654" t="n"/>
      <c r="D43" s="517">
        <f>'Presupuesto '!F227/'Presupuesto '!$F$240</f>
        <v/>
      </c>
      <c r="E43" s="1314" t="n"/>
      <c r="F43" s="1314" t="n"/>
      <c r="G43" s="515">
        <f>F43-E43</f>
        <v/>
      </c>
      <c r="H43" s="518">
        <f>D43*E43</f>
        <v/>
      </c>
      <c r="I43" s="518">
        <f>D43*F43</f>
        <v/>
      </c>
      <c r="J43" s="1064">
        <f>D43*$L$14*G43</f>
        <v/>
      </c>
      <c r="N43" s="1054" t="n"/>
    </row>
    <row r="44" ht="15" customHeight="1" s="1223">
      <c r="A44" s="1013">
        <f>'Presupuesto '!B229</f>
        <v/>
      </c>
      <c r="B44" s="530" t="n"/>
      <c r="C44" s="654" t="n"/>
      <c r="D44" s="517">
        <f>'Presupuesto '!F231/'Presupuesto '!$F$240</f>
        <v/>
      </c>
      <c r="E44" s="1314" t="n"/>
      <c r="F44" s="1314" t="n"/>
      <c r="G44" s="515">
        <f>F44-E44</f>
        <v/>
      </c>
      <c r="H44" s="518">
        <f>D44*E44</f>
        <v/>
      </c>
      <c r="I44" s="518">
        <f>D44*F44</f>
        <v/>
      </c>
      <c r="J44" s="1064">
        <f>D44*$L$14*G44</f>
        <v/>
      </c>
      <c r="N44" s="1054" t="n"/>
    </row>
    <row r="45" ht="15" customHeight="1" s="1223">
      <c r="A45" s="1013">
        <f>'Presupuesto '!B233</f>
        <v/>
      </c>
      <c r="B45" s="530" t="n"/>
      <c r="C45" s="654" t="n"/>
      <c r="D45" s="517">
        <f>'Presupuesto '!F238/'Presupuesto '!$F$240</f>
        <v/>
      </c>
      <c r="E45" s="1314" t="n"/>
      <c r="F45" s="1314" t="n"/>
      <c r="G45" s="515">
        <f>F45-E45</f>
        <v/>
      </c>
      <c r="H45" s="518">
        <f>D45*E45</f>
        <v/>
      </c>
      <c r="I45" s="518">
        <f>D45*F45</f>
        <v/>
      </c>
      <c r="J45" s="1120">
        <f>D45*$L$14*G45</f>
        <v/>
      </c>
      <c r="K45" s="581" t="n"/>
      <c r="L45" s="581" t="n"/>
      <c r="M45" s="581" t="n"/>
      <c r="N45" s="1032" t="n"/>
    </row>
    <row r="46">
      <c r="A46" s="1012" t="inlineStr">
        <is>
          <t>TOTAL</t>
        </is>
      </c>
      <c r="B46" s="530" t="n"/>
      <c r="C46" s="654" t="n"/>
      <c r="D46" s="519">
        <f>SUM(D24:D45)</f>
        <v/>
      </c>
      <c r="E46" s="265" t="n"/>
      <c r="F46" s="265" t="n"/>
      <c r="G46" s="266" t="n"/>
      <c r="H46" s="520">
        <f>SUM(H24:H45)</f>
        <v/>
      </c>
      <c r="I46" s="520">
        <f>SUM(I24:I45)</f>
        <v/>
      </c>
      <c r="J46" s="1050">
        <f>SUM(J24:J45)</f>
        <v/>
      </c>
      <c r="K46" s="1018" t="n"/>
      <c r="L46" s="1018" t="n"/>
      <c r="M46" s="1018" t="n"/>
      <c r="N46" s="1030" t="n"/>
    </row>
    <row r="47" ht="15.75" customHeight="1" s="1223">
      <c r="A47" s="1065" t="inlineStr">
        <is>
          <t>ACTIVIDADES MÁS RELEVANTES DEL PERÍODO</t>
        </is>
      </c>
      <c r="N47" s="546" t="n"/>
    </row>
    <row r="48" ht="15" customHeight="1" s="1223">
      <c r="A48" s="1055" t="inlineStr">
        <is>
          <t>UBICACIÓN</t>
        </is>
      </c>
      <c r="B48" s="581" t="n"/>
      <c r="C48" s="1060" t="inlineStr">
        <is>
          <t>DESCRIPCIÓN DE LA ACTIVIDAD</t>
        </is>
      </c>
      <c r="D48" s="581" t="n"/>
      <c r="E48" s="581" t="n"/>
      <c r="F48" s="581" t="n"/>
      <c r="G48" s="1060" t="inlineStr">
        <is>
          <t>AVANCE DEL PERÍODO</t>
        </is>
      </c>
      <c r="H48" s="581" t="n"/>
      <c r="I48" s="1060" t="inlineStr">
        <is>
          <t>RESPONSABLE</t>
        </is>
      </c>
      <c r="J48" s="581" t="n"/>
      <c r="K48" s="1011" t="inlineStr">
        <is>
          <t>OBSERVACIONES</t>
        </is>
      </c>
      <c r="L48" s="581" t="n"/>
      <c r="M48" s="581" t="n"/>
      <c r="N48" s="582" t="n"/>
    </row>
    <row r="49" ht="14.4" customHeight="1" s="1223">
      <c r="A49" s="1031" t="n"/>
      <c r="B49" s="581" t="n"/>
      <c r="C49" s="1116" t="n"/>
      <c r="D49" s="581" t="n"/>
      <c r="E49" s="581" t="n"/>
      <c r="F49" s="581" t="n"/>
      <c r="G49" s="1067" t="n"/>
      <c r="H49" s="581" t="n"/>
      <c r="I49" s="581" t="n"/>
      <c r="J49" s="581" t="n"/>
      <c r="K49" s="582" t="n"/>
      <c r="L49" s="581" t="n"/>
      <c r="M49" s="581" t="n"/>
      <c r="N49" s="582" t="n"/>
    </row>
    <row r="50">
      <c r="A50" s="1015" t="n"/>
      <c r="B50" s="530" t="n"/>
      <c r="C50" s="1010" t="n"/>
      <c r="D50" s="530" t="n"/>
      <c r="E50" s="530" t="n"/>
      <c r="F50" s="530" t="n"/>
      <c r="G50" s="1107" t="n"/>
      <c r="H50" s="530" t="n"/>
      <c r="I50" s="1045" t="n"/>
      <c r="J50" s="530" t="n"/>
      <c r="K50" s="1077" t="n"/>
      <c r="L50" s="1018" t="n"/>
      <c r="M50" s="1018" t="n"/>
      <c r="N50" s="1019" t="n"/>
    </row>
    <row r="51">
      <c r="A51" s="1015" t="n"/>
      <c r="B51" s="530" t="n"/>
      <c r="C51" s="1010" t="n"/>
      <c r="D51" s="530" t="n"/>
      <c r="E51" s="530" t="n"/>
      <c r="F51" s="530" t="n"/>
      <c r="G51" s="1035" t="n"/>
      <c r="H51" s="530" t="n"/>
      <c r="I51" s="1045" t="n"/>
      <c r="J51" s="530" t="n"/>
      <c r="K51" s="1071" t="n"/>
      <c r="N51" s="546" t="n"/>
    </row>
    <row r="52">
      <c r="A52" s="1015" t="n"/>
      <c r="B52" s="530" t="n"/>
      <c r="C52" s="1010" t="n"/>
      <c r="D52" s="530" t="n"/>
      <c r="E52" s="530" t="n"/>
      <c r="F52" s="530" t="n"/>
      <c r="G52" s="1035" t="n"/>
      <c r="H52" s="530" t="n"/>
      <c r="I52" s="1045" t="n"/>
      <c r="J52" s="530" t="n"/>
      <c r="K52" s="1071" t="n"/>
      <c r="N52" s="546" t="n"/>
    </row>
    <row r="53">
      <c r="A53" s="1026" t="n"/>
      <c r="B53" s="530" t="n"/>
      <c r="C53" s="1042" t="n"/>
      <c r="D53" s="530" t="n"/>
      <c r="E53" s="530" t="n"/>
      <c r="F53" s="530" t="n"/>
      <c r="G53" s="1035" t="n"/>
      <c r="H53" s="530" t="n"/>
      <c r="I53" s="530" t="n"/>
      <c r="J53" s="530" t="n"/>
      <c r="K53" s="1059" t="n"/>
      <c r="N53" s="546" t="n"/>
    </row>
    <row r="54">
      <c r="A54" s="1026" t="n"/>
      <c r="B54" s="530" t="n"/>
      <c r="C54" s="1042" t="n"/>
      <c r="D54" s="530" t="n"/>
      <c r="E54" s="530" t="n"/>
      <c r="F54" s="530" t="n"/>
      <c r="G54" s="1035" t="n"/>
      <c r="H54" s="530" t="n"/>
      <c r="I54" s="530" t="n"/>
      <c r="J54" s="530" t="n"/>
      <c r="K54" s="1059" t="n"/>
      <c r="N54" s="546" t="n"/>
    </row>
    <row r="55">
      <c r="A55" s="1026" t="n"/>
      <c r="B55" s="530" t="n"/>
      <c r="C55" s="1042" t="n"/>
      <c r="D55" s="530" t="n"/>
      <c r="E55" s="530" t="n"/>
      <c r="F55" s="530" t="n"/>
      <c r="G55" s="1035" t="n"/>
      <c r="H55" s="530" t="n"/>
      <c r="I55" s="530" t="n"/>
      <c r="J55" s="530" t="n"/>
      <c r="K55" s="1059" t="n"/>
      <c r="N55" s="546" t="n"/>
    </row>
    <row r="56">
      <c r="A56" s="1026" t="n"/>
      <c r="B56" s="530" t="n"/>
      <c r="C56" s="1042" t="n"/>
      <c r="D56" s="530" t="n"/>
      <c r="E56" s="530" t="n"/>
      <c r="F56" s="530" t="n"/>
      <c r="G56" s="1035" t="n"/>
      <c r="H56" s="530" t="n"/>
      <c r="I56" s="530" t="n"/>
      <c r="J56" s="530" t="n"/>
      <c r="K56" s="1059" t="n"/>
      <c r="N56" s="546" t="n"/>
    </row>
    <row r="57">
      <c r="A57" s="1026" t="n"/>
      <c r="B57" s="530" t="n"/>
      <c r="C57" s="1042" t="n"/>
      <c r="D57" s="530" t="n"/>
      <c r="E57" s="530" t="n"/>
      <c r="F57" s="530" t="n"/>
      <c r="G57" s="1035" t="n"/>
      <c r="H57" s="530" t="n"/>
      <c r="I57" s="530" t="n"/>
      <c r="J57" s="530" t="n"/>
      <c r="K57" s="1059" t="n"/>
      <c r="N57" s="546" t="n"/>
    </row>
    <row r="58" ht="15.75" customHeight="1" s="1223">
      <c r="A58" s="1083" t="inlineStr">
        <is>
          <t>AVANCE FINANCIERO Y ADMINISTRATIVO</t>
        </is>
      </c>
      <c r="N58" s="1054" t="n"/>
    </row>
    <row r="59" ht="15" customHeight="1" s="1223">
      <c r="A59" s="1076" t="inlineStr">
        <is>
          <t>INGRESOS DEL PERÍODO</t>
        </is>
      </c>
      <c r="B59" s="530" t="n"/>
      <c r="C59" s="530" t="n"/>
      <c r="D59" s="530" t="n"/>
      <c r="E59" s="530" t="n"/>
      <c r="F59" s="530" t="n"/>
      <c r="G59" s="272" t="n"/>
      <c r="H59" s="1103" t="inlineStr">
        <is>
          <t>EGRESOS / GASTOS DEL PERÍODO</t>
        </is>
      </c>
      <c r="N59" s="546" t="n"/>
    </row>
    <row r="60" ht="15" customHeight="1" s="1223">
      <c r="A60" s="1078" t="inlineStr">
        <is>
          <t>CONCEPTO</t>
        </is>
      </c>
      <c r="B60" s="1079" t="n"/>
      <c r="C60" s="1079" t="n"/>
      <c r="D60" s="270" t="inlineStr">
        <is>
          <t>FECHA</t>
        </is>
      </c>
      <c r="E60" s="1119" t="inlineStr">
        <is>
          <t>VALOR ($)</t>
        </is>
      </c>
      <c r="F60" s="1079" t="n"/>
      <c r="G60" s="271" t="n"/>
      <c r="H60" s="1057" t="inlineStr">
        <is>
          <t>CONCEPTO</t>
        </is>
      </c>
      <c r="I60" s="632" t="n"/>
      <c r="J60" s="632" t="n"/>
      <c r="K60" s="1057" t="inlineStr">
        <is>
          <t>FECHA</t>
        </is>
      </c>
      <c r="L60" s="632" t="n"/>
      <c r="M60" s="1027" t="inlineStr">
        <is>
          <t>VALOR ($)</t>
        </is>
      </c>
      <c r="N60" s="1028" t="n"/>
    </row>
    <row r="61">
      <c r="A61" s="1087" t="n"/>
      <c r="B61" s="1088" t="n"/>
      <c r="C61" s="1089" t="n"/>
      <c r="D61" s="268" t="n"/>
      <c r="E61" s="1104" t="n"/>
      <c r="F61" s="1089" t="n"/>
      <c r="G61" s="269" t="n"/>
      <c r="H61" s="1087" t="n"/>
      <c r="I61" s="1088" t="n"/>
      <c r="J61" s="1089" t="n"/>
      <c r="K61" s="1121" t="n"/>
      <c r="L61" s="1089" t="n"/>
      <c r="M61" s="1122" t="n"/>
      <c r="N61" s="1089" t="n"/>
    </row>
    <row r="62">
      <c r="A62" s="1038" t="n"/>
      <c r="B62" s="530" t="n"/>
      <c r="C62" s="654" t="n"/>
      <c r="D62" s="1038" t="n"/>
      <c r="E62" s="1014" t="n"/>
      <c r="F62" s="654" t="n"/>
      <c r="G62" s="267" t="n"/>
      <c r="H62" s="1038" t="n"/>
      <c r="I62" s="530" t="n"/>
      <c r="J62" s="654" t="n"/>
      <c r="K62" s="1061" t="n"/>
      <c r="L62" s="654" t="n"/>
      <c r="M62" s="1049" t="n"/>
      <c r="N62" s="654" t="n"/>
    </row>
    <row r="63">
      <c r="A63" s="1038" t="n"/>
      <c r="B63" s="530" t="n"/>
      <c r="C63" s="654" t="n"/>
      <c r="D63" s="1038" t="n"/>
      <c r="E63" s="1014" t="n"/>
      <c r="F63" s="654" t="n"/>
      <c r="G63" s="267" t="n"/>
      <c r="H63" s="1038" t="n"/>
      <c r="I63" s="530" t="n"/>
      <c r="J63" s="654" t="n"/>
      <c r="K63" s="1061" t="n"/>
      <c r="L63" s="654" t="n"/>
      <c r="M63" s="1049" t="n"/>
      <c r="N63" s="654" t="n"/>
    </row>
    <row r="64">
      <c r="A64" s="1038" t="n"/>
      <c r="B64" s="530" t="n"/>
      <c r="C64" s="654" t="n"/>
      <c r="D64" s="1038" t="n"/>
      <c r="E64" s="1014" t="n"/>
      <c r="F64" s="654" t="n"/>
      <c r="G64" s="267" t="n"/>
      <c r="H64" s="1038" t="n"/>
      <c r="I64" s="530" t="n"/>
      <c r="J64" s="654" t="n"/>
      <c r="K64" s="1061" t="n"/>
      <c r="L64" s="654" t="n"/>
      <c r="M64" s="1049" t="n"/>
      <c r="N64" s="654" t="n"/>
    </row>
    <row r="65">
      <c r="A65" s="1038" t="n"/>
      <c r="B65" s="530" t="n"/>
      <c r="C65" s="654" t="n"/>
      <c r="D65" s="1038" t="n"/>
      <c r="E65" s="1014" t="n"/>
      <c r="F65" s="654" t="n"/>
      <c r="G65" s="267" t="n"/>
      <c r="H65" s="1038" t="n"/>
      <c r="I65" s="530" t="n"/>
      <c r="J65" s="654" t="n"/>
      <c r="K65" s="1105" t="n"/>
      <c r="L65" s="1030" t="n"/>
      <c r="M65" s="1069" t="n"/>
      <c r="N65" s="1030" t="n"/>
    </row>
    <row r="66" ht="15" customHeight="1" s="1223">
      <c r="A66" s="1123" t="inlineStr">
        <is>
          <t>TOTAL INGRESOS</t>
        </is>
      </c>
      <c r="B66" s="530" t="n"/>
      <c r="C66" s="530" t="n"/>
      <c r="D66" s="530" t="n"/>
      <c r="E66" s="1081">
        <f>SUM(E61:F65)</f>
        <v/>
      </c>
      <c r="F66" s="530" t="n"/>
      <c r="G66" s="264" t="n"/>
      <c r="H66" s="1044" t="inlineStr">
        <is>
          <t>TOTAL EGRESOS</t>
        </is>
      </c>
      <c r="M66" s="1080">
        <f>SUM(M61:N65)</f>
        <v/>
      </c>
      <c r="N66" s="546" t="n"/>
    </row>
    <row r="67" ht="15" customHeight="1" s="1223">
      <c r="A67" s="1075" t="inlineStr">
        <is>
          <t>BALANCE DEL PERÍODO (INGRESOS - EGRESOS)</t>
        </is>
      </c>
      <c r="B67" s="581" t="n"/>
      <c r="C67" s="581" t="n"/>
      <c r="D67" s="581" t="n"/>
      <c r="E67" s="581" t="n"/>
      <c r="F67" s="581" t="n"/>
      <c r="G67" s="581" t="n"/>
      <c r="H67" s="581" t="n"/>
      <c r="I67" s="581" t="n"/>
      <c r="J67" s="581" t="n"/>
      <c r="K67" s="581" t="n"/>
      <c r="L67" s="581" t="n"/>
      <c r="M67" s="1090">
        <f>E66-M66</f>
        <v/>
      </c>
      <c r="N67" s="582" t="n"/>
    </row>
    <row r="68" ht="25.05" customHeight="1" s="1223">
      <c r="A68" s="1102" t="inlineStr">
        <is>
          <t>PRESUPUESTO EJECUTADO ACUMULADO ($)</t>
        </is>
      </c>
      <c r="B68" s="1092" t="n"/>
      <c r="C68" s="1092" t="n"/>
      <c r="D68" s="1092" t="n"/>
      <c r="E68" s="1092" t="n"/>
      <c r="F68" s="1092" t="n"/>
      <c r="G68" s="1091">
        <f>J46</f>
        <v/>
      </c>
      <c r="H68" s="1092" t="n"/>
      <c r="I68" s="1092" t="n"/>
      <c r="J68" s="1108" t="inlineStr">
        <is>
          <t>% EJECUTADO vs PRESUPUESTO</t>
        </is>
      </c>
      <c r="K68" s="1092" t="n"/>
      <c r="L68" s="1109" t="n"/>
      <c r="M68" s="1084">
        <f>IFERROR(J46/$L$14,0)</f>
        <v/>
      </c>
      <c r="N68" s="1085" t="n"/>
    </row>
    <row r="69" ht="15.75" customHeight="1" s="1223">
      <c r="A69" s="1065" t="inlineStr">
        <is>
          <t>ASPECTOS HSE Y AMBIENTALES</t>
        </is>
      </c>
      <c r="N69" s="546" t="n"/>
    </row>
    <row r="70" ht="15" customHeight="1" s="1223">
      <c r="A70" s="1114" t="inlineStr">
        <is>
          <t>HORAS HOMBRE TRABAJADAS</t>
        </is>
      </c>
      <c r="B70" s="1079" t="n"/>
      <c r="C70" s="1079" t="n"/>
      <c r="D70" s="1079" t="n"/>
      <c r="E70" s="1079" t="n"/>
      <c r="F70" s="1079" t="n"/>
      <c r="G70" s="1079" t="n"/>
      <c r="H70" s="1079" t="n"/>
      <c r="I70" s="1079" t="n"/>
      <c r="J70" s="1079" t="n"/>
      <c r="K70" s="1079" t="n"/>
      <c r="L70" s="1079" t="n"/>
      <c r="M70" s="1079" t="n"/>
      <c r="N70" s="1115" t="n"/>
    </row>
    <row r="71">
      <c r="A71" s="1043" t="n"/>
      <c r="N71" s="546" t="n"/>
    </row>
    <row r="72" ht="15" customHeight="1" s="1223">
      <c r="A72" s="1106" t="inlineStr">
        <is>
          <t>OBSERVACIONES HSE</t>
        </is>
      </c>
      <c r="B72" s="528" t="n"/>
      <c r="C72" s="528" t="n"/>
      <c r="D72" s="528" t="n"/>
      <c r="E72" s="528" t="n"/>
      <c r="F72" s="528" t="n"/>
      <c r="G72" s="528" t="n"/>
      <c r="H72" s="528" t="n"/>
      <c r="I72" s="528" t="n"/>
      <c r="J72" s="528" t="n"/>
      <c r="K72" s="528" t="n"/>
      <c r="L72" s="528" t="n"/>
      <c r="M72" s="528" t="n"/>
      <c r="N72" s="565" t="n"/>
    </row>
    <row r="73">
      <c r="A73" s="1111" t="n"/>
      <c r="B73" s="684" t="n"/>
      <c r="C73" s="684" t="n"/>
      <c r="D73" s="684" t="n"/>
      <c r="E73" s="684" t="n"/>
      <c r="F73" s="684" t="n"/>
      <c r="G73" s="684" t="n"/>
      <c r="H73" s="684" t="n"/>
      <c r="I73" s="684" t="n"/>
      <c r="J73" s="684" t="n"/>
      <c r="K73" s="684" t="n"/>
      <c r="L73" s="684" t="n"/>
      <c r="M73" s="684" t="n"/>
      <c r="N73" s="1112" t="n"/>
    </row>
    <row r="74">
      <c r="A74" s="1025" t="n"/>
      <c r="B74" s="530" t="n"/>
      <c r="C74" s="530" t="n"/>
      <c r="D74" s="530" t="n"/>
      <c r="E74" s="530" t="n"/>
      <c r="F74" s="530" t="n"/>
      <c r="G74" s="530" t="n"/>
      <c r="H74" s="530" t="n"/>
      <c r="I74" s="530" t="n"/>
      <c r="J74" s="530" t="n"/>
      <c r="K74" s="530" t="n"/>
      <c r="L74" s="530" t="n"/>
      <c r="M74" s="530" t="n"/>
      <c r="N74" s="579" t="n"/>
    </row>
    <row r="75">
      <c r="A75" s="1025" t="n"/>
      <c r="B75" s="530" t="n"/>
      <c r="C75" s="530" t="n"/>
      <c r="D75" s="530" t="n"/>
      <c r="E75" s="530" t="n"/>
      <c r="F75" s="530" t="n"/>
      <c r="G75" s="530" t="n"/>
      <c r="H75" s="530" t="n"/>
      <c r="I75" s="530" t="n"/>
      <c r="J75" s="530" t="n"/>
      <c r="K75" s="530" t="n"/>
      <c r="L75" s="530" t="n"/>
      <c r="M75" s="530" t="n"/>
      <c r="N75" s="579" t="n"/>
    </row>
    <row r="76">
      <c r="A76" s="1025" t="n"/>
      <c r="B76" s="530" t="n"/>
      <c r="C76" s="530" t="n"/>
      <c r="D76" s="530" t="n"/>
      <c r="E76" s="530" t="n"/>
      <c r="F76" s="530" t="n"/>
      <c r="G76" s="530" t="n"/>
      <c r="H76" s="530" t="n"/>
      <c r="I76" s="530" t="n"/>
      <c r="J76" s="530" t="n"/>
      <c r="K76" s="530" t="n"/>
      <c r="L76" s="530" t="n"/>
      <c r="M76" s="530" t="n"/>
      <c r="N76" s="579" t="n"/>
    </row>
    <row r="77" ht="15" customHeight="1" s="1223">
      <c r="A77" s="1058" t="inlineStr">
        <is>
          <t>ASPECTOS AMBIENTALES / NO CONFORMIDADES</t>
        </is>
      </c>
      <c r="B77" s="530" t="n"/>
      <c r="C77" s="530" t="n"/>
      <c r="D77" s="530" t="n"/>
      <c r="E77" s="530" t="n"/>
      <c r="F77" s="530" t="n"/>
      <c r="G77" s="530" t="n"/>
      <c r="H77" s="530" t="n"/>
      <c r="I77" s="530" t="n"/>
      <c r="J77" s="530" t="n"/>
      <c r="K77" s="530" t="n"/>
      <c r="L77" s="530" t="n"/>
      <c r="M77" s="530" t="n"/>
      <c r="N77" s="579" t="n"/>
    </row>
    <row r="78">
      <c r="A78" s="1025" t="n"/>
      <c r="B78" s="530" t="n"/>
      <c r="C78" s="530" t="n"/>
      <c r="D78" s="530" t="n"/>
      <c r="E78" s="530" t="n"/>
      <c r="F78" s="530" t="n"/>
      <c r="G78" s="530" t="n"/>
      <c r="H78" s="530" t="n"/>
      <c r="I78" s="530" t="n"/>
      <c r="J78" s="530" t="n"/>
      <c r="K78" s="530" t="n"/>
      <c r="L78" s="530" t="n"/>
      <c r="M78" s="530" t="n"/>
      <c r="N78" s="579" t="n"/>
    </row>
    <row r="79">
      <c r="A79" s="1025" t="n"/>
      <c r="B79" s="530" t="n"/>
      <c r="C79" s="530" t="n"/>
      <c r="D79" s="530" t="n"/>
      <c r="E79" s="530" t="n"/>
      <c r="F79" s="530" t="n"/>
      <c r="G79" s="530" t="n"/>
      <c r="H79" s="530" t="n"/>
      <c r="I79" s="530" t="n"/>
      <c r="J79" s="530" t="n"/>
      <c r="K79" s="530" t="n"/>
      <c r="L79" s="530" t="n"/>
      <c r="M79" s="530" t="n"/>
      <c r="N79" s="579" t="n"/>
    </row>
    <row r="80">
      <c r="A80" s="1110" t="inlineStr">
        <is>
          <t>INSERTAR FOTOGRAFÍA</t>
        </is>
      </c>
      <c r="B80" s="1018" t="n"/>
      <c r="C80" s="1018" t="n"/>
      <c r="D80" s="1018" t="n"/>
      <c r="E80" s="1018" t="n"/>
      <c r="F80" s="1018" t="n"/>
      <c r="G80" s="1030" t="n"/>
      <c r="H80" s="1062" t="inlineStr">
        <is>
          <t>INSERTAR FOTOGRAFÍA</t>
        </is>
      </c>
      <c r="I80" s="1018" t="n"/>
      <c r="J80" s="1018" t="n"/>
      <c r="K80" s="1018" t="n"/>
      <c r="L80" s="1018" t="n"/>
      <c r="M80" s="1018" t="n"/>
      <c r="N80" s="1019" t="n"/>
    </row>
    <row r="81">
      <c r="A81" s="1020" t="n"/>
      <c r="G81" s="1054" t="n"/>
      <c r="H81" s="1020" t="n"/>
      <c r="N81" s="546" t="n"/>
    </row>
    <row r="82" ht="15" customHeight="1" s="1223">
      <c r="A82" s="1020" t="n"/>
      <c r="G82" s="1054" t="n"/>
      <c r="H82" s="1020" t="n"/>
      <c r="N82" s="546" t="n"/>
    </row>
    <row r="83">
      <c r="A83" s="1020" t="n"/>
      <c r="G83" s="1054" t="n"/>
      <c r="H83" s="1020" t="n"/>
      <c r="N83" s="546" t="n"/>
    </row>
    <row r="84">
      <c r="A84" s="1020" t="n"/>
      <c r="G84" s="1054" t="n"/>
      <c r="H84" s="1020" t="n"/>
      <c r="N84" s="546" t="n"/>
    </row>
    <row r="85">
      <c r="A85" s="1020" t="n"/>
      <c r="G85" s="1054" t="n"/>
      <c r="H85" s="1020" t="n"/>
      <c r="N85" s="546" t="n"/>
    </row>
    <row r="86">
      <c r="A86" s="1020" t="n"/>
      <c r="G86" s="1054" t="n"/>
      <c r="H86" s="1020" t="n"/>
      <c r="N86" s="546" t="n"/>
    </row>
    <row r="87" ht="15.75" customHeight="1" s="1223">
      <c r="A87" s="1020" t="n"/>
      <c r="G87" s="1054" t="n"/>
      <c r="H87" s="1020" t="n"/>
      <c r="N87" s="546" t="n"/>
    </row>
    <row r="88">
      <c r="A88" s="1020" t="n"/>
      <c r="G88" s="1054" t="n"/>
      <c r="H88" s="1020" t="n"/>
      <c r="N88" s="546" t="n"/>
    </row>
    <row r="89">
      <c r="A89" s="1020" t="n"/>
      <c r="G89" s="1054" t="n"/>
      <c r="H89" s="1020" t="n"/>
      <c r="N89" s="546" t="n"/>
    </row>
    <row r="90">
      <c r="A90" s="1020" t="n"/>
      <c r="G90" s="1054" t="n"/>
      <c r="H90" s="1020" t="n"/>
      <c r="N90" s="546" t="n"/>
    </row>
    <row r="91">
      <c r="A91" s="1020" t="n"/>
      <c r="G91" s="1054" t="n"/>
      <c r="H91" s="1020" t="n"/>
      <c r="N91" s="546" t="n"/>
    </row>
    <row r="92">
      <c r="A92" s="1020" t="n"/>
      <c r="G92" s="1054" t="n"/>
      <c r="H92" s="1020" t="n"/>
      <c r="N92" s="546" t="n"/>
    </row>
    <row r="93">
      <c r="A93" s="1020" t="n"/>
      <c r="G93" s="1054" t="n"/>
      <c r="H93" s="1020" t="n"/>
      <c r="N93" s="546" t="n"/>
    </row>
    <row r="94">
      <c r="A94" s="1020" t="n"/>
      <c r="G94" s="1054" t="n"/>
      <c r="H94" s="1020" t="n"/>
      <c r="N94" s="546" t="n"/>
    </row>
    <row r="95">
      <c r="A95" s="1031" t="n"/>
      <c r="B95" s="581" t="n"/>
      <c r="C95" s="581" t="n"/>
      <c r="D95" s="581" t="n"/>
      <c r="E95" s="581" t="n"/>
      <c r="F95" s="581" t="n"/>
      <c r="G95" s="1032" t="n"/>
      <c r="H95" s="1031" t="n"/>
      <c r="I95" s="581" t="n"/>
      <c r="J95" s="581" t="n"/>
      <c r="K95" s="581" t="n"/>
      <c r="L95" s="581" t="n"/>
      <c r="M95" s="581" t="n"/>
      <c r="N95" s="582" t="n"/>
    </row>
    <row r="96">
      <c r="A96" s="1117" t="inlineStr">
        <is>
          <t>INSERTAR FOTOGRAFÍA</t>
        </is>
      </c>
      <c r="B96" s="1018" t="n"/>
      <c r="C96" s="1018" t="n"/>
      <c r="D96" s="1018" t="n"/>
      <c r="E96" s="1018" t="n"/>
      <c r="F96" s="1018" t="n"/>
      <c r="G96" s="1030" t="n"/>
      <c r="H96" s="1017" t="inlineStr">
        <is>
          <t>INSERTAR FOTOGRAFÍA</t>
        </is>
      </c>
      <c r="I96" s="1018" t="n"/>
      <c r="J96" s="1018" t="n"/>
      <c r="K96" s="1018" t="n"/>
      <c r="L96" s="1018" t="n"/>
      <c r="M96" s="1018" t="n"/>
      <c r="N96" s="1019" t="n"/>
    </row>
    <row r="97">
      <c r="A97" s="1020" t="n"/>
      <c r="G97" s="1054" t="n"/>
      <c r="H97" s="1020" t="n"/>
      <c r="N97" s="546" t="n"/>
    </row>
    <row r="98">
      <c r="A98" s="1020" t="n"/>
      <c r="G98" s="1054" t="n"/>
      <c r="H98" s="1020" t="n"/>
      <c r="N98" s="546" t="n"/>
    </row>
    <row r="99">
      <c r="A99" s="1020" t="n"/>
      <c r="G99" s="1054" t="n"/>
      <c r="H99" s="1020" t="n"/>
      <c r="N99" s="546" t="n"/>
    </row>
    <row r="100">
      <c r="A100" s="1020" t="n"/>
      <c r="G100" s="1054" t="n"/>
      <c r="H100" s="1020" t="n"/>
      <c r="N100" s="546" t="n"/>
    </row>
    <row r="101">
      <c r="A101" s="1020" t="n"/>
      <c r="G101" s="1054" t="n"/>
      <c r="H101" s="1020" t="n"/>
      <c r="N101" s="546" t="n"/>
    </row>
    <row r="102">
      <c r="A102" s="1020" t="n"/>
      <c r="G102" s="1054" t="n"/>
      <c r="H102" s="1020" t="n"/>
      <c r="N102" s="546" t="n"/>
    </row>
    <row r="103">
      <c r="A103" s="1020" t="n"/>
      <c r="G103" s="1054" t="n"/>
      <c r="H103" s="1020" t="n"/>
      <c r="N103" s="546" t="n"/>
    </row>
    <row r="104" ht="14.4" customHeight="1" s="1223">
      <c r="A104" s="1020" t="n"/>
      <c r="G104" s="1054" t="n"/>
      <c r="H104" s="1020" t="n"/>
      <c r="N104" s="546" t="n"/>
    </row>
    <row r="105">
      <c r="A105" s="1020" t="n"/>
      <c r="G105" s="1054" t="n"/>
      <c r="H105" s="1020" t="n"/>
      <c r="N105" s="546" t="n"/>
    </row>
    <row r="106">
      <c r="A106" s="1020" t="n"/>
      <c r="G106" s="1054" t="n"/>
      <c r="H106" s="1020" t="n"/>
      <c r="N106" s="546" t="n"/>
    </row>
    <row r="107">
      <c r="A107" s="1020" t="n"/>
      <c r="G107" s="1054" t="n"/>
      <c r="H107" s="1020" t="n"/>
      <c r="N107" s="546" t="n"/>
    </row>
    <row r="108">
      <c r="A108" s="1020" t="n"/>
      <c r="G108" s="1054" t="n"/>
      <c r="H108" s="1020" t="n"/>
      <c r="N108" s="546" t="n"/>
    </row>
    <row r="109">
      <c r="A109" s="1020" t="n"/>
      <c r="G109" s="1054" t="n"/>
      <c r="H109" s="1020" t="n"/>
      <c r="N109" s="546" t="n"/>
    </row>
    <row r="110">
      <c r="A110" s="1020" t="n"/>
      <c r="G110" s="1054" t="n"/>
      <c r="H110" s="1020" t="n"/>
      <c r="N110" s="546" t="n"/>
    </row>
    <row r="111">
      <c r="A111" s="1021" t="n"/>
      <c r="B111" s="596" t="n"/>
      <c r="C111" s="596" t="n"/>
      <c r="D111" s="596" t="n"/>
      <c r="E111" s="596" t="n"/>
      <c r="F111" s="596" t="n"/>
      <c r="G111" s="1118" t="n"/>
      <c r="H111" s="1021" t="n"/>
      <c r="I111" s="596" t="n"/>
      <c r="J111" s="596" t="n"/>
      <c r="K111" s="596" t="n"/>
      <c r="L111" s="596" t="n"/>
      <c r="M111" s="596" t="n"/>
      <c r="N111" s="730" t="n"/>
    </row>
    <row r="112">
      <c r="A112" s="1113" t="n"/>
      <c r="H112" s="1099" t="n"/>
      <c r="N112" s="546" t="n"/>
    </row>
    <row r="113">
      <c r="A113" s="1073" t="inlineStr">
        <is>
          <t>FIRMAS</t>
        </is>
      </c>
      <c r="B113" s="650" t="n"/>
      <c r="C113" s="650" t="n"/>
      <c r="D113" s="650" t="n"/>
      <c r="E113" s="650" t="n"/>
      <c r="F113" s="650" t="n"/>
      <c r="G113" s="650" t="n"/>
      <c r="H113" s="650" t="n"/>
      <c r="I113" s="650" t="n"/>
      <c r="J113" s="650" t="n"/>
      <c r="K113" s="650" t="n"/>
      <c r="L113" s="650" t="n"/>
      <c r="M113" s="650" t="n"/>
      <c r="N113" s="1074" t="n"/>
    </row>
    <row r="114">
      <c r="A114" s="1033" t="inlineStr">
        <is>
          <t>ELABORADO POR</t>
        </is>
      </c>
      <c r="D114" s="1034" t="n"/>
      <c r="E114" s="1070" t="inlineStr">
        <is>
          <t>REVISADO POR</t>
        </is>
      </c>
      <c r="I114" s="1034" t="n"/>
      <c r="J114" s="1048" t="inlineStr">
        <is>
          <t>APROBADO POR</t>
        </is>
      </c>
      <c r="N114" s="546" t="n"/>
    </row>
    <row r="115">
      <c r="A115" s="1022" t="inlineStr">
        <is>
          <t>FIRMA:</t>
        </is>
      </c>
      <c r="B115" s="1029" t="n"/>
      <c r="C115" s="1018" t="n"/>
      <c r="D115" s="1030" t="n"/>
      <c r="E115" s="1022" t="inlineStr">
        <is>
          <t>FIRMA:</t>
        </is>
      </c>
      <c r="F115" s="1029" t="n"/>
      <c r="G115" s="1018" t="n"/>
      <c r="H115" s="1018" t="n"/>
      <c r="I115" s="1030" t="n"/>
      <c r="J115" s="1022" t="inlineStr">
        <is>
          <t>FIRMA:</t>
        </is>
      </c>
      <c r="K115" s="1093" t="n"/>
      <c r="N115" s="546" t="n"/>
    </row>
    <row r="116">
      <c r="A116" s="1023" t="n"/>
      <c r="B116" s="1031" t="n"/>
      <c r="C116" s="581" t="n"/>
      <c r="D116" s="1032" t="n"/>
      <c r="E116" s="1023" t="n"/>
      <c r="F116" s="1031" t="n"/>
      <c r="G116" s="581" t="n"/>
      <c r="H116" s="581" t="n"/>
      <c r="I116" s="1032" t="n"/>
      <c r="J116" s="1023" t="n"/>
      <c r="K116" s="1020" t="n"/>
      <c r="N116" s="546" t="n"/>
    </row>
    <row r="117">
      <c r="A117" s="1022" t="inlineStr">
        <is>
          <t>NOMBRE:</t>
        </is>
      </c>
      <c r="B117" s="1029" t="n"/>
      <c r="C117" s="1018" t="n"/>
      <c r="D117" s="1030" t="n"/>
      <c r="E117" s="1022" t="inlineStr">
        <is>
          <t>NOMBRE:</t>
        </is>
      </c>
      <c r="F117" s="1029" t="n"/>
      <c r="G117" s="1018" t="n"/>
      <c r="H117" s="1018" t="n"/>
      <c r="I117" s="1030" t="n"/>
      <c r="J117" s="1022" t="inlineStr">
        <is>
          <t>NOMBRE:</t>
        </is>
      </c>
      <c r="K117" s="1093" t="n"/>
      <c r="N117" s="546" t="n"/>
    </row>
    <row r="118">
      <c r="A118" s="1023" t="n"/>
      <c r="B118" s="1031" t="n"/>
      <c r="C118" s="581" t="n"/>
      <c r="D118" s="1032" t="n"/>
      <c r="E118" s="1023" t="n"/>
      <c r="F118" s="1031" t="n"/>
      <c r="G118" s="581" t="n"/>
      <c r="H118" s="581" t="n"/>
      <c r="I118" s="1032" t="n"/>
      <c r="J118" s="1023" t="n"/>
      <c r="K118" s="1020" t="n"/>
      <c r="N118" s="546" t="n"/>
    </row>
    <row r="119">
      <c r="A119" s="1022" t="inlineStr">
        <is>
          <t>CARGO:</t>
        </is>
      </c>
      <c r="B119" s="1029" t="n"/>
      <c r="C119" s="1018" t="n"/>
      <c r="D119" s="1030" t="n"/>
      <c r="E119" s="1022" t="inlineStr">
        <is>
          <t>CARGO:</t>
        </is>
      </c>
      <c r="F119" s="1029" t="n"/>
      <c r="G119" s="1018" t="n"/>
      <c r="H119" s="1018" t="n"/>
      <c r="I119" s="1030" t="n"/>
      <c r="J119" s="1022" t="inlineStr">
        <is>
          <t>CARGO:</t>
        </is>
      </c>
      <c r="K119" s="1063" t="n"/>
      <c r="N119" s="546" t="n"/>
    </row>
    <row r="120">
      <c r="A120" s="1023" t="n"/>
      <c r="B120" s="1031" t="n"/>
      <c r="C120" s="581" t="n"/>
      <c r="D120" s="1032" t="n"/>
      <c r="E120" s="1023" t="n"/>
      <c r="F120" s="1031" t="n"/>
      <c r="G120" s="581" t="n"/>
      <c r="H120" s="581" t="n"/>
      <c r="I120" s="1032" t="n"/>
      <c r="J120" s="1023" t="n"/>
      <c r="K120" s="1021" t="n"/>
      <c r="L120" s="596" t="n"/>
      <c r="M120" s="596" t="n"/>
      <c r="N120" s="730" t="n"/>
    </row>
    <row r="121">
      <c r="A121" s="208" t="inlineStr">
        <is>
          <t>REV. 10/09/2026</t>
        </is>
      </c>
      <c r="B121" s="26" t="n"/>
      <c r="C121" s="26" t="n"/>
      <c r="D121" s="26" t="n"/>
      <c r="E121" s="26" t="n"/>
      <c r="F121" s="26" t="n"/>
      <c r="G121" s="26" t="n"/>
      <c r="H121" s="26" t="n"/>
      <c r="I121" s="26" t="n"/>
      <c r="J121" s="26" t="n"/>
      <c r="K121" s="26" t="n"/>
      <c r="L121" s="26" t="n"/>
      <c r="M121" s="26" t="n"/>
      <c r="N121" s="340">
        <f>M8</f>
        <v/>
      </c>
    </row>
    <row r="122">
      <c r="A122" s="7" t="n"/>
    </row>
  </sheetData>
  <mergeCells count="220">
    <mergeCell ref="C52:F52"/>
    <mergeCell ref="K48:N48"/>
    <mergeCell ref="A37:C37"/>
    <mergeCell ref="A46:C46"/>
    <mergeCell ref="E62:F62"/>
    <mergeCell ref="A51:B51"/>
    <mergeCell ref="A21:C21"/>
    <mergeCell ref="H96:N11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G48:H48"/>
    <mergeCell ref="K64:L64"/>
    <mergeCell ref="H80:N95"/>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J37:N37"/>
    <mergeCell ref="C57:F57"/>
    <mergeCell ref="G68:I68"/>
    <mergeCell ref="K60:L60"/>
    <mergeCell ref="A42:C42"/>
    <mergeCell ref="C53:F53"/>
    <mergeCell ref="J30:N30"/>
    <mergeCell ref="K115:N116"/>
    <mergeCell ref="M11:N11"/>
    <mergeCell ref="H65:J65"/>
    <mergeCell ref="J22:N23"/>
    <mergeCell ref="A62:C62"/>
    <mergeCell ref="G20:I20"/>
    <mergeCell ref="A20:C20"/>
    <mergeCell ref="H112:N112"/>
    <mergeCell ref="A55:B55"/>
    <mergeCell ref="A28:C28"/>
    <mergeCell ref="A18:N18"/>
    <mergeCell ref="K54:N54"/>
    <mergeCell ref="A68:F68"/>
    <mergeCell ref="A57:B57"/>
    <mergeCell ref="K55:N55"/>
    <mergeCell ref="J32:N32"/>
    <mergeCell ref="K117:N118"/>
    <mergeCell ref="H59:N59"/>
    <mergeCell ref="J41:N41"/>
    <mergeCell ref="E61:F61"/>
    <mergeCell ref="A47:N47"/>
    <mergeCell ref="A30:C30"/>
    <mergeCell ref="E10:K10"/>
    <mergeCell ref="J115:J116"/>
    <mergeCell ref="D20:F20"/>
    <mergeCell ref="I15:K15"/>
    <mergeCell ref="G21:I21"/>
    <mergeCell ref="A64:C64"/>
    <mergeCell ref="G51:H51"/>
    <mergeCell ref="H63:J63"/>
    <mergeCell ref="I51:J51"/>
    <mergeCell ref="G54:H54"/>
    <mergeCell ref="J43:N43"/>
    <mergeCell ref="K65:L65"/>
    <mergeCell ref="A61:C61"/>
    <mergeCell ref="A72:N72"/>
    <mergeCell ref="E15:H15"/>
    <mergeCell ref="G50:H50"/>
    <mergeCell ref="I50:J50"/>
    <mergeCell ref="C51:F51"/>
    <mergeCell ref="J33:N33"/>
    <mergeCell ref="J68:L68"/>
    <mergeCell ref="G56:H56"/>
    <mergeCell ref="A14:D14"/>
    <mergeCell ref="I16:K16"/>
    <mergeCell ref="A80:G95"/>
    <mergeCell ref="A41:C41"/>
    <mergeCell ref="C48:F48"/>
    <mergeCell ref="G52:H52"/>
    <mergeCell ref="I49:J49"/>
    <mergeCell ref="A27:C27"/>
    <mergeCell ref="A73:N73"/>
    <mergeCell ref="A112:G112"/>
    <mergeCell ref="K57:N57"/>
    <mergeCell ref="I22:I23"/>
    <mergeCell ref="A70:N70"/>
    <mergeCell ref="J34:N34"/>
    <mergeCell ref="A33:C33"/>
    <mergeCell ref="C49:F49"/>
    <mergeCell ref="A96:G111"/>
    <mergeCell ref="G53:H53"/>
    <mergeCell ref="I53:J53"/>
    <mergeCell ref="J36:N36"/>
    <mergeCell ref="E60:F60"/>
    <mergeCell ref="A35:C35"/>
    <mergeCell ref="J45:N45"/>
    <mergeCell ref="A74:N74"/>
    <mergeCell ref="A50:B50"/>
    <mergeCell ref="H62:J62"/>
    <mergeCell ref="E119:E120"/>
    <mergeCell ref="I55:J55"/>
    <mergeCell ref="A76:N76"/>
    <mergeCell ref="A39:C39"/>
    <mergeCell ref="K61:L61"/>
    <mergeCell ref="M61:N61"/>
    <mergeCell ref="I48:J48"/>
    <mergeCell ref="J31:N31"/>
    <mergeCell ref="C55:F55"/>
    <mergeCell ref="A66:D66"/>
    <mergeCell ref="L7:N7"/>
    <mergeCell ref="E13:N13"/>
    <mergeCell ref="G55:H55"/>
    <mergeCell ref="A17:N17"/>
    <mergeCell ref="L16:N16"/>
    <mergeCell ref="A36:C36"/>
    <mergeCell ref="J21:N21"/>
    <mergeCell ref="A45:C45"/>
    <mergeCell ref="E22:E23"/>
    <mergeCell ref="A19:N19"/>
    <mergeCell ref="K62:L62"/>
    <mergeCell ref="A65:C65"/>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2026-09-20T00:51:50Z</dcterms:modified>
  <cp:lastModifiedBy>Hugo Fernando Hurtado Ruiz</cp:lastModifiedBy>
  <cp:revision>1</cp:revision>
  <cp:lastPrinted>2026-09-14T01:27:33Z</cp:lastPrinted>
</cp:coreProperties>
</file>