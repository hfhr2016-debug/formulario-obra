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Memoria de Cálcu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  <xf numFmtId="0" fontId="0" fillId="0" borderId="412" pivotButton="0" quotePrefix="0" xfId="0"/>
    <xf numFmtId="0" fontId="23" fillId="4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23" fillId="4" borderId="24" applyAlignment="1" pivotButton="0" quotePrefix="0" xfId="3">
      <alignment horizontal="center"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6529</xdr:colOff>
      <xdr:row>6</xdr:row>
      <xdr:rowOff>155382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32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C9A227"/>
    <pageSetUpPr fitToPage="1"/>
  </sheetPr>
  <dimension ref="A1:M102"/>
  <sheetViews>
    <sheetView showGridLines="0" zoomScale="68" zoomScaleNormal="68" workbookViewId="0">
      <selection activeCell="T13" sqref="T13"/>
    </sheetView>
  </sheetViews>
  <sheetFormatPr baseColWidth="10" defaultColWidth="8.88671875" defaultRowHeight="14.4"/>
  <cols>
    <col width="4" customWidth="1" style="740" min="1" max="1"/>
    <col width="27" customWidth="1" style="740" min="2" max="2"/>
    <col width="10" customWidth="1" style="740" min="3" max="4"/>
    <col width="11.5546875" customWidth="1" style="740" min="5" max="5"/>
    <col width="12" customWidth="1" style="740" min="6" max="6"/>
    <col width="10" customWidth="1" style="740" min="7" max="7"/>
    <col width="15" customWidth="1" style="740" min="8" max="8"/>
    <col width="10" customWidth="1" style="740" min="9" max="9"/>
    <col width="22" customWidth="1" style="740" min="10" max="10"/>
    <col width="11" customWidth="1" style="740" min="11" max="13"/>
    <col width="8.88671875" customWidth="1" style="740" min="14" max="17"/>
    <col width="8.88671875" customWidth="1" style="740" min="18" max="16384"/>
  </cols>
  <sheetData>
    <row r="1" ht="18" customHeight="1" s="1223">
      <c r="A1" s="1236" t="n"/>
      <c r="B1" s="1258" t="n"/>
      <c r="C1" s="1258" t="n"/>
      <c r="D1" s="1232" t="inlineStr">
        <is>
          <t xml:space="preserve">MEMORIAS DE CÁLCULO
</t>
        </is>
      </c>
      <c r="E1" s="550" t="n"/>
      <c r="F1" s="550" t="n"/>
      <c r="G1" s="550" t="n"/>
      <c r="H1" s="550" t="n"/>
      <c r="I1" s="550" t="n"/>
      <c r="J1" s="550" t="n"/>
      <c r="K1" s="550" t="n"/>
      <c r="L1" s="550" t="n"/>
      <c r="M1" s="551" t="n"/>
    </row>
    <row r="2" ht="18" customHeight="1" s="1223">
      <c r="A2" s="1258" t="n"/>
      <c r="B2" s="1236" t="n"/>
      <c r="C2" s="1258" t="n"/>
      <c r="M2" s="546" t="n"/>
    </row>
    <row r="3" ht="18" customHeight="1" s="1223">
      <c r="A3" s="1258" t="n"/>
      <c r="B3" s="1236" t="n"/>
      <c r="C3" s="1258" t="n"/>
      <c r="M3" s="546" t="n"/>
    </row>
    <row r="4" ht="4.95" customHeight="1" s="1223">
      <c r="A4" s="1258" t="n"/>
      <c r="B4" s="1236" t="n"/>
      <c r="C4" s="1258" t="n"/>
      <c r="D4" s="1233" t="n"/>
      <c r="E4" s="1233" t="n"/>
      <c r="F4" s="1233" t="n"/>
      <c r="G4" s="1233" t="n"/>
      <c r="H4" s="1233" t="n"/>
      <c r="I4" s="1233" t="n"/>
      <c r="J4" s="1233" t="n"/>
      <c r="K4" s="1233" t="n"/>
      <c r="L4" s="1233" t="n"/>
      <c r="M4" s="128" t="n"/>
    </row>
    <row r="5" ht="18" customHeight="1" s="1223">
      <c r="A5" s="1258" t="n"/>
      <c r="B5" s="1236" t="n"/>
      <c r="C5" s="1258" t="n"/>
      <c r="D5" s="1234" t="inlineStr">
        <is>
          <t xml:space="preserve">REFORMAS Y REMODELACIONES                                        </t>
        </is>
      </c>
      <c r="K5" s="745" t="inlineStr">
        <is>
          <t>Código</t>
        </is>
      </c>
      <c r="L5" s="750" t="inlineStr">
        <is>
          <t>RYR-MC-001</t>
        </is>
      </c>
      <c r="M5" s="744" t="n"/>
    </row>
    <row r="6" ht="18" customHeight="1" s="1223">
      <c r="A6" s="1258" t="n"/>
      <c r="B6" s="1236" t="n"/>
      <c r="C6" s="1258" t="n"/>
      <c r="K6" s="745" t="inlineStr">
        <is>
          <t>Versión</t>
        </is>
      </c>
      <c r="L6" s="750" t="n">
        <v>1</v>
      </c>
      <c r="M6" s="744" t="n"/>
    </row>
    <row r="7" ht="18" customHeight="1" s="1223">
      <c r="A7" s="1258" t="n"/>
      <c r="B7" s="1236" t="n"/>
      <c r="C7" s="1258" t="n"/>
      <c r="D7" s="1235" t="inlineStr">
        <is>
          <t>DISEÑAMOS, RENOVAMOS Y CONSTRUIMOS ESPACIOS QUE INSPIRAN</t>
        </is>
      </c>
      <c r="K7" s="745" t="inlineStr">
        <is>
          <t>Fecha de Emisión</t>
        </is>
      </c>
      <c r="L7" s="750" t="inlineStr">
        <is>
          <t>10/09/2026</t>
        </is>
      </c>
      <c r="M7" s="744" t="n"/>
    </row>
    <row r="8" ht="18" customHeight="1" s="1223">
      <c r="A8" s="1237" t="n"/>
      <c r="B8" s="1237" t="n"/>
      <c r="C8" s="1237" t="n"/>
      <c r="D8" s="1238" t="n"/>
      <c r="E8" s="1238" t="n"/>
      <c r="F8" s="1238" t="n"/>
      <c r="G8" s="1238" t="n"/>
      <c r="H8" s="1238" t="n"/>
      <c r="I8" s="1238" t="n"/>
      <c r="J8" s="1238" t="n"/>
      <c r="K8" s="1239" t="inlineStr">
        <is>
          <t>Página</t>
        </is>
      </c>
      <c r="L8" s="1240" t="inlineStr">
        <is>
          <t>1 de 1</t>
        </is>
      </c>
      <c r="M8" s="741" t="n"/>
    </row>
    <row r="9" ht="19.5" customHeight="1" s="1223">
      <c r="A9" s="1241" t="inlineStr">
        <is>
          <t>01  |  IDENTIFICACIÓN DEL PROYECTO Y DE LA ACTIVIDAD</t>
        </is>
      </c>
      <c r="B9" s="1242" t="n"/>
      <c r="C9" s="1242" t="n"/>
      <c r="D9" s="1242" t="n"/>
      <c r="E9" s="1242" t="n"/>
      <c r="F9" s="1242" t="n"/>
      <c r="G9" s="1242" t="n"/>
      <c r="H9" s="1242" t="n"/>
      <c r="I9" s="1242" t="n"/>
      <c r="J9" s="1242" t="n"/>
      <c r="K9" s="1242" t="n"/>
      <c r="L9" s="1242" t="n"/>
      <c r="M9" s="1299" t="n"/>
    </row>
    <row r="10" ht="18" customHeight="1" s="1223">
      <c r="A10" s="757" t="inlineStr">
        <is>
          <t>Proyecto / Obra</t>
        </is>
      </c>
      <c r="B10" s="743" t="n"/>
      <c r="C10" s="786" t="n"/>
      <c r="H10" s="745" t="inlineStr">
        <is>
          <t>Área / Frente</t>
        </is>
      </c>
      <c r="I10" s="743" t="n"/>
      <c r="J10" s="31" t="n"/>
      <c r="K10" s="745" t="inlineStr">
        <is>
          <t>Fecha de Emisión</t>
        </is>
      </c>
      <c r="L10" s="743" t="n"/>
      <c r="M10" s="69" t="n"/>
    </row>
    <row r="11" ht="18" customHeight="1" s="1223">
      <c r="A11" s="757" t="inlineStr">
        <is>
          <t>Contratante</t>
        </is>
      </c>
      <c r="B11" s="743" t="n"/>
      <c r="C11" s="789" t="n"/>
      <c r="D11" s="790" t="n"/>
      <c r="E11" s="790" t="n"/>
      <c r="F11" s="790" t="n"/>
      <c r="G11" s="790" t="n"/>
      <c r="H11" s="764" t="inlineStr">
        <is>
          <t>Ubicación</t>
        </is>
      </c>
      <c r="I11" s="761" t="n"/>
      <c r="J11" s="32" t="n"/>
      <c r="K11" s="745" t="inlineStr">
        <is>
          <t>Memoria No.</t>
        </is>
      </c>
      <c r="L11" s="743" t="n"/>
      <c r="M11" s="69" t="n"/>
    </row>
    <row r="12" ht="30" customHeight="1" s="1223">
      <c r="A12" s="757" t="inlineStr">
        <is>
          <t>Actividad / Ítem</t>
        </is>
      </c>
      <c r="B12" s="743" t="n"/>
      <c r="C12" s="788" t="inlineStr">
        <is>
          <t>1.3.1</t>
        </is>
      </c>
      <c r="D12" s="743" t="n"/>
      <c r="E12" s="745" t="inlineStr">
        <is>
          <t>Unidad</t>
        </is>
      </c>
      <c r="F12" s="800" t="inlineStr">
        <is>
          <t>m2</t>
        </is>
      </c>
      <c r="G12" s="801" t="n"/>
      <c r="H12" s="768" t="inlineStr">
        <is>
          <t>Descripción</t>
        </is>
      </c>
      <c r="I12" s="761" t="n"/>
      <c r="J12" s="774" t="n"/>
      <c r="K12" s="761" t="n"/>
      <c r="L12" s="761" t="n"/>
      <c r="M12" s="762" t="n"/>
    </row>
    <row r="13" ht="18" customHeight="1" s="1223">
      <c r="A13" s="70" t="n"/>
      <c r="M13" s="71" t="n"/>
    </row>
    <row r="14" ht="19.5" customHeight="1" s="1223" thickBot="1">
      <c r="A14" s="787" t="inlineStr">
        <is>
          <t>02  |  MEDICIÓN DE CAMPO / DATOS DE ENTRADA</t>
        </is>
      </c>
      <c r="M14" s="741" t="n"/>
    </row>
    <row r="15" ht="18" customHeight="1" s="1223" thickBot="1">
      <c r="A15" s="76" t="inlineStr">
        <is>
          <t>N°</t>
        </is>
      </c>
      <c r="B15" s="77" t="inlineStr">
        <is>
          <t>DESCRIPCIÓN</t>
        </is>
      </c>
      <c r="C15" s="77" t="inlineStr">
        <is>
          <t>CANT.</t>
        </is>
      </c>
      <c r="D15" s="77" t="inlineStr">
        <is>
          <t>LARGO</t>
        </is>
      </c>
      <c r="E15" s="77" t="inlineStr">
        <is>
          <t>ANCHO</t>
        </is>
      </c>
      <c r="F15" s="77" t="inlineStr">
        <is>
          <t>ALTO / PESO</t>
        </is>
      </c>
      <c r="G15" s="77" t="inlineStr">
        <is>
          <t>FACTOR</t>
        </is>
      </c>
      <c r="H15" s="77" t="inlineStr">
        <is>
          <t>RESULTADO</t>
        </is>
      </c>
      <c r="I15" s="78" t="inlineStr">
        <is>
          <t>UNIDAD</t>
        </is>
      </c>
      <c r="J15" s="805" t="inlineStr">
        <is>
          <t>OBSERVACIÓN</t>
        </is>
      </c>
      <c r="K15" s="754" t="n"/>
      <c r="L15" s="754" t="n"/>
      <c r="M15" s="806" t="n"/>
    </row>
    <row r="16" ht="18" customHeight="1" s="1223">
      <c r="A16" s="72" t="n">
        <v>1</v>
      </c>
      <c r="B16" s="10" t="n"/>
      <c r="C16" s="1300" t="n"/>
      <c r="D16" s="1300" t="n"/>
      <c r="E16" s="1300" t="n"/>
      <c r="F16" s="1300" t="n"/>
      <c r="G16" s="1300" t="n"/>
      <c r="H16" s="1301">
        <f>IF(COUNTA(C16:G16)=0,"",ROUND(PRODUCT(C16:G16),3))</f>
        <v/>
      </c>
      <c r="I16" s="14" t="inlineStr">
        <is>
          <t>m3</t>
        </is>
      </c>
      <c r="J16" s="793" t="n"/>
      <c r="K16" s="794" t="n"/>
      <c r="L16" s="794" t="n"/>
      <c r="M16" s="795" t="n"/>
    </row>
    <row r="17" ht="18" customHeight="1" s="1223">
      <c r="A17" s="72" t="n">
        <v>2</v>
      </c>
      <c r="B17" s="10" t="n"/>
      <c r="C17" s="1300" t="n"/>
      <c r="D17" s="1300" t="n"/>
      <c r="E17" s="1300" t="n"/>
      <c r="F17" s="1300" t="n"/>
      <c r="G17" s="1300" t="n"/>
      <c r="H17" s="1301">
        <f>IF(COUNTA(C17:G17)=0,"",ROUND(PRODUCT(C17:G17),3))</f>
        <v/>
      </c>
      <c r="I17" s="14" t="inlineStr">
        <is>
          <t>m3</t>
        </is>
      </c>
      <c r="J17" s="748" t="n"/>
      <c r="K17" s="530" t="n"/>
      <c r="L17" s="530" t="n"/>
      <c r="M17" s="749" t="n"/>
    </row>
    <row r="18" ht="18" customHeight="1" s="1223">
      <c r="A18" s="72" t="n">
        <v>3</v>
      </c>
      <c r="B18" s="10" t="n"/>
      <c r="C18" s="1300" t="n"/>
      <c r="D18" s="1300" t="n"/>
      <c r="E18" s="1300" t="n"/>
      <c r="F18" s="1300" t="n"/>
      <c r="G18" s="1300" t="n"/>
      <c r="H18" s="1301">
        <f>IF(COUNTA(C18:G18)=0,"",ROUND(PRODUCT(C18:G18),3))</f>
        <v/>
      </c>
      <c r="I18" s="14" t="inlineStr">
        <is>
          <t>m3</t>
        </is>
      </c>
      <c r="J18" s="748" t="n"/>
      <c r="K18" s="530" t="n"/>
      <c r="L18" s="530" t="n"/>
      <c r="M18" s="749" t="n"/>
    </row>
    <row r="19" ht="18" customHeight="1" s="1223">
      <c r="A19" s="72" t="n">
        <v>4</v>
      </c>
      <c r="B19" s="10" t="n"/>
      <c r="C19" s="1300" t="n"/>
      <c r="D19" s="1300" t="n"/>
      <c r="E19" s="1300" t="n"/>
      <c r="F19" s="1300" t="n"/>
      <c r="G19" s="1300" t="n"/>
      <c r="H19" s="1301">
        <f>IF(COUNTA(C19:G19)=0,"",ROUND(PRODUCT(C19:G19),3))</f>
        <v/>
      </c>
      <c r="I19" s="14" t="inlineStr">
        <is>
          <t>m3</t>
        </is>
      </c>
      <c r="J19" s="748" t="n"/>
      <c r="K19" s="530" t="n"/>
      <c r="L19" s="530" t="n"/>
      <c r="M19" s="749" t="n"/>
    </row>
    <row r="20" ht="18" customHeight="1" s="1223">
      <c r="A20" s="72" t="n">
        <v>5</v>
      </c>
      <c r="B20" s="10" t="n"/>
      <c r="C20" s="1300" t="n"/>
      <c r="D20" s="1300" t="n"/>
      <c r="E20" s="1300" t="n"/>
      <c r="F20" s="1300" t="n"/>
      <c r="G20" s="1300" t="n"/>
      <c r="H20" s="1301">
        <f>IF(COUNTA(C20:G20)=0,"",ROUND(PRODUCT(C20:G20),3))</f>
        <v/>
      </c>
      <c r="I20" s="14" t="inlineStr">
        <is>
          <t>m3</t>
        </is>
      </c>
      <c r="J20" s="748" t="n"/>
      <c r="K20" s="530" t="n"/>
      <c r="L20" s="530" t="n"/>
      <c r="M20" s="749" t="n"/>
    </row>
    <row r="21" ht="18" customHeight="1" s="1223">
      <c r="A21" s="72" t="n">
        <v>6</v>
      </c>
      <c r="B21" s="10" t="n"/>
      <c r="C21" s="1300" t="n"/>
      <c r="D21" s="1300" t="n"/>
      <c r="E21" s="1300" t="n"/>
      <c r="F21" s="1300" t="n"/>
      <c r="G21" s="1300" t="n"/>
      <c r="H21" s="1301">
        <f>IF(COUNTA(C21:G21)=0,"",ROUND(PRODUCT(C21:G21),3))</f>
        <v/>
      </c>
      <c r="I21" s="14" t="inlineStr">
        <is>
          <t>m3</t>
        </is>
      </c>
      <c r="J21" s="748" t="n"/>
      <c r="K21" s="530" t="n"/>
      <c r="L21" s="530" t="n"/>
      <c r="M21" s="749" t="n"/>
    </row>
    <row r="22" ht="18" customHeight="1" s="1223">
      <c r="A22" s="72" t="n">
        <v>7</v>
      </c>
      <c r="B22" s="10" t="n"/>
      <c r="C22" s="1300" t="n"/>
      <c r="D22" s="1300" t="n"/>
      <c r="E22" s="1300" t="n"/>
      <c r="F22" s="1300" t="n"/>
      <c r="G22" s="1300" t="n"/>
      <c r="H22" s="1301">
        <f>IF(COUNTA(C22:G22)=0,"",ROUND(PRODUCT(C22:G22),3))</f>
        <v/>
      </c>
      <c r="I22" s="14" t="inlineStr">
        <is>
          <t>m3</t>
        </is>
      </c>
      <c r="J22" s="748" t="n"/>
      <c r="K22" s="530" t="n"/>
      <c r="L22" s="530" t="n"/>
      <c r="M22" s="749" t="n"/>
    </row>
    <row r="23" ht="18" customHeight="1" s="1223">
      <c r="A23" s="72" t="n">
        <v>8</v>
      </c>
      <c r="B23" s="10" t="n"/>
      <c r="C23" s="1300" t="n"/>
      <c r="D23" s="1300" t="n"/>
      <c r="E23" s="1300" t="n"/>
      <c r="F23" s="1300" t="n"/>
      <c r="G23" s="1300" t="n"/>
      <c r="H23" s="1301">
        <f>IF(COUNTA(C23:G23)=0,"",ROUND(PRODUCT(C23:G23),3))</f>
        <v/>
      </c>
      <c r="I23" s="14" t="inlineStr">
        <is>
          <t>m3</t>
        </is>
      </c>
      <c r="J23" s="748" t="n"/>
      <c r="K23" s="530" t="n"/>
      <c r="L23" s="530" t="n"/>
      <c r="M23" s="749" t="n"/>
    </row>
    <row r="24" ht="18" customHeight="1" s="1223">
      <c r="A24" s="72" t="n">
        <v>9</v>
      </c>
      <c r="B24" s="10" t="n"/>
      <c r="C24" s="1300" t="n"/>
      <c r="D24" s="1300" t="n"/>
      <c r="E24" s="1300" t="n"/>
      <c r="F24" s="1300" t="n"/>
      <c r="G24" s="1300" t="n"/>
      <c r="H24" s="1301">
        <f>IF(COUNTA(C24:G24)=0,"",ROUND(PRODUCT(C24:G24),3))</f>
        <v/>
      </c>
      <c r="I24" s="14" t="inlineStr">
        <is>
          <t>m3</t>
        </is>
      </c>
      <c r="J24" s="748" t="n"/>
      <c r="K24" s="530" t="n"/>
      <c r="L24" s="530" t="n"/>
      <c r="M24" s="749" t="n"/>
    </row>
    <row r="25" ht="18" customHeight="1" s="1223" thickBot="1">
      <c r="A25" s="72" t="n">
        <v>10</v>
      </c>
      <c r="B25" s="10" t="n"/>
      <c r="C25" s="1300" t="n"/>
      <c r="D25" s="1300" t="n"/>
      <c r="E25" s="1300" t="n"/>
      <c r="F25" s="1300" t="n"/>
      <c r="G25" s="1300" t="n"/>
      <c r="H25" s="1301">
        <f>IF(COUNTA(C25:G25)=0,"",ROUND(PRODUCT(C25:G25),3))</f>
        <v/>
      </c>
      <c r="I25" s="14" t="inlineStr">
        <is>
          <t>m3</t>
        </is>
      </c>
      <c r="J25" s="748" t="n"/>
      <c r="K25" s="530" t="n"/>
      <c r="L25" s="530" t="n"/>
      <c r="M25" s="749" t="n"/>
    </row>
    <row r="26" ht="18" customFormat="1" customHeight="1" s="12" thickBot="1">
      <c r="A26" s="753" t="inlineStr">
        <is>
          <t>TOTAL CANTIDAD CALCULADA</t>
        </is>
      </c>
      <c r="B26" s="754" t="n"/>
      <c r="C26" s="754" t="n"/>
      <c r="D26" s="754" t="n"/>
      <c r="E26" s="754" t="n"/>
      <c r="F26" s="754" t="n"/>
      <c r="G26" s="754" t="n"/>
      <c r="H26" s="11">
        <f>IF(COUNT(H16:H25)=0,"",ROUND(SUM(H16:H25),3))</f>
        <v/>
      </c>
      <c r="I26" s="14" t="inlineStr">
        <is>
          <t>m3</t>
        </is>
      </c>
      <c r="J26" s="748" t="n"/>
      <c r="K26" s="530" t="n"/>
      <c r="L26" s="530" t="n"/>
      <c r="M26" s="749" t="n"/>
    </row>
    <row r="27" ht="18" customHeight="1" s="1223">
      <c r="A27" s="70" t="n"/>
      <c r="J27" s="766" t="n"/>
      <c r="K27" s="743" t="n"/>
      <c r="L27" s="743" t="n"/>
      <c r="M27" s="767" t="n"/>
    </row>
    <row r="28" ht="19.5" customHeight="1" s="1223">
      <c r="A28" s="760" t="inlineStr">
        <is>
          <t>03  |  RESUMEN Y CONTROL DE CANTIDADES</t>
        </is>
      </c>
      <c r="B28" s="761" t="n"/>
      <c r="C28" s="761" t="n"/>
      <c r="D28" s="761" t="n"/>
      <c r="E28" s="761" t="n"/>
      <c r="F28" s="761" t="n"/>
      <c r="G28" s="761" t="n"/>
      <c r="H28" s="761" t="n"/>
      <c r="I28" s="761" t="n"/>
      <c r="J28" s="761" t="n"/>
      <c r="K28" s="761" t="n"/>
      <c r="L28" s="761" t="n"/>
      <c r="M28" s="762" t="n"/>
    </row>
    <row r="29" ht="18" customHeight="1" s="1223">
      <c r="A29" s="757" t="inlineStr">
        <is>
          <t>Cantidad calculada</t>
        </is>
      </c>
      <c r="B29" s="743" t="n"/>
      <c r="C29" s="743" t="n"/>
      <c r="D29" s="751">
        <f>H26</f>
        <v/>
      </c>
      <c r="E29" s="743" t="n"/>
      <c r="F29" s="743" t="n"/>
      <c r="G29" s="743" t="n"/>
      <c r="H29" s="782" t="inlineStr">
        <is>
          <t>m3</t>
        </is>
      </c>
      <c r="I29" s="743" t="n"/>
      <c r="M29" s="71" t="n"/>
    </row>
    <row r="30" ht="18" customHeight="1" s="1223">
      <c r="A30" s="757" t="inlineStr">
        <is>
          <t>Cantidad contractual</t>
        </is>
      </c>
      <c r="B30" s="743" t="n"/>
      <c r="C30" s="743" t="n"/>
      <c r="D30" s="799" t="n"/>
      <c r="E30" s="743" t="n"/>
      <c r="F30" s="743" t="n"/>
      <c r="G30" s="743" t="n"/>
      <c r="H30" s="782" t="inlineStr">
        <is>
          <t>m3</t>
        </is>
      </c>
      <c r="I30" s="743" t="n"/>
      <c r="M30" s="71" t="n"/>
    </row>
    <row r="31" ht="18" customHeight="1" s="1223">
      <c r="A31" s="757" t="inlineStr">
        <is>
          <t>Saldo contractual</t>
        </is>
      </c>
      <c r="B31" s="743" t="n"/>
      <c r="C31" s="743" t="n"/>
      <c r="D31" s="751">
        <f>IF(OR(D29="",D30=""),"",D30-D29)</f>
        <v/>
      </c>
      <c r="E31" s="743" t="n"/>
      <c r="F31" s="743" t="n"/>
      <c r="G31" s="743" t="n"/>
      <c r="H31" s="782" t="inlineStr">
        <is>
          <t>m3</t>
        </is>
      </c>
      <c r="I31" s="743" t="n"/>
      <c r="M31" s="71" t="n"/>
    </row>
    <row r="32" ht="18" customHeight="1" s="1223">
      <c r="A32" s="757" t="inlineStr">
        <is>
          <t>% ejecutado</t>
        </is>
      </c>
      <c r="B32" s="743" t="n"/>
      <c r="C32" s="743" t="n"/>
      <c r="D32" s="807">
        <f>IFERROR(D29/D30,0)</f>
        <v/>
      </c>
      <c r="E32" s="743" t="n"/>
      <c r="F32" s="743" t="n"/>
      <c r="G32" s="743" t="n"/>
      <c r="H32" s="782" t="inlineStr">
        <is>
          <t>m3</t>
        </is>
      </c>
      <c r="I32" s="743" t="n"/>
      <c r="M32" s="71" t="n"/>
    </row>
    <row r="33" ht="18" customHeight="1" s="1223">
      <c r="A33" s="802" t="inlineStr">
        <is>
          <t>Estado</t>
        </is>
      </c>
      <c r="D33" s="759">
        <f>IF(D30="","PENDIENTE DE DATO",IF(D29&lt;=D30,"DENTRO DE CANTIDAD","REVISAR SOBREEJECUCIÓN"))</f>
        <v/>
      </c>
      <c r="H33" s="808" t="inlineStr">
        <is>
          <t>m3</t>
        </is>
      </c>
      <c r="M33" s="71" t="n"/>
    </row>
    <row r="34" ht="18" customHeight="1" s="1223">
      <c r="A34" s="73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74" t="n"/>
    </row>
    <row r="35" ht="19.5" customHeight="1" s="1223">
      <c r="A35" s="758" t="inlineStr">
        <is>
          <t>04  |  DESARROLLO MATEMÁTICO Y CRITERIO DE MEDICIÓN</t>
        </is>
      </c>
      <c r="B35" s="743" t="n"/>
      <c r="C35" s="743" t="n"/>
      <c r="D35" s="743" t="n"/>
      <c r="E35" s="743" t="n"/>
      <c r="F35" s="743" t="n"/>
      <c r="G35" s="743" t="n"/>
      <c r="H35" s="743" t="n"/>
      <c r="I35" s="743" t="n"/>
      <c r="J35" s="743" t="n"/>
      <c r="K35" s="743" t="n"/>
      <c r="L35" s="743" t="n"/>
      <c r="M35" s="744" t="n"/>
    </row>
    <row r="36" ht="18" customHeight="1" s="1223">
      <c r="A36" s="746" t="inlineStr">
        <is>
          <t>CRITERIO
Producto de las dimensiones, cantidades y factores registrados. Ajustar el factor cuando aplique.</t>
        </is>
      </c>
      <c r="B36" s="737" t="n"/>
      <c r="C36" s="737" t="n"/>
      <c r="D36" s="738" t="n"/>
      <c r="E36" s="763" t="inlineStr">
        <is>
          <t>OPERACIÓN AUTOMÁTICA
Resultado por registro = PRODUCTO(CANT., LARGO, ANCHO, ALTO/PESO, FACTOR)</t>
        </is>
      </c>
      <c r="F36" s="737" t="n"/>
      <c r="G36" s="737" t="n"/>
      <c r="H36" s="737" t="n"/>
      <c r="I36" s="738" t="n"/>
      <c r="J36" s="804" t="inlineStr">
        <is>
          <t>RESULTADO
=H23</t>
        </is>
      </c>
      <c r="K36" s="737" t="n"/>
      <c r="L36" s="737" t="n"/>
      <c r="M36" s="752" t="n"/>
    </row>
    <row r="37" ht="60" customHeight="1" s="1223">
      <c r="A37" s="747" t="n"/>
      <c r="D37" s="741" t="n"/>
      <c r="E37" s="739" t="n"/>
      <c r="I37" s="741" t="n"/>
      <c r="M37" s="546" t="n"/>
    </row>
    <row r="38" ht="18" customHeight="1" s="1223">
      <c r="A38" s="70" t="n"/>
      <c r="M38" s="71" t="n"/>
    </row>
    <row r="39" ht="19.5" customHeight="1" s="1223">
      <c r="A39" s="787" t="inlineStr">
        <is>
          <t>05  |  SOPORTE GRÁFICO</t>
        </is>
      </c>
      <c r="M39" s="741" t="n"/>
    </row>
    <row r="40" ht="18" customFormat="1" customHeight="1" s="12">
      <c r="A40" s="783" t="inlineStr">
        <is>
          <t>FOTOGRAFÍA 01</t>
        </is>
      </c>
      <c r="B40" s="761" t="n"/>
      <c r="C40" s="761" t="n"/>
      <c r="D40" s="761" t="n"/>
      <c r="E40" s="761" t="n"/>
      <c r="F40" s="761" t="n"/>
      <c r="G40" s="762" t="n"/>
      <c r="H40" s="791" t="inlineStr">
        <is>
          <t>FOTOGRAFÍA 02</t>
        </is>
      </c>
      <c r="I40" s="761" t="n"/>
      <c r="J40" s="761" t="n"/>
      <c r="K40" s="761" t="n"/>
      <c r="L40" s="761" t="n"/>
      <c r="M40" s="762" t="n"/>
    </row>
    <row r="41" ht="18" customHeight="1" s="1223">
      <c r="A41" s="792" t="inlineStr">
        <is>
          <t>INSERTAR FOTOGRAFÍA</t>
        </is>
      </c>
      <c r="B41" s="737" t="n"/>
      <c r="C41" s="737" t="n"/>
      <c r="D41" s="737" t="n"/>
      <c r="E41" s="737" t="n"/>
      <c r="F41" s="737" t="n"/>
      <c r="G41" s="738" t="n"/>
      <c r="H41" s="736" t="inlineStr">
        <is>
          <t>INSERTAR FOTOGRAFÍA</t>
        </is>
      </c>
      <c r="I41" s="737" t="n"/>
      <c r="J41" s="737" t="n"/>
      <c r="K41" s="737" t="n"/>
      <c r="L41" s="737" t="n"/>
      <c r="M41" s="738" t="n"/>
    </row>
    <row r="42" ht="18" customHeight="1" s="1223">
      <c r="A42" s="747" t="n"/>
      <c r="G42" s="741" t="n"/>
      <c r="H42" s="739" t="n"/>
      <c r="M42" s="741" t="n"/>
    </row>
    <row r="43" ht="18" customHeight="1" s="1223">
      <c r="A43" s="747" t="n"/>
      <c r="G43" s="741" t="n"/>
      <c r="H43" s="739" t="n"/>
      <c r="M43" s="741" t="n"/>
    </row>
    <row r="44" ht="18" customHeight="1" s="1223">
      <c r="A44" s="747" t="n"/>
      <c r="G44" s="741" t="n"/>
      <c r="H44" s="739" t="n"/>
      <c r="M44" s="741" t="n"/>
    </row>
    <row r="45" ht="18" customHeight="1" s="1223">
      <c r="A45" s="747" t="n"/>
      <c r="G45" s="741" t="n"/>
      <c r="H45" s="739" t="n"/>
      <c r="M45" s="741" t="n"/>
    </row>
    <row r="46" ht="18" customHeight="1" s="1223">
      <c r="A46" s="747" t="n"/>
      <c r="G46" s="741" t="n"/>
      <c r="H46" s="739" t="n"/>
      <c r="M46" s="741" t="n"/>
    </row>
    <row r="47" ht="18" customHeight="1" s="1223">
      <c r="A47" s="747" t="n"/>
      <c r="G47" s="741" t="n"/>
      <c r="H47" s="739" t="n"/>
      <c r="M47" s="741" t="n"/>
    </row>
    <row r="48" ht="18" customHeight="1" s="1223">
      <c r="A48" s="747" t="n"/>
      <c r="G48" s="741" t="n"/>
      <c r="H48" s="739" t="n"/>
      <c r="M48" s="741" t="n"/>
    </row>
    <row r="49" ht="18" customHeight="1" s="1223">
      <c r="A49" s="747" t="n"/>
      <c r="G49" s="741" t="n"/>
      <c r="H49" s="739" t="n"/>
      <c r="M49" s="741" t="n"/>
    </row>
    <row r="50" ht="18" customHeight="1" s="1223">
      <c r="A50" s="747" t="n"/>
      <c r="G50" s="741" t="n"/>
      <c r="H50" s="739" t="n"/>
      <c r="M50" s="741" t="n"/>
    </row>
    <row r="51" ht="18" customHeight="1" s="1223">
      <c r="A51" s="747" t="n"/>
      <c r="G51" s="741" t="n"/>
      <c r="H51" s="739" t="n"/>
      <c r="M51" s="741" t="n"/>
    </row>
    <row r="52" ht="18" customHeight="1" s="1223">
      <c r="A52" s="747" t="n"/>
      <c r="G52" s="741" t="n"/>
      <c r="H52" s="739" t="n"/>
      <c r="M52" s="741" t="n"/>
    </row>
    <row r="53" ht="18" customHeight="1" s="1223">
      <c r="A53" s="747" t="n"/>
      <c r="G53" s="741" t="n"/>
      <c r="H53" s="739" t="n"/>
      <c r="M53" s="741" t="n"/>
    </row>
    <row r="54" ht="18" customHeight="1" s="1223">
      <c r="A54" s="747" t="n"/>
      <c r="G54" s="741" t="n"/>
      <c r="H54" s="739" t="n"/>
      <c r="M54" s="741" t="n"/>
    </row>
    <row r="55" ht="18" customHeight="1" s="1223">
      <c r="A55" s="747" t="n"/>
      <c r="G55" s="741" t="n"/>
      <c r="H55" s="739" t="n"/>
      <c r="M55" s="741" t="n"/>
    </row>
    <row r="56" ht="18" customHeight="1" s="1223">
      <c r="A56" s="756" t="n"/>
      <c r="B56" s="743" t="n"/>
      <c r="C56" s="743" t="n"/>
      <c r="D56" s="743" t="n"/>
      <c r="E56" s="743" t="n"/>
      <c r="F56" s="743" t="n"/>
      <c r="G56" s="744" t="n"/>
      <c r="H56" s="742" t="n"/>
      <c r="I56" s="743" t="n"/>
      <c r="J56" s="743" t="n"/>
      <c r="K56" s="743" t="n"/>
      <c r="L56" s="743" t="n"/>
      <c r="M56" s="744" t="n"/>
    </row>
    <row r="57" ht="18" customHeight="1" s="1223">
      <c r="A57" s="765" t="inlineStr">
        <is>
          <t>Pie de foto / fecha / ubicación: ____________________</t>
        </is>
      </c>
      <c r="B57" s="761" t="n"/>
      <c r="C57" s="761" t="n"/>
      <c r="D57" s="761" t="n"/>
      <c r="E57" s="761" t="n"/>
      <c r="F57" s="761" t="n"/>
      <c r="G57" s="762" t="n"/>
      <c r="H57" s="785" t="inlineStr">
        <is>
          <t>Pie de foto / fecha / ubicación: ____________________</t>
        </is>
      </c>
      <c r="I57" s="761" t="n"/>
      <c r="J57" s="761" t="n"/>
      <c r="K57" s="761" t="n"/>
      <c r="L57" s="761" t="n"/>
      <c r="M57" s="762" t="n"/>
    </row>
    <row r="58" ht="18" customFormat="1" customHeight="1" s="12">
      <c r="A58" s="783" t="inlineStr">
        <is>
          <t>FOTOGRAFÍA 03</t>
        </is>
      </c>
      <c r="B58" s="761" t="n"/>
      <c r="C58" s="761" t="n"/>
      <c r="D58" s="761" t="n"/>
      <c r="E58" s="761" t="n"/>
      <c r="F58" s="761" t="n"/>
      <c r="G58" s="762" t="n"/>
      <c r="H58" s="791" t="inlineStr">
        <is>
          <t>FOTOGRAFÍA 04</t>
        </is>
      </c>
      <c r="I58" s="761" t="n"/>
      <c r="J58" s="761" t="n"/>
      <c r="K58" s="761" t="n"/>
      <c r="L58" s="761" t="n"/>
      <c r="M58" s="762" t="n"/>
    </row>
    <row r="59" ht="18" customHeight="1" s="1223">
      <c r="A59" s="792" t="inlineStr">
        <is>
          <t>INSERTAR FOTOGRAFÍA</t>
        </is>
      </c>
      <c r="B59" s="737" t="n"/>
      <c r="C59" s="737" t="n"/>
      <c r="D59" s="737" t="n"/>
      <c r="E59" s="737" t="n"/>
      <c r="F59" s="737" t="n"/>
      <c r="G59" s="738" t="n"/>
      <c r="H59" s="736" t="inlineStr">
        <is>
          <t>INSERTAR FOTOGRAFÍA</t>
        </is>
      </c>
      <c r="I59" s="737" t="n"/>
      <c r="J59" s="737" t="n"/>
      <c r="K59" s="737" t="n"/>
      <c r="L59" s="737" t="n"/>
      <c r="M59" s="738" t="n"/>
    </row>
    <row r="60" ht="18" customHeight="1" s="1223">
      <c r="A60" s="747" t="n"/>
      <c r="G60" s="741" t="n"/>
      <c r="H60" s="739" t="n"/>
      <c r="M60" s="741" t="n"/>
    </row>
    <row r="61" ht="18" customHeight="1" s="1223">
      <c r="A61" s="747" t="n"/>
      <c r="G61" s="741" t="n"/>
      <c r="H61" s="739" t="n"/>
      <c r="M61" s="741" t="n"/>
    </row>
    <row r="62" ht="18" customHeight="1" s="1223">
      <c r="A62" s="747" t="n"/>
      <c r="G62" s="741" t="n"/>
      <c r="H62" s="739" t="n"/>
      <c r="M62" s="741" t="n"/>
    </row>
    <row r="63" ht="18" customHeight="1" s="1223">
      <c r="A63" s="747" t="n"/>
      <c r="G63" s="741" t="n"/>
      <c r="H63" s="739" t="n"/>
      <c r="M63" s="741" t="n"/>
    </row>
    <row r="64" ht="18" customHeight="1" s="1223">
      <c r="A64" s="747" t="n"/>
      <c r="G64" s="741" t="n"/>
      <c r="H64" s="739" t="n"/>
      <c r="M64" s="741" t="n"/>
    </row>
    <row r="65" ht="18" customHeight="1" s="1223">
      <c r="A65" s="747" t="n"/>
      <c r="G65" s="741" t="n"/>
      <c r="H65" s="739" t="n"/>
      <c r="M65" s="741" t="n"/>
    </row>
    <row r="66" ht="18" customHeight="1" s="1223">
      <c r="A66" s="747" t="n"/>
      <c r="G66" s="741" t="n"/>
      <c r="H66" s="739" t="n"/>
      <c r="M66" s="741" t="n"/>
    </row>
    <row r="67" ht="18" customHeight="1" s="1223">
      <c r="A67" s="747" t="n"/>
      <c r="G67" s="741" t="n"/>
      <c r="H67" s="739" t="n"/>
      <c r="M67" s="741" t="n"/>
    </row>
    <row r="68" ht="18" customHeight="1" s="1223">
      <c r="A68" s="747" t="n"/>
      <c r="G68" s="741" t="n"/>
      <c r="H68" s="739" t="n"/>
      <c r="M68" s="741" t="n"/>
    </row>
    <row r="69" ht="18" customHeight="1" s="1223">
      <c r="A69" s="747" t="n"/>
      <c r="G69" s="741" t="n"/>
      <c r="H69" s="739" t="n"/>
      <c r="M69" s="741" t="n"/>
    </row>
    <row r="70" ht="18" customHeight="1" s="1223">
      <c r="A70" s="747" t="n"/>
      <c r="G70" s="741" t="n"/>
      <c r="H70" s="739" t="n"/>
      <c r="M70" s="741" t="n"/>
    </row>
    <row r="71" ht="18" customHeight="1" s="1223">
      <c r="A71" s="747" t="n"/>
      <c r="G71" s="741" t="n"/>
      <c r="H71" s="739" t="n"/>
      <c r="M71" s="741" t="n"/>
    </row>
    <row r="72" ht="18" customHeight="1" s="1223">
      <c r="A72" s="747" t="n"/>
      <c r="G72" s="741" t="n"/>
      <c r="H72" s="739" t="n"/>
      <c r="M72" s="741" t="n"/>
    </row>
    <row r="73" ht="18" customHeight="1" s="1223">
      <c r="A73" s="747" t="n"/>
      <c r="G73" s="741" t="n"/>
      <c r="H73" s="739" t="n"/>
      <c r="M73" s="741" t="n"/>
    </row>
    <row r="74" ht="18" customHeight="1" s="1223">
      <c r="A74" s="756" t="n"/>
      <c r="B74" s="743" t="n"/>
      <c r="C74" s="743" t="n"/>
      <c r="D74" s="743" t="n"/>
      <c r="E74" s="743" t="n"/>
      <c r="F74" s="743" t="n"/>
      <c r="G74" s="744" t="n"/>
      <c r="H74" s="742" t="n"/>
      <c r="I74" s="743" t="n"/>
      <c r="J74" s="743" t="n"/>
      <c r="K74" s="743" t="n"/>
      <c r="L74" s="743" t="n"/>
      <c r="M74" s="744" t="n"/>
    </row>
    <row r="75" ht="18" customHeight="1" s="1223">
      <c r="A75" s="765" t="inlineStr">
        <is>
          <t>Pie de foto / fecha / ubicación: ____________________</t>
        </is>
      </c>
      <c r="B75" s="761" t="n"/>
      <c r="C75" s="761" t="n"/>
      <c r="D75" s="761" t="n"/>
      <c r="E75" s="761" t="n"/>
      <c r="F75" s="761" t="n"/>
      <c r="G75" s="762" t="n"/>
      <c r="H75" s="785" t="inlineStr">
        <is>
          <t>Pie de foto / fecha / ubicación: ____________________</t>
        </is>
      </c>
      <c r="I75" s="761" t="n"/>
      <c r="J75" s="761" t="n"/>
      <c r="K75" s="761" t="n"/>
      <c r="L75" s="761" t="n"/>
      <c r="M75" s="762" t="n"/>
    </row>
    <row r="76" ht="19.5" customHeight="1" s="1223">
      <c r="A76" s="772" t="inlineStr">
        <is>
          <t>06  |  ESQUEMA DE LA ESTRUCTURA / ELEMENTO INTERVENIDO</t>
        </is>
      </c>
      <c r="M76" s="546" t="n"/>
    </row>
    <row r="77" ht="19.5" customHeight="1" s="1223">
      <c r="A77" s="773" t="inlineStr">
        <is>
          <t>INSERTAR AQUÍ ESQUEMA, CROQUIS, DETALLE CONSTRUCTIVO O PLANO
Indicar ejes, cotas, niveles, espesores, diámetros, longitudes y referencias necesarias para verificar la medición.</t>
        </is>
      </c>
      <c r="B77" s="737" t="n"/>
      <c r="C77" s="737" t="n"/>
      <c r="D77" s="737" t="n"/>
      <c r="E77" s="737" t="n"/>
      <c r="F77" s="737" t="n"/>
      <c r="G77" s="737" t="n"/>
      <c r="H77" s="737" t="n"/>
      <c r="I77" s="737" t="n"/>
      <c r="J77" s="738" t="n"/>
      <c r="K77" s="810" t="inlineStr">
        <is>
          <t>REFERENCIAS
Plano: __________________
Detalle: _________________
Escala: _________________
Cota / nivel: ____________
Observación: _____________</t>
        </is>
      </c>
      <c r="L77" s="737" t="n"/>
      <c r="M77" s="738" t="n"/>
    </row>
    <row r="78" ht="19.5" customHeight="1" s="1223">
      <c r="A78" s="747" t="n"/>
      <c r="J78" s="741" t="n"/>
      <c r="K78" s="739" t="n"/>
      <c r="M78" s="741" t="n"/>
    </row>
    <row r="79" ht="19.5" customHeight="1" s="1223">
      <c r="A79" s="747" t="n"/>
      <c r="J79" s="741" t="n"/>
      <c r="K79" s="739" t="n"/>
      <c r="M79" s="741" t="n"/>
    </row>
    <row r="80" ht="19.5" customHeight="1" s="1223">
      <c r="A80" s="747" t="n"/>
      <c r="J80" s="741" t="n"/>
      <c r="K80" s="739" t="n"/>
      <c r="M80" s="741" t="n"/>
    </row>
    <row r="81" ht="19.5" customHeight="1" s="1223">
      <c r="A81" s="747" t="n"/>
      <c r="J81" s="741" t="n"/>
      <c r="K81" s="739" t="n"/>
      <c r="M81" s="741" t="n"/>
    </row>
    <row r="82" ht="19.5" customHeight="1" s="1223">
      <c r="A82" s="747" t="n"/>
      <c r="J82" s="741" t="n"/>
      <c r="K82" s="739" t="n"/>
      <c r="M82" s="741" t="n"/>
    </row>
    <row r="83" ht="18" customHeight="1" s="1223">
      <c r="A83" s="747" t="n"/>
      <c r="J83" s="741" t="n"/>
      <c r="K83" s="739" t="n"/>
      <c r="M83" s="741" t="n"/>
    </row>
    <row r="84" ht="18" customHeight="1" s="1223">
      <c r="A84" s="747" t="n"/>
      <c r="J84" s="741" t="n"/>
      <c r="K84" s="739" t="n"/>
      <c r="M84" s="741" t="n"/>
    </row>
    <row r="85" ht="18" customHeight="1" s="1223">
      <c r="A85" s="747" t="n"/>
      <c r="J85" s="741" t="n"/>
      <c r="K85" s="739" t="n"/>
      <c r="M85" s="741" t="n"/>
    </row>
    <row r="86" ht="18" customHeight="1" s="1223">
      <c r="A86" s="747" t="n"/>
      <c r="J86" s="741" t="n"/>
      <c r="K86" s="739" t="n"/>
      <c r="M86" s="741" t="n"/>
    </row>
    <row r="87" ht="18" customHeight="1" s="1223">
      <c r="A87" s="747" t="n"/>
      <c r="J87" s="741" t="n"/>
      <c r="K87" s="739" t="n"/>
      <c r="M87" s="741" t="n"/>
    </row>
    <row r="88" ht="18" customHeight="1" s="1223">
      <c r="A88" s="747" t="n"/>
      <c r="J88" s="741" t="n"/>
      <c r="K88" s="739" t="n"/>
      <c r="M88" s="741" t="n"/>
    </row>
    <row r="89" ht="18" customHeight="1" s="1223">
      <c r="A89" s="747" t="n"/>
      <c r="J89" s="741" t="n"/>
      <c r="K89" s="739" t="n"/>
      <c r="M89" s="741" t="n"/>
    </row>
    <row r="90" ht="18" customHeight="1" s="1223">
      <c r="A90" s="747" t="n"/>
      <c r="J90" s="741" t="n"/>
      <c r="K90" s="739" t="n"/>
      <c r="M90" s="741" t="n"/>
    </row>
    <row r="91" ht="18" customHeight="1" s="1223">
      <c r="A91" s="747" t="n"/>
      <c r="J91" s="741" t="n"/>
      <c r="K91" s="739" t="n"/>
      <c r="M91" s="741" t="n"/>
    </row>
    <row r="92" ht="18" customHeight="1" s="1223">
      <c r="A92" s="747" t="n"/>
      <c r="J92" s="741" t="n"/>
      <c r="K92" s="739" t="n"/>
      <c r="M92" s="741" t="n"/>
    </row>
    <row r="93" ht="18" customHeight="1" s="1223">
      <c r="A93" s="756" t="n"/>
      <c r="B93" s="743" t="n"/>
      <c r="C93" s="743" t="n"/>
      <c r="D93" s="743" t="n"/>
      <c r="E93" s="743" t="n"/>
      <c r="F93" s="743" t="n"/>
      <c r="G93" s="743" t="n"/>
      <c r="H93" s="743" t="n"/>
      <c r="I93" s="743" t="n"/>
      <c r="J93" s="744" t="n"/>
      <c r="K93" s="742" t="n"/>
      <c r="L93" s="743" t="n"/>
      <c r="M93" s="744" t="n"/>
    </row>
    <row r="94" ht="19.5" customHeight="1" s="1223">
      <c r="A94" s="772" t="inlineStr">
        <is>
          <t>07  |  RESPONSABLES Y TRAZABILIDAD</t>
        </is>
      </c>
      <c r="M94" s="546" t="n"/>
    </row>
    <row r="95" ht="18" customHeight="1" s="1223">
      <c r="A95" s="809" t="inlineStr">
        <is>
          <t>ELABORÓ</t>
        </is>
      </c>
      <c r="B95" s="761" t="n"/>
      <c r="C95" s="761" t="n"/>
      <c r="D95" s="762" t="n"/>
      <c r="E95" s="796" t="inlineStr">
        <is>
          <t>REVISÓ</t>
        </is>
      </c>
      <c r="F95" s="761" t="n"/>
      <c r="G95" s="761" t="n"/>
      <c r="H95" s="761" t="n"/>
      <c r="I95" s="797" t="inlineStr">
        <is>
          <t>APROBÓ</t>
        </is>
      </c>
      <c r="J95" s="790" t="n"/>
      <c r="K95" s="790" t="n"/>
      <c r="L95" s="790" t="n"/>
      <c r="M95" s="798" t="n"/>
    </row>
    <row r="96">
      <c r="A96" s="1313" t="n"/>
      <c r="E96" s="1313" t="n"/>
      <c r="I96" s="1313" t="n"/>
    </row>
    <row r="97"/>
    <row r="98" ht="18" customHeight="1" s="1223">
      <c r="A98" s="75" t="n"/>
      <c r="B98" s="1314" t="n"/>
      <c r="C98" s="737" t="n"/>
      <c r="D98" s="738" t="n"/>
      <c r="E98" s="1315" t="n"/>
      <c r="F98" s="737" t="n"/>
      <c r="G98" s="737" t="n"/>
      <c r="H98" s="770" t="n"/>
      <c r="I98" s="1316" t="n"/>
      <c r="J98" s="777" t="n"/>
      <c r="K98" s="777" t="n"/>
      <c r="L98" s="777" t="n"/>
      <c r="M98" s="778" t="n"/>
    </row>
    <row r="99" ht="18" customHeight="1" s="1223">
      <c r="A99" s="75" t="n"/>
      <c r="B99" s="743" t="n"/>
      <c r="C99" s="743" t="n"/>
      <c r="D99" s="744" t="n"/>
      <c r="E99" s="742" t="n"/>
      <c r="F99" s="743" t="n"/>
      <c r="G99" s="743" t="n"/>
      <c r="H99" s="771" t="n"/>
      <c r="I99" s="779" t="n"/>
      <c r="J99" s="780" t="n"/>
      <c r="K99" s="780" t="n"/>
      <c r="L99" s="780" t="n"/>
      <c r="M99" s="781" t="n"/>
    </row>
    <row r="100" ht="18" customHeight="1" s="1223">
      <c r="A100" s="755" t="n"/>
      <c r="B100" s="737" t="n"/>
      <c r="C100" s="737" t="n"/>
      <c r="D100" s="738" t="n"/>
      <c r="E100" s="775" t="n"/>
      <c r="F100" s="737" t="n"/>
      <c r="G100" s="737" t="n"/>
      <c r="H100" s="737" t="n"/>
      <c r="I100" s="784" t="n"/>
      <c r="J100" s="777" t="n"/>
      <c r="K100" s="777" t="n"/>
      <c r="L100" s="777" t="n"/>
      <c r="M100" s="778" t="n"/>
    </row>
    <row r="101" ht="18" customHeight="1" s="1223">
      <c r="A101" s="756" t="n"/>
      <c r="B101" s="743" t="n"/>
      <c r="C101" s="743" t="n"/>
      <c r="D101" s="744" t="n"/>
      <c r="E101" s="742" t="n"/>
      <c r="F101" s="743" t="n"/>
      <c r="G101" s="743" t="n"/>
      <c r="H101" s="743" t="n"/>
      <c r="I101" s="779" t="n"/>
      <c r="J101" s="780" t="n"/>
      <c r="K101" s="780" t="n"/>
      <c r="L101" s="780" t="n"/>
      <c r="M101" s="781" t="n"/>
    </row>
    <row r="102">
      <c r="A102" s="209" t="inlineStr">
        <is>
          <t>REV. 10/09/2026</t>
        </is>
      </c>
      <c r="M102" s="210">
        <f>L5</f>
        <v/>
      </c>
    </row>
  </sheetData>
  <mergeCells count="85">
    <mergeCell ref="I100:M101"/>
    <mergeCell ref="H59:M74"/>
    <mergeCell ref="H10:I10"/>
    <mergeCell ref="A36:D37"/>
    <mergeCell ref="J18:M18"/>
    <mergeCell ref="J17:M17"/>
    <mergeCell ref="L5:M5"/>
    <mergeCell ref="J19:M19"/>
    <mergeCell ref="D31:G31"/>
    <mergeCell ref="D5:J6"/>
    <mergeCell ref="A26:G26"/>
    <mergeCell ref="H41:M56"/>
    <mergeCell ref="L7:M7"/>
    <mergeCell ref="A11:B11"/>
    <mergeCell ref="A35:M35"/>
    <mergeCell ref="D33:G33"/>
    <mergeCell ref="A28:M28"/>
    <mergeCell ref="J23:M23"/>
    <mergeCell ref="A32:C32"/>
    <mergeCell ref="E36:I37"/>
    <mergeCell ref="A29:C29"/>
    <mergeCell ref="H11:I11"/>
    <mergeCell ref="A31:C31"/>
    <mergeCell ref="A96:D97"/>
    <mergeCell ref="A75:G75"/>
    <mergeCell ref="J27:M27"/>
    <mergeCell ref="H12:I12"/>
    <mergeCell ref="L6:M6"/>
    <mergeCell ref="A10:B10"/>
    <mergeCell ref="K10:L10"/>
    <mergeCell ref="J20:M20"/>
    <mergeCell ref="A57:G57"/>
    <mergeCell ref="E96:H97"/>
    <mergeCell ref="A76:M76"/>
    <mergeCell ref="J22:M22"/>
    <mergeCell ref="A77:J93"/>
    <mergeCell ref="J12:M12"/>
    <mergeCell ref="E98:H99"/>
    <mergeCell ref="J21:M21"/>
    <mergeCell ref="I96:M97"/>
    <mergeCell ref="H31:I31"/>
    <mergeCell ref="D29:G29"/>
    <mergeCell ref="A58:G58"/>
    <mergeCell ref="K11:L11"/>
    <mergeCell ref="A40:G40"/>
    <mergeCell ref="I98:M99"/>
    <mergeCell ref="H75:M75"/>
    <mergeCell ref="C10:G10"/>
    <mergeCell ref="A9:M9"/>
    <mergeCell ref="A39:M39"/>
    <mergeCell ref="L8:M8"/>
    <mergeCell ref="A12:B12"/>
    <mergeCell ref="C12:D12"/>
    <mergeCell ref="A94:M94"/>
    <mergeCell ref="A100:D101"/>
    <mergeCell ref="C11:G11"/>
    <mergeCell ref="A30:C30"/>
    <mergeCell ref="J24:M24"/>
    <mergeCell ref="B98:D99"/>
    <mergeCell ref="E100:H101"/>
    <mergeCell ref="J26:M26"/>
    <mergeCell ref="D7:J7"/>
    <mergeCell ref="H40:M40"/>
    <mergeCell ref="A41:G56"/>
    <mergeCell ref="J16:M16"/>
    <mergeCell ref="E95:H95"/>
    <mergeCell ref="J25:M25"/>
    <mergeCell ref="H30:I30"/>
    <mergeCell ref="A14:M14"/>
    <mergeCell ref="H29:I29"/>
    <mergeCell ref="I95:M95"/>
    <mergeCell ref="D30:G30"/>
    <mergeCell ref="F12:G12"/>
    <mergeCell ref="A33:C33"/>
    <mergeCell ref="D1:M3"/>
    <mergeCell ref="H57:M57"/>
    <mergeCell ref="J36:M37"/>
    <mergeCell ref="A59:G74"/>
    <mergeCell ref="H32:I32"/>
    <mergeCell ref="J15:M15"/>
    <mergeCell ref="D32:G32"/>
    <mergeCell ref="H33:I33"/>
    <mergeCell ref="A95:D95"/>
    <mergeCell ref="H58:M58"/>
    <mergeCell ref="K77:M93"/>
  </mergeCells>
  <pageMargins left="0.2" right="0.2" top="0.2" bottom="0.2" header="0.511811023622047" footer="0.1"/>
  <pageSetup orientation="landscape" horizontalDpi="300" verticalDpi="300"/>
  <headerFooter>
    <oddHeader/>
    <oddFooter>&amp;C&amp;8 REFORMAS Y REMODELACIONES  |  Memoria de Cálculo  | 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2026-09-20T01:31:52Z</dcterms:modified>
  <cp:lastModifiedBy>Hugo Fernando Hurtado Ruiz</cp:lastModifiedBy>
  <cp:revision>1</cp:revision>
  <cp:lastPrinted>2026-09-14T01:27:33Z</cp:lastPrinted>
</cp:coreProperties>
</file>