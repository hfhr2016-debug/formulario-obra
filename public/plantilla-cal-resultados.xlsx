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Resultados Concreto y Suel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1447800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13660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M4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2" customWidth="1" style="67" min="2" max="2"/>
    <col width="22" customWidth="1" style="67" min="3" max="3"/>
    <col width="12" customWidth="1" style="67" min="4" max="4"/>
    <col width="11" customWidth="1" style="67" min="5" max="5"/>
    <col width="8" customWidth="1" style="67" min="6" max="6"/>
    <col width="12" customWidth="1" style="67" min="7" max="8"/>
    <col width="14" customWidth="1" style="67" min="9" max="9"/>
    <col width="13" customWidth="1" style="67" min="10" max="10"/>
    <col width="11" customWidth="1" style="67" min="11" max="11"/>
    <col width="15" customWidth="1" style="67" min="12" max="12"/>
    <col width="26" customWidth="1" style="67" min="13" max="13"/>
    <col width="8.88671875" customWidth="1" style="67" min="14" max="16384"/>
  </cols>
  <sheetData>
    <row r="1" ht="40.05" customHeight="1" s="67">
      <c r="D1" s="38" t="inlineStr">
        <is>
          <t>RESULTADOS DE ENSAYOS DE CONCRETO Y SUELOS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15" customHeight="1" s="67">
      <c r="K4" s="120" t="inlineStr">
        <is>
          <t>CONTROL DOCUMENTAL</t>
        </is>
      </c>
      <c r="L4" s="31" t="n"/>
      <c r="M4" s="32" t="n"/>
    </row>
    <row r="5" ht="15" customHeight="1" s="67">
      <c r="D5" s="27" t="inlineStr">
        <is>
          <t>REFORMAS Y REMODELACIONES</t>
        </is>
      </c>
      <c r="J5" s="29" t="n"/>
      <c r="K5" s="1" t="inlineStr">
        <is>
          <t>Código</t>
        </is>
      </c>
      <c r="L5" s="94" t="inlineStr">
        <is>
          <t>RYR-CA-011</t>
        </is>
      </c>
      <c r="M5" s="32" t="n"/>
    </row>
    <row r="6" ht="15" customHeight="1" s="67">
      <c r="D6" s="37" t="inlineStr">
        <is>
          <t>DISEÑAMOS, RENOVAMOS Y CONSTRUIMOS ESPACIOS QUE INSPIRAN.</t>
        </is>
      </c>
      <c r="J6" s="29" t="n"/>
      <c r="K6" s="1" t="inlineStr">
        <is>
          <t>Versión</t>
        </is>
      </c>
      <c r="L6" s="94" t="n">
        <v>1</v>
      </c>
      <c r="M6" s="32" t="n"/>
    </row>
    <row r="7" ht="15" customHeight="1" s="67">
      <c r="D7" s="68" t="n"/>
      <c r="E7" s="68" t="n"/>
      <c r="F7" s="68" t="n"/>
      <c r="G7" s="68" t="n"/>
      <c r="H7" s="68" t="n"/>
      <c r="I7" s="68" t="n"/>
      <c r="J7" s="4" t="n"/>
      <c r="K7" s="1" t="inlineStr">
        <is>
          <t>Fecha de Emisión</t>
        </is>
      </c>
      <c r="L7" s="94" t="inlineStr">
        <is>
          <t>09/10/2026</t>
        </is>
      </c>
      <c r="M7" s="32" t="n"/>
    </row>
    <row r="8" ht="15" customHeight="1" s="67">
      <c r="D8" s="68" t="n"/>
      <c r="E8" s="68" t="n"/>
      <c r="F8" s="68" t="n"/>
      <c r="G8" s="68" t="n"/>
      <c r="H8" s="68" t="n"/>
      <c r="I8" s="68" t="n"/>
      <c r="J8" s="4" t="n"/>
      <c r="K8" s="1" t="inlineStr">
        <is>
          <t>Página</t>
        </is>
      </c>
      <c r="L8" s="94" t="inlineStr">
        <is>
          <t>1 de 1</t>
        </is>
      </c>
      <c r="M8" s="32" t="n"/>
    </row>
    <row r="9" ht="15" customHeight="1" s="67">
      <c r="A9" s="121" t="inlineStr">
        <is>
          <t>Resistencia de cilindros y densidades de compactación contra lo exigido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</row>
    <row r="11" ht="22.05" customHeight="1" s="67">
      <c r="A11" s="122" t="inlineStr">
        <is>
          <t>Proyecto / Obra</t>
        </is>
      </c>
      <c r="B11" s="32" t="n"/>
      <c r="C11" s="161" t="n"/>
      <c r="D11" s="162" t="n"/>
      <c r="E11" s="163" t="n"/>
      <c r="F11" s="122" t="inlineStr">
        <is>
          <t>Contrato N°</t>
        </is>
      </c>
      <c r="G11" s="32" t="n"/>
      <c r="H11" s="164" t="n"/>
      <c r="I11" s="163" t="n"/>
      <c r="J11" s="122" t="inlineStr">
        <is>
          <t>Ubicación</t>
        </is>
      </c>
      <c r="K11" s="32" t="n"/>
      <c r="L11" s="161" t="n"/>
      <c r="M11" s="163" t="n"/>
    </row>
    <row r="12" ht="22.05" customHeight="1" s="67">
      <c r="A12" s="122" t="inlineStr">
        <is>
          <t>Laboratorio</t>
        </is>
      </c>
      <c r="B12" s="32" t="n"/>
      <c r="C12" s="161" t="n"/>
      <c r="D12" s="162" t="n"/>
      <c r="E12" s="163" t="n"/>
      <c r="F12" s="122" t="inlineStr">
        <is>
          <t>Responsable de calidad</t>
        </is>
      </c>
      <c r="G12" s="32" t="n"/>
      <c r="H12" s="161" t="n"/>
      <c r="I12" s="163" t="n"/>
      <c r="J12" s="122" t="inlineStr">
        <is>
          <t>Fecha de corte</t>
        </is>
      </c>
      <c r="K12" s="32" t="n"/>
      <c r="L12" s="165" t="n"/>
      <c r="M12" s="163" t="n"/>
    </row>
    <row r="13" ht="16.5" customHeight="1" s="67">
      <c r="A13" s="15" t="inlineStr">
        <is>
          <t>2. RESISTENCIA A LA COMPRESIÓN DE CILINDROS DE CONCRETO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 t="n"/>
    </row>
    <row r="14" ht="43.95" customHeight="1" s="67">
      <c r="A14" s="42" t="inlineStr">
        <is>
          <t>No.</t>
        </is>
      </c>
      <c r="B14" s="42" t="inlineStr">
        <is>
          <t>Fecha de vaciado</t>
        </is>
      </c>
      <c r="C14" s="42" t="inlineStr">
        <is>
          <t>Elemento</t>
        </is>
      </c>
      <c r="D14" s="42" t="inlineStr">
        <is>
          <t>Remisión N°</t>
        </is>
      </c>
      <c r="E14" s="42" t="inlineStr">
        <is>
          <t>Cilindro N°</t>
        </is>
      </c>
      <c r="F14" s="42" t="inlineStr">
        <is>
          <t>Edad (días)</t>
        </is>
      </c>
      <c r="G14" s="42" t="inlineStr">
        <is>
          <t>Fecha de ensayo</t>
        </is>
      </c>
      <c r="H14" s="42" t="inlineStr">
        <is>
          <t>Carga de rotura (kN)</t>
        </is>
      </c>
      <c r="I14" s="42" t="inlineStr">
        <is>
          <t>Resistencia obtenida (MPa)</t>
        </is>
      </c>
      <c r="J14" s="42" t="inlineStr">
        <is>
          <t>f'c especificado (MPa)</t>
        </is>
      </c>
      <c r="K14" s="42" t="inlineStr">
        <is>
          <t>% de f'c</t>
        </is>
      </c>
      <c r="L14" s="42" t="inlineStr">
        <is>
          <t>Resultado</t>
        </is>
      </c>
      <c r="M14" s="42" t="inlineStr">
        <is>
          <t>Observaciones</t>
        </is>
      </c>
    </row>
    <row r="15" ht="21" customHeight="1" s="67">
      <c r="A15" s="125" t="n">
        <v>1</v>
      </c>
      <c r="B15" s="178" t="n"/>
      <c r="C15" s="170" t="n"/>
      <c r="D15" s="173" t="n"/>
      <c r="E15" s="173" t="n"/>
      <c r="F15" s="173" t="n"/>
      <c r="G15" s="178" t="n"/>
      <c r="H15" s="173" t="n"/>
      <c r="I15" s="185" t="n"/>
      <c r="J15" s="185" t="n"/>
      <c r="K15" s="142">
        <f>IF(OR(I15="",J15="",N(J15)=0),"",I15/J15)</f>
        <v/>
      </c>
      <c r="L15" s="138">
        <f>IF(OR(I15="",J15=""),"",IF(F15=28,IF(I15&gt;=J15,"Cumple","No cumple"),"Seguimiento"))</f>
        <v/>
      </c>
      <c r="M15" s="170" t="n"/>
    </row>
    <row r="16" ht="21" customHeight="1" s="67">
      <c r="A16" s="125" t="n">
        <v>2</v>
      </c>
      <c r="B16" s="178" t="n"/>
      <c r="C16" s="170" t="n"/>
      <c r="D16" s="173" t="n"/>
      <c r="E16" s="173" t="n"/>
      <c r="F16" s="173" t="n"/>
      <c r="G16" s="178" t="n"/>
      <c r="H16" s="173" t="n"/>
      <c r="I16" s="185" t="n"/>
      <c r="J16" s="185" t="n"/>
      <c r="K16" s="142">
        <f>IF(OR(I16="",J16="",N(J16)=0),"",I16/J16)</f>
        <v/>
      </c>
      <c r="L16" s="138">
        <f>IF(OR(I16="",J16=""),"",IF(F16=28,IF(I16&gt;=J16,"Cumple","No cumple"),"Seguimiento"))</f>
        <v/>
      </c>
      <c r="M16" s="170" t="n"/>
    </row>
    <row r="17" ht="21" customHeight="1" s="67">
      <c r="A17" s="125" t="n">
        <v>3</v>
      </c>
      <c r="B17" s="178" t="n"/>
      <c r="C17" s="170" t="n"/>
      <c r="D17" s="173" t="n"/>
      <c r="E17" s="173" t="n"/>
      <c r="F17" s="173" t="n"/>
      <c r="G17" s="178" t="n"/>
      <c r="H17" s="173" t="n"/>
      <c r="I17" s="185" t="n"/>
      <c r="J17" s="185" t="n"/>
      <c r="K17" s="142">
        <f>IF(OR(I17="",J17="",N(J17)=0),"",I17/J17)</f>
        <v/>
      </c>
      <c r="L17" s="138">
        <f>IF(OR(I17="",J17=""),"",IF(F17=28,IF(I17&gt;=J17,"Cumple","No cumple"),"Seguimiento"))</f>
        <v/>
      </c>
      <c r="M17" s="170" t="n"/>
    </row>
    <row r="18" ht="21" customHeight="1" s="67">
      <c r="A18" s="125" t="n">
        <v>4</v>
      </c>
      <c r="B18" s="178" t="n"/>
      <c r="C18" s="170" t="n"/>
      <c r="D18" s="173" t="n"/>
      <c r="E18" s="173" t="n"/>
      <c r="F18" s="173" t="n"/>
      <c r="G18" s="178" t="n"/>
      <c r="H18" s="173" t="n"/>
      <c r="I18" s="185" t="n"/>
      <c r="J18" s="185" t="n"/>
      <c r="K18" s="142">
        <f>IF(OR(I18="",J18="",N(J18)=0),"",I18/J18)</f>
        <v/>
      </c>
      <c r="L18" s="138">
        <f>IF(OR(I18="",J18=""),"",IF(F18=28,IF(I18&gt;=J18,"Cumple","No cumple"),"Seguimiento"))</f>
        <v/>
      </c>
      <c r="M18" s="170" t="n"/>
    </row>
    <row r="19" ht="21" customHeight="1" s="67">
      <c r="A19" s="125" t="n">
        <v>5</v>
      </c>
      <c r="B19" s="178" t="n"/>
      <c r="C19" s="170" t="n"/>
      <c r="D19" s="173" t="n"/>
      <c r="E19" s="173" t="n"/>
      <c r="F19" s="173" t="n"/>
      <c r="G19" s="178" t="n"/>
      <c r="H19" s="173" t="n"/>
      <c r="I19" s="185" t="n"/>
      <c r="J19" s="185" t="n"/>
      <c r="K19" s="142">
        <f>IF(OR(I19="",J19="",N(J19)=0),"",I19/J19)</f>
        <v/>
      </c>
      <c r="L19" s="138">
        <f>IF(OR(I19="",J19=""),"",IF(F19=28,IF(I19&gt;=J19,"Cumple","No cumple"),"Seguimiento"))</f>
        <v/>
      </c>
      <c r="M19" s="170" t="n"/>
    </row>
    <row r="20" ht="21" customHeight="1" s="67">
      <c r="A20" s="125" t="n">
        <v>6</v>
      </c>
      <c r="B20" s="178" t="n"/>
      <c r="C20" s="170" t="n"/>
      <c r="D20" s="173" t="n"/>
      <c r="E20" s="173" t="n"/>
      <c r="F20" s="173" t="n"/>
      <c r="G20" s="178" t="n"/>
      <c r="H20" s="173" t="n"/>
      <c r="I20" s="185" t="n"/>
      <c r="J20" s="185" t="n"/>
      <c r="K20" s="142">
        <f>IF(OR(I20="",J20="",N(J20)=0),"",I20/J20)</f>
        <v/>
      </c>
      <c r="L20" s="138">
        <f>IF(OR(I20="",J20=""),"",IF(F20=28,IF(I20&gt;=J20,"Cumple","No cumple"),"Seguimiento"))</f>
        <v/>
      </c>
      <c r="M20" s="170" t="n"/>
    </row>
    <row r="21" ht="21" customHeight="1" s="67">
      <c r="A21" s="125" t="n">
        <v>7</v>
      </c>
      <c r="B21" s="178" t="n"/>
      <c r="C21" s="170" t="n"/>
      <c r="D21" s="173" t="n"/>
      <c r="E21" s="173" t="n"/>
      <c r="F21" s="173" t="n"/>
      <c r="G21" s="178" t="n"/>
      <c r="H21" s="173" t="n"/>
      <c r="I21" s="185" t="n"/>
      <c r="J21" s="185" t="n"/>
      <c r="K21" s="142">
        <f>IF(OR(I21="",J21="",N(J21)=0),"",I21/J21)</f>
        <v/>
      </c>
      <c r="L21" s="138">
        <f>IF(OR(I21="",J21=""),"",IF(F21=28,IF(I21&gt;=J21,"Cumple","No cumple"),"Seguimiento"))</f>
        <v/>
      </c>
      <c r="M21" s="170" t="n"/>
    </row>
    <row r="22" ht="21" customHeight="1" s="67">
      <c r="A22" s="125" t="n">
        <v>8</v>
      </c>
      <c r="B22" s="178" t="n"/>
      <c r="C22" s="170" t="n"/>
      <c r="D22" s="173" t="n"/>
      <c r="E22" s="173" t="n"/>
      <c r="F22" s="173" t="n"/>
      <c r="G22" s="178" t="n"/>
      <c r="H22" s="173" t="n"/>
      <c r="I22" s="185" t="n"/>
      <c r="J22" s="185" t="n"/>
      <c r="K22" s="142">
        <f>IF(OR(I22="",J22="",N(J22)=0),"",I22/J22)</f>
        <v/>
      </c>
      <c r="L22" s="138">
        <f>IF(OR(I22="",J22=""),"",IF(F22=28,IF(I22&gt;=J22,"Cumple","No cumple"),"Seguimiento"))</f>
        <v/>
      </c>
      <c r="M22" s="170" t="n"/>
    </row>
    <row r="23" ht="21" customHeight="1" s="67">
      <c r="A23" s="125" t="n">
        <v>9</v>
      </c>
      <c r="B23" s="178" t="n"/>
      <c r="C23" s="170" t="n"/>
      <c r="D23" s="173" t="n"/>
      <c r="E23" s="173" t="n"/>
      <c r="F23" s="173" t="n"/>
      <c r="G23" s="178" t="n"/>
      <c r="H23" s="173" t="n"/>
      <c r="I23" s="185" t="n"/>
      <c r="J23" s="185" t="n"/>
      <c r="K23" s="142">
        <f>IF(OR(I23="",J23="",N(J23)=0),"",I23/J23)</f>
        <v/>
      </c>
      <c r="L23" s="138">
        <f>IF(OR(I23="",J23=""),"",IF(F23=28,IF(I23&gt;=J23,"Cumple","No cumple"),"Seguimiento"))</f>
        <v/>
      </c>
      <c r="M23" s="170" t="n"/>
    </row>
    <row r="24" ht="21" customHeight="1" s="67">
      <c r="A24" s="125" t="n">
        <v>10</v>
      </c>
      <c r="B24" s="178" t="n"/>
      <c r="C24" s="170" t="n"/>
      <c r="D24" s="173" t="n"/>
      <c r="E24" s="173" t="n"/>
      <c r="F24" s="173" t="n"/>
      <c r="G24" s="178" t="n"/>
      <c r="H24" s="173" t="n"/>
      <c r="I24" s="185" t="n"/>
      <c r="J24" s="185" t="n"/>
      <c r="K24" s="142">
        <f>IF(OR(I24="",J24="",N(J24)=0),"",I24/J24)</f>
        <v/>
      </c>
      <c r="L24" s="138">
        <f>IF(OR(I24="",J24=""),"",IF(F24=28,IF(I24&gt;=J24,"Cumple","No cumple"),"Seguimiento"))</f>
        <v/>
      </c>
      <c r="M24" s="170" t="n"/>
    </row>
    <row r="25" ht="21" customHeight="1" s="67">
      <c r="A25" s="125" t="n">
        <v>11</v>
      </c>
      <c r="B25" s="178" t="n"/>
      <c r="C25" s="170" t="n"/>
      <c r="D25" s="173" t="n"/>
      <c r="E25" s="173" t="n"/>
      <c r="F25" s="173" t="n"/>
      <c r="G25" s="178" t="n"/>
      <c r="H25" s="173" t="n"/>
      <c r="I25" s="185" t="n"/>
      <c r="J25" s="185" t="n"/>
      <c r="K25" s="142">
        <f>IF(OR(I25="",J25="",N(J25)=0),"",I25/J25)</f>
        <v/>
      </c>
      <c r="L25" s="138">
        <f>IF(OR(I25="",J25=""),"",IF(F25=28,IF(I25&gt;=J25,"Cumple","No cumple"),"Seguimiento"))</f>
        <v/>
      </c>
      <c r="M25" s="170" t="n"/>
    </row>
    <row r="26" ht="21" customHeight="1" s="67">
      <c r="A26" s="125" t="n">
        <v>12</v>
      </c>
      <c r="B26" s="178" t="n"/>
      <c r="C26" s="170" t="n"/>
      <c r="D26" s="173" t="n"/>
      <c r="E26" s="173" t="n"/>
      <c r="F26" s="173" t="n"/>
      <c r="G26" s="178" t="n"/>
      <c r="H26" s="173" t="n"/>
      <c r="I26" s="185" t="n"/>
      <c r="J26" s="185" t="n"/>
      <c r="K26" s="142">
        <f>IF(OR(I26="",J26="",N(J26)=0),"",I26/J26)</f>
        <v/>
      </c>
      <c r="L26" s="138">
        <f>IF(OR(I26="",J26=""),"",IF(F26=28,IF(I26&gt;=J26,"Cumple","No cumple"),"Seguimiento"))</f>
        <v/>
      </c>
      <c r="M26" s="170" t="n"/>
    </row>
    <row r="27" ht="30" customHeight="1" s="67">
      <c r="A27" s="124" t="inlineStr">
        <is>
          <t>Resumen a 28 días</t>
        </is>
      </c>
      <c r="B27" s="31" t="n"/>
      <c r="C27" s="32" t="n"/>
      <c r="D27" s="124" t="inlineStr">
        <is>
          <t>Cilindros a 28 días</t>
        </is>
      </c>
      <c r="E27" s="31" t="n"/>
      <c r="F27" s="32" t="n"/>
      <c r="G27" s="124" t="inlineStr">
        <is>
          <t>Resistencia promedio (MPa)</t>
        </is>
      </c>
      <c r="H27" s="32" t="n"/>
      <c r="I27" s="124" t="inlineStr">
        <is>
          <t>Resistencia mínima (MPa)</t>
        </is>
      </c>
      <c r="J27" s="32" t="n"/>
      <c r="K27" s="124" t="inlineStr">
        <is>
          <t>Cilindros que no cumplen</t>
        </is>
      </c>
      <c r="L27" s="32" t="n"/>
      <c r="M27" s="42" t="inlineStr">
        <is>
          <t>Concepto</t>
        </is>
      </c>
    </row>
    <row r="28" ht="24" customHeight="1" s="67">
      <c r="A28" s="139" t="inlineStr">
        <is>
          <t>Resultados del periodo</t>
        </is>
      </c>
      <c r="B28" s="31" t="n"/>
      <c r="C28" s="32" t="n"/>
      <c r="D28" s="135">
        <f>COUNTIF(F15:F26,28)</f>
        <v/>
      </c>
      <c r="E28" s="31" t="n"/>
      <c r="F28" s="32" t="n"/>
      <c r="G28" s="148">
        <f>IFERROR(AVERAGEIF(F15:F26,28,I15:I26),"")</f>
        <v/>
      </c>
      <c r="H28" s="32" t="n"/>
      <c r="I28" s="148">
        <f>IF(D28=0,"",1000000-SUMPRODUCT(MAX((F15:F26=28)*(I15:I26&lt;&gt;"")*(1000000-I15:I26))))</f>
        <v/>
      </c>
      <c r="J28" s="32" t="n"/>
      <c r="K28" s="135">
        <f>COUNTIF(L15:L26,"No cumple")</f>
        <v/>
      </c>
      <c r="L28" s="32" t="n"/>
      <c r="M28" s="133">
        <f>IF(D28=0,"Sin resultados a 28 días",IF(K28=0,"Revisar criterio NSR-10","REPORTAR NO CONFORMIDAD"))</f>
        <v/>
      </c>
    </row>
    <row r="29" ht="40.05" customHeight="1" s="67">
      <c r="A29" s="87" t="inlineStr">
        <is>
          <t>Criterio de aceptación del concreto (NSR-10 C.5.6.3): el promedio de tres ensayos consecutivos debe ser igual o mayor que f'c y ningún ensayo individual puede quedar por debajo de f'c en más de 3,5 MPa (para f'c de 35 MPa o menos). Un ensayo es el promedio de cilindros del mismo camión y edad. A edades menores de 28 días el resultado es de seguimiento.</t>
        </is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2" t="n"/>
    </row>
    <row r="30" ht="16.5" customHeight="1" s="67">
      <c r="A30" s="15" t="inlineStr">
        <is>
          <t>3. ENSAYOS DE SUELOS Y COMPACTACIÓN</t>
        </is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 t="n"/>
    </row>
    <row r="31" ht="34.05" customHeight="1" s="67">
      <c r="A31" s="42" t="inlineStr">
        <is>
          <t>No.</t>
        </is>
      </c>
      <c r="B31" s="42" t="inlineStr">
        <is>
          <t>Fecha</t>
        </is>
      </c>
      <c r="C31" s="42" t="inlineStr">
        <is>
          <t>Capa o material</t>
        </is>
      </c>
      <c r="D31" s="124" t="inlineStr">
        <is>
          <t>Localización</t>
        </is>
      </c>
      <c r="E31" s="32" t="n"/>
      <c r="F31" s="124" t="inlineStr">
        <is>
          <t>Ensayo</t>
        </is>
      </c>
      <c r="G31" s="32" t="n"/>
      <c r="H31" s="42" t="inlineStr">
        <is>
          <t>Informe N°</t>
        </is>
      </c>
      <c r="I31" s="42" t="inlineStr">
        <is>
          <t>Valor exigido</t>
        </is>
      </c>
      <c r="J31" s="42" t="inlineStr">
        <is>
          <t>Valor obtenido</t>
        </is>
      </c>
      <c r="K31" s="42" t="inlineStr">
        <is>
          <t>Unidad</t>
        </is>
      </c>
      <c r="L31" s="42" t="inlineStr">
        <is>
          <t>Resultado</t>
        </is>
      </c>
      <c r="M31" s="42" t="inlineStr">
        <is>
          <t>Observaciones</t>
        </is>
      </c>
    </row>
    <row r="32" ht="21" customHeight="1" s="67">
      <c r="A32" s="125" t="n">
        <v>1</v>
      </c>
      <c r="B32" s="178" t="n"/>
      <c r="C32" s="170" t="n"/>
      <c r="D32" s="170" t="n"/>
      <c r="E32" s="172" t="n"/>
      <c r="F32" s="170" t="n"/>
      <c r="G32" s="172" t="n"/>
      <c r="H32" s="173" t="n"/>
      <c r="I32" s="173" t="n"/>
      <c r="J32" s="173" t="n"/>
      <c r="K32" s="173" t="n"/>
      <c r="L32" s="180" t="n"/>
      <c r="M32" s="170" t="n"/>
    </row>
    <row r="33" ht="21" customHeight="1" s="67">
      <c r="A33" s="125" t="n">
        <v>2</v>
      </c>
      <c r="B33" s="178" t="n"/>
      <c r="C33" s="170" t="n"/>
      <c r="D33" s="170" t="n"/>
      <c r="E33" s="172" t="n"/>
      <c r="F33" s="170" t="n"/>
      <c r="G33" s="172" t="n"/>
      <c r="H33" s="173" t="n"/>
      <c r="I33" s="173" t="n"/>
      <c r="J33" s="173" t="n"/>
      <c r="K33" s="173" t="n"/>
      <c r="L33" s="180" t="n"/>
      <c r="M33" s="170" t="n"/>
    </row>
    <row r="34" ht="21" customHeight="1" s="67">
      <c r="A34" s="125" t="n">
        <v>3</v>
      </c>
      <c r="B34" s="178" t="n"/>
      <c r="C34" s="170" t="n"/>
      <c r="D34" s="170" t="n"/>
      <c r="E34" s="172" t="n"/>
      <c r="F34" s="170" t="n"/>
      <c r="G34" s="172" t="n"/>
      <c r="H34" s="173" t="n"/>
      <c r="I34" s="173" t="n"/>
      <c r="J34" s="173" t="n"/>
      <c r="K34" s="173" t="n"/>
      <c r="L34" s="180" t="n"/>
      <c r="M34" s="170" t="n"/>
    </row>
    <row r="35" ht="21" customHeight="1" s="67">
      <c r="A35" s="125" t="n">
        <v>4</v>
      </c>
      <c r="B35" s="178" t="n"/>
      <c r="C35" s="170" t="n"/>
      <c r="D35" s="170" t="n"/>
      <c r="E35" s="172" t="n"/>
      <c r="F35" s="170" t="n"/>
      <c r="G35" s="172" t="n"/>
      <c r="H35" s="173" t="n"/>
      <c r="I35" s="173" t="n"/>
      <c r="J35" s="173" t="n"/>
      <c r="K35" s="173" t="n"/>
      <c r="L35" s="180" t="n"/>
      <c r="M35" s="170" t="n"/>
    </row>
    <row r="36" ht="21" customHeight="1" s="67">
      <c r="A36" s="125" t="n">
        <v>5</v>
      </c>
      <c r="B36" s="178" t="n"/>
      <c r="C36" s="170" t="n"/>
      <c r="D36" s="170" t="n"/>
      <c r="E36" s="172" t="n"/>
      <c r="F36" s="170" t="n"/>
      <c r="G36" s="172" t="n"/>
      <c r="H36" s="173" t="n"/>
      <c r="I36" s="173" t="n"/>
      <c r="J36" s="173" t="n"/>
      <c r="K36" s="173" t="n"/>
      <c r="L36" s="180" t="n"/>
      <c r="M36" s="170" t="n"/>
    </row>
    <row r="37" ht="21" customHeight="1" s="67">
      <c r="A37" s="125" t="n">
        <v>6</v>
      </c>
      <c r="B37" s="178" t="n"/>
      <c r="C37" s="170" t="n"/>
      <c r="D37" s="170" t="n"/>
      <c r="E37" s="172" t="n"/>
      <c r="F37" s="170" t="n"/>
      <c r="G37" s="172" t="n"/>
      <c r="H37" s="173" t="n"/>
      <c r="I37" s="173" t="n"/>
      <c r="J37" s="173" t="n"/>
      <c r="K37" s="173" t="n"/>
      <c r="L37" s="180" t="n"/>
      <c r="M37" s="170" t="n"/>
    </row>
    <row r="38" ht="19.95" customHeight="1" s="67">
      <c r="A38" s="87" t="inlineStr">
        <is>
          <t>Todo resultado «No cumple» se reporta en el Registro de No Conformidades (RYR-CA-013). Los informes originales del laboratorio se anexan o se archivan con el número aquí escrito.</t>
        </is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2" t="n"/>
    </row>
    <row r="39" ht="16.5" customHeight="1" s="67">
      <c r="A39" s="15" t="inlineStr">
        <is>
          <t>4. FIRMAS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7" t="n"/>
    </row>
    <row r="40" ht="18" customHeight="1" s="67">
      <c r="A40" s="130" t="inlineStr">
        <is>
          <t>ELABORÓ — INSPECTOR / INGENIERO DE CALIDAD</t>
        </is>
      </c>
      <c r="B40" s="31" t="n"/>
      <c r="C40" s="31" t="n"/>
      <c r="D40" s="31" t="n"/>
      <c r="E40" s="32" t="n"/>
      <c r="F40" s="130" t="inlineStr">
        <is>
          <t>REVISÓ — RESIDENTE DE OBRA</t>
        </is>
      </c>
      <c r="G40" s="31" t="n"/>
      <c r="H40" s="31" t="n"/>
      <c r="I40" s="32" t="n"/>
      <c r="J40" s="130" t="inlineStr">
        <is>
          <t>Vo.Bo. — INTERVENTORÍA / SUPERVISIÓN</t>
        </is>
      </c>
      <c r="K40" s="31" t="n"/>
      <c r="L40" s="31" t="n"/>
      <c r="M40" s="32" t="n"/>
    </row>
    <row r="41" ht="42" customHeight="1" s="67">
      <c r="A41" s="18" t="inlineStr">
        <is>
          <t>Firma:</t>
        </is>
      </c>
      <c r="B41" s="17" t="n"/>
      <c r="C41" s="170" t="n"/>
      <c r="D41" s="171" t="n"/>
      <c r="E41" s="172" t="n"/>
      <c r="F41" s="18" t="inlineStr">
        <is>
          <t>Firma:</t>
        </is>
      </c>
      <c r="G41" s="17" t="n"/>
      <c r="H41" s="170" t="n"/>
      <c r="I41" s="172" t="n"/>
      <c r="J41" s="18" t="inlineStr">
        <is>
          <t>Firma:</t>
        </is>
      </c>
      <c r="K41" s="17" t="n"/>
      <c r="L41" s="170" t="n"/>
      <c r="M41" s="172" t="n"/>
    </row>
    <row r="42" ht="21" customHeight="1" s="67">
      <c r="A42" s="18" t="inlineStr">
        <is>
          <t>Nombre:</t>
        </is>
      </c>
      <c r="B42" s="17" t="n"/>
      <c r="C42" s="170" t="n"/>
      <c r="D42" s="171" t="n"/>
      <c r="E42" s="172" t="n"/>
      <c r="F42" s="18" t="inlineStr">
        <is>
          <t>Nombre:</t>
        </is>
      </c>
      <c r="G42" s="17" t="n"/>
      <c r="H42" s="170" t="n"/>
      <c r="I42" s="172" t="n"/>
      <c r="J42" s="18" t="inlineStr">
        <is>
          <t>Nombre:</t>
        </is>
      </c>
      <c r="K42" s="17" t="n"/>
      <c r="L42" s="170" t="n"/>
      <c r="M42" s="172" t="n"/>
    </row>
    <row r="43" ht="21" customHeight="1" s="67">
      <c r="A43" s="18" t="inlineStr">
        <is>
          <t>Cargo:</t>
        </is>
      </c>
      <c r="B43" s="17" t="n"/>
      <c r="C43" s="170" t="n"/>
      <c r="D43" s="171" t="n"/>
      <c r="E43" s="172" t="n"/>
      <c r="F43" s="18" t="inlineStr">
        <is>
          <t>Cargo:</t>
        </is>
      </c>
      <c r="G43" s="17" t="n"/>
      <c r="H43" s="170" t="n"/>
      <c r="I43" s="172" t="n"/>
      <c r="J43" s="18" t="inlineStr">
        <is>
          <t>Cargo:</t>
        </is>
      </c>
      <c r="K43" s="17" t="n"/>
      <c r="L43" s="170" t="n"/>
      <c r="M43" s="172" t="n"/>
    </row>
    <row r="44">
      <c r="A44" s="2" t="inlineStr">
        <is>
          <t>REV. 09/10/2026</t>
        </is>
      </c>
      <c r="G44" s="33">
        <f>L5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4">
    <mergeCell ref="F11:G11"/>
    <mergeCell ref="D27:F27"/>
    <mergeCell ref="L7:M7"/>
    <mergeCell ref="C41:E41"/>
    <mergeCell ref="D34:E34"/>
    <mergeCell ref="A11:B11"/>
    <mergeCell ref="H43:I43"/>
    <mergeCell ref="F34:G34"/>
    <mergeCell ref="G27:H27"/>
    <mergeCell ref="D3:M3"/>
    <mergeCell ref="H41:I41"/>
    <mergeCell ref="A27:C27"/>
    <mergeCell ref="I27:J27"/>
    <mergeCell ref="A29:M29"/>
    <mergeCell ref="D36:E36"/>
    <mergeCell ref="D31:E31"/>
    <mergeCell ref="A38:M38"/>
    <mergeCell ref="C43:E43"/>
    <mergeCell ref="C12:E12"/>
    <mergeCell ref="G44:M44"/>
    <mergeCell ref="A10:M10"/>
    <mergeCell ref="D5:J5"/>
    <mergeCell ref="A13:M13"/>
    <mergeCell ref="L43:M43"/>
    <mergeCell ref="D28:F28"/>
    <mergeCell ref="F12:G12"/>
    <mergeCell ref="L12:M12"/>
    <mergeCell ref="C11:E11"/>
    <mergeCell ref="A41:B41"/>
    <mergeCell ref="L42:M42"/>
    <mergeCell ref="A9:M9"/>
    <mergeCell ref="F33:G33"/>
    <mergeCell ref="A30:M30"/>
    <mergeCell ref="F42:G42"/>
    <mergeCell ref="A39:M39"/>
    <mergeCell ref="F36:G36"/>
    <mergeCell ref="D32:E32"/>
    <mergeCell ref="F32:G32"/>
    <mergeCell ref="G28:H28"/>
    <mergeCell ref="F41:G41"/>
    <mergeCell ref="I28:J28"/>
    <mergeCell ref="L8:M8"/>
    <mergeCell ref="F35:G35"/>
    <mergeCell ref="L5:M5"/>
    <mergeCell ref="A12:B12"/>
    <mergeCell ref="A28:C28"/>
    <mergeCell ref="H11:I11"/>
    <mergeCell ref="F40:I40"/>
    <mergeCell ref="J11:K11"/>
    <mergeCell ref="J40:M40"/>
    <mergeCell ref="K4:M4"/>
    <mergeCell ref="A42:B42"/>
    <mergeCell ref="D37:E37"/>
    <mergeCell ref="J41:K41"/>
    <mergeCell ref="F31:G31"/>
    <mergeCell ref="K27:L27"/>
    <mergeCell ref="L41:M41"/>
    <mergeCell ref="D6:J6"/>
    <mergeCell ref="F43:G43"/>
    <mergeCell ref="C42:E42"/>
    <mergeCell ref="F37:G37"/>
    <mergeCell ref="H12:I12"/>
    <mergeCell ref="J43:K43"/>
    <mergeCell ref="J12:K12"/>
    <mergeCell ref="L6:M6"/>
    <mergeCell ref="A43:B43"/>
    <mergeCell ref="D33:E33"/>
    <mergeCell ref="H42:I42"/>
    <mergeCell ref="J42:K42"/>
    <mergeCell ref="K28:L28"/>
    <mergeCell ref="L11:M11"/>
    <mergeCell ref="D1:M2"/>
    <mergeCell ref="A40:E40"/>
    <mergeCell ref="D35:E35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2026-10-10T14:16:29Z</dcterms:modified>
  <cp:lastModifiedBy>Hugo Fernando Hurtado Ruiz</cp:lastModifiedBy>
</cp:coreProperties>
</file>