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Calibri"/>
      <sz val="10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79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39" fillId="3" borderId="7" applyAlignment="1" applyProtection="1" pivotButton="0" quotePrefix="0" xfId="3">
      <alignment horizontal="center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39" fillId="0" borderId="7" applyAlignment="1" applyProtection="1" pivotButton="0" quotePrefix="0" xfId="3">
      <alignment horizontal="left" vertical="center" wrapText="1"/>
      <protection locked="0" hidden="0"/>
    </xf>
    <xf numFmtId="0" fontId="39" fillId="0" borderId="7" applyAlignment="1" applyProtection="1" pivotButton="0" quotePrefix="0" xfId="3">
      <alignment horizontal="center" vertical="center" wrapText="1"/>
      <protection locked="0" hidden="0"/>
    </xf>
    <xf numFmtId="9" fontId="39" fillId="0" borderId="17" applyAlignment="1" pivotButton="0" quotePrefix="0" xfId="3">
      <alignment horizontal="center" vertical="center" wrapText="1"/>
    </xf>
    <xf numFmtId="9" fontId="39" fillId="0" borderId="8" applyAlignment="1" pivotButton="0" quotePrefix="0" xfId="3">
      <alignment horizontal="center" vertical="center" wrapText="1"/>
    </xf>
    <xf numFmtId="0" fontId="39" fillId="0" borderId="14" applyAlignment="1" pivotButton="0" quotePrefix="0" xfId="3">
      <alignment horizontal="center" vertical="center" wrapText="1"/>
    </xf>
    <xf numFmtId="0" fontId="39" fillId="0" borderId="7" applyAlignment="1" pivotButton="0" quotePrefix="0" xfId="3">
      <alignment horizontal="center" vertical="center"/>
    </xf>
    <xf numFmtId="14" fontId="39" fillId="0" borderId="7" applyAlignment="1" applyProtection="1" pivotButton="0" quotePrefix="0" xfId="3">
      <alignment horizontal="center" vertical="center"/>
      <protection locked="0" hidden="0"/>
    </xf>
    <xf numFmtId="0" fontId="39" fillId="0" borderId="7" applyAlignment="1" applyProtection="1" pivotButton="0" quotePrefix="0" xfId="3">
      <alignment horizontal="center" vertical="center"/>
      <protection locked="0" hidden="0"/>
    </xf>
    <xf numFmtId="9" fontId="39" fillId="0" borderId="7" applyAlignment="1" pivotButton="0" quotePrefix="0" xfId="3">
      <alignment horizontal="center" vertical="center"/>
    </xf>
    <xf numFmtId="0" fontId="39" fillId="0" borderId="7" applyAlignment="1" applyProtection="1" pivotButton="0" quotePrefix="0" xfId="3">
      <alignment horizontal="left" vertical="top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39" fillId="0" borderId="14" applyAlignment="1" applyProtection="1" pivotButton="0" quotePrefix="0" xfId="3">
      <alignment horizontal="left" vertical="center" wrapText="1"/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2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810532</xdr:colOff>
      <xdr:row>7</xdr:row>
      <xdr:rowOff>177646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492000" cy="169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Q44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127" min="1" max="1"/>
    <col width="34" customWidth="1" style="127" min="2" max="2"/>
    <col width="16" customWidth="1" style="127" min="3" max="4"/>
    <col width="11" customWidth="1" style="127" min="5" max="6"/>
    <col width="18" customWidth="1" style="127" min="7" max="7"/>
    <col width="9" customWidth="1" style="127" min="8" max="8"/>
    <col width="9.44140625" customWidth="1" style="127" min="9" max="10"/>
    <col width="10" customWidth="1" style="127" min="11" max="11"/>
    <col width="9.44140625" customWidth="1" style="127" min="12" max="13"/>
    <col width="10" customWidth="1" style="127" min="14" max="14"/>
    <col width="16" customWidth="1" style="127" min="15" max="15"/>
    <col width="13" customWidth="1" style="127" min="16" max="16"/>
    <col width="22" customWidth="1" style="127" min="17" max="17"/>
  </cols>
  <sheetData>
    <row r="1" ht="40.05" customHeight="1" s="127">
      <c r="D1" s="133" t="inlineStr">
        <is>
          <t>MATRIZ DE CAPACITACIÓN SG-SST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</row>
    <row r="3" ht="4.95" customHeight="1" s="127">
      <c r="D3" s="101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89" t="n"/>
    </row>
    <row r="4" ht="15" customHeight="1" s="127">
      <c r="O4" s="139" t="inlineStr">
        <is>
          <t>CONTROL DOCUMENTAL</t>
        </is>
      </c>
      <c r="P4" s="93" t="n"/>
      <c r="Q4" s="89" t="n"/>
    </row>
    <row r="5" ht="15" customHeight="1" s="127">
      <c r="D5" s="99" t="inlineStr">
        <is>
          <t>REFORMAS Y REMODELACIONES</t>
        </is>
      </c>
      <c r="N5" s="92" t="n"/>
      <c r="O5" s="5" t="inlineStr">
        <is>
          <t>Código</t>
        </is>
      </c>
      <c r="P5" s="64" t="inlineStr">
        <is>
          <t>RYR-SS-005</t>
        </is>
      </c>
      <c r="Q5" s="89" t="n"/>
    </row>
    <row r="6" ht="15" customHeight="1" s="127">
      <c r="D6" s="90" t="inlineStr">
        <is>
          <t>DISEÑAMOS, RENOVAMOS Y CONSTRUIMOS ESPACIOS QUE INSPIRAN.</t>
        </is>
      </c>
      <c r="N6" s="92" t="n"/>
      <c r="O6" s="5" t="inlineStr">
        <is>
          <t>Versión</t>
        </is>
      </c>
      <c r="P6" s="64" t="n">
        <v>1</v>
      </c>
      <c r="Q6" s="89" t="n"/>
    </row>
    <row r="7" ht="15" customHeight="1" s="127">
      <c r="D7" s="65" t="n"/>
      <c r="E7" s="190" t="n"/>
      <c r="F7" s="190" t="n"/>
      <c r="G7" s="190" t="n"/>
      <c r="H7" s="190" t="n"/>
      <c r="I7" s="190" t="n"/>
      <c r="J7" s="190" t="n"/>
      <c r="K7" s="190" t="n"/>
      <c r="L7" s="190" t="n"/>
      <c r="M7" s="190" t="n"/>
      <c r="N7" s="67" t="n"/>
      <c r="O7" s="5" t="inlineStr">
        <is>
          <t>Fecha de Emisión</t>
        </is>
      </c>
      <c r="P7" s="64" t="inlineStr">
        <is>
          <t>04/10/2026</t>
        </is>
      </c>
      <c r="Q7" s="89" t="n"/>
    </row>
    <row r="8" ht="15" customHeight="1" s="127">
      <c r="D8" s="65" t="n"/>
      <c r="E8" s="190" t="n"/>
      <c r="F8" s="190" t="n"/>
      <c r="G8" s="190" t="n"/>
      <c r="H8" s="190" t="n"/>
      <c r="I8" s="190" t="n"/>
      <c r="J8" s="190" t="n"/>
      <c r="K8" s="190" t="n"/>
      <c r="L8" s="190" t="n"/>
      <c r="M8" s="190" t="n"/>
      <c r="N8" s="67" t="n"/>
      <c r="O8" s="254" t="inlineStr">
        <is>
          <t>Página</t>
        </is>
      </c>
      <c r="P8" s="58" t="inlineStr">
        <is>
          <t>1 de 1</t>
        </is>
      </c>
      <c r="Q8" s="94" t="n"/>
    </row>
    <row r="9" ht="15" customHeight="1" s="127">
      <c r="A9" s="287" t="inlineStr">
        <is>
          <t>Programa de capacitación del proyecto: programación, ejecución, cobertura y eficacia · Decreto 1072 de 2015 · Resolución 0312 de 2019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7" t="n"/>
      <c r="M9" s="347" t="n"/>
      <c r="N9" s="347" t="n"/>
      <c r="O9" s="347" t="n"/>
      <c r="P9" s="347" t="n"/>
      <c r="Q9" s="352" t="n"/>
    </row>
    <row r="10" ht="16.5" customHeight="1" s="127">
      <c r="A10" s="137" t="inlineStr">
        <is>
          <t>1. DATOS DEL PROGRAMA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8" t="n"/>
      <c r="O10" s="98" t="n"/>
      <c r="P10" s="98" t="n"/>
      <c r="Q10" s="97" t="n"/>
    </row>
    <row r="11" ht="19.95" customHeight="1" s="127">
      <c r="A11" s="59" t="inlineStr">
        <is>
          <t>Proyecto / Obra</t>
        </is>
      </c>
      <c r="B11" s="89" t="n"/>
      <c r="C11" s="360" t="n"/>
      <c r="D11" s="361" t="n"/>
      <c r="E11" s="361" t="n"/>
      <c r="F11" s="361" t="n"/>
      <c r="G11" s="362" t="n"/>
      <c r="H11" s="59" t="inlineStr">
        <is>
          <t>Contratista / Empresa</t>
        </is>
      </c>
      <c r="I11" s="93" t="n"/>
      <c r="J11" s="93" t="n"/>
      <c r="K11" s="89" t="n"/>
      <c r="L11" s="363" t="n"/>
      <c r="M11" s="361" t="n"/>
      <c r="N11" s="361" t="n"/>
      <c r="O11" s="361" t="n"/>
      <c r="P11" s="361" t="n"/>
      <c r="Q11" s="362" t="n"/>
    </row>
    <row r="12" ht="19.95" customHeight="1" s="127">
      <c r="A12" s="59" t="inlineStr">
        <is>
          <t>Ubicación</t>
        </is>
      </c>
      <c r="B12" s="89" t="n"/>
      <c r="C12" s="363" t="n"/>
      <c r="D12" s="361" t="n"/>
      <c r="E12" s="361" t="n"/>
      <c r="F12" s="361" t="n"/>
      <c r="G12" s="362" t="n"/>
      <c r="H12" s="59" t="inlineStr">
        <is>
          <t>Responsable del programa SST</t>
        </is>
      </c>
      <c r="I12" s="93" t="n"/>
      <c r="J12" s="93" t="n"/>
      <c r="K12" s="89" t="n"/>
      <c r="L12" s="363" t="n"/>
      <c r="M12" s="361" t="n"/>
      <c r="N12" s="362" t="n"/>
      <c r="O12" s="59" t="inlineStr">
        <is>
          <t>Cargo</t>
        </is>
      </c>
      <c r="P12" s="363" t="n"/>
      <c r="Q12" s="362" t="n"/>
    </row>
    <row r="13" ht="19.95" customHeight="1" s="127">
      <c r="A13" s="59" t="inlineStr">
        <is>
          <t>Periodo evaluado — desde</t>
        </is>
      </c>
      <c r="B13" s="89" t="n"/>
      <c r="C13" s="364" t="n"/>
      <c r="D13" s="59" t="inlineStr">
        <is>
          <t>hasta</t>
        </is>
      </c>
      <c r="E13" s="364" t="n"/>
      <c r="F13" s="361" t="n"/>
      <c r="G13" s="362" t="n"/>
      <c r="H13" s="59" t="inlineStr">
        <is>
          <t>Fecha de actualización</t>
        </is>
      </c>
      <c r="I13" s="93" t="n"/>
      <c r="J13" s="93" t="n"/>
      <c r="K13" s="89" t="n"/>
      <c r="L13" s="364" t="n"/>
      <c r="M13" s="361" t="n"/>
      <c r="N13" s="362" t="n"/>
      <c r="Q13" s="94" t="n"/>
    </row>
    <row r="14" ht="16.5" customHeight="1" s="127">
      <c r="A14" s="137" t="inlineStr">
        <is>
          <t>2. INDICADORES DEL PROGRAMA (se calculan solos con la matriz)</t>
        </is>
      </c>
      <c r="B14" s="98" t="n"/>
      <c r="C14" s="98" t="n"/>
      <c r="D14" s="98" t="n"/>
      <c r="E14" s="98" t="n"/>
      <c r="F14" s="98" t="n"/>
      <c r="G14" s="98" t="n"/>
      <c r="H14" s="98" t="n"/>
      <c r="I14" s="98" t="n"/>
      <c r="J14" s="98" t="n"/>
      <c r="K14" s="98" t="n"/>
      <c r="L14" s="98" t="n"/>
      <c r="M14" s="98" t="n"/>
      <c r="N14" s="98" t="n"/>
      <c r="O14" s="98" t="n"/>
      <c r="P14" s="98" t="n"/>
      <c r="Q14" s="97" t="n"/>
    </row>
    <row r="15" ht="27" customHeight="1" s="127">
      <c r="A15" s="324" t="inlineStr">
        <is>
          <t>Capacitaciones programadas</t>
        </is>
      </c>
      <c r="B15" s="94" t="n"/>
      <c r="C15" s="324" t="inlineStr">
        <is>
          <t>Capacitaciones ejecutadas</t>
        </is>
      </c>
      <c r="D15" s="94" t="n"/>
      <c r="E15" s="324" t="inlineStr">
        <is>
          <t>% de cumplimiento</t>
        </is>
      </c>
      <c r="F15" s="94" t="n"/>
      <c r="G15" s="74" t="inlineStr">
        <is>
          <t>Meta de cumplimiento</t>
        </is>
      </c>
      <c r="H15" s="324" t="inlineStr">
        <is>
          <t>Personas convocadas</t>
        </is>
      </c>
      <c r="I15" s="94" t="n"/>
      <c r="J15" s="324" t="inlineStr">
        <is>
          <t>Personas asistentes</t>
        </is>
      </c>
      <c r="K15" s="94" t="n"/>
      <c r="L15" s="324" t="inlineStr">
        <is>
          <t>Cobertura global</t>
        </is>
      </c>
      <c r="M15" s="94" t="n"/>
      <c r="N15" s="74" t="inlineStr">
        <is>
          <t>Meta de cobertura</t>
        </is>
      </c>
      <c r="O15" s="89" t="n"/>
      <c r="P15" s="324" t="inlineStr">
        <is>
          <t>Eficacia global</t>
        </is>
      </c>
      <c r="Q15" s="74" t="inlineStr">
        <is>
          <t>Meta de eficacia</t>
        </is>
      </c>
    </row>
    <row r="16" ht="21" customHeight="1" s="127">
      <c r="A16" s="320">
        <f>COUNTA(B20:B34)</f>
        <v/>
      </c>
      <c r="B16" s="348" t="n"/>
      <c r="C16" s="320">
        <f>COUNTIF(P20:P34,"Ejecutada")</f>
        <v/>
      </c>
      <c r="D16" s="348" t="n"/>
      <c r="E16" s="321">
        <f>IFERROR(C16/A16,"")</f>
        <v/>
      </c>
      <c r="F16" s="348" t="n"/>
      <c r="G16" s="365" t="n">
        <v>0.9</v>
      </c>
      <c r="H16" s="320">
        <f>SUM(I20:I34)</f>
        <v/>
      </c>
      <c r="I16" s="348" t="n"/>
      <c r="J16" s="320">
        <f>SUM(J20:J34)</f>
        <v/>
      </c>
      <c r="K16" s="348" t="n"/>
      <c r="L16" s="321">
        <f>IFERROR(J16/H16,"")</f>
        <v/>
      </c>
      <c r="M16" s="348" t="n"/>
      <c r="N16" s="366" t="n">
        <v>0.8</v>
      </c>
      <c r="O16" s="89" t="n"/>
      <c r="P16" s="325">
        <f>IFERROR(SUM(M20:M34)/SUM(L20:L34),"")</f>
        <v/>
      </c>
      <c r="Q16" s="366" t="n">
        <v>0.8</v>
      </c>
    </row>
    <row r="17" ht="19.95" customHeight="1" s="127">
      <c r="A17" s="318" t="inlineStr">
        <is>
          <t>Estado del programa</t>
        </is>
      </c>
      <c r="B17" s="97" t="n"/>
      <c r="C17" s="367">
        <f>IF(E16="","",IF(E16&gt;=G16,"✔ Cumple la meta de cumplimiento","✘ Por debajo de la meta de cumplimiento"))</f>
        <v/>
      </c>
      <c r="D17" s="98" t="n"/>
      <c r="E17" s="98" t="n"/>
      <c r="F17" s="98" t="n"/>
      <c r="G17" s="97" t="n"/>
      <c r="H17" s="367">
        <f>IF(L16="","",IF(L16&gt;=N16,"✔ Cobertura en meta","✘ Cobertura por debajo de la meta"))</f>
        <v/>
      </c>
      <c r="I17" s="98" t="n"/>
      <c r="J17" s="98" t="n"/>
      <c r="K17" s="97" t="n"/>
      <c r="L17" s="367">
        <f>IF(P16="","",IF(P16&gt;=Q16,"✔ Eficacia en meta","✘ Eficacia por debajo de la meta"))</f>
        <v/>
      </c>
      <c r="M17" s="98" t="n"/>
      <c r="N17" s="98" t="n"/>
      <c r="O17" s="98" t="n"/>
      <c r="P17" s="98" t="n"/>
      <c r="Q17" s="97" t="n"/>
    </row>
    <row r="18" ht="16.5" customHeight="1" s="127">
      <c r="A18" s="137" t="inlineStr">
        <is>
          <t>3. MATRIZ DE CAPACITACIÓN</t>
        </is>
      </c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7" t="n"/>
    </row>
    <row r="19" ht="30" customHeight="1" s="127">
      <c r="A19" s="74" t="inlineStr">
        <is>
          <t>No.</t>
        </is>
      </c>
      <c r="B19" s="74" t="inlineStr">
        <is>
          <t>Tema de la capacitación</t>
        </is>
      </c>
      <c r="C19" s="74" t="inlineStr">
        <is>
          <t>Tipo</t>
        </is>
      </c>
      <c r="D19" s="74" t="inlineStr">
        <is>
          <t>Dirigida a</t>
        </is>
      </c>
      <c r="E19" s="74" t="inlineStr">
        <is>
          <t>Fecha programada</t>
        </is>
      </c>
      <c r="F19" s="74" t="inlineStr">
        <is>
          <t>Fecha ejecutada</t>
        </is>
      </c>
      <c r="G19" s="74" t="inlineStr">
        <is>
          <t>Capacitador / entidad</t>
        </is>
      </c>
      <c r="H19" s="74" t="inlineStr">
        <is>
          <t>Duración (h)</t>
        </is>
      </c>
      <c r="I19" s="74" t="inlineStr">
        <is>
          <t>Personas convocadas</t>
        </is>
      </c>
      <c r="J19" s="74" t="inlineStr">
        <is>
          <t>Personas asistentes</t>
        </is>
      </c>
      <c r="K19" s="74" t="inlineStr">
        <is>
          <t>Cobertura %</t>
        </is>
      </c>
      <c r="L19" s="74" t="inlineStr">
        <is>
          <t>Personas evaluadas</t>
        </is>
      </c>
      <c r="M19" s="74" t="inlineStr">
        <is>
          <t>Personas aprobadas</t>
        </is>
      </c>
      <c r="N19" s="74" t="inlineStr">
        <is>
          <t>Eficacia %</t>
        </is>
      </c>
      <c r="O19" s="74" t="inlineStr">
        <is>
          <t>Lista de asistencia N°</t>
        </is>
      </c>
      <c r="P19" s="74" t="inlineStr">
        <is>
          <t>Estado</t>
        </is>
      </c>
      <c r="Q19" s="74" t="inlineStr">
        <is>
          <t>Observaciones</t>
        </is>
      </c>
    </row>
    <row r="20" ht="18" customHeight="1" s="127">
      <c r="A20" s="368" t="n">
        <v>1</v>
      </c>
      <c r="B20" s="363" t="n"/>
      <c r="C20" s="363" t="n"/>
      <c r="D20" s="363" t="n"/>
      <c r="E20" s="369" t="n"/>
      <c r="F20" s="369" t="n"/>
      <c r="G20" s="363" t="n"/>
      <c r="H20" s="370" t="n"/>
      <c r="I20" s="370" t="n"/>
      <c r="J20" s="370" t="n"/>
      <c r="K20" s="371">
        <f>IFERROR(J20/I20,"")</f>
        <v/>
      </c>
      <c r="L20" s="370" t="n"/>
      <c r="M20" s="370" t="n"/>
      <c r="N20" s="371">
        <f>IFERROR(M20/L20,"")</f>
        <v/>
      </c>
      <c r="O20" s="370" t="n"/>
      <c r="P20" s="370" t="n"/>
      <c r="Q20" s="363" t="n"/>
    </row>
    <row r="21" ht="18" customHeight="1" s="127">
      <c r="A21" s="368" t="n">
        <v>2</v>
      </c>
      <c r="B21" s="363" t="n"/>
      <c r="C21" s="363" t="n"/>
      <c r="D21" s="363" t="n"/>
      <c r="E21" s="369" t="n"/>
      <c r="F21" s="369" t="n"/>
      <c r="G21" s="363" t="n"/>
      <c r="H21" s="370" t="n"/>
      <c r="I21" s="370" t="n"/>
      <c r="J21" s="370" t="n"/>
      <c r="K21" s="371">
        <f>IFERROR(J21/I21,"")</f>
        <v/>
      </c>
      <c r="L21" s="370" t="n"/>
      <c r="M21" s="370" t="n"/>
      <c r="N21" s="371">
        <f>IFERROR(M21/L21,"")</f>
        <v/>
      </c>
      <c r="O21" s="370" t="n"/>
      <c r="P21" s="370" t="n"/>
      <c r="Q21" s="363" t="n"/>
    </row>
    <row r="22" ht="18" customHeight="1" s="127">
      <c r="A22" s="368" t="n">
        <v>3</v>
      </c>
      <c r="B22" s="363" t="n"/>
      <c r="C22" s="363" t="n"/>
      <c r="D22" s="363" t="n"/>
      <c r="E22" s="369" t="n"/>
      <c r="F22" s="369" t="n"/>
      <c r="G22" s="363" t="n"/>
      <c r="H22" s="370" t="n"/>
      <c r="I22" s="370" t="n"/>
      <c r="J22" s="370" t="n"/>
      <c r="K22" s="371">
        <f>IFERROR(J22/I22,"")</f>
        <v/>
      </c>
      <c r="L22" s="370" t="n"/>
      <c r="M22" s="370" t="n"/>
      <c r="N22" s="371">
        <f>IFERROR(M22/L22,"")</f>
        <v/>
      </c>
      <c r="O22" s="370" t="n"/>
      <c r="P22" s="370" t="n"/>
      <c r="Q22" s="363" t="n"/>
    </row>
    <row r="23" ht="18" customHeight="1" s="127">
      <c r="A23" s="368" t="n">
        <v>4</v>
      </c>
      <c r="B23" s="363" t="n"/>
      <c r="C23" s="363" t="n"/>
      <c r="D23" s="363" t="n"/>
      <c r="E23" s="369" t="n"/>
      <c r="F23" s="369" t="n"/>
      <c r="G23" s="363" t="n"/>
      <c r="H23" s="370" t="n"/>
      <c r="I23" s="370" t="n"/>
      <c r="J23" s="370" t="n"/>
      <c r="K23" s="371">
        <f>IFERROR(J23/I23,"")</f>
        <v/>
      </c>
      <c r="L23" s="370" t="n"/>
      <c r="M23" s="370" t="n"/>
      <c r="N23" s="371">
        <f>IFERROR(M23/L23,"")</f>
        <v/>
      </c>
      <c r="O23" s="370" t="n"/>
      <c r="P23" s="370" t="n"/>
      <c r="Q23" s="363" t="n"/>
    </row>
    <row r="24" ht="18" customHeight="1" s="127">
      <c r="A24" s="368" t="n">
        <v>5</v>
      </c>
      <c r="B24" s="363" t="n"/>
      <c r="C24" s="363" t="n"/>
      <c r="D24" s="363" t="n"/>
      <c r="E24" s="369" t="n"/>
      <c r="F24" s="369" t="n"/>
      <c r="G24" s="363" t="n"/>
      <c r="H24" s="370" t="n"/>
      <c r="I24" s="370" t="n"/>
      <c r="J24" s="370" t="n"/>
      <c r="K24" s="371">
        <f>IFERROR(J24/I24,"")</f>
        <v/>
      </c>
      <c r="L24" s="370" t="n"/>
      <c r="M24" s="370" t="n"/>
      <c r="N24" s="371">
        <f>IFERROR(M24/L24,"")</f>
        <v/>
      </c>
      <c r="O24" s="370" t="n"/>
      <c r="P24" s="370" t="n"/>
      <c r="Q24" s="363" t="n"/>
    </row>
    <row r="25" ht="18" customHeight="1" s="127">
      <c r="A25" s="368" t="n">
        <v>6</v>
      </c>
      <c r="B25" s="363" t="n"/>
      <c r="C25" s="363" t="n"/>
      <c r="D25" s="363" t="n"/>
      <c r="E25" s="369" t="n"/>
      <c r="F25" s="369" t="n"/>
      <c r="G25" s="363" t="n"/>
      <c r="H25" s="370" t="n"/>
      <c r="I25" s="370" t="n"/>
      <c r="J25" s="370" t="n"/>
      <c r="K25" s="371">
        <f>IFERROR(J25/I25,"")</f>
        <v/>
      </c>
      <c r="L25" s="370" t="n"/>
      <c r="M25" s="370" t="n"/>
      <c r="N25" s="371">
        <f>IFERROR(M25/L25,"")</f>
        <v/>
      </c>
      <c r="O25" s="370" t="n"/>
      <c r="P25" s="370" t="n"/>
      <c r="Q25" s="363" t="n"/>
    </row>
    <row r="26" ht="18" customHeight="1" s="127">
      <c r="A26" s="368" t="n">
        <v>7</v>
      </c>
      <c r="B26" s="363" t="n"/>
      <c r="C26" s="363" t="n"/>
      <c r="D26" s="363" t="n"/>
      <c r="E26" s="369" t="n"/>
      <c r="F26" s="369" t="n"/>
      <c r="G26" s="363" t="n"/>
      <c r="H26" s="370" t="n"/>
      <c r="I26" s="370" t="n"/>
      <c r="J26" s="370" t="n"/>
      <c r="K26" s="371">
        <f>IFERROR(J26/I26,"")</f>
        <v/>
      </c>
      <c r="L26" s="370" t="n"/>
      <c r="M26" s="370" t="n"/>
      <c r="N26" s="371">
        <f>IFERROR(M26/L26,"")</f>
        <v/>
      </c>
      <c r="O26" s="370" t="n"/>
      <c r="P26" s="370" t="n"/>
      <c r="Q26" s="363" t="n"/>
    </row>
    <row r="27" ht="18" customHeight="1" s="127">
      <c r="A27" s="368" t="n">
        <v>8</v>
      </c>
      <c r="B27" s="363" t="n"/>
      <c r="C27" s="363" t="n"/>
      <c r="D27" s="363" t="n"/>
      <c r="E27" s="369" t="n"/>
      <c r="F27" s="369" t="n"/>
      <c r="G27" s="363" t="n"/>
      <c r="H27" s="370" t="n"/>
      <c r="I27" s="370" t="n"/>
      <c r="J27" s="370" t="n"/>
      <c r="K27" s="371">
        <f>IFERROR(J27/I27,"")</f>
        <v/>
      </c>
      <c r="L27" s="370" t="n"/>
      <c r="M27" s="370" t="n"/>
      <c r="N27" s="371">
        <f>IFERROR(M27/L27,"")</f>
        <v/>
      </c>
      <c r="O27" s="370" t="n"/>
      <c r="P27" s="370" t="n"/>
      <c r="Q27" s="363" t="n"/>
    </row>
    <row r="28" ht="18" customHeight="1" s="127">
      <c r="A28" s="368" t="n">
        <v>9</v>
      </c>
      <c r="B28" s="363" t="n"/>
      <c r="C28" s="363" t="n"/>
      <c r="D28" s="363" t="n"/>
      <c r="E28" s="369" t="n"/>
      <c r="F28" s="369" t="n"/>
      <c r="G28" s="363" t="n"/>
      <c r="H28" s="370" t="n"/>
      <c r="I28" s="370" t="n"/>
      <c r="J28" s="370" t="n"/>
      <c r="K28" s="371">
        <f>IFERROR(J28/I28,"")</f>
        <v/>
      </c>
      <c r="L28" s="370" t="n"/>
      <c r="M28" s="370" t="n"/>
      <c r="N28" s="371">
        <f>IFERROR(M28/L28,"")</f>
        <v/>
      </c>
      <c r="O28" s="370" t="n"/>
      <c r="P28" s="370" t="n"/>
      <c r="Q28" s="363" t="n"/>
    </row>
    <row r="29" ht="18" customHeight="1" s="127">
      <c r="A29" s="368" t="n">
        <v>10</v>
      </c>
      <c r="B29" s="363" t="n"/>
      <c r="C29" s="363" t="n"/>
      <c r="D29" s="363" t="n"/>
      <c r="E29" s="369" t="n"/>
      <c r="F29" s="369" t="n"/>
      <c r="G29" s="363" t="n"/>
      <c r="H29" s="370" t="n"/>
      <c r="I29" s="370" t="n"/>
      <c r="J29" s="370" t="n"/>
      <c r="K29" s="371">
        <f>IFERROR(J29/I29,"")</f>
        <v/>
      </c>
      <c r="L29" s="370" t="n"/>
      <c r="M29" s="370" t="n"/>
      <c r="N29" s="371">
        <f>IFERROR(M29/L29,"")</f>
        <v/>
      </c>
      <c r="O29" s="370" t="n"/>
      <c r="P29" s="370" t="n"/>
      <c r="Q29" s="363" t="n"/>
    </row>
    <row r="30" ht="18" customHeight="1" s="127">
      <c r="A30" s="368" t="n">
        <v>11</v>
      </c>
      <c r="B30" s="363" t="n"/>
      <c r="C30" s="363" t="n"/>
      <c r="D30" s="363" t="n"/>
      <c r="E30" s="369" t="n"/>
      <c r="F30" s="369" t="n"/>
      <c r="G30" s="363" t="n"/>
      <c r="H30" s="370" t="n"/>
      <c r="I30" s="370" t="n"/>
      <c r="J30" s="370" t="n"/>
      <c r="K30" s="371">
        <f>IFERROR(J30/I30,"")</f>
        <v/>
      </c>
      <c r="L30" s="370" t="n"/>
      <c r="M30" s="370" t="n"/>
      <c r="N30" s="371">
        <f>IFERROR(M30/L30,"")</f>
        <v/>
      </c>
      <c r="O30" s="370" t="n"/>
      <c r="P30" s="370" t="n"/>
      <c r="Q30" s="363" t="n"/>
    </row>
    <row r="31" ht="18" customHeight="1" s="127">
      <c r="A31" s="368" t="n">
        <v>12</v>
      </c>
      <c r="B31" s="363" t="n"/>
      <c r="C31" s="363" t="n"/>
      <c r="D31" s="363" t="n"/>
      <c r="E31" s="369" t="n"/>
      <c r="F31" s="369" t="n"/>
      <c r="G31" s="363" t="n"/>
      <c r="H31" s="370" t="n"/>
      <c r="I31" s="370" t="n"/>
      <c r="J31" s="370" t="n"/>
      <c r="K31" s="371">
        <f>IFERROR(J31/I31,"")</f>
        <v/>
      </c>
      <c r="L31" s="370" t="n"/>
      <c r="M31" s="370" t="n"/>
      <c r="N31" s="371">
        <f>IFERROR(M31/L31,"")</f>
        <v/>
      </c>
      <c r="O31" s="370" t="n"/>
      <c r="P31" s="370" t="n"/>
      <c r="Q31" s="363" t="n"/>
    </row>
    <row r="32" ht="18" customHeight="1" s="127">
      <c r="A32" s="368" t="n">
        <v>13</v>
      </c>
      <c r="B32" s="363" t="n"/>
      <c r="C32" s="363" t="n"/>
      <c r="D32" s="363" t="n"/>
      <c r="E32" s="369" t="n"/>
      <c r="F32" s="369" t="n"/>
      <c r="G32" s="363" t="n"/>
      <c r="H32" s="370" t="n"/>
      <c r="I32" s="370" t="n"/>
      <c r="J32" s="370" t="n"/>
      <c r="K32" s="371">
        <f>IFERROR(J32/I32,"")</f>
        <v/>
      </c>
      <c r="L32" s="370" t="n"/>
      <c r="M32" s="370" t="n"/>
      <c r="N32" s="371">
        <f>IFERROR(M32/L32,"")</f>
        <v/>
      </c>
      <c r="O32" s="370" t="n"/>
      <c r="P32" s="370" t="n"/>
      <c r="Q32" s="363" t="n"/>
    </row>
    <row r="33" ht="18" customHeight="1" s="127">
      <c r="A33" s="368" t="n">
        <v>14</v>
      </c>
      <c r="B33" s="363" t="n"/>
      <c r="C33" s="363" t="n"/>
      <c r="D33" s="363" t="n"/>
      <c r="E33" s="369" t="n"/>
      <c r="F33" s="369" t="n"/>
      <c r="G33" s="363" t="n"/>
      <c r="H33" s="370" t="n"/>
      <c r="I33" s="370" t="n"/>
      <c r="J33" s="370" t="n"/>
      <c r="K33" s="371">
        <f>IFERROR(J33/I33,"")</f>
        <v/>
      </c>
      <c r="L33" s="370" t="n"/>
      <c r="M33" s="370" t="n"/>
      <c r="N33" s="371">
        <f>IFERROR(M33/L33,"")</f>
        <v/>
      </c>
      <c r="O33" s="370" t="n"/>
      <c r="P33" s="370" t="n"/>
      <c r="Q33" s="363" t="n"/>
    </row>
    <row r="34" ht="18" customHeight="1" s="127">
      <c r="A34" s="368" t="n">
        <v>15</v>
      </c>
      <c r="B34" s="363" t="n"/>
      <c r="C34" s="363" t="n"/>
      <c r="D34" s="363" t="n"/>
      <c r="E34" s="369" t="n"/>
      <c r="F34" s="369" t="n"/>
      <c r="G34" s="363" t="n"/>
      <c r="H34" s="370" t="n"/>
      <c r="I34" s="370" t="n"/>
      <c r="J34" s="370" t="n"/>
      <c r="K34" s="371">
        <f>IFERROR(J34/I34,"")</f>
        <v/>
      </c>
      <c r="L34" s="370" t="n"/>
      <c r="M34" s="370" t="n"/>
      <c r="N34" s="371">
        <f>IFERROR(M34/L34,"")</f>
        <v/>
      </c>
      <c r="O34" s="370" t="n"/>
      <c r="P34" s="370" t="n"/>
      <c r="Q34" s="363" t="n"/>
    </row>
    <row r="35" ht="21" customHeight="1" s="127">
      <c r="A35" s="128" t="inlineStr">
        <is>
          <t>TOTALES</t>
        </is>
      </c>
      <c r="B35" s="93" t="n"/>
      <c r="C35" s="93" t="n"/>
      <c r="D35" s="93" t="n"/>
      <c r="E35" s="93" t="n"/>
      <c r="F35" s="93" t="n"/>
      <c r="G35" s="93" t="n"/>
      <c r="H35" s="89" t="n"/>
      <c r="I35" s="178">
        <f>SUM(I20:I34)</f>
        <v/>
      </c>
      <c r="J35" s="178">
        <f>SUM(J20:J34)</f>
        <v/>
      </c>
      <c r="K35" s="180">
        <f>IFERROR(J35/I35,"")</f>
        <v/>
      </c>
      <c r="L35" s="178">
        <f>SUM(L20:L34)</f>
        <v/>
      </c>
      <c r="M35" s="178">
        <f>SUM(M20:M34)</f>
        <v/>
      </c>
      <c r="N35" s="180">
        <f>IFERROR(M35/L35,"")</f>
        <v/>
      </c>
      <c r="O35" s="77" t="n"/>
      <c r="P35" s="93" t="n"/>
      <c r="Q35" s="89" t="n"/>
    </row>
    <row r="36" ht="16.5" customHeight="1" s="127">
      <c r="A36" s="137" t="inlineStr">
        <is>
          <t>4. OBSERVACIONES Y SEGUIMIENTO</t>
        </is>
      </c>
      <c r="B36" s="98" t="n"/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98" t="n"/>
      <c r="N36" s="98" t="n"/>
      <c r="O36" s="98" t="n"/>
      <c r="P36" s="98" t="n"/>
      <c r="Q36" s="97" t="n"/>
    </row>
    <row r="37" ht="19.95" customHeight="1" s="127">
      <c r="A37" s="372" t="n"/>
      <c r="B37" s="373" t="n"/>
      <c r="C37" s="373" t="n"/>
      <c r="D37" s="373" t="n"/>
      <c r="E37" s="373" t="n"/>
      <c r="F37" s="373" t="n"/>
      <c r="G37" s="373" t="n"/>
      <c r="H37" s="373" t="n"/>
      <c r="I37" s="373" t="n"/>
      <c r="J37" s="373" t="n"/>
      <c r="K37" s="373" t="n"/>
      <c r="L37" s="373" t="n"/>
      <c r="M37" s="373" t="n"/>
      <c r="N37" s="373" t="n"/>
      <c r="O37" s="373" t="n"/>
      <c r="P37" s="373" t="n"/>
      <c r="Q37" s="374" t="n"/>
    </row>
    <row r="38" ht="19.95" customHeight="1" s="127">
      <c r="A38" s="375" t="n"/>
      <c r="B38" s="376" t="n"/>
      <c r="C38" s="376" t="n"/>
      <c r="D38" s="376" t="n"/>
      <c r="E38" s="376" t="n"/>
      <c r="F38" s="376" t="n"/>
      <c r="G38" s="376" t="n"/>
      <c r="H38" s="376" t="n"/>
      <c r="I38" s="376" t="n"/>
      <c r="J38" s="376" t="n"/>
      <c r="K38" s="376" t="n"/>
      <c r="L38" s="376" t="n"/>
      <c r="M38" s="376" t="n"/>
      <c r="N38" s="376" t="n"/>
      <c r="O38" s="376" t="n"/>
      <c r="P38" s="376" t="n"/>
      <c r="Q38" s="377" t="n"/>
    </row>
    <row r="39" ht="16.5" customHeight="1" s="127">
      <c r="A39" s="227" t="inlineStr">
        <is>
          <t>5. FIRMAS</t>
        </is>
      </c>
      <c r="Q39" s="92" t="n"/>
    </row>
    <row r="40" ht="18" customHeight="1" s="127">
      <c r="A40" s="263" t="inlineStr">
        <is>
          <t>ELABORÓ — RESPONSABLE SST</t>
        </is>
      </c>
      <c r="B40" s="347" t="n"/>
      <c r="C40" s="347" t="n"/>
      <c r="D40" s="347" t="n"/>
      <c r="E40" s="347" t="n"/>
      <c r="F40" s="347" t="n"/>
      <c r="G40" s="348" t="n"/>
      <c r="H40" s="263" t="inlineStr">
        <is>
          <t>REVISÓ — RESIDENTE / DIRECTOR DE OBRA</t>
        </is>
      </c>
      <c r="I40" s="347" t="n"/>
      <c r="J40" s="347" t="n"/>
      <c r="K40" s="347" t="n"/>
      <c r="L40" s="347" t="n"/>
      <c r="M40" s="347" t="n"/>
      <c r="N40" s="348" t="n"/>
      <c r="O40" s="263" t="inlineStr">
        <is>
          <t>Vo.Bo. GERENCIA</t>
        </is>
      </c>
      <c r="P40" s="347" t="n"/>
      <c r="Q40" s="348" t="n"/>
    </row>
    <row r="41" ht="42" customHeight="1" s="127">
      <c r="A41" s="302" t="inlineStr">
        <is>
          <t>Firma:</t>
        </is>
      </c>
      <c r="B41" s="97" t="n"/>
      <c r="C41" s="378" t="n"/>
      <c r="D41" s="376" t="n"/>
      <c r="E41" s="376" t="n"/>
      <c r="F41" s="376" t="n"/>
      <c r="G41" s="377" t="n"/>
      <c r="H41" s="302" t="inlineStr">
        <is>
          <t>Firma:</t>
        </is>
      </c>
      <c r="I41" s="97" t="n"/>
      <c r="J41" s="378" t="n"/>
      <c r="K41" s="376" t="n"/>
      <c r="L41" s="376" t="n"/>
      <c r="M41" s="376" t="n"/>
      <c r="N41" s="377" t="n"/>
      <c r="O41" s="302" t="inlineStr">
        <is>
          <t>Firma:</t>
        </is>
      </c>
      <c r="P41" s="97" t="n"/>
      <c r="Q41" s="378" t="n"/>
    </row>
    <row r="42" ht="21" customHeight="1" s="127">
      <c r="A42" s="70" t="inlineStr">
        <is>
          <t>Nombre:</t>
        </is>
      </c>
      <c r="B42" s="89" t="n"/>
      <c r="C42" s="363" t="n"/>
      <c r="D42" s="361" t="n"/>
      <c r="E42" s="361" t="n"/>
      <c r="F42" s="361" t="n"/>
      <c r="G42" s="362" t="n"/>
      <c r="H42" s="70" t="inlineStr">
        <is>
          <t>Nombre:</t>
        </is>
      </c>
      <c r="I42" s="89" t="n"/>
      <c r="J42" s="363" t="n"/>
      <c r="K42" s="361" t="n"/>
      <c r="L42" s="361" t="n"/>
      <c r="M42" s="361" t="n"/>
      <c r="N42" s="362" t="n"/>
      <c r="O42" s="70" t="inlineStr">
        <is>
          <t>Nombre:</t>
        </is>
      </c>
      <c r="P42" s="89" t="n"/>
      <c r="Q42" s="363" t="n"/>
    </row>
    <row r="43" ht="21" customHeight="1" s="127">
      <c r="A43" s="70" t="inlineStr">
        <is>
          <t>Cargo:</t>
        </is>
      </c>
      <c r="B43" s="89" t="n"/>
      <c r="C43" s="363" t="n"/>
      <c r="D43" s="361" t="n"/>
      <c r="E43" s="361" t="n"/>
      <c r="F43" s="361" t="n"/>
      <c r="G43" s="362" t="n"/>
      <c r="H43" s="70" t="inlineStr">
        <is>
          <t>Cargo:</t>
        </is>
      </c>
      <c r="I43" s="89" t="n"/>
      <c r="J43" s="363" t="n"/>
      <c r="K43" s="361" t="n"/>
      <c r="L43" s="361" t="n"/>
      <c r="M43" s="361" t="n"/>
      <c r="N43" s="362" t="n"/>
      <c r="O43" s="70" t="inlineStr">
        <is>
          <t>Cargo:</t>
        </is>
      </c>
      <c r="P43" s="89" t="n"/>
      <c r="Q43" s="363" t="n"/>
    </row>
    <row r="44" customFormat="1" s="106">
      <c r="A44" s="25" t="inlineStr">
        <is>
          <t>REV. 04/10/2026</t>
        </is>
      </c>
      <c r="I44" s="105">
        <f>P5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8">
    <mergeCell ref="A9:Q9"/>
    <mergeCell ref="A15:B15"/>
    <mergeCell ref="H13:K13"/>
    <mergeCell ref="E13:G13"/>
    <mergeCell ref="C15:D15"/>
    <mergeCell ref="A39:Q39"/>
    <mergeCell ref="O35:Q35"/>
    <mergeCell ref="L16:M16"/>
    <mergeCell ref="O4:Q4"/>
    <mergeCell ref="H43:I43"/>
    <mergeCell ref="C42:G42"/>
    <mergeCell ref="A11:B11"/>
    <mergeCell ref="A37:Q38"/>
    <mergeCell ref="H41:I41"/>
    <mergeCell ref="H12:K12"/>
    <mergeCell ref="N16:O16"/>
    <mergeCell ref="A36:Q36"/>
    <mergeCell ref="A16:B16"/>
    <mergeCell ref="D6:N6"/>
    <mergeCell ref="C16:D16"/>
    <mergeCell ref="A40:G40"/>
    <mergeCell ref="O40:Q40"/>
    <mergeCell ref="P6:Q6"/>
    <mergeCell ref="A41:B41"/>
    <mergeCell ref="L12:N12"/>
    <mergeCell ref="J15:K15"/>
    <mergeCell ref="P8:Q8"/>
    <mergeCell ref="L15:M15"/>
    <mergeCell ref="C41:G41"/>
    <mergeCell ref="O41:P41"/>
    <mergeCell ref="I44:Q44"/>
    <mergeCell ref="A12:B12"/>
    <mergeCell ref="C43:G43"/>
    <mergeCell ref="A18:Q18"/>
    <mergeCell ref="C12:G12"/>
    <mergeCell ref="P7:Q7"/>
    <mergeCell ref="L11:Q11"/>
    <mergeCell ref="H40:N40"/>
    <mergeCell ref="E15:F15"/>
    <mergeCell ref="O43:P43"/>
    <mergeCell ref="H16:I16"/>
    <mergeCell ref="J16:K16"/>
    <mergeCell ref="A42:B42"/>
    <mergeCell ref="C11:G11"/>
    <mergeCell ref="O42:P42"/>
    <mergeCell ref="J41:N41"/>
    <mergeCell ref="D1:Q2"/>
    <mergeCell ref="L17:Q17"/>
    <mergeCell ref="A17:B17"/>
    <mergeCell ref="C17:G17"/>
    <mergeCell ref="A14:Q14"/>
    <mergeCell ref="D3:Q3"/>
    <mergeCell ref="E16:F16"/>
    <mergeCell ref="A35:H35"/>
    <mergeCell ref="N15:O15"/>
    <mergeCell ref="P12:Q12"/>
    <mergeCell ref="H17:K17"/>
    <mergeCell ref="A43:B43"/>
    <mergeCell ref="H42:I42"/>
    <mergeCell ref="H11:K11"/>
    <mergeCell ref="H15:I15"/>
    <mergeCell ref="L13:N13"/>
    <mergeCell ref="J43:N43"/>
    <mergeCell ref="A13:B13"/>
    <mergeCell ref="D5:N5"/>
    <mergeCell ref="A10:Q10"/>
    <mergeCell ref="J42:N42"/>
    <mergeCell ref="P5:Q5"/>
  </mergeCells>
  <pageMargins left="0.4" right="0.4" top="0.4" bottom="0.7" header="0.5" footer="0.5"/>
  <pageSetup orientation="landscape" fitToHeight="0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2026-10-10T05:18:04Z</dcterms:modified>
  <cp:lastModifiedBy>Hugo Fernando Hurtado Ruiz</cp:lastModifiedBy>
</cp:coreProperties>
</file>