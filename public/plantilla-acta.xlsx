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cta de Obra" sheetId="1" r:id="rId16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6.xml" Id="rId16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1127262</xdr:colOff>
      <xdr:row>8</xdr:row>
      <xdr:rowOff>193938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636000" cy="180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6.xml><?xml version="1.0" encoding="utf-8"?>
<worksheet xmlns="http://schemas.openxmlformats.org/spreadsheetml/2006/main">
  <sheetPr>
    <tabColor rgb="FF92D050"/>
    <outlinePr summaryBelow="1" summaryRight="1"/>
    <pageSetUpPr autoPageBreaks="0" fitToPage="1"/>
  </sheetPr>
  <dimension ref="A1:N88"/>
  <sheetViews>
    <sheetView showGridLines="0" zoomScale="65" zoomScaleNormal="65" workbookViewId="0">
      <pane ySplit="9" topLeftCell="A10" activePane="bottomLeft" state="frozen"/>
      <selection pane="bottomLeft" activeCell="A10" sqref="A10:N10"/>
    </sheetView>
  </sheetViews>
  <sheetFormatPr baseColWidth="10" defaultColWidth="8.88671875" defaultRowHeight="14.4"/>
  <cols>
    <col width="10.77734375" customWidth="1" style="833" min="1" max="1"/>
    <col width="25.77734375" customWidth="1" style="833" min="2" max="2"/>
    <col width="23.77734375" customWidth="1" style="833" min="3" max="3"/>
    <col width="35.77734375" customWidth="1" style="833" min="4" max="4"/>
    <col width="23.77734375" customWidth="1" style="833" min="5" max="5"/>
    <col width="20.77734375" customWidth="1" style="833" min="6" max="6"/>
    <col width="18.77734375" customWidth="1" style="833" min="7" max="7"/>
    <col width="20.77734375" customWidth="1" style="833" min="8" max="9"/>
    <col width="18.77734375" customWidth="1" style="833" min="10" max="11"/>
    <col width="22.77734375" customWidth="1" style="833" min="12" max="12"/>
    <col width="20.77734375" customWidth="1" style="833" min="13" max="14"/>
    <col width="8.88671875" customWidth="1" style="833" min="15" max="18"/>
    <col width="8.88671875" customWidth="1" style="833" min="19" max="16384"/>
  </cols>
  <sheetData>
    <row r="1" ht="14.4" customHeight="1" s="1223">
      <c r="D1" s="883" t="inlineStr">
        <is>
          <t>ACTA DE OBRA</t>
        </is>
      </c>
    </row>
    <row r="2"/>
    <row r="3" ht="18" customHeight="1" s="1223" thickBot="1">
      <c r="A3" s="391" t="inlineStr">
        <is>
          <t>ACTA DE OBRA</t>
        </is>
      </c>
    </row>
    <row r="4" ht="18" customHeight="1" s="1223"/>
    <row r="5" ht="4.95" customHeight="1" s="1223">
      <c r="D5" s="875" t="n"/>
    </row>
    <row r="6" ht="18" customHeight="1" s="1223" thickBot="1">
      <c r="D6" s="871" t="n"/>
      <c r="K6" s="546" t="n"/>
      <c r="L6" s="879" t="inlineStr">
        <is>
          <t>CONTROL DOCUMENTAL</t>
        </is>
      </c>
      <c r="M6" s="880" t="n"/>
      <c r="N6" s="881" t="n"/>
    </row>
    <row r="7" ht="18" customHeight="1" s="1223">
      <c r="D7" s="864" t="inlineStr">
        <is>
          <t>REFORMAS Y REMODELACIONES</t>
        </is>
      </c>
      <c r="K7" s="546" t="n"/>
      <c r="L7" s="211" t="inlineStr">
        <is>
          <t>Código</t>
        </is>
      </c>
      <c r="M7" s="861" t="inlineStr">
        <is>
          <t>RYR-AO-001</t>
        </is>
      </c>
      <c r="N7" s="862" t="n"/>
    </row>
    <row r="8" ht="18" customHeight="1" s="1223">
      <c r="D8" s="866" t="inlineStr">
        <is>
          <t>DISEÑAMOS, RENOVAMOS Y CONSTRUIMOS ESPACIOS QUE INSPIRAN.</t>
        </is>
      </c>
      <c r="K8" s="546" t="n"/>
      <c r="L8" s="211" t="inlineStr">
        <is>
          <t>Versión</t>
        </is>
      </c>
      <c r="M8" s="839" t="inlineStr">
        <is>
          <t>01</t>
        </is>
      </c>
      <c r="N8" s="840" t="n"/>
    </row>
    <row r="9" ht="18" customHeight="1" s="1223" thickBot="1">
      <c r="A9" s="885" t="n"/>
      <c r="B9" s="885" t="n"/>
      <c r="C9" s="885" t="n"/>
      <c r="D9" s="884" t="n"/>
      <c r="E9" s="885" t="n"/>
      <c r="F9" s="885" t="n"/>
      <c r="G9" s="885" t="n"/>
      <c r="H9" s="885" t="n"/>
      <c r="I9" s="885" t="n"/>
      <c r="J9" s="885" t="n"/>
      <c r="K9" s="886" t="n"/>
      <c r="L9" s="212" t="inlineStr">
        <is>
          <t>Fecha emisión</t>
        </is>
      </c>
      <c r="M9" s="869" t="inlineStr">
        <is>
          <t>2026-09-13</t>
        </is>
      </c>
      <c r="N9" s="870" t="n"/>
    </row>
    <row r="10" ht="18" customHeight="1" s="1223" thickBot="1">
      <c r="A10" s="824" t="inlineStr">
        <is>
          <t>1. IDENTIFICACIÓN DEL ACTA Y DEL PROYECTO</t>
        </is>
      </c>
      <c r="B10" s="825" t="n"/>
      <c r="C10" s="825" t="n"/>
      <c r="D10" s="825" t="n"/>
      <c r="E10" s="825" t="n"/>
      <c r="F10" s="825" t="n"/>
      <c r="G10" s="825" t="n"/>
      <c r="H10" s="825" t="n"/>
      <c r="I10" s="825" t="n"/>
      <c r="J10" s="825" t="n"/>
      <c r="K10" s="825" t="n"/>
      <c r="L10" s="825" t="n"/>
      <c r="M10" s="825" t="n"/>
      <c r="N10" s="825" t="n"/>
    </row>
    <row r="11" ht="18" customHeight="1" s="1223">
      <c r="A11" s="849" t="inlineStr">
        <is>
          <t>Acta No.</t>
        </is>
      </c>
      <c r="B11" s="828" t="n"/>
      <c r="C11" s="882" t="n"/>
      <c r="D11" s="829" t="n"/>
      <c r="E11" s="811" t="inlineStr">
        <is>
          <t>Tipo de acta</t>
        </is>
      </c>
      <c r="F11" s="823" t="inlineStr">
        <is>
          <t>Avance de obra</t>
        </is>
      </c>
      <c r="G11" s="815" t="n"/>
      <c r="H11" s="812" t="n"/>
      <c r="I11" s="811" t="inlineStr">
        <is>
          <t>Estado</t>
        </is>
      </c>
      <c r="J11" s="837" t="n"/>
      <c r="K11" s="828" t="n"/>
      <c r="L11" s="828" t="n"/>
      <c r="M11" s="828" t="n"/>
      <c r="N11" s="829" t="n"/>
    </row>
    <row r="12" ht="18" customHeight="1" s="1223">
      <c r="A12" s="822" t="inlineStr">
        <is>
          <t>Proyecto / Obra</t>
        </is>
      </c>
      <c r="B12" s="815" t="n"/>
      <c r="C12" s="878" t="n"/>
      <c r="D12" s="815" t="n"/>
      <c r="E12" s="815" t="n"/>
      <c r="F12" s="815" t="n"/>
      <c r="G12" s="815" t="n"/>
      <c r="H12" s="812" t="n"/>
      <c r="I12" s="811" t="inlineStr">
        <is>
          <t>Contrato No</t>
        </is>
      </c>
      <c r="J12" s="823" t="n"/>
      <c r="K12" s="815" t="n"/>
      <c r="L12" s="815" t="n"/>
      <c r="M12" s="815" t="n"/>
      <c r="N12" s="812" t="n"/>
    </row>
    <row r="13" ht="18" customHeight="1" s="1223">
      <c r="A13" s="822" t="inlineStr">
        <is>
          <t>Contratante</t>
        </is>
      </c>
      <c r="B13" s="815" t="n"/>
      <c r="C13" s="838" t="n"/>
      <c r="D13" s="815" t="n"/>
      <c r="E13" s="815" t="n"/>
      <c r="F13" s="815" t="n"/>
      <c r="G13" s="815" t="n"/>
      <c r="H13" s="812" t="n"/>
      <c r="I13" s="811" t="inlineStr">
        <is>
          <t>Contratista</t>
        </is>
      </c>
      <c r="J13" s="823" t="n"/>
      <c r="K13" s="815" t="n"/>
      <c r="L13" s="815" t="n"/>
      <c r="M13" s="815" t="n"/>
      <c r="N13" s="812" t="n"/>
    </row>
    <row r="14" ht="18" customHeight="1" s="1223">
      <c r="A14" s="822" t="inlineStr">
        <is>
          <t xml:space="preserve">Interventoría </t>
        </is>
      </c>
      <c r="B14" s="815" t="n"/>
      <c r="C14" s="838" t="n"/>
      <c r="D14" s="815" t="n"/>
      <c r="E14" s="815" t="n"/>
      <c r="F14" s="815" t="n"/>
      <c r="G14" s="815" t="n"/>
      <c r="H14" s="812" t="n"/>
      <c r="I14" s="811" t="inlineStr">
        <is>
          <t>Ubicación</t>
        </is>
      </c>
      <c r="J14" s="823" t="n"/>
      <c r="K14" s="815" t="n"/>
      <c r="L14" s="815" t="n"/>
      <c r="M14" s="815" t="n"/>
      <c r="N14" s="812" t="n"/>
    </row>
    <row r="15" ht="18" customHeight="1" s="1223">
      <c r="A15" s="822" t="inlineStr">
        <is>
          <t>Fecha del acta</t>
        </is>
      </c>
      <c r="B15" s="815" t="n"/>
      <c r="C15" s="826" t="n"/>
      <c r="D15" s="812" t="n"/>
      <c r="E15" s="811" t="inlineStr">
        <is>
          <t>Desde</t>
        </is>
      </c>
      <c r="F15" s="854" t="n"/>
      <c r="G15" s="213" t="inlineStr">
        <is>
          <t>Hasta</t>
        </is>
      </c>
      <c r="H15" s="854" t="n"/>
      <c r="I15" s="811" t="inlineStr">
        <is>
          <t>Período hasta</t>
        </is>
      </c>
      <c r="J15" s="854" t="n"/>
      <c r="K15" s="815" t="n"/>
      <c r="L15" s="815" t="n"/>
      <c r="M15" s="815" t="n"/>
      <c r="N15" s="812" t="n"/>
    </row>
    <row r="16" ht="18" customHeight="1" s="1223">
      <c r="A16" s="835" t="inlineStr">
        <is>
          <t>Objeto / alcance resumido</t>
        </is>
      </c>
      <c r="B16" s="832" t="n"/>
      <c r="C16" s="817" t="n"/>
      <c r="D16" s="868" t="n"/>
      <c r="E16" s="832" t="n"/>
      <c r="F16" s="832" t="n"/>
      <c r="G16" s="832" t="n"/>
      <c r="H16" s="832" t="n"/>
      <c r="I16" s="832" t="n"/>
      <c r="J16" s="832" t="n"/>
      <c r="K16" s="832" t="n"/>
      <c r="L16" s="832" t="n"/>
      <c r="M16" s="832" t="n"/>
      <c r="N16" s="817" t="n"/>
    </row>
    <row r="17" ht="18" customHeight="1" s="1223">
      <c r="A17" s="820" t="n"/>
      <c r="B17" s="834" t="n"/>
      <c r="C17" s="821" t="n"/>
      <c r="D17" s="820" t="n"/>
      <c r="E17" s="834" t="n"/>
      <c r="F17" s="834" t="n"/>
      <c r="G17" s="834" t="n"/>
      <c r="H17" s="834" t="n"/>
      <c r="I17" s="834" t="n"/>
      <c r="J17" s="834" t="n"/>
      <c r="K17" s="834" t="n"/>
      <c r="L17" s="834" t="n"/>
      <c r="M17" s="834" t="n"/>
      <c r="N17" s="821" t="n"/>
    </row>
    <row r="18" ht="18" customHeight="1" s="1223" thickBot="1">
      <c r="A18" s="214" t="n"/>
      <c r="B18" s="214" t="n"/>
      <c r="C18" s="214" t="n"/>
      <c r="D18" s="214" t="n"/>
      <c r="E18" s="214" t="n"/>
      <c r="F18" s="214" t="n"/>
      <c r="G18" s="214" t="n"/>
      <c r="H18" s="214" t="n"/>
      <c r="I18" s="214" t="n"/>
      <c r="J18" s="214" t="n"/>
      <c r="K18" s="214" t="n"/>
      <c r="L18" s="214" t="n"/>
      <c r="M18" s="214" t="n"/>
      <c r="N18" s="214" t="n"/>
    </row>
    <row r="19" ht="18" customHeight="1" s="1223" thickBot="1">
      <c r="A19" s="824" t="inlineStr">
        <is>
          <t>2. PARTICIPANTES Y CONTROL DEL PERÍODO</t>
        </is>
      </c>
      <c r="B19" s="825" t="n"/>
      <c r="C19" s="825" t="n"/>
      <c r="D19" s="825" t="n"/>
      <c r="E19" s="825" t="n"/>
      <c r="F19" s="825" t="n"/>
      <c r="G19" s="825" t="n"/>
      <c r="H19" s="825" t="n"/>
      <c r="I19" s="825" t="n"/>
      <c r="J19" s="825" t="n"/>
      <c r="K19" s="825" t="n"/>
      <c r="L19" s="825" t="n"/>
      <c r="M19" s="825" t="n"/>
      <c r="N19" s="825" t="n"/>
    </row>
    <row r="20" ht="18" customHeight="1" s="1223">
      <c r="A20" s="849" t="inlineStr">
        <is>
          <t>Días Contractuales</t>
        </is>
      </c>
      <c r="B20" s="828" t="n"/>
      <c r="C20" s="874" t="n"/>
      <c r="D20" s="828" t="n"/>
      <c r="E20" s="828" t="n"/>
      <c r="F20" s="829" t="n"/>
      <c r="G20" s="842" t="inlineStr">
        <is>
          <t>Días de Avance</t>
        </is>
      </c>
      <c r="H20" s="828" t="n"/>
      <c r="I20" s="843" t="n"/>
      <c r="J20" s="829" t="n"/>
      <c r="K20" s="842" t="inlineStr">
        <is>
          <t>% Tiempo de Avance</t>
        </is>
      </c>
      <c r="L20" s="828" t="n"/>
      <c r="M20" s="843" t="n"/>
      <c r="N20" s="829" t="n"/>
    </row>
    <row r="21" ht="18" customHeight="1" s="1223">
      <c r="A21" s="835" t="inlineStr">
        <is>
          <t>Contratante</t>
        </is>
      </c>
      <c r="B21" s="812" t="n"/>
      <c r="C21" s="841" t="n"/>
      <c r="D21" s="815" t="n"/>
      <c r="E21" s="815" t="n"/>
      <c r="F21" s="812" t="n"/>
      <c r="G21" s="811" t="inlineStr">
        <is>
          <t>Contratista</t>
        </is>
      </c>
      <c r="H21" s="812" t="n"/>
      <c r="I21" s="863" t="n"/>
      <c r="J21" s="812" t="n"/>
      <c r="K21" s="811" t="inlineStr">
        <is>
          <t>Interventor</t>
        </is>
      </c>
      <c r="L21" s="812" t="n"/>
      <c r="M21" s="863" t="n"/>
      <c r="N21" s="812" t="n"/>
    </row>
    <row r="22" ht="18" customHeight="1" s="1223">
      <c r="A22" s="835" t="inlineStr">
        <is>
          <t xml:space="preserve">Cargo </t>
        </is>
      </c>
      <c r="B22" s="812" t="n"/>
      <c r="C22" s="841" t="n"/>
      <c r="D22" s="815" t="n"/>
      <c r="E22" s="815" t="n"/>
      <c r="F22" s="812" t="n"/>
      <c r="G22" s="811" t="inlineStr">
        <is>
          <t xml:space="preserve">Cargo </t>
        </is>
      </c>
      <c r="H22" s="812" t="n"/>
      <c r="I22" s="863" t="n"/>
      <c r="J22" s="812" t="n"/>
      <c r="K22" s="811" t="inlineStr">
        <is>
          <t xml:space="preserve">Cargo </t>
        </is>
      </c>
      <c r="L22" s="812" t="n"/>
      <c r="M22" s="863" t="n"/>
      <c r="N22" s="812" t="n"/>
    </row>
    <row r="23" ht="18" customHeight="1" s="1223" thickBot="1">
      <c r="A23" s="214" t="n"/>
      <c r="B23" s="214" t="n"/>
      <c r="C23" s="214" t="n"/>
      <c r="D23" s="214" t="n"/>
      <c r="E23" s="214" t="n"/>
      <c r="F23" s="214" t="n"/>
      <c r="G23" s="214" t="n"/>
      <c r="H23" s="214" t="n"/>
      <c r="I23" s="214" t="n"/>
      <c r="J23" s="214" t="n"/>
      <c r="K23" s="214" t="n"/>
      <c r="L23" s="214" t="n"/>
      <c r="M23" s="214" t="n"/>
      <c r="N23" s="214" t="n"/>
    </row>
    <row r="24" ht="18" customHeight="1" s="1223" thickBot="1">
      <c r="A24" s="824" t="inlineStr">
        <is>
          <t>3. AVANCE FÍSICO Y CANTIDADES EJECUTADAS</t>
        </is>
      </c>
      <c r="B24" s="825" t="n"/>
      <c r="C24" s="825" t="n"/>
      <c r="D24" s="825" t="n"/>
      <c r="E24" s="825" t="n"/>
      <c r="F24" s="825" t="n"/>
      <c r="G24" s="825" t="n"/>
      <c r="H24" s="825" t="n"/>
      <c r="I24" s="825" t="n"/>
      <c r="J24" s="825" t="n"/>
      <c r="K24" s="825" t="n"/>
      <c r="L24" s="825" t="n"/>
      <c r="M24" s="825" t="n"/>
      <c r="N24" s="825" t="n"/>
    </row>
    <row r="25" ht="34.95" customHeight="1" s="1223" thickBot="1">
      <c r="A25" s="830" t="inlineStr">
        <is>
          <t>Ítem</t>
        </is>
      </c>
      <c r="B25" s="830" t="inlineStr">
        <is>
          <t>Actividad / partida</t>
        </is>
      </c>
      <c r="C25" s="831" t="n"/>
      <c r="D25" s="831" t="n"/>
      <c r="E25" s="830" t="inlineStr">
        <is>
          <t>Unidad</t>
        </is>
      </c>
      <c r="F25" s="830" t="inlineStr">
        <is>
          <t>Cant. contractual</t>
        </is>
      </c>
      <c r="G25" s="830" t="inlineStr">
        <is>
          <t>Cant. anterior</t>
        </is>
      </c>
      <c r="H25" s="830" t="inlineStr">
        <is>
          <t>Precio unitario</t>
        </is>
      </c>
      <c r="I25" s="830" t="inlineStr">
        <is>
          <t>Valor</t>
        </is>
      </c>
      <c r="J25" s="830" t="inlineStr">
        <is>
          <t>Cant. acta</t>
        </is>
      </c>
      <c r="K25" s="830" t="inlineStr">
        <is>
          <t>Cant. acumulada</t>
        </is>
      </c>
      <c r="L25" s="830" t="inlineStr">
        <is>
          <t>Saldo</t>
        </is>
      </c>
      <c r="M25" s="830" t="inlineStr">
        <is>
          <t>% ejecución</t>
        </is>
      </c>
      <c r="N25" s="830" t="inlineStr">
        <is>
          <t>Observación</t>
        </is>
      </c>
    </row>
    <row r="26" ht="18" customHeight="1" s="1223">
      <c r="A26" s="263" t="n"/>
      <c r="B26" s="851" t="n"/>
      <c r="C26" s="852" t="n"/>
      <c r="D26" s="853" t="n"/>
      <c r="E26" s="392" t="n"/>
      <c r="F26" s="393" t="n"/>
      <c r="G26" s="393" t="n"/>
      <c r="H26" s="1310" t="n"/>
      <c r="I26" s="1310">
        <f>IFERROR(J26*H26,0)</f>
        <v/>
      </c>
      <c r="J26" s="393" t="n"/>
      <c r="K26" s="215">
        <f>IF(A26="","",G26+J26)</f>
        <v/>
      </c>
      <c r="L26" s="215">
        <f>IF(F26="","",MAX(0,F26-K26))</f>
        <v/>
      </c>
      <c r="M26" s="508">
        <f>IF(OR(F26="",F26=0),"",K26/F26)</f>
        <v/>
      </c>
      <c r="N26" s="851" t="n"/>
    </row>
    <row r="27" ht="18" customHeight="1" s="1223">
      <c r="A27" s="823" t="n"/>
      <c r="B27" s="814" t="n"/>
      <c r="C27" s="815" t="n"/>
      <c r="D27" s="812" t="n"/>
      <c r="E27" s="848" t="n"/>
      <c r="F27" s="394" t="n"/>
      <c r="G27" s="394" t="n"/>
      <c r="H27" s="1311" t="n"/>
      <c r="I27" s="1311">
        <f>IFERROR(J27*H27,0)</f>
        <v/>
      </c>
      <c r="J27" s="394" t="n"/>
      <c r="K27" s="216">
        <f>IF(A27="","",G27+J27)</f>
        <v/>
      </c>
      <c r="L27" s="216">
        <f>IF(F27="","",MAX(0,F27-K27))</f>
        <v/>
      </c>
      <c r="M27" s="509">
        <f>IF(OR(F27="",F27=0),"",K27/F27)</f>
        <v/>
      </c>
      <c r="N27" s="1312" t="n"/>
    </row>
    <row r="28" ht="18" customHeight="1" s="1223">
      <c r="A28" s="823" t="n"/>
      <c r="B28" s="814" t="n"/>
      <c r="C28" s="815" t="n"/>
      <c r="D28" s="812" t="n"/>
      <c r="E28" s="848" t="n"/>
      <c r="F28" s="394" t="n"/>
      <c r="G28" s="394" t="n"/>
      <c r="H28" s="1311" t="n"/>
      <c r="I28" s="1311">
        <f>IFERROR(J28*H28,0)</f>
        <v/>
      </c>
      <c r="J28" s="394" t="n"/>
      <c r="K28" s="216">
        <f>IF(A28="","",G28+J28)</f>
        <v/>
      </c>
      <c r="L28" s="216">
        <f>IF(F28="","",MAX(0,F28-K28))</f>
        <v/>
      </c>
      <c r="M28" s="509">
        <f>IF(OR(F28="",F28=0),"",K28/F28)</f>
        <v/>
      </c>
      <c r="N28" s="1312" t="n"/>
    </row>
    <row r="29" ht="18" customHeight="1" s="1223">
      <c r="A29" s="823" t="n"/>
      <c r="B29" s="814" t="n"/>
      <c r="C29" s="815" t="n"/>
      <c r="D29" s="812" t="n"/>
      <c r="E29" s="848" t="n"/>
      <c r="F29" s="394" t="n"/>
      <c r="G29" s="394" t="n"/>
      <c r="H29" s="1311" t="n"/>
      <c r="I29" s="1311">
        <f>IFERROR(J29*H29,0)</f>
        <v/>
      </c>
      <c r="J29" s="394" t="n"/>
      <c r="K29" s="216">
        <f>IF(A29="","",G29+J29)</f>
        <v/>
      </c>
      <c r="L29" s="216">
        <f>IF(F29="","",MAX(0,F29-K29))</f>
        <v/>
      </c>
      <c r="M29" s="509">
        <f>IF(OR(F29="",F29=0),"",K29/F29)</f>
        <v/>
      </c>
      <c r="N29" s="1312" t="n"/>
    </row>
    <row r="30" ht="18" customHeight="1" s="1223">
      <c r="A30" s="823" t="n"/>
      <c r="B30" s="814" t="n"/>
      <c r="C30" s="815" t="n"/>
      <c r="D30" s="812" t="n"/>
      <c r="E30" s="848" t="n"/>
      <c r="F30" s="394" t="n"/>
      <c r="G30" s="394" t="n"/>
      <c r="H30" s="1311" t="n"/>
      <c r="I30" s="1311">
        <f>IFERROR(J30*H30,0)</f>
        <v/>
      </c>
      <c r="J30" s="394" t="n"/>
      <c r="K30" s="216">
        <f>IF(A30="","",G30+J30)</f>
        <v/>
      </c>
      <c r="L30" s="216">
        <f>IF(F30="","",MAX(0,F30-K30))</f>
        <v/>
      </c>
      <c r="M30" s="509">
        <f>IF(OR(F30="",F30=0),"",K30/F30)</f>
        <v/>
      </c>
      <c r="N30" s="1312" t="n"/>
    </row>
    <row r="31" ht="18" customHeight="1" s="1223">
      <c r="A31" s="823" t="n"/>
      <c r="B31" s="867" t="n"/>
      <c r="C31" s="815" t="n"/>
      <c r="D31" s="812" t="n"/>
      <c r="E31" s="848" t="n"/>
      <c r="F31" s="394" t="n"/>
      <c r="G31" s="394" t="n"/>
      <c r="H31" s="1311" t="n"/>
      <c r="I31" s="1311">
        <f>IFERROR(J31*H31,0)</f>
        <v/>
      </c>
      <c r="J31" s="394" t="n"/>
      <c r="K31" s="216">
        <f>IF(A31="","",G31+J31)</f>
        <v/>
      </c>
      <c r="L31" s="216">
        <f>IF(F31="","",MAX(0,F31-K31))</f>
        <v/>
      </c>
      <c r="M31" s="509">
        <f>IF(OR(F31="",F31=0),"",K31/F31)</f>
        <v/>
      </c>
      <c r="N31" s="1312" t="n"/>
    </row>
    <row r="32" ht="18" customHeight="1" s="1223">
      <c r="A32" s="823" t="n"/>
      <c r="B32" s="814" t="n"/>
      <c r="C32" s="815" t="n"/>
      <c r="D32" s="812" t="n"/>
      <c r="E32" s="848" t="n"/>
      <c r="F32" s="394" t="n"/>
      <c r="G32" s="394" t="n"/>
      <c r="H32" s="1311" t="n"/>
      <c r="I32" s="1311">
        <f>IFERROR(J32*H32,0)</f>
        <v/>
      </c>
      <c r="J32" s="394" t="n"/>
      <c r="K32" s="216">
        <f>IF(A32="","",G32+J32)</f>
        <v/>
      </c>
      <c r="L32" s="216">
        <f>IF(F32="","",MAX(0,F32-K32))</f>
        <v/>
      </c>
      <c r="M32" s="509">
        <f>IF(OR(F32="",F32=0),"",K32/F32)</f>
        <v/>
      </c>
      <c r="N32" s="1312" t="n"/>
    </row>
    <row r="33" ht="18" customHeight="1" s="1223">
      <c r="A33" s="823" t="n"/>
      <c r="B33" s="814" t="n"/>
      <c r="C33" s="815" t="n"/>
      <c r="D33" s="812" t="n"/>
      <c r="E33" s="848" t="n"/>
      <c r="F33" s="394" t="n"/>
      <c r="G33" s="394" t="n"/>
      <c r="H33" s="1311" t="n"/>
      <c r="I33" s="1311">
        <f>IFERROR(J33*H33,0)</f>
        <v/>
      </c>
      <c r="J33" s="394" t="n"/>
      <c r="K33" s="216">
        <f>IF(A33="","",G33+J33)</f>
        <v/>
      </c>
      <c r="L33" s="216">
        <f>IF(F33="","",MAX(0,F33-K33))</f>
        <v/>
      </c>
      <c r="M33" s="509">
        <f>IF(OR(F33="",F33=0),"",K33/F33)</f>
        <v/>
      </c>
      <c r="N33" s="1312" t="n"/>
    </row>
    <row r="34" ht="18" customHeight="1" s="1223" thickBot="1">
      <c r="A34" s="214" t="n"/>
      <c r="B34" s="214" t="n"/>
      <c r="C34" s="214" t="n"/>
      <c r="D34" s="214" t="n"/>
      <c r="E34" s="214" t="n"/>
      <c r="F34" s="214" t="n"/>
      <c r="G34" s="214" t="n"/>
      <c r="H34" s="214" t="n"/>
      <c r="I34" s="214" t="n"/>
      <c r="J34" s="214" t="n"/>
      <c r="K34" s="214" t="n"/>
      <c r="L34" s="214" t="n"/>
      <c r="M34" s="214" t="n"/>
      <c r="N34" s="214" t="n"/>
    </row>
    <row r="35" ht="18" customHeight="1" s="1223" thickBot="1">
      <c r="A35" s="824" t="inlineStr">
        <is>
          <t>4. CONTROL ECONÓMICO DEL ACTA</t>
        </is>
      </c>
      <c r="B35" s="825" t="n"/>
      <c r="C35" s="825" t="n"/>
      <c r="D35" s="825" t="n"/>
      <c r="E35" s="825" t="n"/>
      <c r="F35" s="825" t="n"/>
      <c r="G35" s="825" t="n"/>
      <c r="H35" s="825" t="n"/>
      <c r="I35" s="825" t="n"/>
      <c r="J35" s="825" t="n"/>
      <c r="K35" s="825" t="n"/>
      <c r="L35" s="825" t="n"/>
      <c r="M35" s="825" t="n"/>
      <c r="N35" s="825" t="n"/>
    </row>
    <row r="36" ht="18" customHeight="1" s="1223">
      <c r="A36" s="849" t="inlineStr">
        <is>
          <t>Valor contractual</t>
        </is>
      </c>
      <c r="B36" s="828" t="n"/>
      <c r="C36" s="828" t="n"/>
      <c r="D36" s="828" t="n"/>
      <c r="E36" s="1302" t="n"/>
      <c r="F36" s="872" t="inlineStr">
        <is>
          <t>Valor actas anteriores</t>
        </is>
      </c>
      <c r="G36" s="815" t="n"/>
      <c r="H36" s="511" t="n"/>
      <c r="I36" s="872" t="inlineStr">
        <is>
          <t>Valor presente acta</t>
        </is>
      </c>
      <c r="J36" s="815" t="n"/>
      <c r="K36" s="511">
        <f>SUM(I26:I33)</f>
        <v/>
      </c>
      <c r="L36" s="889" t="inlineStr">
        <is>
          <t>Saldo contractual</t>
        </is>
      </c>
      <c r="M36" s="829" t="n"/>
      <c r="N36" s="512">
        <f>IF(E36="","",E36-H36-K36)</f>
        <v/>
      </c>
    </row>
    <row r="37" ht="18" customHeight="1" s="1223">
      <c r="A37" s="822" t="inlineStr">
        <is>
          <t xml:space="preserve">% ejecutado </t>
        </is>
      </c>
      <c r="B37" s="815" t="n"/>
      <c r="C37" s="815" t="n"/>
      <c r="D37" s="815" t="n"/>
      <c r="E37" s="1303">
        <f>IFERROR((H36+K36)/E36,0)</f>
        <v/>
      </c>
      <c r="F37" s="872" t="inlineStr">
        <is>
          <t>Anticipo (si aplica)</t>
        </is>
      </c>
      <c r="G37" s="815" t="n"/>
      <c r="H37" s="511" t="n"/>
      <c r="I37" s="872" t="inlineStr">
        <is>
          <t>Amortización acta</t>
        </is>
      </c>
      <c r="J37" s="815" t="n"/>
      <c r="K37" s="511" t="n"/>
      <c r="L37" s="811" t="inlineStr">
        <is>
          <t xml:space="preserve">Retenciones </t>
        </is>
      </c>
      <c r="M37" s="812" t="n"/>
      <c r="N37" s="512" t="n">
        <v>0</v>
      </c>
    </row>
    <row r="38" ht="18" customHeight="1" s="1223" thickBot="1">
      <c r="A38" s="214" t="n"/>
      <c r="B38" s="214" t="n"/>
      <c r="C38" s="214" t="n"/>
      <c r="D38" s="214" t="n"/>
      <c r="E38" s="214" t="n"/>
      <c r="F38" s="214" t="n"/>
      <c r="G38" s="214" t="n"/>
      <c r="H38" s="214" t="n"/>
      <c r="I38" s="887" t="n"/>
      <c r="J38" s="888" t="n"/>
      <c r="K38" s="214" t="n"/>
      <c r="L38" s="214" t="n"/>
      <c r="M38" s="214" t="n"/>
      <c r="N38" s="214" t="n"/>
    </row>
    <row r="39" ht="18" customHeight="1" s="1223" thickBot="1">
      <c r="A39" s="824" t="inlineStr">
        <is>
          <t>5. VERIFICACIÓN DE CALIDAD, SST Y AMBIENTAL</t>
        </is>
      </c>
      <c r="B39" s="825" t="n"/>
      <c r="C39" s="825" t="n"/>
      <c r="D39" s="825" t="n"/>
      <c r="E39" s="825" t="n"/>
      <c r="F39" s="825" t="n"/>
      <c r="G39" s="825" t="n"/>
      <c r="H39" s="825" t="n"/>
      <c r="I39" s="825" t="n"/>
      <c r="J39" s="825" t="n"/>
      <c r="K39" s="825" t="n"/>
      <c r="L39" s="825" t="n"/>
      <c r="M39" s="825" t="n"/>
      <c r="N39" s="825" t="n"/>
    </row>
    <row r="40" ht="18" customHeight="1" s="1223">
      <c r="A40" s="876" t="inlineStr">
        <is>
          <t xml:space="preserve">Calidad </t>
        </is>
      </c>
      <c r="B40" s="829" t="n"/>
      <c r="C40" s="827" t="n"/>
      <c r="D40" s="828" t="n"/>
      <c r="E40" s="829" t="n"/>
      <c r="F40" s="811" t="inlineStr">
        <is>
          <t>SST</t>
        </is>
      </c>
      <c r="G40" s="823" t="n"/>
      <c r="H40" s="815" t="n"/>
      <c r="I40" s="815" t="n"/>
      <c r="J40" s="812" t="n"/>
      <c r="K40" s="811" t="inlineStr">
        <is>
          <t>Ambiental</t>
        </is>
      </c>
      <c r="L40" s="823" t="n"/>
      <c r="M40" s="815" t="n"/>
      <c r="N40" s="812" t="n"/>
    </row>
    <row r="41" ht="18" customHeight="1" s="1223">
      <c r="A41" s="835" t="inlineStr">
        <is>
          <t>Estado</t>
        </is>
      </c>
      <c r="B41" s="812" t="n"/>
      <c r="C41" s="877" t="inlineStr">
        <is>
          <t>CUMPLE</t>
        </is>
      </c>
      <c r="D41" s="815" t="n"/>
      <c r="E41" s="812" t="n"/>
      <c r="F41" s="811" t="inlineStr">
        <is>
          <t>Estado</t>
        </is>
      </c>
      <c r="G41" s="823" t="inlineStr">
        <is>
          <t>CUMPLE</t>
        </is>
      </c>
      <c r="H41" s="815" t="n"/>
      <c r="I41" s="815" t="n"/>
      <c r="J41" s="812" t="n"/>
      <c r="K41" s="811" t="inlineStr">
        <is>
          <t>Estado</t>
        </is>
      </c>
      <c r="L41" s="823" t="inlineStr">
        <is>
          <t>CUMPLE</t>
        </is>
      </c>
      <c r="M41" s="815" t="n"/>
      <c r="N41" s="812" t="n"/>
    </row>
    <row r="42" ht="18" customHeight="1" s="1223">
      <c r="A42" s="835" t="inlineStr">
        <is>
          <t>Referencia</t>
        </is>
      </c>
      <c r="B42" s="812" t="n"/>
      <c r="C42" s="841" t="n"/>
      <c r="D42" s="815" t="n"/>
      <c r="E42" s="812" t="n"/>
      <c r="F42" s="811" t="inlineStr">
        <is>
          <t>Referencia</t>
        </is>
      </c>
      <c r="G42" s="823" t="n"/>
      <c r="H42" s="815" t="n"/>
      <c r="I42" s="815" t="n"/>
      <c r="J42" s="812" t="n"/>
      <c r="K42" s="811" t="inlineStr">
        <is>
          <t>Referencia</t>
        </is>
      </c>
      <c r="L42" s="823" t="n"/>
      <c r="M42" s="815" t="n"/>
      <c r="N42" s="812" t="n"/>
    </row>
    <row r="43" ht="18" customHeight="1" s="1223" thickBot="1">
      <c r="A43" s="214" t="n"/>
      <c r="B43" s="214" t="n"/>
      <c r="C43" s="214" t="n"/>
      <c r="D43" s="214" t="n"/>
      <c r="E43" s="214" t="n"/>
      <c r="F43" s="214" t="n"/>
      <c r="G43" s="214" t="n"/>
      <c r="H43" s="214" t="n"/>
      <c r="I43" s="214" t="n"/>
      <c r="J43" s="214" t="n"/>
      <c r="K43" s="214" t="n"/>
      <c r="L43" s="214" t="n"/>
      <c r="M43" s="214" t="n"/>
      <c r="N43" s="214" t="n"/>
    </row>
    <row r="44" ht="18" customHeight="1" s="1223" thickBot="1">
      <c r="A44" s="824" t="inlineStr">
        <is>
          <t>6. OBSERVACIONES, NO CONFORMIDADES, RIESGOS Y COMPROMISOS</t>
        </is>
      </c>
      <c r="B44" s="825" t="n"/>
      <c r="C44" s="825" t="n"/>
      <c r="D44" s="825" t="n"/>
      <c r="E44" s="825" t="n"/>
      <c r="F44" s="825" t="n"/>
      <c r="G44" s="825" t="n"/>
      <c r="H44" s="825" t="n"/>
      <c r="I44" s="825" t="n"/>
      <c r="J44" s="825" t="n"/>
      <c r="K44" s="825" t="n"/>
      <c r="L44" s="825" t="n"/>
      <c r="M44" s="825" t="n"/>
      <c r="N44" s="825" t="n"/>
    </row>
    <row r="45" ht="18" customHeight="1" s="1223">
      <c r="A45" s="865" t="inlineStr">
        <is>
          <t>No.</t>
        </is>
      </c>
      <c r="B45" s="865" t="inlineStr">
        <is>
          <t>Descripción / hallazgo</t>
        </is>
      </c>
      <c r="C45" s="815" t="n"/>
      <c r="D45" s="812" t="n"/>
      <c r="E45" s="865" t="inlineStr">
        <is>
          <t>Clasificación</t>
        </is>
      </c>
      <c r="F45" s="815" t="n"/>
      <c r="G45" s="812" t="n"/>
      <c r="H45" s="865" t="inlineStr">
        <is>
          <t>Acción / compromiso</t>
        </is>
      </c>
      <c r="I45" s="815" t="n"/>
      <c r="J45" s="812" t="n"/>
      <c r="K45" s="865" t="inlineStr">
        <is>
          <t>Responsable</t>
        </is>
      </c>
      <c r="L45" s="812" t="n"/>
      <c r="M45" s="865" t="inlineStr">
        <is>
          <t>Fecha compromiso</t>
        </is>
      </c>
      <c r="N45" s="865" t="inlineStr">
        <is>
          <t>Estado</t>
        </is>
      </c>
    </row>
    <row r="46" ht="28.05" customHeight="1" s="1223">
      <c r="A46" s="823" t="n"/>
      <c r="B46" s="814" t="n"/>
      <c r="C46" s="815" t="n"/>
      <c r="D46" s="812" t="n"/>
      <c r="E46" s="823" t="n"/>
      <c r="F46" s="815" t="n"/>
      <c r="G46" s="812" t="n"/>
      <c r="H46" s="848" t="n"/>
      <c r="I46" s="815" t="n"/>
      <c r="J46" s="812" t="n"/>
      <c r="K46" s="813" t="n"/>
      <c r="L46" s="812" t="n"/>
      <c r="M46" s="854" t="n"/>
      <c r="N46" s="823" t="n"/>
    </row>
    <row r="47" ht="28.05" customHeight="1" s="1223">
      <c r="A47" s="823" t="n"/>
      <c r="B47" s="814" t="n"/>
      <c r="C47" s="815" t="n"/>
      <c r="D47" s="812" t="n"/>
      <c r="E47" s="823" t="n"/>
      <c r="F47" s="815" t="n"/>
      <c r="G47" s="812" t="n"/>
      <c r="H47" s="848" t="n"/>
      <c r="I47" s="815" t="n"/>
      <c r="J47" s="812" t="n"/>
      <c r="K47" s="813" t="n"/>
      <c r="L47" s="812" t="n"/>
      <c r="M47" s="854" t="n"/>
      <c r="N47" s="823" t="n"/>
    </row>
    <row r="48" ht="28.05" customHeight="1" s="1223">
      <c r="A48" s="823" t="n"/>
      <c r="B48" s="814" t="n"/>
      <c r="C48" s="815" t="n"/>
      <c r="D48" s="812" t="n"/>
      <c r="E48" s="823" t="n"/>
      <c r="F48" s="815" t="n"/>
      <c r="G48" s="812" t="n"/>
      <c r="H48" s="848" t="n"/>
      <c r="I48" s="815" t="n"/>
      <c r="J48" s="812" t="n"/>
      <c r="K48" s="813" t="n"/>
      <c r="L48" s="812" t="n"/>
      <c r="M48" s="854" t="n"/>
      <c r="N48" s="823" t="n"/>
    </row>
    <row r="49" ht="28.05" customHeight="1" s="1223">
      <c r="A49" s="823" t="n"/>
      <c r="B49" s="814" t="n"/>
      <c r="C49" s="815" t="n"/>
      <c r="D49" s="812" t="n"/>
      <c r="E49" s="823" t="n"/>
      <c r="F49" s="815" t="n"/>
      <c r="G49" s="812" t="n"/>
      <c r="H49" s="848" t="n"/>
      <c r="I49" s="815" t="n"/>
      <c r="J49" s="812" t="n"/>
      <c r="K49" s="813" t="n"/>
      <c r="L49" s="812" t="n"/>
      <c r="M49" s="854" t="n"/>
      <c r="N49" s="823" t="n"/>
    </row>
    <row r="50" ht="28.05" customHeight="1" s="1223">
      <c r="A50" s="823" t="n"/>
      <c r="B50" s="814" t="n"/>
      <c r="C50" s="815" t="n"/>
      <c r="D50" s="812" t="n"/>
      <c r="E50" s="823" t="n"/>
      <c r="F50" s="815" t="n"/>
      <c r="G50" s="812" t="n"/>
      <c r="H50" s="848" t="n"/>
      <c r="I50" s="815" t="n"/>
      <c r="J50" s="812" t="n"/>
      <c r="K50" s="813" t="n"/>
      <c r="L50" s="812" t="n"/>
      <c r="M50" s="854" t="n"/>
      <c r="N50" s="823" t="n"/>
    </row>
    <row r="51" ht="28.05" customHeight="1" s="1223">
      <c r="A51" s="823" t="n"/>
      <c r="B51" s="814" t="n"/>
      <c r="C51" s="815" t="n"/>
      <c r="D51" s="812" t="n"/>
      <c r="E51" s="823" t="n"/>
      <c r="F51" s="815" t="n"/>
      <c r="G51" s="812" t="n"/>
      <c r="H51" s="848" t="n"/>
      <c r="I51" s="815" t="n"/>
      <c r="J51" s="812" t="n"/>
      <c r="K51" s="813" t="n"/>
      <c r="L51" s="812" t="n"/>
      <c r="M51" s="854" t="n"/>
      <c r="N51" s="823" t="n"/>
    </row>
    <row r="52" ht="18" customHeight="1" s="1223" thickBot="1">
      <c r="A52" s="214" t="n"/>
      <c r="B52" s="214" t="n"/>
      <c r="C52" s="214" t="n"/>
      <c r="D52" s="214" t="n"/>
      <c r="E52" s="214" t="n"/>
      <c r="F52" s="214" t="n"/>
      <c r="G52" s="214" t="n"/>
      <c r="H52" s="214" t="n"/>
      <c r="I52" s="214" t="n"/>
      <c r="J52" s="214" t="n"/>
      <c r="K52" s="214" t="n"/>
      <c r="L52" s="214" t="n"/>
      <c r="M52" s="214" t="n"/>
      <c r="N52" s="214" t="n"/>
    </row>
    <row r="53" ht="18" customHeight="1" s="1223" thickBot="1">
      <c r="A53" s="824" t="inlineStr">
        <is>
          <t>7. EVIDENCIA DE EJECUCIÓN Y ACEPTACIÓN</t>
        </is>
      </c>
      <c r="B53" s="825" t="n"/>
      <c r="C53" s="825" t="n"/>
      <c r="D53" s="825" t="n"/>
      <c r="E53" s="825" t="n"/>
      <c r="F53" s="825" t="n"/>
      <c r="G53" s="825" t="n"/>
      <c r="H53" s="825" t="n"/>
      <c r="I53" s="825" t="n"/>
      <c r="J53" s="825" t="n"/>
      <c r="K53" s="825" t="n"/>
      <c r="L53" s="825" t="n"/>
      <c r="M53" s="825" t="n"/>
      <c r="N53" s="825" t="n"/>
    </row>
    <row r="54" ht="18" customHeight="1" s="1223">
      <c r="A54" s="858" t="inlineStr">
        <is>
          <t>INSERTAR FOTOGRAFÍA</t>
        </is>
      </c>
      <c r="B54" s="859" t="n"/>
      <c r="C54" s="860" t="n"/>
      <c r="D54" s="856" t="inlineStr">
        <is>
          <t>INSERTAR FOTOGRAFÍA</t>
        </is>
      </c>
      <c r="E54" s="609" t="n"/>
      <c r="F54" s="856" t="inlineStr">
        <is>
          <t>INSERTAR FOTOGRAFÍA</t>
        </is>
      </c>
      <c r="G54" s="726" t="n"/>
      <c r="H54" s="609" t="n"/>
      <c r="I54" s="844" t="inlineStr">
        <is>
          <t>INSERTAR FOTOGRAFÍA</t>
        </is>
      </c>
      <c r="J54" s="726" t="n"/>
      <c r="K54" s="609" t="n"/>
      <c r="L54" s="844" t="inlineStr">
        <is>
          <t>INSERTAR FOTOGRAFÍA</t>
        </is>
      </c>
      <c r="M54" s="726" t="n"/>
      <c r="N54" s="609" t="n"/>
    </row>
    <row r="55" ht="18" customHeight="1" s="1223">
      <c r="A55" s="818" t="n"/>
      <c r="C55" s="702" t="n"/>
      <c r="D55" s="845" t="n"/>
      <c r="E55" s="702" t="n"/>
      <c r="F55" s="845" t="n"/>
      <c r="H55" s="702" t="n"/>
      <c r="I55" s="845" t="n"/>
      <c r="K55" s="702" t="n"/>
      <c r="L55" s="845" t="n"/>
      <c r="N55" s="702" t="n"/>
    </row>
    <row r="56" ht="18" customHeight="1" s="1223">
      <c r="A56" s="818" t="n"/>
      <c r="C56" s="702" t="n"/>
      <c r="D56" s="845" t="n"/>
      <c r="E56" s="702" t="n"/>
      <c r="F56" s="845" t="n"/>
      <c r="H56" s="702" t="n"/>
      <c r="I56" s="845" t="n"/>
      <c r="K56" s="702" t="n"/>
      <c r="L56" s="845" t="n"/>
      <c r="N56" s="702" t="n"/>
    </row>
    <row r="57" ht="18" customHeight="1" s="1223">
      <c r="A57" s="818" t="n"/>
      <c r="C57" s="702" t="n"/>
      <c r="D57" s="845" t="n"/>
      <c r="E57" s="702" t="n"/>
      <c r="F57" s="845" t="n"/>
      <c r="H57" s="702" t="n"/>
      <c r="I57" s="845" t="n"/>
      <c r="K57" s="702" t="n"/>
      <c r="L57" s="845" t="n"/>
      <c r="N57" s="702" t="n"/>
    </row>
    <row r="58" ht="18" customHeight="1" s="1223">
      <c r="A58" s="818" t="n"/>
      <c r="C58" s="702" t="n"/>
      <c r="D58" s="845" t="n"/>
      <c r="E58" s="702" t="n"/>
      <c r="F58" s="845" t="n"/>
      <c r="H58" s="702" t="n"/>
      <c r="I58" s="845" t="n"/>
      <c r="K58" s="702" t="n"/>
      <c r="L58" s="845" t="n"/>
      <c r="N58" s="702" t="n"/>
    </row>
    <row r="59" ht="18" customHeight="1" s="1223">
      <c r="A59" s="818" t="n"/>
      <c r="C59" s="702" t="n"/>
      <c r="D59" s="845" t="n"/>
      <c r="E59" s="702" t="n"/>
      <c r="F59" s="845" t="n"/>
      <c r="H59" s="702" t="n"/>
      <c r="I59" s="845" t="n"/>
      <c r="K59" s="702" t="n"/>
      <c r="L59" s="845" t="n"/>
      <c r="N59" s="702" t="n"/>
    </row>
    <row r="60" ht="18" customHeight="1" s="1223">
      <c r="A60" s="818" t="n"/>
      <c r="C60" s="702" t="n"/>
      <c r="D60" s="845" t="n"/>
      <c r="E60" s="702" t="n"/>
      <c r="F60" s="845" t="n"/>
      <c r="H60" s="702" t="n"/>
      <c r="I60" s="845" t="n"/>
      <c r="K60" s="702" t="n"/>
      <c r="L60" s="845" t="n"/>
      <c r="N60" s="702" t="n"/>
    </row>
    <row r="61" ht="18" customHeight="1" s="1223">
      <c r="A61" s="818" t="n"/>
      <c r="C61" s="702" t="n"/>
      <c r="D61" s="845" t="n"/>
      <c r="E61" s="702" t="n"/>
      <c r="F61" s="845" t="n"/>
      <c r="H61" s="702" t="n"/>
      <c r="I61" s="845" t="n"/>
      <c r="K61" s="702" t="n"/>
      <c r="L61" s="845" t="n"/>
      <c r="N61" s="702" t="n"/>
    </row>
    <row r="62" ht="18" customHeight="1" s="1223">
      <c r="A62" s="818" t="n"/>
      <c r="C62" s="702" t="n"/>
      <c r="D62" s="845" t="n"/>
      <c r="E62" s="702" t="n"/>
      <c r="F62" s="845" t="n"/>
      <c r="H62" s="702" t="n"/>
      <c r="I62" s="845" t="n"/>
      <c r="K62" s="702" t="n"/>
      <c r="L62" s="845" t="n"/>
      <c r="N62" s="702" t="n"/>
    </row>
    <row r="63" ht="18" customHeight="1" s="1223">
      <c r="A63" s="818" t="n"/>
      <c r="C63" s="702" t="n"/>
      <c r="D63" s="845" t="n"/>
      <c r="E63" s="702" t="n"/>
      <c r="F63" s="845" t="n"/>
      <c r="H63" s="702" t="n"/>
      <c r="I63" s="845" t="n"/>
      <c r="K63" s="702" t="n"/>
      <c r="L63" s="845" t="n"/>
      <c r="N63" s="702" t="n"/>
    </row>
    <row r="64" ht="18" customHeight="1" s="1223">
      <c r="A64" s="818" t="n"/>
      <c r="C64" s="702" t="n"/>
      <c r="D64" s="845" t="n"/>
      <c r="E64" s="702" t="n"/>
      <c r="F64" s="845" t="n"/>
      <c r="H64" s="702" t="n"/>
      <c r="I64" s="845" t="n"/>
      <c r="K64" s="702" t="n"/>
      <c r="L64" s="845" t="n"/>
      <c r="N64" s="702" t="n"/>
    </row>
    <row r="65" ht="18" customHeight="1" s="1223">
      <c r="A65" s="818" t="n"/>
      <c r="C65" s="702" t="n"/>
      <c r="D65" s="845" t="n"/>
      <c r="E65" s="702" t="n"/>
      <c r="F65" s="845" t="n"/>
      <c r="H65" s="702" t="n"/>
      <c r="I65" s="845" t="n"/>
      <c r="K65" s="702" t="n"/>
      <c r="L65" s="845" t="n"/>
      <c r="N65" s="702" t="n"/>
    </row>
    <row r="66" ht="18" customHeight="1" s="1223">
      <c r="A66" s="820" t="n"/>
      <c r="B66" s="834" t="n"/>
      <c r="C66" s="847" t="n"/>
      <c r="D66" s="857" t="n"/>
      <c r="E66" s="623" t="n"/>
      <c r="F66" s="857" t="n"/>
      <c r="G66" s="543" t="n"/>
      <c r="H66" s="623" t="n"/>
      <c r="I66" s="846" t="n"/>
      <c r="J66" s="834" t="n"/>
      <c r="K66" s="847" t="n"/>
      <c r="L66" s="846" t="n"/>
      <c r="M66" s="834" t="n"/>
      <c r="N66" s="847" t="n"/>
    </row>
    <row r="67" ht="18" customHeight="1" s="1223" thickBot="1">
      <c r="A67" s="214" t="n"/>
      <c r="B67" s="214" t="n"/>
      <c r="C67" s="214" t="n"/>
      <c r="D67" s="214" t="n"/>
      <c r="E67" s="214" t="n"/>
      <c r="F67" s="214" t="n"/>
      <c r="G67" s="214" t="n"/>
      <c r="H67" s="214" t="n"/>
      <c r="I67" s="214" t="n"/>
      <c r="J67" s="214" t="n"/>
      <c r="K67" s="214" t="n"/>
      <c r="L67" s="214" t="n"/>
      <c r="M67" s="214" t="n"/>
      <c r="N67" s="214" t="n"/>
    </row>
    <row r="68" ht="18" customHeight="1" s="1223" thickBot="1">
      <c r="A68" s="824" t="inlineStr">
        <is>
          <t>8. DECLARACIÓN Y CIERRE DEL ACTA</t>
        </is>
      </c>
      <c r="B68" s="825" t="n"/>
      <c r="C68" s="825" t="n"/>
      <c r="D68" s="825" t="n"/>
      <c r="E68" s="825" t="n"/>
      <c r="F68" s="825" t="n"/>
      <c r="G68" s="825" t="n"/>
      <c r="H68" s="825" t="n"/>
      <c r="I68" s="825" t="n"/>
      <c r="J68" s="825" t="n"/>
      <c r="K68" s="825" t="n"/>
      <c r="L68" s="825" t="n"/>
      <c r="M68" s="825" t="n"/>
      <c r="N68" s="825" t="n"/>
    </row>
    <row r="69" ht="18" customHeight="1" s="1223">
      <c r="A69" s="855" t="inlineStr">
        <is>
          <t>Con la suscripción de la presente acta, las partes dejan constancia de la información registrada, del avance y/o actividades verificadas durante el período indicado, así como de las observaciones y compromisos consignados. La aceptación queda sujeta al contrato, especificaciones técnicas, requisitos legales y demás documentos aplicables al proyecto.</t>
        </is>
      </c>
      <c r="B69" s="832" t="n"/>
      <c r="C69" s="832" t="n"/>
      <c r="D69" s="832" t="n"/>
      <c r="E69" s="832" t="n"/>
      <c r="F69" s="832" t="n"/>
      <c r="G69" s="832" t="n"/>
      <c r="H69" s="832" t="n"/>
      <c r="I69" s="832" t="n"/>
      <c r="J69" s="832" t="n"/>
      <c r="K69" s="832" t="n"/>
      <c r="L69" s="832" t="n"/>
      <c r="M69" s="832" t="n"/>
      <c r="N69" s="817" t="n"/>
    </row>
    <row r="70" ht="18" customHeight="1" s="1223">
      <c r="A70" s="818" t="n"/>
      <c r="N70" s="819" t="n"/>
    </row>
    <row r="71" ht="18" customHeight="1" s="1223">
      <c r="A71" s="820" t="n"/>
      <c r="B71" s="834" t="n"/>
      <c r="C71" s="834" t="n"/>
      <c r="D71" s="834" t="n"/>
      <c r="E71" s="834" t="n"/>
      <c r="F71" s="834" t="n"/>
      <c r="G71" s="834" t="n"/>
      <c r="H71" s="834" t="n"/>
      <c r="I71" s="834" t="n"/>
      <c r="J71" s="834" t="n"/>
      <c r="K71" s="834" t="n"/>
      <c r="L71" s="834" t="n"/>
      <c r="M71" s="834" t="n"/>
      <c r="N71" s="821" t="n"/>
    </row>
    <row r="72" ht="18" customHeight="1" s="1223" thickBot="1">
      <c r="A72" s="214" t="n"/>
      <c r="B72" s="214" t="n"/>
      <c r="C72" s="214" t="n"/>
      <c r="D72" s="214" t="n"/>
      <c r="E72" s="214" t="n"/>
      <c r="F72" s="214" t="n"/>
      <c r="G72" s="214" t="n"/>
      <c r="H72" s="214" t="n"/>
      <c r="I72" s="214" t="n"/>
      <c r="J72" s="214" t="n"/>
      <c r="K72" s="214" t="n"/>
      <c r="L72" s="214" t="n"/>
      <c r="M72" s="214" t="n"/>
      <c r="N72" s="214" t="n"/>
    </row>
    <row r="73" ht="18" customHeight="1" s="1223" thickBot="1">
      <c r="A73" s="824" t="inlineStr">
        <is>
          <t>9. APROBACIONES Y FIRMAS</t>
        </is>
      </c>
      <c r="B73" s="825" t="n"/>
      <c r="C73" s="825" t="n"/>
      <c r="D73" s="825" t="n"/>
      <c r="E73" s="825" t="n"/>
      <c r="F73" s="825" t="n"/>
      <c r="G73" s="825" t="n"/>
      <c r="H73" s="825" t="n"/>
      <c r="I73" s="825" t="n"/>
      <c r="J73" s="825" t="n"/>
      <c r="K73" s="825" t="n"/>
      <c r="L73" s="825" t="n"/>
      <c r="M73" s="825" t="n"/>
      <c r="N73" s="825" t="n"/>
    </row>
    <row r="74" ht="18" customHeight="1" s="1223">
      <c r="A74" s="836" t="inlineStr">
        <is>
          <t>ELABORÓ / CONTRATISTA</t>
        </is>
      </c>
      <c r="B74" s="815" t="n"/>
      <c r="C74" s="815" t="n"/>
      <c r="D74" s="812" t="n"/>
      <c r="E74" s="836" t="inlineStr">
        <is>
          <t>REVISÓ / SUPERVISIÓN</t>
        </is>
      </c>
      <c r="F74" s="815" t="n"/>
      <c r="G74" s="815" t="n"/>
      <c r="H74" s="812" t="n"/>
      <c r="I74" s="836" t="inlineStr">
        <is>
          <t>APROBÓ / CONTRATANTE</t>
        </is>
      </c>
      <c r="J74" s="815" t="n"/>
      <c r="K74" s="815" t="n"/>
      <c r="L74" s="812" t="n"/>
      <c r="M74" s="836" t="inlineStr">
        <is>
          <t>FECHA</t>
        </is>
      </c>
      <c r="N74" s="812" t="n"/>
    </row>
    <row r="75" ht="18" customHeight="1" s="1223">
      <c r="A75" s="816" t="inlineStr">
        <is>
          <t>Firma / nombre / cargo</t>
        </is>
      </c>
      <c r="B75" s="832" t="n"/>
      <c r="C75" s="832" t="n"/>
      <c r="D75" s="817" t="n"/>
      <c r="E75" s="816" t="inlineStr">
        <is>
          <t>Firma / nombre / cargo</t>
        </is>
      </c>
      <c r="F75" s="832" t="n"/>
      <c r="G75" s="832" t="n"/>
      <c r="H75" s="817" t="n"/>
      <c r="I75" s="816" t="inlineStr">
        <is>
          <t>Firma / nombre / cargo</t>
        </is>
      </c>
      <c r="J75" s="832" t="n"/>
      <c r="K75" s="832" t="n"/>
      <c r="L75" s="817" t="n"/>
      <c r="M75" s="816" t="inlineStr">
        <is>
          <t>Firma / nombre / cargo</t>
        </is>
      </c>
      <c r="N75" s="817" t="n"/>
    </row>
    <row r="76" ht="18" customHeight="1" s="1223">
      <c r="A76" s="818" t="n"/>
      <c r="D76" s="819" t="n"/>
      <c r="E76" s="818" t="n"/>
      <c r="H76" s="819" t="n"/>
      <c r="I76" s="818" t="n"/>
      <c r="L76" s="819" t="n"/>
      <c r="M76" s="818" t="n"/>
      <c r="N76" s="819" t="n"/>
    </row>
    <row r="77" ht="18" customHeight="1" s="1223">
      <c r="A77" s="818" t="n"/>
      <c r="D77" s="819" t="n"/>
      <c r="E77" s="818" t="n"/>
      <c r="H77" s="819" t="n"/>
      <c r="I77" s="818" t="n"/>
      <c r="L77" s="819" t="n"/>
      <c r="M77" s="818" t="n"/>
      <c r="N77" s="819" t="n"/>
    </row>
    <row r="78" ht="18" customHeight="1" s="1223">
      <c r="A78" s="820" t="n"/>
      <c r="B78" s="834" t="n"/>
      <c r="C78" s="834" t="n"/>
      <c r="D78" s="821" t="n"/>
      <c r="E78" s="820" t="n"/>
      <c r="F78" s="834" t="n"/>
      <c r="G78" s="834" t="n"/>
      <c r="H78" s="821" t="n"/>
      <c r="I78" s="820" t="n"/>
      <c r="J78" s="834" t="n"/>
      <c r="K78" s="834" t="n"/>
      <c r="L78" s="821" t="n"/>
      <c r="M78" s="820" t="n"/>
      <c r="N78" s="821" t="n"/>
    </row>
    <row r="79" ht="18" customHeight="1" s="1223" thickBot="1">
      <c r="A79" s="214" t="n"/>
      <c r="B79" s="214" t="n"/>
      <c r="C79" s="214" t="n"/>
      <c r="D79" s="214" t="n"/>
      <c r="E79" s="214" t="n"/>
      <c r="F79" s="214" t="n"/>
      <c r="G79" s="214" t="n"/>
      <c r="H79" s="214" t="n"/>
      <c r="I79" s="214" t="n"/>
      <c r="J79" s="214" t="n"/>
      <c r="K79" s="214" t="n"/>
      <c r="L79" s="214" t="n"/>
      <c r="M79" s="214" t="n"/>
      <c r="N79" s="214" t="n"/>
    </row>
    <row r="80" ht="18" customHeight="1" s="1223" thickBot="1">
      <c r="A80" s="824" t="inlineStr">
        <is>
          <t>10. REFERENTES NORMATIVOS Y CONTROL DE INFORMACIÓN DOCUMENTADA</t>
        </is>
      </c>
      <c r="B80" s="825" t="n"/>
      <c r="C80" s="825" t="n"/>
      <c r="D80" s="825" t="n"/>
      <c r="E80" s="825" t="n"/>
      <c r="F80" s="825" t="n"/>
      <c r="G80" s="825" t="n"/>
      <c r="H80" s="825" t="n"/>
      <c r="I80" s="825" t="n"/>
      <c r="J80" s="825" t="n"/>
      <c r="K80" s="825" t="n"/>
      <c r="L80" s="825" t="n"/>
      <c r="M80" s="825" t="n"/>
      <c r="N80" s="825" t="n"/>
    </row>
    <row r="81" ht="18" customHeight="1" s="1223">
      <c r="A81" s="855" t="inlineStr">
        <is>
          <t>Registrar en el proyecto las normas, reglamentos, especificaciones, planos, contrato y requisitos legales aplicables. Esta plantilla está diseñada como herramienta de control documental y trazabilidad, alineada con buenas prácticas de información documentada y gestión de calidad, SST y ambiental; no constituye por sí sola una certificación de conformidad.</t>
        </is>
      </c>
      <c r="B81" s="832" t="n"/>
      <c r="C81" s="832" t="n"/>
      <c r="D81" s="832" t="n"/>
      <c r="E81" s="832" t="n"/>
      <c r="F81" s="832" t="n"/>
      <c r="G81" s="832" t="n"/>
      <c r="H81" s="832" t="n"/>
      <c r="I81" s="832" t="n"/>
      <c r="J81" s="832" t="n"/>
      <c r="K81" s="832" t="n"/>
      <c r="L81" s="832" t="n"/>
      <c r="M81" s="832" t="n"/>
      <c r="N81" s="817" t="n"/>
    </row>
    <row r="82" ht="18" customHeight="1" s="1223">
      <c r="A82" s="820" t="n"/>
      <c r="B82" s="834" t="n"/>
      <c r="C82" s="834" t="n"/>
      <c r="D82" s="834" t="n"/>
      <c r="E82" s="834" t="n"/>
      <c r="F82" s="834" t="n"/>
      <c r="G82" s="834" t="n"/>
      <c r="H82" s="834" t="n"/>
      <c r="I82" s="834" t="n"/>
      <c r="J82" s="834" t="n"/>
      <c r="K82" s="834" t="n"/>
      <c r="L82" s="834" t="n"/>
      <c r="M82" s="834" t="n"/>
      <c r="N82" s="821" t="n"/>
    </row>
    <row r="83" ht="18" customHeight="1" s="1223">
      <c r="A83" s="214" t="n"/>
      <c r="B83" s="214" t="n"/>
      <c r="C83" s="214" t="n"/>
      <c r="D83" s="214" t="n"/>
      <c r="E83" s="214" t="n"/>
      <c r="F83" s="214" t="n"/>
      <c r="G83" s="214" t="n"/>
      <c r="H83" s="214" t="n"/>
      <c r="I83" s="214" t="n"/>
      <c r="J83" s="214" t="n"/>
      <c r="K83" s="214" t="n"/>
      <c r="L83" s="214" t="n"/>
      <c r="M83" s="214" t="n"/>
      <c r="N83" s="214" t="n"/>
    </row>
    <row r="84" ht="18" customHeight="1" s="1223">
      <c r="A84" s="873" t="inlineStr">
        <is>
          <t>REFORMAS Y REMODELACIONES  |  Documento controlado  |  Código RYR-AO-001  |  Versión 01</t>
        </is>
      </c>
    </row>
    <row r="85" ht="18" customHeight="1" s="1223"/>
    <row r="86" ht="18" customHeight="1" s="1223">
      <c r="A86" s="850" t="inlineStr">
        <is>
          <t>NOTA DE CONTROL: Una vez diligenciada y aprobada, conservar el acta conforme al procedimiento de control de información documentada de la organización.</t>
        </is>
      </c>
    </row>
    <row r="87" ht="18" customHeight="1" s="1223"/>
    <row r="88" ht="18" customHeight="1" s="1223">
      <c r="A88" s="217" t="inlineStr">
        <is>
          <t>REV. 10/09/2026</t>
        </is>
      </c>
      <c r="N88" s="353">
        <f>M7</f>
        <v/>
      </c>
    </row>
    <row r="89" ht="18" customHeight="1" s="1223"/>
    <row r="90" ht="18" customHeight="1" s="1223"/>
    <row r="91" ht="18" customHeight="1" s="1223"/>
  </sheetData>
  <mergeCells count="131">
    <mergeCell ref="G21:H21"/>
    <mergeCell ref="K49:L49"/>
    <mergeCell ref="M75:N78"/>
    <mergeCell ref="A15:B15"/>
    <mergeCell ref="L42:N42"/>
    <mergeCell ref="A39:N39"/>
    <mergeCell ref="C15:D15"/>
    <mergeCell ref="C40:E40"/>
    <mergeCell ref="B28:D28"/>
    <mergeCell ref="G40:J40"/>
    <mergeCell ref="A75:D78"/>
    <mergeCell ref="A41:B41"/>
    <mergeCell ref="K50:L50"/>
    <mergeCell ref="B30:D30"/>
    <mergeCell ref="M74:N74"/>
    <mergeCell ref="A16:C17"/>
    <mergeCell ref="J11:N11"/>
    <mergeCell ref="C13:H13"/>
    <mergeCell ref="A42:B42"/>
    <mergeCell ref="M8:N8"/>
    <mergeCell ref="A22:B22"/>
    <mergeCell ref="C42:E42"/>
    <mergeCell ref="G20:H20"/>
    <mergeCell ref="I20:J20"/>
    <mergeCell ref="J12:N12"/>
    <mergeCell ref="L54:N66"/>
    <mergeCell ref="E74:H74"/>
    <mergeCell ref="G22:H22"/>
    <mergeCell ref="A10:N10"/>
    <mergeCell ref="H51:J51"/>
    <mergeCell ref="A11:B11"/>
    <mergeCell ref="A86:N87"/>
    <mergeCell ref="J13:N13"/>
    <mergeCell ref="K21:L21"/>
    <mergeCell ref="E46:G46"/>
    <mergeCell ref="K51:L51"/>
    <mergeCell ref="L41:N41"/>
    <mergeCell ref="I75:L78"/>
    <mergeCell ref="J15:N15"/>
    <mergeCell ref="A81:N82"/>
    <mergeCell ref="D54:E66"/>
    <mergeCell ref="A80:N80"/>
    <mergeCell ref="A54:C66"/>
    <mergeCell ref="M7:N7"/>
    <mergeCell ref="M21:N21"/>
    <mergeCell ref="D7:K7"/>
    <mergeCell ref="B45:D45"/>
    <mergeCell ref="E47:G47"/>
    <mergeCell ref="B47:D47"/>
    <mergeCell ref="F11:H11"/>
    <mergeCell ref="D8:K8"/>
    <mergeCell ref="C14:H14"/>
    <mergeCell ref="B31:D31"/>
    <mergeCell ref="B46:D46"/>
    <mergeCell ref="A74:D74"/>
    <mergeCell ref="B48:D48"/>
    <mergeCell ref="H46:J46"/>
    <mergeCell ref="D16:N17"/>
    <mergeCell ref="A24:N24"/>
    <mergeCell ref="J14:N14"/>
    <mergeCell ref="M9:N9"/>
    <mergeCell ref="K45:L45"/>
    <mergeCell ref="H45:J45"/>
    <mergeCell ref="F54:H66"/>
    <mergeCell ref="I74:L74"/>
    <mergeCell ref="D6:K6"/>
    <mergeCell ref="K47:L47"/>
    <mergeCell ref="E45:G45"/>
    <mergeCell ref="B49:D49"/>
    <mergeCell ref="A69:N71"/>
    <mergeCell ref="L40:N40"/>
    <mergeCell ref="H47:J47"/>
    <mergeCell ref="F36:G36"/>
    <mergeCell ref="I37:J37"/>
    <mergeCell ref="K46:L46"/>
    <mergeCell ref="A84:N84"/>
    <mergeCell ref="B51:D51"/>
    <mergeCell ref="A36:D36"/>
    <mergeCell ref="A12:B12"/>
    <mergeCell ref="I21:J21"/>
    <mergeCell ref="A21:B21"/>
    <mergeCell ref="I54:K66"/>
    <mergeCell ref="C20:F20"/>
    <mergeCell ref="B50:D50"/>
    <mergeCell ref="A14:B14"/>
    <mergeCell ref="B25:D25"/>
    <mergeCell ref="C22:F22"/>
    <mergeCell ref="A37:D37"/>
    <mergeCell ref="E75:H78"/>
    <mergeCell ref="H50:J50"/>
    <mergeCell ref="C21:F21"/>
    <mergeCell ref="D5:N5"/>
    <mergeCell ref="A40:B40"/>
    <mergeCell ref="E51:G51"/>
    <mergeCell ref="A44:N44"/>
    <mergeCell ref="H49:J49"/>
    <mergeCell ref="C41:E41"/>
    <mergeCell ref="A73:N73"/>
    <mergeCell ref="I36:J36"/>
    <mergeCell ref="L37:M37"/>
    <mergeCell ref="C12:H12"/>
    <mergeCell ref="B29:D29"/>
    <mergeCell ref="G41:J41"/>
    <mergeCell ref="K20:L20"/>
    <mergeCell ref="E49:G49"/>
    <mergeCell ref="M20:N20"/>
    <mergeCell ref="I22:J22"/>
    <mergeCell ref="K22:L22"/>
    <mergeCell ref="L6:N6"/>
    <mergeCell ref="H48:J48"/>
    <mergeCell ref="M22:N22"/>
    <mergeCell ref="G42:J42"/>
    <mergeCell ref="B33:D33"/>
    <mergeCell ref="C11:D11"/>
    <mergeCell ref="B32:D32"/>
    <mergeCell ref="B26:D26"/>
    <mergeCell ref="E50:G50"/>
    <mergeCell ref="D1:N4"/>
    <mergeCell ref="K48:L48"/>
    <mergeCell ref="F37:G37"/>
    <mergeCell ref="A20:B20"/>
    <mergeCell ref="D9:K9"/>
    <mergeCell ref="A53:N53"/>
    <mergeCell ref="I38:J38"/>
    <mergeCell ref="A35:N35"/>
    <mergeCell ref="E48:G48"/>
    <mergeCell ref="B27:D27"/>
    <mergeCell ref="A13:B13"/>
    <mergeCell ref="A19:N19"/>
    <mergeCell ref="A68:N68"/>
    <mergeCell ref="L36:M36"/>
  </mergeCells>
  <conditionalFormatting sqref="K26:K33">
    <cfRule type="cellIs" priority="3" operator="greaterThanOrEqual" dxfId="6">
      <formula>1</formula>
    </cfRule>
    <cfRule type="cellIs" priority="4" operator="lessThan" dxfId="5">
      <formula>0.5</formula>
    </cfRule>
  </conditionalFormatting>
  <conditionalFormatting sqref="G41">
    <cfRule type="expression" priority="5" dxfId="0">
      <formula>G41="NO CUMPLE"</formula>
    </cfRule>
  </conditionalFormatting>
  <conditionalFormatting sqref="L41">
    <cfRule type="expression" priority="6" dxfId="0">
      <formula>L41="NO CUMPLE"</formula>
    </cfRule>
  </conditionalFormatting>
  <conditionalFormatting sqref="N46:N51">
    <cfRule type="expression" priority="7" dxfId="0">
      <formula>N46="VENCIDO"</formula>
    </cfRule>
  </conditionalFormatting>
  <conditionalFormatting sqref="C41">
    <cfRule type="expression" priority="1" dxfId="0">
      <formula>C41="NO CUMPLE"</formula>
    </cfRule>
  </conditionalFormatting>
  <conditionalFormatting sqref="C40">
    <cfRule type="expression" priority="2" dxfId="0">
      <formula>C40="NO CUMPLE"</formula>
    </cfRule>
  </conditionalFormatting>
  <dataValidations count="6">
    <dataValidation sqref="N46:N51" showDropDown="0" showInputMessage="0" showErrorMessage="0" allowBlank="1" type="list">
      <formula1>"ABIERTO,EN PROCESO,CERRADO,VENCIDO,N/A"</formula1>
    </dataValidation>
    <dataValidation sqref="E46:E51" showDropDown="0" showInputMessage="0" showErrorMessage="0" allowBlank="1" type="list">
      <formula1>"Observación,No conformidad,Riesgo,Compromiso,Mejora"</formula1>
    </dataValidation>
    <dataValidation sqref="C40:C41 G41 L41" showDropDown="0" showInputMessage="0" showErrorMessage="0" allowBlank="1" type="list">
      <formula1>"CUMPLE,NO CUMPLE,N/A,PENDIENTE"</formula1>
    </dataValidation>
    <dataValidation sqref="E26:E33" showDropDown="0" showInputMessage="0" showErrorMessage="0" allowBlank="1" type="list">
      <formula1>"m,m²,m³,kg,t,und,glb,h,mes,día,ml,serv"</formula1>
    </dataValidation>
    <dataValidation sqref="J11" showDropDown="0" showInputMessage="0" showErrorMessage="0" allowBlank="1" type="list">
      <formula1>"BORRADOR,EN REVISIÓN,APROBADA,ANULADA"</formula1>
    </dataValidation>
    <dataValidation sqref="F11" showDropDown="0" showInputMessage="0" showErrorMessage="0" allowBlank="1" type="list">
      <formula1>"Inicio,Avance parcial,Visita,Recibo parcial,Recibo final,Suspensión,Reinicio,Terminación,Liquidación,Otro"</formula1>
    </dataValidation>
  </dataValidations>
  <pageMargins left="0.2755905511811024" right="0.1968503937007874" top="0.1968503937007874" bottom="0.2362204724409449" header="0.1574803149606299" footer="0.1574803149606299"/>
  <pageSetup orientation="portrait" scale="41" fitToHeight="0" horizontalDpi="300" verticalDpi="300"/>
  <headerFooter>
    <oddHeader/>
    <oddFooter>&amp;LREFORMAS Y REMODELACIONES&amp;CPágina &amp;P de &amp;N&amp;RRR-OP-FOR-AB-001 | V01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2026-09-19T13:41:57Z</dcterms:modified>
  <cp:lastModifiedBy>Hugo Fernando Hurtado Ruiz</cp:lastModifiedBy>
  <cp:revision>1</cp:revision>
  <cp:lastPrinted>2026-09-14T01:27:33Z</cp:lastPrinted>
</cp:coreProperties>
</file>