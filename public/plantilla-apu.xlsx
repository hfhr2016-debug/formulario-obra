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pu'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 &quot;* #,##0.00_-;&quot;-$ &quot;* #,##0.00_-;_-&quot;$ &quot;* \-??_-;_-@_-"/>
  </numFmts>
  <fonts count="35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Arial"/>
      <family val="2"/>
      <b val="1"/>
      <color theme="0"/>
      <sz val="16"/>
    </font>
    <font>
      <name val="Calibri"/>
      <family val="2"/>
      <b val="1"/>
      <sz val="16"/>
    </font>
    <font>
      <name val="Calibri"/>
      <family val="2"/>
      <b val="1"/>
      <color theme="0"/>
      <sz val="11"/>
    </font>
    <font>
      <name val="Calibri"/>
      <charset val="1"/>
      <family val="2"/>
      <b val="1"/>
      <color rgb="FF17365D"/>
      <sz val="10"/>
    </font>
    <font>
      <name val="Cambria"/>
      <charset val="1"/>
      <family val="1"/>
      <i val="1"/>
      <color rgb="FF8A8F99"/>
      <sz val="8"/>
    </font>
    <font>
      <name val="Calibri"/>
      <charset val="1"/>
      <family val="2"/>
      <sz val="11"/>
    </font>
    <font>
      <name val="Cambria"/>
      <charset val="1"/>
      <family val="1"/>
      <i val="1"/>
      <sz val="8"/>
    </font>
    <font>
      <name val="Calibri"/>
      <family val="2"/>
      <i val="1"/>
      <sz val="10"/>
    </font>
    <font>
      <name val="Calibri"/>
      <family val="2"/>
      <i val="1"/>
      <sz val="8"/>
    </font>
    <font>
      <name val="Arial"/>
      <family val="2"/>
      <b val="1"/>
      <color rgb="FF17365D"/>
      <sz val="16"/>
    </font>
    <font>
      <name val="Calibri"/>
      <family val="2"/>
      <b val="1"/>
      <color rgb="FF17365D"/>
      <sz val="16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color rgb="FF17365D"/>
      <sz val="11"/>
    </font>
    <font>
      <name val="Calibri"/>
      <family val="2"/>
      <b val="1"/>
      <color rgb="FF17365D"/>
      <sz val="12"/>
    </font>
    <font>
      <name val="Calibri"/>
      <family val="2"/>
      <b val="1"/>
      <color rgb="FF17365D"/>
      <sz val="11"/>
    </font>
    <font>
      <name val="Calibri"/>
      <family val="2"/>
      <b val="1"/>
      <color theme="0"/>
      <sz val="14"/>
      <scheme val="minor"/>
    </font>
    <font>
      <name val="Calibri"/>
      <family val="2"/>
      <color rgb="FF17365D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b val="1"/>
      <color theme="0"/>
      <sz val="14"/>
      <scheme val="minor"/>
    </font>
    <font>
      <name val="Calibri"/>
      <family val="2"/>
      <color rgb="FF17365D"/>
      <sz val="14"/>
    </font>
  </fonts>
  <fills count="18">
    <fill>
      <patternFill/>
    </fill>
    <fill>
      <patternFill patternType="gray125"/>
    </fill>
    <fill>
      <patternFill/>
    </fill>
    <fill>
      <patternFill patternType="solid">
        <fgColor rgb="FF17365D"/>
        <bgColor rgb="FF0C1F3F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rgb="FFF2F2F2"/>
      </patternFill>
    </fill>
    <fill>
      <patternFill patternType="solid">
        <fgColor theme="0"/>
        <bgColor rgb="FFF5F7FA"/>
      </patternFill>
    </fill>
    <fill>
      <patternFill patternType="solid">
        <fgColor rgb="FFFCCF6A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C9900"/>
        <bgColor rgb="FFC9A227"/>
      </patternFill>
    </fill>
    <fill>
      <patternFill patternType="solid">
        <fgColor rgb="FF17365D"/>
        <bgColor rgb="FF10243E"/>
      </patternFill>
    </fill>
    <fill>
      <patternFill patternType="solid">
        <fgColor rgb="FFE2F0D9"/>
        <bgColor indexed="64"/>
      </patternFill>
    </fill>
    <fill>
      <patternFill patternType="solid">
        <fgColor rgb="FFFCCF6A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rgb="FFEAF0F6"/>
        <bgColor rgb="FF0C1F3F"/>
      </patternFill>
    </fill>
  </fills>
  <borders count="6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/>
      <bottom style="thin">
        <color rgb="FFB7C3D0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/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/>
      <right/>
      <top/>
      <bottom style="thin">
        <color theme="0" tint="-0.249946592608417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/>
      <bottom style="thin">
        <color theme="4" tint="0.5999633777886288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17365D"/>
      </left>
      <right style="thick">
        <color rgb="FF17365D"/>
      </right>
      <top/>
      <bottom style="thick">
        <color theme="0"/>
      </bottom>
      <diagonal/>
    </border>
    <border>
      <left style="thick">
        <color rgb="FF17365D"/>
      </left>
      <right style="thick">
        <color rgb="FF17365D"/>
      </right>
      <top style="thick">
        <color theme="0"/>
      </top>
      <bottom/>
      <diagonal/>
    </border>
    <border>
      <left style="thick">
        <color rgb="FF17365D"/>
      </left>
      <right/>
      <top style="thick">
        <color rgb="FF17365D"/>
      </top>
      <bottom/>
      <diagonal/>
    </border>
    <border>
      <left style="thick">
        <color rgb="FF17365D"/>
      </left>
      <right/>
      <top/>
      <bottom style="thick">
        <color rgb="FF17365D"/>
      </bottom>
      <diagonal/>
    </border>
    <border>
      <left style="thin">
        <color theme="0" tint="-0.249946592608417"/>
      </left>
      <right/>
      <top style="thin">
        <color theme="3" tint="0.5999633777886288"/>
      </top>
      <bottom style="thin">
        <color theme="4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rgb="FFB7C3D0"/>
      </right>
      <top/>
      <bottom/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 style="thick">
        <color rgb="FF17365D"/>
      </top>
      <bottom/>
      <diagonal/>
    </border>
    <border>
      <left/>
      <right style="thick">
        <color rgb="FF17365D"/>
      </right>
      <top/>
      <bottom/>
      <diagonal/>
    </border>
    <border>
      <left/>
      <right/>
      <top style="thin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ck">
        <color rgb="FF17365D"/>
      </left>
      <right/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/>
      </left>
      <right style="thin">
        <color rgb="FFB7C3D0"/>
      </right>
      <top/>
      <bottom/>
      <diagonal/>
    </border>
  </borders>
  <cellStyleXfs count="1">
    <xf numFmtId="0" fontId="0" fillId="2" borderId="0"/>
  </cellStyleXfs>
  <cellXfs count="167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4" borderId="3" pivotButton="0" quotePrefix="0" xfId="0"/>
    <xf numFmtId="0" fontId="1" fillId="4" borderId="0" pivotButton="0" quotePrefix="0" xfId="0"/>
    <xf numFmtId="0" fontId="1" fillId="4" borderId="4" pivotButton="0" quotePrefix="0" xfId="0"/>
    <xf numFmtId="0" fontId="3" fillId="5" borderId="0" applyAlignment="1" pivotButton="0" quotePrefix="0" xfId="0">
      <alignment vertical="center"/>
    </xf>
    <xf numFmtId="0" fontId="5" fillId="7" borderId="7" applyAlignment="1" pivotButton="0" quotePrefix="0" xfId="0">
      <alignment vertical="center"/>
    </xf>
    <xf numFmtId="0" fontId="5" fillId="7" borderId="8" applyAlignment="1" pivotButton="0" quotePrefix="0" xfId="0">
      <alignment vertical="center"/>
    </xf>
    <xf numFmtId="0" fontId="0" fillId="8" borderId="9" applyAlignment="1" pivotButton="0" quotePrefix="0" xfId="0">
      <alignment horizontal="center" vertical="center"/>
    </xf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1" fillId="2" borderId="0" applyAlignment="1" pivotButton="0" quotePrefix="0" xfId="0">
      <alignment horizontal="center"/>
    </xf>
    <xf numFmtId="0" fontId="5" fillId="7" borderId="10" applyAlignment="1" pivotButton="0" quotePrefix="0" xfId="0">
      <alignment vertical="center"/>
    </xf>
    <xf numFmtId="0" fontId="5" fillId="7" borderId="11" applyAlignment="1" pivotButton="0" quotePrefix="0" xfId="0">
      <alignment vertical="center"/>
    </xf>
    <xf numFmtId="0" fontId="10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vertical="center"/>
    </xf>
    <xf numFmtId="0" fontId="1" fillId="8" borderId="0" applyAlignment="1" pivotButton="0" quotePrefix="0" xfId="0">
      <alignment horizontal="center"/>
    </xf>
    <xf numFmtId="0" fontId="1" fillId="8" borderId="0" pivotButton="0" quotePrefix="0" xfId="0"/>
    <xf numFmtId="0" fontId="14" fillId="10" borderId="12" applyAlignment="1" pivotButton="0" quotePrefix="0" xfId="0">
      <alignment vertical="center"/>
    </xf>
    <xf numFmtId="0" fontId="14" fillId="10" borderId="13" applyAlignment="1" pivotButton="0" quotePrefix="0" xfId="0">
      <alignment vertical="center"/>
    </xf>
    <xf numFmtId="0" fontId="1" fillId="2" borderId="14" pivotButton="0" quotePrefix="0" xfId="0"/>
    <xf numFmtId="0" fontId="0" fillId="11" borderId="13" applyAlignment="1" pivotButton="0" quotePrefix="0" xfId="0">
      <alignment vertical="center"/>
    </xf>
    <xf numFmtId="0" fontId="17" fillId="6" borderId="16" applyAlignment="1" pivotButton="0" quotePrefix="0" xfId="0">
      <alignment horizontal="center" vertical="center"/>
    </xf>
    <xf numFmtId="0" fontId="18" fillId="5" borderId="0" applyAlignment="1" pivotButton="0" quotePrefix="0" xfId="0">
      <alignment vertical="center"/>
    </xf>
    <xf numFmtId="0" fontId="19" fillId="5" borderId="19" applyAlignment="1" pivotButton="0" quotePrefix="0" xfId="0">
      <alignment horizontal="center" vertical="center"/>
    </xf>
    <xf numFmtId="0" fontId="21" fillId="2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0" fontId="24" fillId="12" borderId="22" applyAlignment="1" pivotButton="0" quotePrefix="0" xfId="0">
      <alignment horizontal="center" vertical="center"/>
    </xf>
    <xf numFmtId="0" fontId="24" fillId="12" borderId="23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3" borderId="29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5" fillId="2" borderId="31" applyAlignment="1" pivotButton="0" quotePrefix="0" xfId="0">
      <alignment horizontal="center" vertical="center"/>
    </xf>
    <xf numFmtId="0" fontId="25" fillId="14" borderId="31" applyAlignment="1" pivotButton="0" quotePrefix="0" xfId="0">
      <alignment horizontal="center" vertical="center"/>
    </xf>
    <xf numFmtId="164" fontId="25" fillId="10" borderId="31" applyAlignment="1" pivotButton="0" quotePrefix="0" xfId="0">
      <alignment vertical="center"/>
    </xf>
    <xf numFmtId="164" fontId="26" fillId="5" borderId="32" applyAlignment="1" pivotButton="0" quotePrefix="0" xfId="0">
      <alignment vertical="center"/>
    </xf>
    <xf numFmtId="164" fontId="18" fillId="10" borderId="31" applyAlignment="1" pivotButton="0" quotePrefix="0" xfId="0">
      <alignment vertical="center"/>
    </xf>
    <xf numFmtId="164" fontId="28" fillId="15" borderId="35" applyAlignment="1" pivotButton="0" quotePrefix="0" xfId="0">
      <alignment vertical="center"/>
    </xf>
    <xf numFmtId="0" fontId="29" fillId="12" borderId="36" applyAlignment="1" pivotButton="0" quotePrefix="0" xfId="0">
      <alignment horizontal="center" vertical="center"/>
    </xf>
    <xf numFmtId="0" fontId="29" fillId="12" borderId="28" applyAlignment="1" pivotButton="0" quotePrefix="0" xfId="0">
      <alignment horizontal="center" vertical="center"/>
    </xf>
    <xf numFmtId="0" fontId="13" fillId="3" borderId="28" applyAlignment="1" pivotButton="0" quotePrefix="0" xfId="0">
      <alignment vertical="center"/>
    </xf>
    <xf numFmtId="0" fontId="13" fillId="13" borderId="31" applyAlignment="1" pivotButton="0" quotePrefix="0" xfId="0">
      <alignment horizontal="center" vertical="center"/>
    </xf>
    <xf numFmtId="0" fontId="13" fillId="13" borderId="39" applyAlignment="1" pivotButton="0" quotePrefix="0" xfId="0">
      <alignment horizontal="center" vertical="center"/>
    </xf>
    <xf numFmtId="2" fontId="25" fillId="14" borderId="31" applyAlignment="1" pivotButton="0" quotePrefix="0" xfId="0">
      <alignment horizontal="center" vertical="center"/>
    </xf>
    <xf numFmtId="164" fontId="26" fillId="5" borderId="39" applyAlignment="1" pivotButton="0" quotePrefix="0" xfId="0">
      <alignment vertical="center"/>
    </xf>
    <xf numFmtId="164" fontId="28" fillId="15" borderId="39" applyAlignment="1" pivotButton="0" quotePrefix="0" xfId="0">
      <alignment vertical="center"/>
    </xf>
    <xf numFmtId="0" fontId="29" fillId="12" borderId="38" applyAlignment="1" pivotButton="0" quotePrefix="0" xfId="0">
      <alignment horizontal="center" vertical="center"/>
    </xf>
    <xf numFmtId="0" fontId="29" fillId="12" borderId="31" applyAlignment="1" pivotButton="0" quotePrefix="0" xfId="0">
      <alignment horizontal="center" vertical="center"/>
    </xf>
    <xf numFmtId="0" fontId="13" fillId="3" borderId="31" applyAlignment="1" pivotButton="0" quotePrefix="0" xfId="0">
      <alignment vertical="center"/>
    </xf>
    <xf numFmtId="164" fontId="30" fillId="11" borderId="39" applyAlignment="1" pivotButton="0" quotePrefix="0" xfId="0">
      <alignment vertical="center"/>
    </xf>
    <xf numFmtId="164" fontId="24" fillId="16" borderId="42" applyAlignment="1" pivotButton="0" quotePrefix="0" xfId="0">
      <alignment vertical="center"/>
    </xf>
    <xf numFmtId="0" fontId="0" fillId="2" borderId="43" pivotButton="0" quotePrefix="0" xfId="0"/>
    <xf numFmtId="0" fontId="0" fillId="2" borderId="0" pivotButton="0" quotePrefix="0" xfId="0"/>
    <xf numFmtId="0" fontId="0" fillId="2" borderId="4" pivotButton="0" quotePrefix="0" xfId="0"/>
    <xf numFmtId="0" fontId="16" fillId="2" borderId="46" applyAlignment="1" pivotButton="0" quotePrefix="0" xfId="0">
      <alignment horizontal="left" vertical="center"/>
    </xf>
    <xf numFmtId="0" fontId="16" fillId="2" borderId="47" applyAlignment="1" pivotButton="0" quotePrefix="0" xfId="0">
      <alignment vertical="center"/>
    </xf>
    <xf numFmtId="0" fontId="31" fillId="2" borderId="43" applyAlignment="1" pivotButton="0" quotePrefix="0" xfId="0">
      <alignment horizontal="left" vertical="center"/>
    </xf>
    <xf numFmtId="0" fontId="32" fillId="2" borderId="0" applyAlignment="1" pivotButton="0" quotePrefix="0" xfId="0">
      <alignment horizontal="right" vertical="center"/>
    </xf>
    <xf numFmtId="0" fontId="2" fillId="3" borderId="3" applyAlignment="1" pivotButton="0" quotePrefix="0" xfId="0">
      <alignment horizontal="center" vertical="center"/>
    </xf>
    <xf numFmtId="0" fontId="1" fillId="2" borderId="0" pivotButton="0" quotePrefix="0" xfId="0"/>
    <xf numFmtId="0" fontId="4" fillId="6" borderId="5" applyAlignment="1" pivotButton="0" quotePrefix="0" xfId="0">
      <alignment horizontal="center" vertical="center"/>
    </xf>
    <xf numFmtId="0" fontId="1" fillId="2" borderId="6" pivotButton="0" quotePrefix="0" xfId="0"/>
    <xf numFmtId="0" fontId="1" fillId="2" borderId="5" pivotButton="0" quotePrefix="0" xfId="0"/>
    <xf numFmtId="0" fontId="3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/>
    </xf>
    <xf numFmtId="0" fontId="15" fillId="11" borderId="14" applyAlignment="1" pivotButton="0" quotePrefix="0" xfId="0">
      <alignment horizontal="center" vertical="center"/>
    </xf>
    <xf numFmtId="0" fontId="1" fillId="2" borderId="13" pivotButton="0" quotePrefix="0" xfId="0"/>
    <xf numFmtId="0" fontId="1" fillId="2" borderId="14" pivotButton="0" quotePrefix="0" xfId="0"/>
    <xf numFmtId="0" fontId="14" fillId="9" borderId="13" applyAlignment="1" pivotButton="0" quotePrefix="0" xfId="0">
      <alignment horizontal="center" vertical="center"/>
    </xf>
    <xf numFmtId="0" fontId="14" fillId="10" borderId="14" applyAlignment="1" pivotButton="0" quotePrefix="0" xfId="0">
      <alignment vertical="center"/>
    </xf>
    <xf numFmtId="0" fontId="16" fillId="9" borderId="13" applyAlignment="1" pivotButton="0" quotePrefix="0" xfId="0">
      <alignment horizontal="center" vertical="center"/>
    </xf>
    <xf numFmtId="0" fontId="14" fillId="5" borderId="15" applyAlignment="1" pivotButton="0" quotePrefix="0" xfId="0">
      <alignment horizontal="center" vertical="center"/>
    </xf>
    <xf numFmtId="0" fontId="1" fillId="2" borderId="15" pivotButton="0" quotePrefix="0" xfId="0"/>
    <xf numFmtId="0" fontId="17" fillId="6" borderId="16" applyAlignment="1" pivotButton="0" quotePrefix="0" xfId="0">
      <alignment horizontal="center" vertical="center"/>
    </xf>
    <xf numFmtId="0" fontId="1" fillId="2" borderId="18" pivotButton="0" quotePrefix="0" xfId="0"/>
    <xf numFmtId="0" fontId="18" fillId="5" borderId="17" applyAlignment="1" pivotButton="0" quotePrefix="0" xfId="0">
      <alignment horizontal="center" vertical="center"/>
    </xf>
    <xf numFmtId="0" fontId="1" fillId="2" borderId="17" pivotButton="0" quotePrefix="0" xfId="0"/>
    <xf numFmtId="0" fontId="19" fillId="5" borderId="19" applyAlignment="1" pivotButton="0" quotePrefix="0" xfId="0">
      <alignment horizontal="center" vertical="center"/>
    </xf>
    <xf numFmtId="0" fontId="1" fillId="2" borderId="20" pivotButton="0" quotePrefix="0" xfId="0"/>
    <xf numFmtId="0" fontId="17" fillId="5" borderId="0" applyAlignment="1" pivotButton="0" quotePrefix="0" xfId="0">
      <alignment horizontal="center" vertical="center"/>
    </xf>
    <xf numFmtId="0" fontId="22" fillId="5" borderId="21" applyAlignment="1" pivotButton="0" quotePrefix="0" xfId="0">
      <alignment horizontal="center" vertical="center"/>
    </xf>
    <xf numFmtId="0" fontId="1" fillId="2" borderId="21" pivotButton="0" quotePrefix="0" xfId="0"/>
    <xf numFmtId="0" fontId="13" fillId="3" borderId="24" applyAlignment="1" pivotButton="0" quotePrefix="0" xfId="0">
      <alignment horizontal="center" vertical="center"/>
    </xf>
    <xf numFmtId="0" fontId="1" fillId="2" borderId="25" pivotButton="0" quotePrefix="0" xfId="0"/>
    <xf numFmtId="0" fontId="0" fillId="11" borderId="26" applyAlignment="1" pivotButton="0" quotePrefix="0" xfId="0">
      <alignment horizontal="center"/>
    </xf>
    <xf numFmtId="0" fontId="1" fillId="2" borderId="23" pivotButton="0" quotePrefix="0" xfId="0"/>
    <xf numFmtId="0" fontId="1" fillId="2" borderId="27" pivotButton="0" quotePrefix="0" xfId="0"/>
    <xf numFmtId="0" fontId="25" fillId="11" borderId="30" applyAlignment="1" pivotButton="0" quotePrefix="0" xfId="0">
      <alignment vertical="center"/>
    </xf>
    <xf numFmtId="0" fontId="1" fillId="2" borderId="31" pivotButton="0" quotePrefix="0" xfId="0"/>
    <xf numFmtId="0" fontId="0" fillId="11" borderId="33" applyAlignment="1" pivotButton="0" quotePrefix="0" xfId="0">
      <alignment horizontal="center" vertical="center"/>
    </xf>
    <xf numFmtId="0" fontId="1" fillId="2" borderId="34" pivotButton="0" quotePrefix="0" xfId="0"/>
    <xf numFmtId="0" fontId="27" fillId="15" borderId="34" applyAlignment="1" pivotButton="0" quotePrefix="0" xfId="0">
      <alignment horizontal="center" vertical="center"/>
    </xf>
    <xf numFmtId="0" fontId="0" fillId="11" borderId="37" applyAlignment="1" pivotButton="0" quotePrefix="0" xfId="0">
      <alignment horizontal="center" vertical="center"/>
    </xf>
    <xf numFmtId="0" fontId="1" fillId="2" borderId="28" pivotButton="0" quotePrefix="0" xfId="0"/>
    <xf numFmtId="0" fontId="1" fillId="2" borderId="37" pivotButton="0" quotePrefix="0" xfId="0"/>
    <xf numFmtId="0" fontId="25" fillId="11" borderId="38" applyAlignment="1" pivotButton="0" quotePrefix="0" xfId="0">
      <alignment vertical="center"/>
    </xf>
    <xf numFmtId="0" fontId="0" fillId="11" borderId="38" applyAlignment="1" pivotButton="0" quotePrefix="0" xfId="0">
      <alignment vertical="center"/>
    </xf>
    <xf numFmtId="0" fontId="27" fillId="15" borderId="31" applyAlignment="1" pivotButton="0" quotePrefix="0" xfId="0">
      <alignment horizontal="center" vertical="center"/>
    </xf>
    <xf numFmtId="0" fontId="0" fillId="11" borderId="39" applyAlignment="1" pivotButton="0" quotePrefix="0" xfId="0">
      <alignment horizontal="center" vertical="center"/>
    </xf>
    <xf numFmtId="0" fontId="1" fillId="2" borderId="39" pivotButton="0" quotePrefix="0" xfId="0"/>
    <xf numFmtId="0" fontId="30" fillId="10" borderId="38" applyAlignment="1" pivotButton="0" quotePrefix="0" xfId="0">
      <alignment horizontal="left" vertical="center"/>
    </xf>
    <xf numFmtId="0" fontId="24" fillId="16" borderId="40" applyAlignment="1" pivotButton="0" quotePrefix="0" xfId="0">
      <alignment horizontal="center" vertical="center"/>
    </xf>
    <xf numFmtId="0" fontId="1" fillId="2" borderId="41" pivotButton="0" quotePrefix="0" xfId="0"/>
    <xf numFmtId="0" fontId="1" fillId="2" borderId="44" pivotButton="0" quotePrefix="0" xfId="0"/>
    <xf numFmtId="0" fontId="16" fillId="17" borderId="45" applyAlignment="1" pivotButton="0" quotePrefix="0" xfId="0">
      <alignment horizontal="center" vertical="center"/>
    </xf>
    <xf numFmtId="0" fontId="1" fillId="2" borderId="45" pivotButton="0" quotePrefix="0" xfId="0"/>
    <xf numFmtId="0" fontId="16" fillId="2" borderId="47" applyAlignment="1" pivotButton="0" quotePrefix="0" xfId="0">
      <alignment horizontal="left" vertical="center"/>
    </xf>
    <xf numFmtId="0" fontId="1" fillId="2" borderId="47" pivotButton="0" quotePrefix="0" xfId="0"/>
    <xf numFmtId="0" fontId="16" fillId="2" borderId="48" applyAlignment="1" pivotButton="0" quotePrefix="0" xfId="0">
      <alignment vertical="center"/>
    </xf>
    <xf numFmtId="0" fontId="31" fillId="2" borderId="6" applyAlignment="1" pivotButton="0" quotePrefix="0" xfId="0">
      <alignment horizontal="center" vertical="center"/>
    </xf>
    <xf numFmtId="0" fontId="16" fillId="17" borderId="44" applyAlignment="1" pivotButton="0" quotePrefix="0" xfId="0">
      <alignment horizontal="center" vertical="center"/>
    </xf>
    <xf numFmtId="0" fontId="1" fillId="2" borderId="49" pivotButton="0" quotePrefix="0" xfId="0"/>
    <xf numFmtId="0" fontId="1" fillId="2" borderId="50" pivotButton="0" quotePrefix="0" xfId="0"/>
    <xf numFmtId="0" fontId="17" fillId="6" borderId="51" applyAlignment="1" pivotButton="0" quotePrefix="0" xfId="0">
      <alignment horizontal="center" vertical="center"/>
    </xf>
    <xf numFmtId="0" fontId="17" fillId="6" borderId="18" applyAlignment="1" pivotButton="0" quotePrefix="0" xfId="0">
      <alignment horizontal="center" vertical="center"/>
    </xf>
    <xf numFmtId="0" fontId="19" fillId="5" borderId="52" applyAlignment="1" pivotButton="0" quotePrefix="0" xfId="0">
      <alignment horizontal="center" vertical="center"/>
    </xf>
    <xf numFmtId="0" fontId="19" fillId="5" borderId="20" applyAlignment="1" pivotButton="0" quotePrefix="0" xfId="0">
      <alignment horizontal="center" vertical="center"/>
    </xf>
    <xf numFmtId="0" fontId="20" fillId="5" borderId="19" applyAlignment="1" pivotButton="0" quotePrefix="0" xfId="0">
      <alignment horizontal="center" vertical="center"/>
    </xf>
    <xf numFmtId="0" fontId="25" fillId="11" borderId="31" applyAlignment="1" pivotButton="0" quotePrefix="0" xfId="0">
      <alignment vertical="center"/>
    </xf>
    <xf numFmtId="0" fontId="13" fillId="13" borderId="53" applyAlignment="1" pivotButton="0" quotePrefix="0" xfId="0">
      <alignment horizontal="center" vertical="center"/>
    </xf>
    <xf numFmtId="0" fontId="13" fillId="13" borderId="54" applyAlignment="1" pivotButton="0" quotePrefix="0" xfId="0">
      <alignment horizontal="center" vertical="center"/>
    </xf>
    <xf numFmtId="0" fontId="13" fillId="13" borderId="31" applyAlignment="1" pivotButton="0" quotePrefix="0" xfId="0">
      <alignment horizontal="center" vertical="center"/>
    </xf>
    <xf numFmtId="0" fontId="13" fillId="13" borderId="38" applyAlignment="1" pivotButton="0" quotePrefix="0" xfId="0">
      <alignment horizontal="center" vertical="center"/>
    </xf>
    <xf numFmtId="0" fontId="13" fillId="3" borderId="3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55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5" borderId="55" applyAlignment="1" pivotButton="0" quotePrefix="0" xfId="0">
      <alignment horizontal="center" vertical="center"/>
    </xf>
    <xf numFmtId="0" fontId="16" fillId="2" borderId="47" applyAlignment="1" pivotButton="0" quotePrefix="0" xfId="0">
      <alignment vertical="center"/>
    </xf>
    <xf numFmtId="0" fontId="16" fillId="17" borderId="56" applyAlignment="1" pivotButton="0" quotePrefix="0" xfId="0">
      <alignment horizontal="center" vertical="center"/>
    </xf>
    <xf numFmtId="0" fontId="16" fillId="17" borderId="57" applyAlignment="1" pivotButton="0" quotePrefix="0" xfId="0">
      <alignment horizontal="center" vertical="center"/>
    </xf>
    <xf numFmtId="0" fontId="13" fillId="3" borderId="2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3" fillId="5" borderId="67" applyAlignment="1" pivotButton="0" quotePrefix="0" xfId="0">
      <alignment horizontal="center" vertical="center"/>
    </xf>
    <xf numFmtId="0" fontId="0" fillId="0" borderId="55" pivotButton="0" quotePrefix="0" xfId="0"/>
    <xf numFmtId="0" fontId="9" fillId="5" borderId="6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7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28" pivotButton="0" quotePrefix="0" xfId="0"/>
    <xf numFmtId="0" fontId="0" fillId="0" borderId="37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5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33" fillId="6" borderId="16" applyAlignment="1" pivotButton="0" quotePrefix="0" xfId="0">
      <alignment horizontal="center" vertical="center"/>
    </xf>
    <xf numFmtId="0" fontId="34" fillId="5" borderId="1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1944750</xdr:colOff>
      <xdr:row>8</xdr:row>
      <xdr:rowOff>49500</xdr:rowOff>
    </xdr:to>
    <xdr:pic>
      <xdr:nvPicPr>
        <xdr:cNvPr id="2" name="Picture 1"/>
        <xdr:cNvPicPr>
          <a:picLocks xmlns:a="http://schemas.openxmlformats.org/drawingml/2006/main" noChangeAspect="1"/>
        </xdr:cNvPicPr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-0.499984740745262"/>
    <pageSetUpPr fitToPage="1"/>
  </sheetPr>
  <dimension ref="A1:X61"/>
  <sheetViews>
    <sheetView tabSelected="1" zoomScale="72" zoomScaleNormal="72" workbookViewId="0">
      <selection activeCell="H17" sqref="H17:I17"/>
    </sheetView>
  </sheetViews>
  <sheetFormatPr baseColWidth="10" defaultColWidth="8.88671875" defaultRowHeight="14.4" customHeight="1"/>
  <cols>
    <col width="20.77734375" customWidth="1" style="62" min="1" max="1"/>
    <col width="2.77734375" customWidth="1" style="62" min="2" max="2"/>
    <col width="50.77734375" customWidth="1" style="62" min="3" max="3"/>
    <col width="2.77734375" customWidth="1" style="62" min="4" max="4"/>
    <col width="20.77734375" customWidth="1" style="62" min="5" max="5"/>
    <col width="25.77734375" customWidth="1" style="62" min="6" max="6"/>
    <col width="2.77734375" customWidth="1" style="62" min="7" max="7"/>
    <col width="20.77734375" customWidth="1" style="62" min="8" max="8"/>
    <col width="25.77734375" customWidth="1" style="62" min="9" max="9"/>
    <col width="2.77734375" customWidth="1" style="62" min="10" max="10"/>
    <col width="25.77734375" customWidth="1" style="62" min="11" max="11"/>
    <col width="4.77734375" customWidth="1" style="62" min="15" max="15"/>
  </cols>
  <sheetData>
    <row r="1" ht="40.05" customFormat="1" customHeight="1" s="62">
      <c r="A1" s="2" t="n"/>
      <c r="B1" s="2" t="n"/>
      <c r="C1" s="3" t="n"/>
      <c r="D1" s="61" t="inlineStr">
        <is>
          <t>ANÁLISIS DE PRECIOS UNITARIOS</t>
        </is>
      </c>
    </row>
    <row r="2" ht="4.95" customFormat="1" customHeight="1" s="62">
      <c r="A2" s="2" t="n"/>
      <c r="B2" s="2" t="n"/>
      <c r="C2" s="3" t="n"/>
      <c r="D2" s="4" t="n"/>
      <c r="E2" s="5" t="n"/>
      <c r="F2" s="5" t="n"/>
      <c r="G2" s="5" t="n"/>
      <c r="H2" s="5" t="n"/>
      <c r="I2" s="5" t="n"/>
      <c r="J2" s="5" t="n"/>
      <c r="K2" s="6" t="n"/>
    </row>
    <row r="3" ht="15" customFormat="1" customHeight="1" s="62">
      <c r="A3" s="2" t="n"/>
      <c r="B3" s="2" t="n"/>
      <c r="C3" s="3" t="n"/>
      <c r="D3" s="2" t="n"/>
      <c r="E3" s="7" t="n"/>
      <c r="F3" s="7" t="n"/>
      <c r="G3" s="7" t="n"/>
      <c r="H3" s="7" t="n"/>
      <c r="I3" s="63" t="inlineStr">
        <is>
          <t>CONTROL DOCUMENTAL</t>
        </is>
      </c>
      <c r="J3" s="138" t="n"/>
      <c r="K3" s="139" t="n"/>
    </row>
    <row r="4" ht="15" customFormat="1" customHeight="1" s="62">
      <c r="A4" s="2" t="n"/>
      <c r="B4" s="2" t="n"/>
      <c r="C4" s="3" t="n"/>
      <c r="D4" s="2" t="n"/>
      <c r="E4" s="140" t="inlineStr">
        <is>
          <t>REFORMAS Y REMODELACIONES</t>
        </is>
      </c>
      <c r="H4" s="141" t="n"/>
      <c r="I4" s="8" t="inlineStr">
        <is>
          <t>Código</t>
        </is>
      </c>
      <c r="J4" s="9" t="n"/>
      <c r="K4" s="10" t="inlineStr">
        <is>
          <t>RYR-AP-001</t>
        </is>
      </c>
      <c r="L4" s="11" t="n"/>
      <c r="N4" s="11" t="n"/>
      <c r="Q4" s="11" t="n"/>
      <c r="R4" s="11" t="n"/>
      <c r="S4" s="12" t="n"/>
      <c r="T4" s="13" t="n"/>
      <c r="U4" s="12" t="n"/>
      <c r="V4" s="14" t="n"/>
      <c r="W4" s="13" t="n"/>
      <c r="X4" s="13" t="inlineStr">
        <is>
          <t>m2/jornada</t>
        </is>
      </c>
    </row>
    <row r="5" ht="15" customFormat="1" customHeight="1" s="62">
      <c r="A5" s="2" t="n"/>
      <c r="B5" s="2" t="n"/>
      <c r="C5" s="3" t="n"/>
      <c r="D5" s="2" t="n"/>
      <c r="E5" s="142" t="inlineStr">
        <is>
          <t>DISEÑAMOS, RENOVAMOS Y CONSTRUIMOS ESPACIOS QUE INSPIRAN</t>
        </is>
      </c>
      <c r="H5" s="141" t="n"/>
      <c r="I5" s="15" t="inlineStr">
        <is>
          <t>Versión</t>
        </is>
      </c>
      <c r="J5" s="16" t="n"/>
      <c r="K5" s="10" t="n">
        <v>1</v>
      </c>
      <c r="L5" s="11" t="n"/>
      <c r="N5" s="11" t="n"/>
    </row>
    <row r="6" ht="15" customFormat="1" customHeight="1" s="62">
      <c r="A6" s="2" t="n"/>
      <c r="B6" s="2" t="n"/>
      <c r="C6" s="3" t="n"/>
      <c r="D6" s="2" t="n"/>
      <c r="E6" s="17" t="n"/>
      <c r="F6" s="7" t="n"/>
      <c r="G6" s="7" t="n"/>
      <c r="H6" s="7" t="n"/>
      <c r="I6" s="8" t="inlineStr">
        <is>
          <t>Fecha de Emisión</t>
        </is>
      </c>
      <c r="J6" s="9" t="n"/>
      <c r="K6" s="10" t="inlineStr">
        <is>
          <t>10/09/2026</t>
        </is>
      </c>
      <c r="L6" s="11" t="n"/>
      <c r="N6" s="11" t="n"/>
    </row>
    <row r="7" ht="15" customFormat="1" customHeight="1" s="62">
      <c r="A7" s="2" t="n"/>
      <c r="B7" s="2" t="n"/>
      <c r="C7" s="3" t="n"/>
      <c r="D7" s="2" t="n"/>
      <c r="E7" s="7" t="n"/>
      <c r="F7" s="7" t="n"/>
      <c r="G7" s="7" t="n"/>
      <c r="H7" s="7" t="n"/>
      <c r="I7" s="8" t="inlineStr">
        <is>
          <t>Página</t>
        </is>
      </c>
      <c r="J7" s="9" t="n"/>
      <c r="K7" s="10" t="inlineStr">
        <is>
          <t>1 de 1</t>
        </is>
      </c>
      <c r="L7" s="11" t="n"/>
      <c r="N7" s="11" t="n"/>
    </row>
    <row r="8" ht="15" customFormat="1" customHeight="1" s="62">
      <c r="A8" s="7" t="n"/>
      <c r="B8" s="7" t="n"/>
      <c r="C8" s="7" t="n"/>
      <c r="D8" s="18" t="n"/>
      <c r="E8" s="7" t="n"/>
      <c r="F8" s="19" t="n"/>
      <c r="G8" s="19" t="n"/>
      <c r="H8" s="19" t="n"/>
      <c r="I8" s="20" t="n"/>
      <c r="J8" s="20" t="n"/>
      <c r="K8" s="20" t="n"/>
    </row>
    <row r="9" ht="25.05" customFormat="1" customHeight="1" s="62">
      <c r="A9" s="67" t="n"/>
    </row>
    <row r="10" ht="15" customFormat="1" customHeight="1" s="62">
      <c r="A10" s="68" t="n"/>
    </row>
    <row r="11" ht="15" customFormat="1" customHeight="1" s="62">
      <c r="A11" s="69" t="inlineStr">
        <is>
          <t>IDENTIFICACIÓN DEL PROYECTO</t>
        </is>
      </c>
    </row>
    <row r="12" ht="15" customFormat="1" customHeight="1" s="62">
      <c r="A12" s="21" t="inlineStr">
        <is>
          <t>Proyecto</t>
        </is>
      </c>
      <c r="B12" s="22" t="n"/>
      <c r="C12" s="70" t="n"/>
      <c r="D12" s="143" t="n"/>
      <c r="E12" s="143" t="n"/>
      <c r="F12" s="143" t="n"/>
      <c r="G12" s="143" t="n"/>
      <c r="H12" s="143" t="n"/>
      <c r="I12" s="143" t="n"/>
      <c r="J12" s="143" t="n"/>
      <c r="K12" s="144" t="n"/>
    </row>
    <row r="13" ht="15" customFormat="1" customHeight="1" s="62">
      <c r="A13" s="21" t="inlineStr">
        <is>
          <t>No de Contrato</t>
        </is>
      </c>
      <c r="B13" s="22" t="n"/>
      <c r="C13" s="73" t="n"/>
      <c r="D13" s="143" t="n"/>
      <c r="E13" s="143" t="n"/>
      <c r="F13" s="24" t="n"/>
      <c r="G13" s="24" t="n"/>
      <c r="H13" s="24" t="n"/>
      <c r="I13" s="74" t="inlineStr">
        <is>
          <t>Fecha de Emisión</t>
        </is>
      </c>
      <c r="J13" s="144" t="n"/>
      <c r="K13" s="72" t="n"/>
    </row>
    <row r="14" ht="15" customFormat="1" customHeight="1" s="62">
      <c r="A14" s="21" t="inlineStr">
        <is>
          <t>Contratista</t>
        </is>
      </c>
      <c r="B14" s="22" t="n"/>
      <c r="C14" s="75" t="inlineStr">
        <is>
          <t>REFORMAS Y REMODELACIONES</t>
        </is>
      </c>
      <c r="D14" s="143" t="n"/>
      <c r="E14" s="143" t="n"/>
      <c r="F14" s="24" t="n"/>
      <c r="G14" s="24" t="n"/>
      <c r="H14" s="24" t="n"/>
      <c r="I14" s="74" t="inlineStr">
        <is>
          <t>Ubicación</t>
        </is>
      </c>
      <c r="J14" s="144" t="n"/>
      <c r="K14" s="72" t="n"/>
    </row>
    <row r="15" ht="15" customFormat="1" customHeight="1" s="62" thickBot="1">
      <c r="A15" s="76" t="n"/>
      <c r="B15" s="145" t="n"/>
      <c r="C15" s="145" t="n"/>
      <c r="D15" s="145" t="n"/>
      <c r="E15" s="145" t="n"/>
      <c r="F15" s="145" t="n"/>
      <c r="G15" s="145" t="n"/>
      <c r="H15" s="145" t="n"/>
      <c r="I15" s="145" t="n"/>
      <c r="J15" s="145" t="n"/>
      <c r="K15" s="145" t="n"/>
    </row>
    <row r="16" ht="22" customFormat="1" customHeight="1" s="62" thickBot="1" thickTop="1">
      <c r="A16" s="165" t="inlineStr">
        <is>
          <t>UNIDAD</t>
        </is>
      </c>
      <c r="B16" s="26" t="n"/>
      <c r="C16" s="165" t="inlineStr">
        <is>
          <t>CUADRILLA</t>
        </is>
      </c>
      <c r="D16" s="80" t="n"/>
      <c r="E16" s="165" t="inlineStr">
        <is>
          <t>JORNADA</t>
        </is>
      </c>
      <c r="F16" s="146" t="n"/>
      <c r="G16" s="116" t="n"/>
      <c r="H16" s="165" t="inlineStr">
        <is>
          <t>RENDIMIENTO</t>
        </is>
      </c>
      <c r="I16" s="146" t="n"/>
      <c r="J16" s="84" t="n"/>
      <c r="K16" s="165" t="inlineStr">
        <is>
          <t>CONSUMO M.O.</t>
        </is>
      </c>
    </row>
    <row r="17" ht="25.05" customFormat="1" customHeight="1" s="62" thickBot="1" thickTop="1">
      <c r="A17" s="82">
        <f>Q4</f>
        <v/>
      </c>
      <c r="B17" s="26" t="n"/>
      <c r="C17" s="82">
        <f>T4</f>
        <v/>
      </c>
      <c r="D17" s="147" t="n"/>
      <c r="E17" s="82">
        <f>V4</f>
        <v/>
      </c>
      <c r="F17" s="148" t="n"/>
      <c r="G17" s="117" t="n"/>
      <c r="H17" s="82">
        <f>A1&amp;" "&amp;A17&amp;"/jornada"</f>
        <v/>
      </c>
      <c r="I17" s="148" t="n"/>
      <c r="K17" s="166">
        <f>IFERROR(1/W4,0)</f>
        <v/>
      </c>
    </row>
    <row r="18" ht="15" customFormat="1" customHeight="1" s="28" thickTop="1">
      <c r="A18" s="85" t="n"/>
      <c r="B18" s="149" t="n"/>
      <c r="C18" s="149" t="n"/>
      <c r="D18" s="149" t="n"/>
      <c r="E18" s="149" t="n"/>
      <c r="F18" s="149" t="n"/>
      <c r="G18" s="149" t="n"/>
      <c r="H18" s="149" t="n"/>
      <c r="I18" s="149" t="n"/>
      <c r="J18" s="149" t="n"/>
      <c r="K18" s="149" t="n"/>
    </row>
    <row r="19" ht="15" customFormat="1" customHeight="1" s="29">
      <c r="A19" s="30" t="inlineStr">
        <is>
          <t>1.</t>
        </is>
      </c>
      <c r="B19" s="31" t="n"/>
      <c r="C19" s="87" t="inlineStr">
        <is>
          <t>MATERIALES</t>
        </is>
      </c>
      <c r="D19" s="150" t="n"/>
      <c r="E19" s="89" t="n"/>
      <c r="F19" s="151" t="n"/>
      <c r="G19" s="151" t="n"/>
      <c r="H19" s="151" t="n"/>
      <c r="I19" s="151" t="n"/>
      <c r="J19" s="151" t="n"/>
      <c r="K19" s="152" t="n"/>
    </row>
    <row r="20" ht="15" customFormat="1" customHeight="1" s="62">
      <c r="A20" s="124" t="inlineStr">
        <is>
          <t>Descripción</t>
        </is>
      </c>
      <c r="B20" s="153" t="n"/>
      <c r="C20" s="153" t="n"/>
      <c r="D20" s="153" t="n"/>
      <c r="E20" s="32" t="inlineStr">
        <is>
          <t>Und</t>
        </is>
      </c>
      <c r="F20" s="32" t="inlineStr">
        <is>
          <t>Cant.</t>
        </is>
      </c>
      <c r="G20" s="32" t="n"/>
      <c r="H20" s="32" t="inlineStr">
        <is>
          <t>Factor de Desperdicio</t>
        </is>
      </c>
      <c r="I20" s="32" t="inlineStr">
        <is>
          <t>Vr Unit.</t>
        </is>
      </c>
      <c r="J20" s="32" t="n"/>
      <c r="K20" s="33" t="inlineStr">
        <is>
          <t>Subtotal</t>
        </is>
      </c>
    </row>
    <row r="21" ht="15" customFormat="1" customHeight="1" s="34">
      <c r="A21" s="92" t="n"/>
      <c r="B21" s="154" t="n"/>
      <c r="C21" s="154" t="n"/>
      <c r="D21" s="154" t="n"/>
      <c r="E21" s="35" t="n"/>
      <c r="F21" s="36" t="n"/>
      <c r="G21" s="36" t="n"/>
      <c r="H21" s="36" t="n"/>
      <c r="I21" s="37" t="n"/>
      <c r="J21" s="37" t="n"/>
      <c r="K21" s="38">
        <f>F21*IF(H21=0,1,H21)*I21</f>
        <v/>
      </c>
    </row>
    <row r="22" ht="15" customFormat="1" customHeight="1" s="62">
      <c r="A22" s="92" t="n"/>
      <c r="B22" s="154" t="n"/>
      <c r="C22" s="154" t="n"/>
      <c r="D22" s="154" t="n"/>
      <c r="E22" s="35" t="n"/>
      <c r="F22" s="36" t="n"/>
      <c r="G22" s="36" t="n"/>
      <c r="H22" s="36" t="n"/>
      <c r="I22" s="37" t="n"/>
      <c r="J22" s="37" t="n"/>
      <c r="K22" s="38">
        <f>F22*IF(H22=0,1,H22)*I22</f>
        <v/>
      </c>
    </row>
    <row r="23" ht="15" customFormat="1" customHeight="1" s="62">
      <c r="A23" s="92" t="n"/>
      <c r="B23" s="154" t="n"/>
      <c r="C23" s="154" t="n"/>
      <c r="D23" s="154" t="n"/>
      <c r="E23" s="35" t="n"/>
      <c r="F23" s="36" t="n"/>
      <c r="G23" s="36" t="n"/>
      <c r="H23" s="36" t="n"/>
      <c r="I23" s="37" t="n"/>
      <c r="J23" s="37" t="n"/>
      <c r="K23" s="38">
        <f>F23*IF(H23=0,1,H23)*I23</f>
        <v/>
      </c>
    </row>
    <row r="24" ht="15" customFormat="1" customHeight="1" s="62">
      <c r="A24" s="92" t="n"/>
      <c r="B24" s="154" t="n"/>
      <c r="C24" s="154" t="n"/>
      <c r="D24" s="154" t="n"/>
      <c r="E24" s="35" t="n"/>
      <c r="F24" s="36" t="n"/>
      <c r="G24" s="36" t="n"/>
      <c r="H24" s="36" t="n"/>
      <c r="I24" s="37" t="n"/>
      <c r="J24" s="37" t="n"/>
      <c r="K24" s="38">
        <f>F24*IF(H24=0,1,H24)*I24</f>
        <v/>
      </c>
    </row>
    <row r="25" ht="15" customFormat="1" customHeight="1" s="62">
      <c r="A25" s="92" t="n"/>
      <c r="B25" s="154" t="n"/>
      <c r="C25" s="154" t="n"/>
      <c r="D25" s="154" t="n"/>
      <c r="E25" s="35" t="n"/>
      <c r="F25" s="36" t="n"/>
      <c r="G25" s="36" t="n"/>
      <c r="H25" s="36" t="n"/>
      <c r="I25" s="37" t="n"/>
      <c r="J25" s="37" t="n"/>
      <c r="K25" s="38">
        <f>F25*IF(H25=0,1,H25)*I25</f>
        <v/>
      </c>
    </row>
    <row r="26" ht="15" customFormat="1" customHeight="1" s="62">
      <c r="A26" s="92" t="n"/>
      <c r="B26" s="154" t="n"/>
      <c r="C26" s="154" t="n"/>
      <c r="D26" s="154" t="n"/>
      <c r="E26" s="35" t="n"/>
      <c r="F26" s="36" t="n"/>
      <c r="G26" s="36" t="n"/>
      <c r="H26" s="36" t="n"/>
      <c r="I26" s="39" t="n"/>
      <c r="J26" s="39" t="n"/>
      <c r="K26" s="38">
        <f>F26*IF(H26=0,1,H26)*I26</f>
        <v/>
      </c>
    </row>
    <row r="27" ht="15" customFormat="1" customHeight="1" s="62">
      <c r="A27" s="92" t="n"/>
      <c r="B27" s="154" t="n"/>
      <c r="C27" s="154" t="n"/>
      <c r="D27" s="154" t="n"/>
      <c r="E27" s="35" t="n"/>
      <c r="F27" s="36" t="n"/>
      <c r="G27" s="36" t="n"/>
      <c r="H27" s="36" t="n"/>
      <c r="I27" s="37" t="n"/>
      <c r="J27" s="37" t="n"/>
      <c r="K27" s="38">
        <f>F27*IF(H27=0,1,H27)*I27</f>
        <v/>
      </c>
    </row>
    <row r="28" ht="15.6" customHeight="1">
      <c r="A28" s="92" t="n"/>
      <c r="B28" s="154" t="n"/>
      <c r="C28" s="154" t="n"/>
      <c r="D28" s="154" t="n"/>
      <c r="E28" s="35" t="n"/>
      <c r="F28" s="36" t="n"/>
      <c r="G28" s="36" t="n"/>
      <c r="H28" s="36" t="n"/>
      <c r="I28" s="37" t="n"/>
      <c r="J28" s="37" t="n"/>
      <c r="K28" s="38">
        <f>F28*IF(H28=0,1,H28)*I28</f>
        <v/>
      </c>
    </row>
    <row r="29" ht="15" customFormat="1" customHeight="1" s="62">
      <c r="A29" s="94" t="n"/>
      <c r="B29" s="155" t="n"/>
      <c r="C29" s="155" t="n"/>
      <c r="D29" s="155" t="n"/>
      <c r="E29" s="96" t="inlineStr">
        <is>
          <t>SUBTOTAL MATERIALES</t>
        </is>
      </c>
      <c r="F29" s="155" t="n"/>
      <c r="G29" s="155" t="n"/>
      <c r="H29" s="155" t="n"/>
      <c r="I29" s="155" t="n"/>
      <c r="J29" s="155" t="n"/>
      <c r="K29" s="40">
        <f>SUM(K21:K28)</f>
        <v/>
      </c>
    </row>
    <row r="30" ht="15" customFormat="1" customHeight="1" s="62">
      <c r="A30" s="41" t="inlineStr">
        <is>
          <t>2.</t>
        </is>
      </c>
      <c r="B30" s="42" t="n"/>
      <c r="C30" s="137" t="inlineStr">
        <is>
          <t>MANO DE OBRA</t>
        </is>
      </c>
      <c r="D30" s="43" t="n"/>
      <c r="E30" s="97" t="n"/>
      <c r="F30" s="156" t="n"/>
      <c r="G30" s="156" t="n"/>
      <c r="H30" s="156" t="n"/>
      <c r="I30" s="156" t="n"/>
      <c r="J30" s="156" t="n"/>
      <c r="K30" s="157" t="n"/>
    </row>
    <row r="31" ht="15" customFormat="1" customHeight="1" s="62">
      <c r="A31" s="127" t="inlineStr">
        <is>
          <t>Descripción</t>
        </is>
      </c>
      <c r="B31" s="154" t="n"/>
      <c r="C31" s="154" t="n"/>
      <c r="D31" s="154" t="n"/>
      <c r="E31" s="126" t="inlineStr">
        <is>
          <t>Und</t>
        </is>
      </c>
      <c r="F31" s="126" t="inlineStr">
        <is>
          <t>Cant.</t>
        </is>
      </c>
      <c r="G31" s="126" t="n"/>
      <c r="H31" s="126" t="inlineStr">
        <is>
          <t>Rendimiento</t>
        </is>
      </c>
      <c r="I31" s="126" t="inlineStr">
        <is>
          <t>Vr Unit.</t>
        </is>
      </c>
      <c r="J31" s="126" t="n"/>
      <c r="K31" s="45" t="inlineStr">
        <is>
          <t>Subtotal</t>
        </is>
      </c>
    </row>
    <row r="32" ht="15" customFormat="1" customHeight="1" s="62">
      <c r="A32" s="100" t="n"/>
      <c r="B32" s="154" t="n"/>
      <c r="C32" s="154" t="n"/>
      <c r="D32" s="154" t="n"/>
      <c r="E32" s="35" t="n"/>
      <c r="F32" s="46" t="n"/>
      <c r="G32" s="46" t="n"/>
      <c r="H32" s="46" t="n"/>
      <c r="I32" s="37" t="n"/>
      <c r="J32" s="37" t="n"/>
      <c r="K32" s="47">
        <f>F32*IF(H32=0,1,H32)*I32</f>
        <v/>
      </c>
    </row>
    <row r="33" ht="15" customFormat="1" customHeight="1" s="62">
      <c r="A33" s="100" t="n"/>
      <c r="B33" s="154" t="n"/>
      <c r="C33" s="154" t="n"/>
      <c r="D33" s="154" t="n"/>
      <c r="E33" s="35" t="n"/>
      <c r="F33" s="46" t="n"/>
      <c r="G33" s="46" t="n"/>
      <c r="H33" s="46" t="n"/>
      <c r="I33" s="37" t="n"/>
      <c r="J33" s="37" t="n"/>
      <c r="K33" s="47">
        <f>F33*IF(H33=0,1,H33)*I33</f>
        <v/>
      </c>
    </row>
    <row r="34" ht="15" customFormat="1" customHeight="1" s="62">
      <c r="A34" s="100" t="n"/>
      <c r="B34" s="154" t="n"/>
      <c r="C34" s="154" t="n"/>
      <c r="D34" s="154" t="n"/>
      <c r="E34" s="35" t="n"/>
      <c r="F34" s="46" t="n"/>
      <c r="G34" s="46" t="n"/>
      <c r="H34" s="46" t="n"/>
      <c r="I34" s="37" t="n"/>
      <c r="J34" s="37" t="n"/>
      <c r="K34" s="47">
        <f>F34*IF(H34=0,1,H34)*I34</f>
        <v/>
      </c>
    </row>
    <row r="35" ht="15" customFormat="1" customHeight="1" s="62">
      <c r="A35" s="100" t="n"/>
      <c r="B35" s="154" t="n"/>
      <c r="C35" s="154" t="n"/>
      <c r="D35" s="154" t="n"/>
      <c r="E35" s="35" t="n"/>
      <c r="F35" s="46" t="n"/>
      <c r="G35" s="46" t="n"/>
      <c r="H35" s="46" t="n"/>
      <c r="I35" s="37" t="n"/>
      <c r="J35" s="37" t="n"/>
      <c r="K35" s="47">
        <f>F35*IF(H35=0,1,H35)*I35</f>
        <v/>
      </c>
    </row>
    <row r="36" ht="15" customFormat="1" customHeight="1" s="62">
      <c r="A36" s="100" t="n"/>
      <c r="B36" s="154" t="n"/>
      <c r="C36" s="154" t="n"/>
      <c r="D36" s="154" t="n"/>
      <c r="E36" s="35" t="n"/>
      <c r="F36" s="46" t="n"/>
      <c r="G36" s="46" t="n"/>
      <c r="H36" s="46" t="n"/>
      <c r="I36" s="37" t="n"/>
      <c r="J36" s="37" t="n"/>
      <c r="K36" s="47">
        <f>F36*IF(H36=0,1,H36)*I36</f>
        <v/>
      </c>
    </row>
    <row r="37" ht="15" customFormat="1" customHeight="1" s="62">
      <c r="A37" s="100" t="n"/>
      <c r="B37" s="154" t="n"/>
      <c r="C37" s="154" t="n"/>
      <c r="D37" s="154" t="n"/>
      <c r="E37" s="35" t="n"/>
      <c r="F37" s="46" t="n"/>
      <c r="G37" s="46" t="n"/>
      <c r="H37" s="46" t="n"/>
      <c r="I37" s="39" t="n"/>
      <c r="J37" s="39" t="n"/>
      <c r="K37" s="47">
        <f>F37*IF(H37=0,1,H37)*I37</f>
        <v/>
      </c>
    </row>
    <row r="38" ht="15" customFormat="1" customHeight="1" s="62">
      <c r="A38" s="100" t="n"/>
      <c r="B38" s="154" t="n"/>
      <c r="C38" s="154" t="n"/>
      <c r="D38" s="154" t="n"/>
      <c r="E38" s="35" t="n"/>
      <c r="F38" s="46" t="n"/>
      <c r="G38" s="46" t="n"/>
      <c r="H38" s="46" t="n"/>
      <c r="I38" s="37" t="n"/>
      <c r="J38" s="37" t="n"/>
      <c r="K38" s="47">
        <f>F38*IF(H38=0,1,H38)*I38</f>
        <v/>
      </c>
    </row>
    <row r="39" ht="15.6" customHeight="1">
      <c r="A39" s="100" t="n"/>
      <c r="B39" s="154" t="n"/>
      <c r="C39" s="154" t="n"/>
      <c r="D39" s="154" t="n"/>
      <c r="E39" s="35" t="n"/>
      <c r="F39" s="46" t="n"/>
      <c r="G39" s="46" t="n"/>
      <c r="H39" s="46" t="n"/>
      <c r="I39" s="37" t="n"/>
      <c r="J39" s="37" t="n"/>
      <c r="K39" s="47">
        <f>F39*IF(H39=0,1,H39)*I39</f>
        <v/>
      </c>
    </row>
    <row r="40" ht="15" customFormat="1" customHeight="1" s="62">
      <c r="A40" s="101" t="n"/>
      <c r="B40" s="154" t="n"/>
      <c r="C40" s="154" t="n"/>
      <c r="D40" s="154" t="n"/>
      <c r="E40" s="96" t="inlineStr">
        <is>
          <t>SUBTOTAL MANO DE OBRA</t>
        </is>
      </c>
      <c r="F40" s="155" t="n"/>
      <c r="G40" s="155" t="n"/>
      <c r="H40" s="155" t="n"/>
      <c r="I40" s="155" t="n"/>
      <c r="J40" s="155" t="n"/>
      <c r="K40" s="48">
        <f>SUM(K32:K39)</f>
        <v/>
      </c>
    </row>
    <row r="41" ht="15" customFormat="1" customHeight="1" s="62">
      <c r="A41" s="49" t="inlineStr">
        <is>
          <t>3.</t>
        </is>
      </c>
      <c r="B41" s="50" t="n"/>
      <c r="C41" s="128" t="inlineStr">
        <is>
          <t>EQUIPOS Y HERRAMIENTAS</t>
        </is>
      </c>
      <c r="D41" s="51" t="n"/>
      <c r="E41" s="103" t="n"/>
      <c r="F41" s="154" t="n"/>
      <c r="G41" s="154" t="n"/>
      <c r="H41" s="154" t="n"/>
      <c r="I41" s="154" t="n"/>
      <c r="J41" s="154" t="n"/>
      <c r="K41" s="158" t="n"/>
    </row>
    <row r="42" ht="15.75" customFormat="1" customHeight="1" s="62">
      <c r="A42" s="127" t="inlineStr">
        <is>
          <t>Descripción</t>
        </is>
      </c>
      <c r="B42" s="154" t="n"/>
      <c r="C42" s="154" t="n"/>
      <c r="D42" s="154" t="n"/>
      <c r="E42" s="126" t="inlineStr">
        <is>
          <t>Und</t>
        </is>
      </c>
      <c r="F42" s="126" t="inlineStr">
        <is>
          <t>Cant.</t>
        </is>
      </c>
      <c r="G42" s="126" t="n"/>
      <c r="H42" s="126" t="inlineStr">
        <is>
          <t>Rendimiento</t>
        </is>
      </c>
      <c r="I42" s="126" t="inlineStr">
        <is>
          <t>Vr Unit.</t>
        </is>
      </c>
      <c r="J42" s="126" t="n"/>
      <c r="K42" s="45" t="inlineStr">
        <is>
          <t>Subtotal</t>
        </is>
      </c>
    </row>
    <row r="43" ht="15" customFormat="1" customHeight="1" s="62">
      <c r="A43" s="100" t="n"/>
      <c r="B43" s="154" t="n"/>
      <c r="C43" s="154" t="n"/>
      <c r="D43" s="154" t="n"/>
      <c r="E43" s="35" t="n"/>
      <c r="F43" s="46" t="n"/>
      <c r="G43" s="46" t="n"/>
      <c r="H43" s="46" t="n"/>
      <c r="I43" s="37" t="n"/>
      <c r="J43" s="37" t="n"/>
      <c r="K43" s="47">
        <f>F43*IF(H43=0,1,H43)*I43</f>
        <v/>
      </c>
    </row>
    <row r="44" ht="15" customFormat="1" customHeight="1" s="62">
      <c r="A44" s="100" t="n"/>
      <c r="B44" s="154" t="n"/>
      <c r="C44" s="154" t="n"/>
      <c r="D44" s="154" t="n"/>
      <c r="E44" s="35" t="n"/>
      <c r="F44" s="46" t="n"/>
      <c r="G44" s="46" t="n"/>
      <c r="H44" s="46" t="n"/>
      <c r="I44" s="37" t="n"/>
      <c r="J44" s="37" t="n"/>
      <c r="K44" s="47">
        <f>F44*IF(H44=0,1,H44)*I44</f>
        <v/>
      </c>
    </row>
    <row r="45" ht="15" customFormat="1" customHeight="1" s="62">
      <c r="A45" s="100" t="n"/>
      <c r="B45" s="154" t="n"/>
      <c r="C45" s="154" t="n"/>
      <c r="D45" s="154" t="n"/>
      <c r="E45" s="35" t="n"/>
      <c r="F45" s="46" t="n"/>
      <c r="G45" s="46" t="n"/>
      <c r="H45" s="46" t="n"/>
      <c r="I45" s="37" t="n"/>
      <c r="J45" s="37" t="n"/>
      <c r="K45" s="47">
        <f>F45*IF(H45=0,1,H45)*I45</f>
        <v/>
      </c>
    </row>
    <row r="46" ht="15" customFormat="1" customHeight="1" s="62">
      <c r="A46" s="100" t="n"/>
      <c r="B46" s="154" t="n"/>
      <c r="C46" s="154" t="n"/>
      <c r="D46" s="154" t="n"/>
      <c r="E46" s="35" t="n"/>
      <c r="F46" s="46" t="n"/>
      <c r="G46" s="46" t="n"/>
      <c r="H46" s="46" t="n"/>
      <c r="I46" s="37" t="n"/>
      <c r="J46" s="37" t="n"/>
      <c r="K46" s="47">
        <f>F46*IF(H46=0,1,H46)*I46</f>
        <v/>
      </c>
    </row>
    <row r="47" ht="15" customFormat="1" customHeight="1" s="62">
      <c r="A47" s="100" t="n"/>
      <c r="B47" s="154" t="n"/>
      <c r="C47" s="154" t="n"/>
      <c r="D47" s="154" t="n"/>
      <c r="E47" s="35" t="n"/>
      <c r="F47" s="46" t="n"/>
      <c r="G47" s="46" t="n"/>
      <c r="H47" s="46" t="n"/>
      <c r="I47" s="37" t="n"/>
      <c r="J47" s="37" t="n"/>
      <c r="K47" s="47">
        <f>F47*IF(H47=0,1,H47)*I47</f>
        <v/>
      </c>
    </row>
    <row r="48" ht="15" customFormat="1" customHeight="1" s="62">
      <c r="A48" s="100" t="n"/>
      <c r="B48" s="154" t="n"/>
      <c r="C48" s="154" t="n"/>
      <c r="D48" s="154" t="n"/>
      <c r="E48" s="35" t="n"/>
      <c r="F48" s="46" t="n"/>
      <c r="G48" s="46" t="n"/>
      <c r="H48" s="46" t="n"/>
      <c r="I48" s="37" t="n"/>
      <c r="J48" s="37" t="n"/>
      <c r="K48" s="47">
        <f>F48*IF(H48=0,1,H48)*I48</f>
        <v/>
      </c>
    </row>
    <row r="49" ht="15" customFormat="1" customHeight="1" s="62">
      <c r="A49" s="100" t="n"/>
      <c r="B49" s="154" t="n"/>
      <c r="C49" s="154" t="n"/>
      <c r="D49" s="154" t="n"/>
      <c r="E49" s="35" t="n"/>
      <c r="F49" s="46" t="n"/>
      <c r="G49" s="46" t="n"/>
      <c r="H49" s="46" t="n"/>
      <c r="I49" s="37" t="n"/>
      <c r="J49" s="37" t="n"/>
      <c r="K49" s="47">
        <f>F49*IF(H49=0,1,H49)*I49</f>
        <v/>
      </c>
    </row>
    <row r="50" ht="15.6" customHeight="1">
      <c r="A50" s="100" t="n"/>
      <c r="B50" s="154" t="n"/>
      <c r="C50" s="154" t="n"/>
      <c r="D50" s="154" t="n"/>
      <c r="E50" s="35" t="n"/>
      <c r="F50" s="46" t="n"/>
      <c r="G50" s="46" t="n"/>
      <c r="H50" s="46" t="n"/>
      <c r="I50" s="37" t="n"/>
      <c r="J50" s="37" t="n"/>
      <c r="K50" s="47">
        <f>F50*IF(H50=0,1,H50)*I50</f>
        <v/>
      </c>
    </row>
    <row r="51" ht="15" customFormat="1" customHeight="1" s="62">
      <c r="A51" s="101" t="n"/>
      <c r="B51" s="154" t="n"/>
      <c r="C51" s="154" t="n"/>
      <c r="D51" s="154" t="n"/>
      <c r="E51" s="102" t="inlineStr">
        <is>
          <t>SUBTOTAL EQUIPOS Y HERRAMIENTAS</t>
        </is>
      </c>
      <c r="F51" s="154" t="n"/>
      <c r="G51" s="154" t="n"/>
      <c r="H51" s="154" t="n"/>
      <c r="I51" s="154" t="n"/>
      <c r="J51" s="154" t="n"/>
      <c r="K51" s="48">
        <f>SUM(K43:K50)</f>
        <v/>
      </c>
    </row>
    <row r="52" ht="24.75" customFormat="1" customHeight="1" s="62">
      <c r="A52" s="105" t="inlineStr">
        <is>
          <t xml:space="preserve">                Materiales</t>
        </is>
      </c>
      <c r="B52" s="154" t="n"/>
      <c r="C52" s="154" t="n"/>
      <c r="D52" s="154" t="n"/>
      <c r="E52" s="154" t="n"/>
      <c r="F52" s="154" t="n"/>
      <c r="G52" s="154" t="n"/>
      <c r="H52" s="154" t="n"/>
      <c r="I52" s="154" t="n"/>
      <c r="J52" s="154" t="n"/>
      <c r="K52" s="52">
        <f>K29</f>
        <v/>
      </c>
    </row>
    <row r="53" ht="24.75" customFormat="1" customHeight="1" s="62">
      <c r="A53" s="105" t="inlineStr">
        <is>
          <t xml:space="preserve">                Mano de Obra</t>
        </is>
      </c>
      <c r="B53" s="154" t="n"/>
      <c r="C53" s="154" t="n"/>
      <c r="D53" s="154" t="n"/>
      <c r="E53" s="154" t="n"/>
      <c r="F53" s="154" t="n"/>
      <c r="G53" s="154" t="n"/>
      <c r="H53" s="154" t="n"/>
      <c r="I53" s="154" t="n"/>
      <c r="J53" s="154" t="n"/>
      <c r="K53" s="52">
        <f>K40</f>
        <v/>
      </c>
    </row>
    <row r="54" ht="24.75" customFormat="1" customHeight="1" s="62">
      <c r="A54" s="105" t="inlineStr">
        <is>
          <t xml:space="preserve">                Equipos y herramientas</t>
        </is>
      </c>
      <c r="B54" s="154" t="n"/>
      <c r="C54" s="154" t="n"/>
      <c r="D54" s="154" t="n"/>
      <c r="E54" s="154" t="n"/>
      <c r="F54" s="154" t="n"/>
      <c r="G54" s="154" t="n"/>
      <c r="H54" s="154" t="n"/>
      <c r="I54" s="154" t="n"/>
      <c r="J54" s="154" t="n"/>
      <c r="K54" s="52">
        <f>K51</f>
        <v/>
      </c>
    </row>
    <row r="55" ht="19.95" customFormat="1" customHeight="1" s="62">
      <c r="A55" s="106" t="inlineStr">
        <is>
          <t>TOTAL DIRECTO UNITARIO</t>
        </is>
      </c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53">
        <f>SUM(K52:K54)</f>
        <v/>
      </c>
    </row>
    <row r="56" ht="4.5" customFormat="1" customHeight="1" s="62">
      <c r="A56" s="54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6" t="n"/>
    </row>
    <row r="57" ht="15.75" customFormat="1" customHeight="1" s="62">
      <c r="A57" s="135" t="inlineStr">
        <is>
          <t>ELABORADO POR</t>
        </is>
      </c>
      <c r="B57" s="160" t="n"/>
      <c r="C57" s="160" t="n"/>
      <c r="D57" s="160" t="n"/>
      <c r="E57" s="160" t="n"/>
      <c r="F57" s="109" t="inlineStr">
        <is>
          <t>Vo. Bo. INTERVENTORÍA:</t>
        </is>
      </c>
      <c r="G57" s="161" t="n"/>
      <c r="H57" s="161" t="n"/>
      <c r="I57" s="161" t="n"/>
      <c r="J57" s="161" t="n"/>
      <c r="K57" s="162" t="n"/>
    </row>
    <row r="58" ht="42" customFormat="1" customHeight="1" s="62">
      <c r="A58" s="57" t="inlineStr">
        <is>
          <t>FIRMA:</t>
        </is>
      </c>
      <c r="B58" s="111" t="n"/>
      <c r="C58" s="163" t="n"/>
      <c r="D58" s="163" t="n"/>
      <c r="E58" s="163" t="n"/>
      <c r="F58" s="134" t="inlineStr">
        <is>
          <t>FIRMA:</t>
        </is>
      </c>
      <c r="G58" s="113" t="n"/>
      <c r="H58" s="163" t="n"/>
      <c r="I58" s="163" t="n"/>
      <c r="J58" s="163" t="n"/>
      <c r="K58" s="164" t="n"/>
    </row>
    <row r="59" ht="24.75" customFormat="1" customHeight="1" s="62">
      <c r="A59" s="57" t="inlineStr">
        <is>
          <t>NOMBRE:</t>
        </is>
      </c>
      <c r="B59" s="111" t="n"/>
      <c r="C59" s="163" t="n"/>
      <c r="D59" s="163" t="n"/>
      <c r="E59" s="163" t="n"/>
      <c r="F59" s="134" t="inlineStr">
        <is>
          <t>NOMBRE:</t>
        </is>
      </c>
      <c r="G59" s="113" t="n"/>
      <c r="H59" s="163" t="n"/>
      <c r="I59" s="163" t="n"/>
      <c r="J59" s="163" t="n"/>
      <c r="K59" s="164" t="n"/>
    </row>
    <row r="60" ht="24.75" customFormat="1" customHeight="1" s="62">
      <c r="A60" s="57" t="inlineStr">
        <is>
          <t>CARGO:</t>
        </is>
      </c>
      <c r="B60" s="111" t="n"/>
      <c r="C60" s="163" t="n"/>
      <c r="D60" s="163" t="n"/>
      <c r="E60" s="163" t="n"/>
      <c r="F60" s="134" t="inlineStr">
        <is>
          <t>CARGO:</t>
        </is>
      </c>
      <c r="G60" s="113" t="n"/>
      <c r="H60" s="163" t="n"/>
      <c r="I60" s="163" t="n"/>
      <c r="J60" s="163" t="n"/>
      <c r="K60" s="164" t="n"/>
    </row>
    <row r="61" ht="15" customFormat="1" customHeight="1" s="62">
      <c r="A61" s="59" t="inlineStr">
        <is>
          <t>REV. 10/09/2026</t>
        </is>
      </c>
      <c r="B61" s="114" t="n"/>
      <c r="C61" s="138" t="n"/>
      <c r="D61" s="138" t="n"/>
      <c r="E61" s="138" t="n"/>
      <c r="F61" s="138" t="n"/>
      <c r="G61" s="138" t="n"/>
      <c r="H61" s="138" t="n"/>
      <c r="I61" s="138" t="n"/>
      <c r="J61" s="138" t="n"/>
      <c r="K61" s="60">
        <f>K4</f>
        <v/>
      </c>
    </row>
    <row r="62" ht="15" customFormat="1" customHeight="1" s="62"/>
  </sheetData>
  <mergeCells count="70">
    <mergeCell ref="A15:K15"/>
    <mergeCell ref="A20:D20"/>
    <mergeCell ref="A51:D51"/>
    <mergeCell ref="A37:D37"/>
    <mergeCell ref="A44:D44"/>
    <mergeCell ref="A50:D50"/>
    <mergeCell ref="D16:D17"/>
    <mergeCell ref="A24:D24"/>
    <mergeCell ref="E41:K41"/>
    <mergeCell ref="A46:D46"/>
    <mergeCell ref="A18:K18"/>
    <mergeCell ref="A40:D40"/>
    <mergeCell ref="A34:D34"/>
    <mergeCell ref="G58:K58"/>
    <mergeCell ref="A42:D42"/>
    <mergeCell ref="A27:D27"/>
    <mergeCell ref="A54:J54"/>
    <mergeCell ref="C19:D19"/>
    <mergeCell ref="I13:J13"/>
    <mergeCell ref="A35:D35"/>
    <mergeCell ref="A9:K9"/>
    <mergeCell ref="A22:D22"/>
    <mergeCell ref="A48:D48"/>
    <mergeCell ref="A11:K11"/>
    <mergeCell ref="A28:D28"/>
    <mergeCell ref="A57:E57"/>
    <mergeCell ref="E29:J29"/>
    <mergeCell ref="A45:D45"/>
    <mergeCell ref="A52:J52"/>
    <mergeCell ref="E5:H5"/>
    <mergeCell ref="H17:I17"/>
    <mergeCell ref="A47:D47"/>
    <mergeCell ref="C13:E13"/>
    <mergeCell ref="E4:H4"/>
    <mergeCell ref="G59:K59"/>
    <mergeCell ref="A39:D39"/>
    <mergeCell ref="E16:F16"/>
    <mergeCell ref="A26:D26"/>
    <mergeCell ref="A10:K10"/>
    <mergeCell ref="B59:E59"/>
    <mergeCell ref="A49:D49"/>
    <mergeCell ref="I3:K3"/>
    <mergeCell ref="C12:K12"/>
    <mergeCell ref="B58:E58"/>
    <mergeCell ref="A32:D32"/>
    <mergeCell ref="B60:E60"/>
    <mergeCell ref="A29:D29"/>
    <mergeCell ref="A38:D38"/>
    <mergeCell ref="H16:I16"/>
    <mergeCell ref="E19:K19"/>
    <mergeCell ref="C14:E14"/>
    <mergeCell ref="A53:J53"/>
    <mergeCell ref="A21:D21"/>
    <mergeCell ref="A43:D43"/>
    <mergeCell ref="A55:J55"/>
    <mergeCell ref="A23:D23"/>
    <mergeCell ref="G60:K60"/>
    <mergeCell ref="D1:K1"/>
    <mergeCell ref="A31:D31"/>
    <mergeCell ref="A36:D36"/>
    <mergeCell ref="E17:F17"/>
    <mergeCell ref="B61:J61"/>
    <mergeCell ref="E30:K30"/>
    <mergeCell ref="A33:D33"/>
    <mergeCell ref="E40:J40"/>
    <mergeCell ref="J16:J17"/>
    <mergeCell ref="E51:J51"/>
    <mergeCell ref="A25:D25"/>
    <mergeCell ref="I14:J14"/>
    <mergeCell ref="F57:K57"/>
  </mergeCells>
  <printOptions horizontalCentered="1" verticalCentered="1"/>
  <pageMargins left="0.747916666666667" right="0.747916666666667" top="0.9840277777777779" bottom="0.9840277777777779" header="0.511811023622047" footer="0.511811023622047"/>
  <pageSetup orientation="landscape" fitToHeight="0" useFirstPageNumber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2026-10-02T00:43:23Z</dcterms:modified>
  <cp:revision>1</cp:revision>
  <cp:lastPrinted>2026-09-14T01:27:33Z</cp:lastPrinted>
</cp:coreProperties>
</file>