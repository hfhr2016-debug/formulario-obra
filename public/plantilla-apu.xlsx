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2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2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56"/>
  <sheetViews>
    <sheetView zoomScale="72" zoomScaleNormal="72" workbookViewId="0">
      <selection activeCell="L9" sqref="L9"/>
    </sheetView>
  </sheetViews>
  <sheetFormatPr baseColWidth="10" defaultColWidth="8.88671875" defaultRowHeight="14.4"/>
  <cols>
    <col width="20.77734375" customWidth="1" style="1223" min="1" max="1"/>
    <col width="2.77734375" customWidth="1" style="1223" min="2" max="2"/>
    <col width="50.77734375" customWidth="1" style="1223" min="3" max="3"/>
    <col width="2.77734375" customWidth="1" style="1223" min="4" max="4"/>
    <col width="26.33203125" customWidth="1" style="1223" min="5" max="6"/>
    <col width="2.77734375" customWidth="1" style="1223" min="7" max="7"/>
    <col width="26.33203125" customWidth="1" style="1223" min="8" max="8"/>
    <col width="2.77734375" customWidth="1" style="1223" min="9" max="9"/>
    <col width="26" customWidth="1" style="1223" min="10" max="10"/>
    <col width="4.77734375" customWidth="1" style="1223" min="14" max="14"/>
  </cols>
  <sheetData>
    <row r="1" ht="40.05" customHeight="1" s="1223">
      <c r="A1" s="1258" t="n"/>
      <c r="B1" s="1258" t="n"/>
      <c r="C1" s="1276" t="n"/>
      <c r="D1" s="1258" t="n"/>
      <c r="E1" s="532" t="inlineStr">
        <is>
          <t>ANÁLISIS DE PRECIOS UNITARIOS</t>
        </is>
      </c>
    </row>
    <row r="2" ht="4.95" customHeight="1" s="1223">
      <c r="A2" s="1258" t="n"/>
      <c r="B2" s="1258" t="n"/>
      <c r="C2" s="1276" t="n"/>
      <c r="D2" s="1258" t="n"/>
      <c r="E2" s="545" t="n"/>
      <c r="J2" s="546" t="n"/>
    </row>
    <row r="3" ht="15" customHeight="1" s="1223">
      <c r="A3" s="1258" t="n"/>
      <c r="B3" s="1258" t="n"/>
      <c r="C3" s="1276" t="n"/>
      <c r="D3" s="1258" t="n"/>
      <c r="E3" s="256" t="n"/>
      <c r="F3" s="256" t="n"/>
      <c r="G3" s="256" t="n"/>
      <c r="H3" s="549" t="inlineStr">
        <is>
          <t>CONTROL DOCUMENTAL</t>
        </is>
      </c>
      <c r="I3" s="550" t="n"/>
      <c r="J3" s="551" t="n"/>
    </row>
    <row r="4" ht="15" customHeight="1" s="1223">
      <c r="A4" s="1258" t="n"/>
      <c r="B4" s="1258" t="n"/>
      <c r="C4" s="1276" t="n"/>
      <c r="D4" s="1258" t="n"/>
      <c r="E4" s="256" t="n"/>
      <c r="F4" s="256" t="n"/>
      <c r="G4" s="256" t="n"/>
      <c r="H4" s="9" t="inlineStr">
        <is>
          <t>Código</t>
        </is>
      </c>
      <c r="I4" s="9" t="n"/>
      <c r="J4" s="79" t="n"/>
      <c r="K4" s="115" t="n"/>
      <c r="M4" s="115" t="n"/>
      <c r="P4" s="115" t="inlineStr">
        <is>
          <t>m2</t>
        </is>
      </c>
      <c r="Q4" s="115" t="n"/>
      <c r="R4" s="116" t="n"/>
      <c r="S4" s="117" t="inlineStr">
        <is>
          <t>1 Topógrafo + 1 Cadenero 1o</t>
        </is>
      </c>
      <c r="T4" s="116" t="n"/>
      <c r="U4" s="587">
        <f>8&amp;"horas"</f>
        <v/>
      </c>
      <c r="V4" s="117" t="n">
        <v>100</v>
      </c>
      <c r="W4" s="117" t="inlineStr">
        <is>
          <t>m2/jornada</t>
        </is>
      </c>
    </row>
    <row r="5" ht="15" customHeight="1" s="1223">
      <c r="A5" s="1258" t="n"/>
      <c r="B5" s="1258" t="n"/>
      <c r="C5" s="1276" t="n"/>
      <c r="D5" s="1258" t="n"/>
      <c r="E5" s="537" t="inlineStr">
        <is>
          <t>REFORMAS Y REMODELACIONES</t>
        </is>
      </c>
      <c r="H5" s="120" t="inlineStr">
        <is>
          <t>Código</t>
        </is>
      </c>
      <c r="I5" s="764" t="n"/>
      <c r="J5" s="192" t="inlineStr">
        <is>
          <t>RYR-AP-001</t>
        </is>
      </c>
      <c r="K5" s="115" t="n"/>
      <c r="M5" s="115" t="n"/>
      <c r="P5" s="115" t="n"/>
      <c r="Q5" s="115" t="n"/>
      <c r="R5" s="116" t="n"/>
      <c r="S5" s="117" t="n"/>
      <c r="T5" s="116" t="n"/>
      <c r="U5" s="117" t="n"/>
      <c r="V5" s="117" t="n"/>
      <c r="W5" s="117" t="n"/>
    </row>
    <row r="6" ht="15" customHeight="1" s="1223">
      <c r="A6" s="1258" t="n"/>
      <c r="B6" s="1258" t="n"/>
      <c r="C6" s="1276" t="n"/>
      <c r="D6" s="1258" t="n"/>
      <c r="E6" s="282" t="inlineStr">
        <is>
          <t>DISEÑAMOS, RENOVAMOS Y CONSTRUIMOS ESPACIOS QUE INSPIRAN</t>
        </is>
      </c>
      <c r="F6" s="256" t="n"/>
      <c r="G6" s="256" t="n"/>
      <c r="H6" s="198" t="inlineStr">
        <is>
          <t>Versión</t>
        </is>
      </c>
      <c r="I6" s="745" t="n"/>
      <c r="J6" s="192" t="n">
        <v>1</v>
      </c>
      <c r="K6" s="115" t="n"/>
      <c r="M6" s="115" t="n"/>
    </row>
    <row r="7" ht="15" customHeight="1" s="1223">
      <c r="A7" s="1258" t="n"/>
      <c r="B7" s="1258" t="n"/>
      <c r="C7" s="1276" t="n"/>
      <c r="D7" s="1258" t="n"/>
      <c r="E7" s="191" t="n"/>
      <c r="F7" s="256" t="n"/>
      <c r="G7" s="256" t="n"/>
      <c r="H7" s="120" t="inlineStr">
        <is>
          <t>Fecha de Emisión</t>
        </is>
      </c>
      <c r="I7" s="764" t="n"/>
      <c r="J7" s="192" t="inlineStr">
        <is>
          <t>10/09/2026</t>
        </is>
      </c>
      <c r="K7" s="115" t="n"/>
      <c r="M7" s="115" t="n"/>
    </row>
    <row r="8" ht="15" customHeight="1" s="1223">
      <c r="A8" s="1258" t="n"/>
      <c r="B8" s="1258" t="n"/>
      <c r="C8" s="1276" t="n"/>
      <c r="D8" s="1258" t="n"/>
      <c r="E8" s="256" t="n"/>
      <c r="F8" s="256" t="n"/>
      <c r="G8" s="256" t="n"/>
      <c r="H8" s="120" t="inlineStr">
        <is>
          <t>Página</t>
        </is>
      </c>
      <c r="I8" s="764" t="n"/>
      <c r="J8" s="192" t="inlineStr">
        <is>
          <t>1 de 1</t>
        </is>
      </c>
      <c r="K8" s="115" t="n"/>
      <c r="M8" s="115" t="n"/>
    </row>
    <row r="9" ht="15" customHeight="1" s="1223">
      <c r="A9" s="256" t="n"/>
      <c r="B9" s="256" t="n"/>
      <c r="C9" s="256" t="n"/>
      <c r="D9" s="1272" t="n"/>
      <c r="E9" s="256" t="n"/>
      <c r="F9" s="1" t="n"/>
      <c r="G9" s="1" t="n"/>
      <c r="H9" s="2" t="n"/>
      <c r="I9" s="2" t="n"/>
      <c r="J9" s="2" t="n"/>
    </row>
    <row r="10" ht="25.05" customHeight="1" s="1223">
      <c r="A10" s="540" t="inlineStr">
        <is>
          <t>LOCALIZACIÓN Y REPLANTEO</t>
        </is>
      </c>
    </row>
    <row r="11" ht="15" customHeight="1" s="1223">
      <c r="A11" s="556" t="n"/>
    </row>
    <row r="12" ht="15" customHeight="1" s="1223">
      <c r="A12" s="573" t="inlineStr">
        <is>
          <t>IDENTIFICACIÓN DEL PROYECTO</t>
        </is>
      </c>
    </row>
    <row r="13" ht="15" customHeight="1" s="1223">
      <c r="A13" s="365" t="inlineStr">
        <is>
          <t>Proyecto</t>
        </is>
      </c>
      <c r="B13" s="359" t="n"/>
      <c r="C13" s="574" t="n"/>
      <c r="D13" s="567" t="n"/>
      <c r="E13" s="567" t="n"/>
      <c r="F13" s="567" t="n"/>
      <c r="G13" s="567" t="n"/>
      <c r="H13" s="567" t="n"/>
      <c r="I13" s="567" t="n"/>
      <c r="J13" s="575" t="n"/>
    </row>
    <row r="14" ht="15" customHeight="1" s="1223">
      <c r="A14" s="365" t="inlineStr">
        <is>
          <t>No de Contrato</t>
        </is>
      </c>
      <c r="B14" s="359" t="n"/>
      <c r="C14" s="571" t="n"/>
      <c r="D14" s="567" t="n"/>
      <c r="E14" s="567" t="n"/>
      <c r="F14" s="360" t="n"/>
      <c r="G14" s="360" t="n"/>
      <c r="H14" s="359" t="inlineStr">
        <is>
          <t>Fecha de Emisión</t>
        </is>
      </c>
      <c r="I14" s="359" t="n"/>
      <c r="J14" s="366" t="n"/>
    </row>
    <row r="15" ht="15" customHeight="1" s="1223">
      <c r="A15" s="365" t="inlineStr">
        <is>
          <t>Contratista</t>
        </is>
      </c>
      <c r="B15" s="359" t="n"/>
      <c r="C15" s="566" t="inlineStr">
        <is>
          <t>REFORMAS Y REMODELACIONES</t>
        </is>
      </c>
      <c r="D15" s="567" t="n"/>
      <c r="E15" s="567" t="n"/>
      <c r="F15" s="360" t="n"/>
      <c r="G15" s="360" t="n"/>
      <c r="H15" s="359" t="inlineStr">
        <is>
          <t>Ubicación</t>
        </is>
      </c>
      <c r="I15" s="359" t="n"/>
      <c r="J15" s="366" t="n"/>
    </row>
    <row r="16" ht="15" customHeight="1" s="1223" thickBot="1">
      <c r="A16" s="562" t="n"/>
      <c r="B16" s="563" t="n"/>
      <c r="C16" s="563" t="n"/>
      <c r="D16" s="563" t="n"/>
      <c r="E16" s="563" t="n"/>
      <c r="F16" s="563" t="n"/>
      <c r="G16" s="563" t="n"/>
      <c r="H16" s="563" t="n"/>
      <c r="I16" s="563" t="n"/>
      <c r="J16" s="563" t="n"/>
    </row>
    <row r="17" ht="19.95" customHeight="1" s="1223" thickTop="1">
      <c r="A17" s="538" t="inlineStr">
        <is>
          <t>UNIDAD</t>
        </is>
      </c>
      <c r="B17" s="389" t="n"/>
      <c r="C17" s="538" t="inlineStr">
        <is>
          <t>CUADRILLA</t>
        </is>
      </c>
      <c r="D17" s="534" t="n"/>
      <c r="E17" s="538" t="inlineStr">
        <is>
          <t>JORNADA</t>
        </is>
      </c>
      <c r="F17" s="539" t="n"/>
      <c r="G17" s="534" t="n"/>
      <c r="H17" s="538" t="inlineStr">
        <is>
          <t>RENDIMIENTO</t>
        </is>
      </c>
      <c r="I17" s="547" t="n"/>
      <c r="J17" s="538" t="inlineStr">
        <is>
          <t>CONSUMO M.O.</t>
        </is>
      </c>
    </row>
    <row r="18" ht="25.05" customFormat="1" customHeight="1" s="548" thickBot="1">
      <c r="A18" s="576">
        <f>P4</f>
        <v/>
      </c>
      <c r="B18" s="389" t="n"/>
      <c r="C18" s="576">
        <f>S4</f>
        <v/>
      </c>
      <c r="D18" s="535" t="n"/>
      <c r="E18" s="576">
        <f>U4</f>
        <v/>
      </c>
      <c r="F18" s="577" t="n"/>
      <c r="G18" s="535" t="n"/>
      <c r="H18" s="576">
        <f>A1&amp;" "&amp;A18&amp;"/jornada"</f>
        <v/>
      </c>
      <c r="J18" s="390" t="n"/>
    </row>
    <row r="19" ht="15" customFormat="1" customHeight="1" s="358" thickTop="1">
      <c r="A19" s="542" t="n"/>
      <c r="B19" s="543" t="n"/>
      <c r="C19" s="543" t="n"/>
      <c r="D19" s="543" t="n"/>
      <c r="E19" s="543" t="n"/>
      <c r="F19" s="543" t="n"/>
      <c r="G19" s="543" t="n"/>
      <c r="H19" s="543" t="n"/>
      <c r="I19" s="543" t="n"/>
      <c r="J19" s="543" t="n"/>
    </row>
    <row r="20" ht="15" customHeight="1" s="1223">
      <c r="A20" s="367" t="inlineStr">
        <is>
          <t>1.</t>
        </is>
      </c>
      <c r="B20" s="375" t="n"/>
      <c r="C20" s="368" t="inlineStr">
        <is>
          <t>MATERIALES</t>
        </is>
      </c>
      <c r="D20" s="385" t="n"/>
      <c r="E20" s="559" t="n"/>
      <c r="F20" s="560" t="n"/>
      <c r="G20" s="560" t="n"/>
      <c r="H20" s="560" t="n"/>
      <c r="I20" s="560" t="n"/>
      <c r="J20" s="561" t="n"/>
    </row>
    <row r="21" ht="15" customFormat="1" customHeight="1" s="655">
      <c r="A21" s="361" t="n"/>
      <c r="B21" s="376" t="n"/>
      <c r="C21" s="362" t="inlineStr">
        <is>
          <t>Descripción</t>
        </is>
      </c>
      <c r="D21" s="363" t="n"/>
      <c r="E21" s="363" t="inlineStr">
        <is>
          <t>Und</t>
        </is>
      </c>
      <c r="F21" s="363" t="inlineStr">
        <is>
          <t>Cant.</t>
        </is>
      </c>
      <c r="G21" s="363" t="n"/>
      <c r="H21" s="363" t="inlineStr">
        <is>
          <t>Vr Unit.</t>
        </is>
      </c>
      <c r="I21" s="363" t="n"/>
      <c r="J21" s="364" t="inlineStr">
        <is>
          <t>Subtotal</t>
        </is>
      </c>
    </row>
    <row r="22" ht="15" customHeight="1" s="1223">
      <c r="A22" s="529" t="n"/>
      <c r="B22" s="530" t="n"/>
      <c r="C22" s="530" t="n"/>
      <c r="D22" s="530" t="n"/>
      <c r="E22" s="113" t="n"/>
      <c r="F22" s="114" t="n"/>
      <c r="G22" s="114" t="n"/>
      <c r="H22" s="1279" t="n"/>
      <c r="I22" s="1279" t="n"/>
      <c r="J22" s="1280">
        <f>F22*H22</f>
        <v/>
      </c>
    </row>
    <row r="23" ht="15" customHeight="1" s="1223">
      <c r="A23" s="529" t="n"/>
      <c r="B23" s="530" t="n"/>
      <c r="C23" s="530" t="n"/>
      <c r="D23" s="530" t="n"/>
      <c r="E23" s="113" t="n"/>
      <c r="F23" s="114" t="n"/>
      <c r="G23" s="114" t="n"/>
      <c r="H23" s="1279" t="n"/>
      <c r="I23" s="1279" t="n"/>
      <c r="J23" s="1280">
        <f>F23*H23</f>
        <v/>
      </c>
    </row>
    <row r="24" ht="15" customHeight="1" s="1223">
      <c r="A24" s="529" t="n"/>
      <c r="B24" s="530" t="n"/>
      <c r="C24" s="530" t="n"/>
      <c r="D24" s="530" t="n"/>
      <c r="E24" s="113" t="n"/>
      <c r="F24" s="114" t="n"/>
      <c r="G24" s="114" t="n"/>
      <c r="H24" s="1279" t="n"/>
      <c r="I24" s="1279" t="n"/>
      <c r="J24" s="1280">
        <f>F24*H24</f>
        <v/>
      </c>
    </row>
    <row r="25" ht="15" customHeight="1" s="1223">
      <c r="A25" s="529" t="n"/>
      <c r="B25" s="530" t="n"/>
      <c r="C25" s="530" t="n"/>
      <c r="D25" s="530" t="n"/>
      <c r="E25" s="113" t="n"/>
      <c r="F25" s="114" t="n"/>
      <c r="G25" s="114" t="n"/>
      <c r="H25" s="1279" t="n"/>
      <c r="I25" s="1279" t="n"/>
      <c r="J25" s="1280">
        <f>F25*H25</f>
        <v/>
      </c>
    </row>
    <row r="26" ht="15" customHeight="1" s="1223">
      <c r="A26" s="529" t="n"/>
      <c r="B26" s="530" t="n"/>
      <c r="C26" s="530" t="n"/>
      <c r="D26" s="530" t="n"/>
      <c r="E26" s="113" t="n"/>
      <c r="F26" s="114" t="n"/>
      <c r="G26" s="114" t="n"/>
      <c r="H26" s="1279" t="n"/>
      <c r="I26" s="1279" t="n"/>
      <c r="J26" s="1280">
        <f>F26*H26</f>
        <v/>
      </c>
    </row>
    <row r="27" ht="15" customHeight="1" s="1223">
      <c r="A27" s="529" t="n"/>
      <c r="B27" s="530" t="n"/>
      <c r="C27" s="530" t="n"/>
      <c r="D27" s="530" t="n"/>
      <c r="E27" s="113" t="n"/>
      <c r="F27" s="114" t="n"/>
      <c r="G27" s="114" t="n"/>
      <c r="H27" s="1281" t="n"/>
      <c r="I27" s="1281" t="n"/>
      <c r="J27" s="1280">
        <f>F27*H27</f>
        <v/>
      </c>
    </row>
    <row r="28" ht="15" customHeight="1" s="1223">
      <c r="A28" s="557" t="n"/>
      <c r="B28" s="558" t="n"/>
      <c r="C28" s="558" t="n"/>
      <c r="D28" s="558" t="n"/>
      <c r="E28" s="568" t="inlineStr">
        <is>
          <t>SUBTOTAL MATERIALES</t>
        </is>
      </c>
      <c r="F28" s="558" t="n"/>
      <c r="G28" s="558" t="n"/>
      <c r="H28" s="558" t="n"/>
      <c r="I28" s="558" t="n"/>
      <c r="J28" s="1282">
        <f>SUM(J22:J27)</f>
        <v/>
      </c>
    </row>
    <row r="29" ht="15" customHeight="1" s="1223">
      <c r="A29" s="190" t="inlineStr">
        <is>
          <t>2.</t>
        </is>
      </c>
      <c r="B29" s="378" t="n"/>
      <c r="C29" s="279" t="inlineStr">
        <is>
          <t>MANO DE OBRA</t>
        </is>
      </c>
      <c r="D29" s="279" t="n"/>
      <c r="E29" s="580" t="n"/>
      <c r="F29" s="581" t="n"/>
      <c r="G29" s="581" t="n"/>
      <c r="H29" s="581" t="n"/>
      <c r="I29" s="581" t="n"/>
      <c r="J29" s="582" t="n"/>
    </row>
    <row r="30" ht="15" customHeight="1" s="1223">
      <c r="A30" s="64" t="n"/>
      <c r="B30" s="379" t="n"/>
      <c r="C30" s="48" t="inlineStr">
        <is>
          <t>Descripción</t>
        </is>
      </c>
      <c r="D30" s="48" t="n"/>
      <c r="E30" s="48" t="inlineStr">
        <is>
          <t>Und</t>
        </is>
      </c>
      <c r="F30" s="48" t="inlineStr">
        <is>
          <t>Cant.</t>
        </is>
      </c>
      <c r="G30" s="48" t="n"/>
      <c r="H30" s="48" t="inlineStr">
        <is>
          <t>Vr Unit.</t>
        </is>
      </c>
      <c r="I30" s="48" t="n"/>
      <c r="J30" s="65" t="inlineStr">
        <is>
          <t>Subtotal</t>
        </is>
      </c>
    </row>
    <row r="31" ht="15" customHeight="1" s="1223">
      <c r="A31" s="544" t="n"/>
      <c r="B31" s="530" t="n"/>
      <c r="C31" s="530" t="n"/>
      <c r="D31" s="530" t="n"/>
      <c r="E31" s="113" t="n"/>
      <c r="F31" s="1283" t="n"/>
      <c r="G31" s="1283" t="n"/>
      <c r="H31" s="1279" t="n"/>
      <c r="I31" s="1279" t="n"/>
      <c r="J31" s="1284">
        <f>F31*H31</f>
        <v/>
      </c>
    </row>
    <row r="32" ht="15" customHeight="1" s="1223">
      <c r="A32" s="544" t="n"/>
      <c r="B32" s="530" t="n"/>
      <c r="C32" s="530" t="n"/>
      <c r="D32" s="530" t="n"/>
      <c r="E32" s="113" t="n"/>
      <c r="F32" s="1283" t="n"/>
      <c r="G32" s="1283" t="n"/>
      <c r="H32" s="1279" t="n"/>
      <c r="I32" s="1279" t="n"/>
      <c r="J32" s="1284">
        <f>F32*H32</f>
        <v/>
      </c>
    </row>
    <row r="33" ht="15" customHeight="1" s="1223">
      <c r="A33" s="544" t="n"/>
      <c r="B33" s="530" t="n"/>
      <c r="C33" s="530" t="n"/>
      <c r="D33" s="530" t="n"/>
      <c r="E33" s="113" t="n"/>
      <c r="F33" s="1283" t="n"/>
      <c r="G33" s="1283" t="n"/>
      <c r="H33" s="1279" t="n"/>
      <c r="I33" s="1279" t="n"/>
      <c r="J33" s="1284">
        <f>F33*H33</f>
        <v/>
      </c>
    </row>
    <row r="34" ht="15" customHeight="1" s="1223">
      <c r="A34" s="544" t="n"/>
      <c r="B34" s="530" t="n"/>
      <c r="C34" s="530" t="n"/>
      <c r="D34" s="530" t="n"/>
      <c r="E34" s="113" t="n"/>
      <c r="F34" s="1283" t="n"/>
      <c r="G34" s="1283" t="n"/>
      <c r="H34" s="1279" t="n"/>
      <c r="I34" s="1279" t="n"/>
      <c r="J34" s="1284">
        <f>F34*H34</f>
        <v/>
      </c>
    </row>
    <row r="35" ht="15" customHeight="1" s="1223">
      <c r="A35" s="544" t="n"/>
      <c r="B35" s="530" t="n"/>
      <c r="C35" s="530" t="n"/>
      <c r="D35" s="530" t="n"/>
      <c r="E35" s="113" t="n"/>
      <c r="F35" s="1283" t="n"/>
      <c r="G35" s="1283" t="n"/>
      <c r="H35" s="1279" t="n"/>
      <c r="I35" s="1279" t="n"/>
      <c r="J35" s="1284">
        <f>F35*H35</f>
        <v/>
      </c>
    </row>
    <row r="36" ht="15" customHeight="1" s="1223">
      <c r="A36" s="544" t="n"/>
      <c r="B36" s="530" t="n"/>
      <c r="C36" s="530" t="n"/>
      <c r="D36" s="530" t="n"/>
      <c r="E36" s="113" t="n"/>
      <c r="F36" s="1283" t="n"/>
      <c r="G36" s="1283" t="n"/>
      <c r="H36" s="1281" t="n"/>
      <c r="I36" s="1281" t="n"/>
      <c r="J36" s="1284">
        <f>F36*H36</f>
        <v/>
      </c>
    </row>
    <row r="37" ht="15" customHeight="1" s="1223">
      <c r="A37" s="536" t="n"/>
      <c r="B37" s="530" t="n"/>
      <c r="C37" s="530" t="n"/>
      <c r="D37" s="530" t="n"/>
      <c r="E37" s="541" t="inlineStr">
        <is>
          <t>SUBTOTAL MANO DE OBRA</t>
        </is>
      </c>
      <c r="F37" s="530" t="n"/>
      <c r="G37" s="530" t="n"/>
      <c r="H37" s="530" t="n"/>
      <c r="I37" s="530" t="n"/>
      <c r="J37" s="1285">
        <f>SUM(J31:J36)</f>
        <v/>
      </c>
    </row>
    <row r="38" ht="15" customHeight="1" s="1223">
      <c r="A38" s="63" t="inlineStr">
        <is>
          <t>3.</t>
        </is>
      </c>
      <c r="B38" s="380" t="n"/>
      <c r="C38" s="280" t="inlineStr">
        <is>
          <t>EQUIPOS Y HERRAMIENTAS</t>
        </is>
      </c>
      <c r="D38" s="280" t="n"/>
      <c r="E38" s="578" t="n"/>
      <c r="F38" s="530" t="n"/>
      <c r="G38" s="530" t="n"/>
      <c r="H38" s="530" t="n"/>
      <c r="I38" s="530" t="n"/>
      <c r="J38" s="579" t="n"/>
    </row>
    <row r="39" ht="15.75" customHeight="1" s="1223">
      <c r="A39" s="66" t="n"/>
      <c r="B39" s="280" t="n"/>
      <c r="C39" s="48" t="inlineStr">
        <is>
          <t>Descripción</t>
        </is>
      </c>
      <c r="D39" s="48" t="n"/>
      <c r="E39" s="48" t="inlineStr">
        <is>
          <t>Und</t>
        </is>
      </c>
      <c r="F39" s="48" t="inlineStr">
        <is>
          <t>Cant.</t>
        </is>
      </c>
      <c r="G39" s="48" t="n"/>
      <c r="H39" s="48" t="inlineStr">
        <is>
          <t>Vr Unit.</t>
        </is>
      </c>
      <c r="I39" s="48" t="n"/>
      <c r="J39" s="65" t="inlineStr">
        <is>
          <t>Subtotal</t>
        </is>
      </c>
    </row>
    <row r="40" ht="15" customHeight="1" s="1223">
      <c r="A40" s="544" t="n"/>
      <c r="B40" s="530" t="n"/>
      <c r="C40" s="530" t="n"/>
      <c r="D40" s="530" t="n"/>
      <c r="E40" s="113" t="n"/>
      <c r="F40" s="1283" t="n"/>
      <c r="G40" s="1283" t="n"/>
      <c r="H40" s="1279" t="n"/>
      <c r="I40" s="1279" t="n"/>
      <c r="J40" s="1284">
        <f>F40*H40</f>
        <v/>
      </c>
    </row>
    <row r="41" ht="15" customHeight="1" s="1223">
      <c r="A41" s="544" t="n"/>
      <c r="B41" s="377" t="n"/>
      <c r="C41" s="377" t="n"/>
      <c r="D41" s="377" t="n"/>
      <c r="E41" s="113" t="n"/>
      <c r="F41" s="1283" t="n"/>
      <c r="G41" s="1283" t="n"/>
      <c r="H41" s="1279" t="n"/>
      <c r="I41" s="1279" t="n"/>
      <c r="J41" s="1284">
        <f>F41*H41</f>
        <v/>
      </c>
    </row>
    <row r="42" ht="15" customHeight="1" s="1223">
      <c r="A42" s="544" t="n"/>
      <c r="B42" s="377" t="n"/>
      <c r="C42" s="377" t="n"/>
      <c r="D42" s="377" t="n"/>
      <c r="E42" s="113" t="n"/>
      <c r="F42" s="1283" t="n"/>
      <c r="G42" s="1283" t="n"/>
      <c r="H42" s="1279" t="n"/>
      <c r="I42" s="1279" t="n"/>
      <c r="J42" s="1284">
        <f>F42*H42</f>
        <v/>
      </c>
    </row>
    <row r="43" ht="15" customHeight="1" s="1223">
      <c r="A43" s="544" t="n"/>
      <c r="B43" s="377" t="n"/>
      <c r="C43" s="377" t="n"/>
      <c r="D43" s="377" t="n"/>
      <c r="E43" s="113" t="n"/>
      <c r="F43" s="1283" t="n"/>
      <c r="G43" s="1283" t="n"/>
      <c r="H43" s="1279" t="n"/>
      <c r="I43" s="1279" t="n"/>
      <c r="J43" s="1284">
        <f>F43*H43</f>
        <v/>
      </c>
    </row>
    <row r="44" ht="15" customHeight="1" s="1223">
      <c r="A44" s="544" t="n"/>
      <c r="B44" s="530" t="n"/>
      <c r="C44" s="530" t="n"/>
      <c r="D44" s="530" t="n"/>
      <c r="E44" s="113" t="n"/>
      <c r="F44" s="1283" t="n"/>
      <c r="G44" s="1283" t="n"/>
      <c r="H44" s="1279" t="n"/>
      <c r="I44" s="1279" t="n"/>
      <c r="J44" s="1284">
        <f>F44*H44</f>
        <v/>
      </c>
    </row>
    <row r="45" ht="15" customHeight="1" s="1223">
      <c r="A45" s="544" t="n"/>
      <c r="B45" s="530" t="n"/>
      <c r="C45" s="530" t="n"/>
      <c r="D45" s="530" t="n"/>
      <c r="E45" s="113" t="n"/>
      <c r="F45" s="1283" t="n"/>
      <c r="G45" s="1283" t="n"/>
      <c r="H45" s="1279" t="n"/>
      <c r="I45" s="1279" t="n"/>
      <c r="J45" s="1284">
        <f>F45*H45</f>
        <v/>
      </c>
    </row>
    <row r="46" ht="15" customHeight="1" s="1223">
      <c r="A46" s="536" t="n"/>
      <c r="B46" s="530" t="n"/>
      <c r="C46" s="530" t="n"/>
      <c r="D46" s="530" t="n"/>
      <c r="E46" s="541" t="inlineStr">
        <is>
          <t>SUBTOTAL EQUIPOS Y HERRAMIENTAS</t>
        </is>
      </c>
      <c r="F46" s="530" t="n"/>
      <c r="G46" s="530" t="n"/>
      <c r="H46" s="530" t="n"/>
      <c r="I46" s="530" t="n"/>
      <c r="J46" s="1285">
        <f>SUM(J40:J45)</f>
        <v/>
      </c>
    </row>
    <row r="47" ht="24.75" customHeight="1" s="1223">
      <c r="A47" s="531" t="inlineStr">
        <is>
          <t xml:space="preserve">                Materiales</t>
        </is>
      </c>
      <c r="B47" s="530" t="n"/>
      <c r="C47" s="530" t="n"/>
      <c r="D47" s="530" t="n"/>
      <c r="E47" s="530" t="n"/>
      <c r="F47" s="530" t="n"/>
      <c r="G47" s="530" t="n"/>
      <c r="H47" s="530" t="n"/>
      <c r="I47" s="369" t="n"/>
      <c r="J47" s="1286">
        <f>J28</f>
        <v/>
      </c>
    </row>
    <row r="48" ht="24.75" customHeight="1" s="1223">
      <c r="A48" s="531" t="inlineStr">
        <is>
          <t xml:space="preserve">                Mano de Obra</t>
        </is>
      </c>
      <c r="B48" s="530" t="n"/>
      <c r="C48" s="530" t="n"/>
      <c r="D48" s="530" t="n"/>
      <c r="E48" s="530" t="n"/>
      <c r="F48" s="530" t="n"/>
      <c r="G48" s="530" t="n"/>
      <c r="H48" s="530" t="n"/>
      <c r="I48" s="369" t="n"/>
      <c r="J48" s="1286">
        <f>J37</f>
        <v/>
      </c>
    </row>
    <row r="49" ht="24.75" customHeight="1" s="1223">
      <c r="A49" s="531" t="inlineStr">
        <is>
          <t xml:space="preserve">                Equipos y herramientas</t>
        </is>
      </c>
      <c r="B49" s="530" t="n"/>
      <c r="C49" s="530" t="n"/>
      <c r="D49" s="530" t="n"/>
      <c r="E49" s="530" t="n"/>
      <c r="F49" s="530" t="n"/>
      <c r="G49" s="530" t="n"/>
      <c r="H49" s="530" t="n"/>
      <c r="I49" s="369" t="n"/>
      <c r="J49" s="1286">
        <f>J46</f>
        <v/>
      </c>
    </row>
    <row r="50" ht="19.95" customHeight="1" s="1223">
      <c r="A50" s="554" t="inlineStr">
        <is>
          <t>TOTAL DIRECTO UNITARIO</t>
        </is>
      </c>
      <c r="B50" s="555" t="n"/>
      <c r="C50" s="555" t="n"/>
      <c r="D50" s="555" t="n"/>
      <c r="E50" s="555" t="n"/>
      <c r="F50" s="555" t="n"/>
      <c r="G50" s="555" t="n"/>
      <c r="H50" s="555" t="n"/>
      <c r="I50" s="370" t="n"/>
      <c r="J50" s="1287">
        <f>SUM(J47:J49)</f>
        <v/>
      </c>
    </row>
    <row r="51" ht="4.5" customHeight="1" s="1223">
      <c r="A51" s="67" t="n"/>
      <c r="B51" s="381" t="n"/>
      <c r="C51" s="381" t="n"/>
      <c r="D51" s="381" t="n"/>
      <c r="E51" s="381" t="n"/>
      <c r="F51" s="381" t="n"/>
      <c r="G51" s="381" t="n"/>
      <c r="H51" s="381" t="n"/>
      <c r="I51" s="381" t="n"/>
      <c r="J51" s="68" t="n"/>
    </row>
    <row r="52" ht="15.75" customHeight="1" s="1223">
      <c r="A52" s="552" t="inlineStr">
        <is>
          <t>ELABORADO POR</t>
        </is>
      </c>
      <c r="B52" s="553" t="n"/>
      <c r="C52" s="553" t="n"/>
      <c r="D52" s="553" t="n"/>
      <c r="E52" s="382" t="n"/>
      <c r="F52" s="569" t="inlineStr">
        <is>
          <t>Vo. Bo. INTERVENTORÍA:</t>
        </is>
      </c>
      <c r="G52" s="553" t="n"/>
      <c r="H52" s="553" t="n"/>
      <c r="I52" s="553" t="n"/>
      <c r="J52" s="570" t="n"/>
    </row>
    <row r="53" ht="42" customHeight="1" s="1223">
      <c r="A53" s="302" t="inlineStr">
        <is>
          <t>FIRMA:</t>
        </is>
      </c>
      <c r="B53" s="383" t="n"/>
      <c r="C53" s="527" t="n"/>
      <c r="D53" s="528" t="n"/>
      <c r="E53" s="528" t="n"/>
      <c r="F53" s="303" t="inlineStr">
        <is>
          <t>FIRMA:</t>
        </is>
      </c>
      <c r="G53" s="303" t="n"/>
      <c r="H53" s="564" t="n"/>
      <c r="I53" s="528" t="n"/>
      <c r="J53" s="565" t="n"/>
    </row>
    <row r="54" ht="24.75" customHeight="1" s="1223">
      <c r="A54" s="302" t="inlineStr">
        <is>
          <t>NOMBRE:</t>
        </is>
      </c>
      <c r="B54" s="383" t="n"/>
      <c r="C54" s="527" t="n"/>
      <c r="D54" s="528" t="n"/>
      <c r="E54" s="528" t="n"/>
      <c r="F54" s="303" t="inlineStr">
        <is>
          <t>NOMBRE:</t>
        </is>
      </c>
      <c r="G54" s="303" t="n"/>
      <c r="H54" s="572" t="n"/>
      <c r="I54" s="528" t="n"/>
      <c r="J54" s="565" t="n"/>
    </row>
    <row r="55" ht="24.75" customHeight="1" s="1223">
      <c r="A55" s="302" t="inlineStr">
        <is>
          <t>CARGO:</t>
        </is>
      </c>
      <c r="B55" s="383" t="n"/>
      <c r="C55" s="527" t="n"/>
      <c r="D55" s="528" t="n"/>
      <c r="E55" s="528" t="n"/>
      <c r="F55" s="303" t="inlineStr">
        <is>
          <t>CARGO:</t>
        </is>
      </c>
      <c r="G55" s="303" t="n"/>
      <c r="H55" s="572" t="n"/>
      <c r="I55" s="528" t="n"/>
      <c r="J55" s="565" t="n"/>
    </row>
    <row r="56" ht="15" customHeight="1" s="1223">
      <c r="A56" s="207" t="inlineStr">
        <is>
          <t>REV. 10/09/2026</t>
        </is>
      </c>
      <c r="B56" s="384" t="n"/>
      <c r="J56" s="340">
        <f>J5</f>
        <v/>
      </c>
    </row>
  </sheetData>
  <mergeCells count="53">
    <mergeCell ref="C54:E54"/>
    <mergeCell ref="A25:C25"/>
    <mergeCell ref="A48:H48"/>
    <mergeCell ref="E1:J1"/>
    <mergeCell ref="G17:G18"/>
    <mergeCell ref="C55:E55"/>
    <mergeCell ref="A37:C37"/>
    <mergeCell ref="A46:C46"/>
    <mergeCell ref="E5:F5"/>
    <mergeCell ref="A27:C27"/>
    <mergeCell ref="D17:D18"/>
    <mergeCell ref="A49:H49"/>
    <mergeCell ref="E17:F17"/>
    <mergeCell ref="A10:J10"/>
    <mergeCell ref="A26:C26"/>
    <mergeCell ref="E37:H37"/>
    <mergeCell ref="A19:J19"/>
    <mergeCell ref="A33:C33"/>
    <mergeCell ref="E2:J2"/>
    <mergeCell ref="A23:C23"/>
    <mergeCell ref="A32:C32"/>
    <mergeCell ref="A22:C22"/>
    <mergeCell ref="I17:I18"/>
    <mergeCell ref="A35:C35"/>
    <mergeCell ref="H3:J3"/>
    <mergeCell ref="A52:C52"/>
    <mergeCell ref="A50:H50"/>
    <mergeCell ref="A11:J11"/>
    <mergeCell ref="A28:C28"/>
    <mergeCell ref="A44:C44"/>
    <mergeCell ref="C53:E53"/>
    <mergeCell ref="A31:C31"/>
    <mergeCell ref="E20:J20"/>
    <mergeCell ref="A40:C40"/>
    <mergeCell ref="A47:H47"/>
    <mergeCell ref="A16:J16"/>
    <mergeCell ref="A34:C34"/>
    <mergeCell ref="H53:J53"/>
    <mergeCell ref="C15:E15"/>
    <mergeCell ref="A24:C24"/>
    <mergeCell ref="E28:H28"/>
    <mergeCell ref="F52:J52"/>
    <mergeCell ref="A36:C36"/>
    <mergeCell ref="H54:J54"/>
    <mergeCell ref="C14:E14"/>
    <mergeCell ref="A45:C45"/>
    <mergeCell ref="H55:J55"/>
    <mergeCell ref="A12:J12"/>
    <mergeCell ref="E46:H46"/>
    <mergeCell ref="C13:J13"/>
    <mergeCell ref="E18:F18"/>
    <mergeCell ref="E38:J38"/>
    <mergeCell ref="E29:J2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2026-09-19T00:14:05Z</dcterms:modified>
  <cp:lastModifiedBy>Hugo Fernando Hurtado Ruiz</cp:lastModifiedBy>
  <cp:revision>1</cp:revision>
  <cp:lastPrinted>2026-09-14T01:27:33Z</cp:lastPrinted>
</cp:coreProperties>
</file>