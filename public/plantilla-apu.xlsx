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2.77734375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252" t="n"/>
      <c r="F4" s="252" t="n"/>
      <c r="G4" s="252" t="n"/>
      <c r="H4" s="9" t="inlineStr">
        <is>
          <t>Código</t>
        </is>
      </c>
      <c r="I4" s="9" t="n"/>
      <c r="J4" s="79" t="n"/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573" t="inlineStr">
        <is>
          <t>REFORMAS Y REMODELACIONES</t>
        </is>
      </c>
      <c r="H5" s="118" t="inlineStr">
        <is>
          <t>Código</t>
        </is>
      </c>
      <c r="I5" s="801" t="n"/>
      <c r="J5" s="189" t="inlineStr">
        <is>
          <t>RYR-AP-001</t>
        </is>
      </c>
      <c r="K5" s="113" t="n"/>
      <c r="M5" s="113" t="n"/>
      <c r="P5" s="113" t="n"/>
      <c r="Q5" s="113" t="n"/>
      <c r="R5" s="114" t="n"/>
      <c r="S5" s="115" t="n"/>
      <c r="T5" s="114" t="n"/>
      <c r="U5" s="115" t="n"/>
      <c r="V5" s="115" t="n"/>
      <c r="W5" s="115" t="n"/>
    </row>
    <row r="6" ht="15" customHeight="1" s="550">
      <c r="A6" s="618" t="n"/>
      <c r="B6" s="618" t="n"/>
      <c r="C6" s="516" t="n"/>
      <c r="D6" s="618" t="n"/>
      <c r="E6" s="278" t="inlineStr">
        <is>
          <t>DISEÑAMOS, RENOVAMOS Y CONSTRUIMOS ESPACIOS QUE INSPIRAN</t>
        </is>
      </c>
      <c r="F6" s="252" t="n"/>
      <c r="G6" s="252" t="n"/>
      <c r="H6" s="195" t="inlineStr">
        <is>
          <t>Versión</t>
        </is>
      </c>
      <c r="I6" s="784" t="n"/>
      <c r="J6" s="189" t="n">
        <v>1</v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188" t="n"/>
      <c r="F7" s="252" t="n"/>
      <c r="G7" s="252" t="n"/>
      <c r="H7" s="118" t="inlineStr">
        <is>
          <t>Fecha de Emisión</t>
        </is>
      </c>
      <c r="I7" s="801" t="n"/>
      <c r="J7" s="189" t="inlineStr">
        <is>
          <t>10/09/2026</t>
        </is>
      </c>
      <c r="K7" s="113" t="n"/>
      <c r="M7" s="113" t="n"/>
    </row>
    <row r="8" ht="15" customHeight="1" s="550">
      <c r="A8" s="618" t="n"/>
      <c r="B8" s="618" t="n"/>
      <c r="C8" s="516" t="n"/>
      <c r="D8" s="618" t="n"/>
      <c r="E8" s="252" t="n"/>
      <c r="F8" s="252" t="n"/>
      <c r="G8" s="252" t="n"/>
      <c r="H8" s="118" t="inlineStr">
        <is>
          <t>Página</t>
        </is>
      </c>
      <c r="I8" s="801" t="n"/>
      <c r="J8" s="189" t="inlineStr">
        <is>
          <t>1 de 1</t>
        </is>
      </c>
      <c r="K8" s="113" t="n"/>
      <c r="M8" s="113" t="n"/>
    </row>
    <row r="9" ht="15" customHeight="1" s="550">
      <c r="A9" s="252" t="n"/>
      <c r="B9" s="252" t="n"/>
      <c r="C9" s="252" t="n"/>
      <c r="D9" s="515" t="n"/>
      <c r="E9" s="252" t="n"/>
      <c r="F9" s="1" t="n"/>
      <c r="G9" s="1" t="n"/>
      <c r="H9" s="2" t="n"/>
      <c r="I9" s="2" t="n"/>
      <c r="J9" s="2" t="n"/>
    </row>
    <row r="10" ht="25.05" customHeight="1" s="550">
      <c r="A10" s="576" t="inlineStr">
        <is>
          <t>LOCALIZACIÓN Y REPLANTEO</t>
        </is>
      </c>
    </row>
    <row r="11" ht="15" customHeight="1" s="550">
      <c r="A11" s="586" t="n"/>
    </row>
    <row r="12" ht="15" customHeight="1" s="550">
      <c r="A12" s="602" t="inlineStr">
        <is>
          <t>IDENTIFICACIÓN DEL PROYECTO</t>
        </is>
      </c>
    </row>
    <row r="13" ht="15" customHeight="1" s="550">
      <c r="A13" s="360" t="inlineStr">
        <is>
          <t>Proyecto</t>
        </is>
      </c>
      <c r="B13" s="354" t="n"/>
      <c r="C13" s="603" t="n"/>
      <c r="D13" s="595" t="n"/>
      <c r="E13" s="595" t="n"/>
      <c r="F13" s="595" t="n"/>
      <c r="G13" s="595" t="n"/>
      <c r="H13" s="595" t="n"/>
      <c r="I13" s="595" t="n"/>
      <c r="J13" s="601" t="n"/>
    </row>
    <row r="14" ht="15" customHeight="1" s="550">
      <c r="A14" s="360" t="inlineStr">
        <is>
          <t>No de Contrato</t>
        </is>
      </c>
      <c r="B14" s="354" t="n"/>
      <c r="C14" s="599" t="n"/>
      <c r="D14" s="595" t="n"/>
      <c r="E14" s="595" t="n"/>
      <c r="F14" s="355" t="n"/>
      <c r="G14" s="355" t="n"/>
      <c r="H14" s="600" t="inlineStr">
        <is>
          <t>Fecha de Emisión</t>
        </is>
      </c>
      <c r="I14" s="601" t="n"/>
      <c r="J14" s="601" t="n"/>
    </row>
    <row r="15" ht="15" customHeight="1" s="550">
      <c r="A15" s="360" t="inlineStr">
        <is>
          <t>Contratista</t>
        </is>
      </c>
      <c r="B15" s="354" t="n"/>
      <c r="C15" s="594" t="inlineStr">
        <is>
          <t>REFORMAS Y REMODELACIONES</t>
        </is>
      </c>
      <c r="D15" s="595" t="n"/>
      <c r="E15" s="595" t="n"/>
      <c r="F15" s="355" t="n"/>
      <c r="G15" s="355" t="n"/>
      <c r="H15" s="600" t="inlineStr">
        <is>
          <t>Ubicación</t>
        </is>
      </c>
      <c r="I15" s="601" t="n"/>
      <c r="J15" s="601" t="n"/>
    </row>
    <row r="16" ht="15" customHeight="1" s="550" thickBot="1">
      <c r="A16" s="591" t="n"/>
      <c r="B16" s="592" t="n"/>
      <c r="C16" s="592" t="n"/>
      <c r="D16" s="592" t="n"/>
      <c r="E16" s="592" t="n"/>
      <c r="F16" s="592" t="n"/>
      <c r="G16" s="592" t="n"/>
      <c r="H16" s="592" t="n"/>
      <c r="I16" s="592" t="n"/>
      <c r="J16" s="592" t="n"/>
    </row>
    <row r="17" ht="19.95" customHeight="1" s="550" thickTop="1">
      <c r="A17" s="574" t="inlineStr">
        <is>
          <t>UNIDAD</t>
        </is>
      </c>
      <c r="B17" s="376" t="n"/>
      <c r="C17" s="574" t="inlineStr">
        <is>
          <t>CUADRILLA</t>
        </is>
      </c>
      <c r="D17" s="570" t="n"/>
      <c r="E17" s="574" t="inlineStr">
        <is>
          <t>JORNADA</t>
        </is>
      </c>
      <c r="F17" s="575" t="n"/>
      <c r="G17" s="570" t="n"/>
      <c r="H17" s="574" t="inlineStr">
        <is>
          <t>RENDIMIENTO</t>
        </is>
      </c>
      <c r="I17" s="581" t="n"/>
      <c r="J17" s="574" t="inlineStr">
        <is>
          <t>CONSUMO M.O.</t>
        </is>
      </c>
    </row>
    <row r="18" ht="25.05" customFormat="1" customHeight="1" s="582" thickBot="1">
      <c r="A18" s="604">
        <f>P4</f>
        <v/>
      </c>
      <c r="B18" s="376" t="n"/>
      <c r="C18" s="604">
        <f>S4</f>
        <v/>
      </c>
      <c r="D18" s="571" t="n"/>
      <c r="E18" s="604">
        <f>U4</f>
        <v/>
      </c>
      <c r="F18" s="605" t="n"/>
      <c r="G18" s="571" t="n"/>
      <c r="H18" s="604">
        <f>A1&amp;" "&amp;A18&amp;"/jornada"</f>
        <v/>
      </c>
      <c r="J18" s="377">
        <f>IFERROR(1/V4,0)</f>
        <v/>
      </c>
    </row>
    <row r="19" ht="15" customFormat="1" customHeight="1" s="353" thickTop="1">
      <c r="A19" s="578" t="n"/>
      <c r="B19" s="579" t="n"/>
      <c r="C19" s="579" t="n"/>
      <c r="D19" s="579" t="n"/>
      <c r="E19" s="579" t="n"/>
      <c r="F19" s="579" t="n"/>
      <c r="G19" s="579" t="n"/>
      <c r="H19" s="579" t="n"/>
      <c r="I19" s="579" t="n"/>
      <c r="J19" s="579" t="n"/>
    </row>
    <row r="20" ht="15" customHeight="1" s="550">
      <c r="A20" s="361" t="inlineStr">
        <is>
          <t>1.</t>
        </is>
      </c>
      <c r="B20" s="366" t="n"/>
      <c r="C20" s="1286" t="inlineStr">
        <is>
          <t>MATERIALES</t>
        </is>
      </c>
      <c r="D20" s="1287" t="n"/>
      <c r="E20" s="588" t="n"/>
      <c r="F20" s="589" t="n"/>
      <c r="G20" s="589" t="n"/>
      <c r="H20" s="589" t="n"/>
      <c r="I20" s="589" t="n"/>
      <c r="J20" s="590" t="n"/>
    </row>
    <row r="21" ht="15" customFormat="1" customHeight="1" s="690">
      <c r="A21" s="356" t="n"/>
      <c r="B21" s="367" t="n"/>
      <c r="C21" s="357" t="inlineStr">
        <is>
          <t>Descripción</t>
        </is>
      </c>
      <c r="D21" s="358" t="n"/>
      <c r="E21" s="358" t="inlineStr">
        <is>
          <t>Und</t>
        </is>
      </c>
      <c r="F21" s="358" t="inlineStr">
        <is>
          <t>Cant.</t>
        </is>
      </c>
      <c r="G21" s="358" t="n"/>
      <c r="H21" s="358" t="inlineStr">
        <is>
          <t>Vr Unit.</t>
        </is>
      </c>
      <c r="I21" s="358" t="n"/>
      <c r="J21" s="359" t="inlineStr">
        <is>
          <t>Subtotal</t>
        </is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88" t="n"/>
      <c r="I26" s="1288" t="n"/>
      <c r="J26" s="1289">
        <f>F26*H26</f>
        <v/>
      </c>
    </row>
    <row r="27" ht="15" customHeight="1" s="550">
      <c r="A27" s="566" t="n"/>
      <c r="B27" s="567" t="n"/>
      <c r="C27" s="567" t="n"/>
      <c r="D27" s="567" t="n"/>
      <c r="E27" s="111" t="n"/>
      <c r="F27" s="112" t="n"/>
      <c r="G27" s="112" t="n"/>
      <c r="H27" s="1290" t="n"/>
      <c r="I27" s="1290" t="n"/>
      <c r="J27" s="1289">
        <f>F27*H27</f>
        <v/>
      </c>
    </row>
    <row r="28" ht="15" customHeight="1" s="550">
      <c r="A28" s="587" t="n"/>
      <c r="B28" s="1291" t="n"/>
      <c r="C28" s="1291" t="n"/>
      <c r="D28" s="1291" t="n"/>
      <c r="E28" s="596" t="inlineStr">
        <is>
          <t>SUBTOTAL MATERIALES</t>
        </is>
      </c>
      <c r="F28" s="1291" t="n"/>
      <c r="G28" s="1291" t="n"/>
      <c r="H28" s="1291" t="n"/>
      <c r="I28" s="1291" t="n"/>
      <c r="J28" s="1292">
        <f>SUM(J22:J27)</f>
        <v/>
      </c>
    </row>
    <row r="29" ht="15" customHeight="1" s="550">
      <c r="A29" s="187" t="inlineStr">
        <is>
          <t>2.</t>
        </is>
      </c>
      <c r="B29" s="368" t="n"/>
      <c r="C29" s="275" t="inlineStr">
        <is>
          <t>MANO DE OBRA</t>
        </is>
      </c>
      <c r="D29" s="275" t="n"/>
      <c r="E29" s="608" t="n"/>
      <c r="F29" s="609" t="n"/>
      <c r="G29" s="609" t="n"/>
      <c r="H29" s="609" t="n"/>
      <c r="I29" s="609" t="n"/>
      <c r="J29" s="610" t="n"/>
    </row>
    <row r="30" ht="15" customHeight="1" s="550">
      <c r="A30" s="64" t="n"/>
      <c r="B30" s="36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550">
      <c r="A31" s="580" t="n"/>
      <c r="B31" s="567" t="n"/>
      <c r="C31" s="567" t="n"/>
      <c r="D31" s="567" t="n"/>
      <c r="E31" s="111" t="n"/>
      <c r="F31" s="1437" t="n"/>
      <c r="G31" s="1437" t="n"/>
      <c r="H31" s="1288" t="n"/>
      <c r="I31" s="1288" t="n"/>
      <c r="J31" s="1294">
        <f>F31*H31</f>
        <v/>
      </c>
    </row>
    <row r="32" ht="15" customHeight="1" s="550">
      <c r="A32" s="580" t="n"/>
      <c r="B32" s="567" t="n"/>
      <c r="C32" s="567" t="n"/>
      <c r="D32" s="567" t="n"/>
      <c r="E32" s="111" t="n"/>
      <c r="F32" s="1437" t="n"/>
      <c r="G32" s="1437" t="n"/>
      <c r="H32" s="1288" t="n"/>
      <c r="I32" s="1288" t="n"/>
      <c r="J32" s="1294">
        <f>F32*H32</f>
        <v/>
      </c>
    </row>
    <row r="33" ht="15" customHeight="1" s="550">
      <c r="A33" s="580" t="n"/>
      <c r="B33" s="567" t="n"/>
      <c r="C33" s="567" t="n"/>
      <c r="D33" s="567" t="n"/>
      <c r="E33" s="111" t="n"/>
      <c r="F33" s="1437" t="n"/>
      <c r="G33" s="1437" t="n"/>
      <c r="H33" s="1288" t="n"/>
      <c r="I33" s="1288" t="n"/>
      <c r="J33" s="1294">
        <f>F33*H33</f>
        <v/>
      </c>
    </row>
    <row r="34" ht="15" customHeight="1" s="550">
      <c r="A34" s="580" t="n"/>
      <c r="B34" s="567" t="n"/>
      <c r="C34" s="567" t="n"/>
      <c r="D34" s="567" t="n"/>
      <c r="E34" s="111" t="n"/>
      <c r="F34" s="1437" t="n"/>
      <c r="G34" s="1437" t="n"/>
      <c r="H34" s="1288" t="n"/>
      <c r="I34" s="1288" t="n"/>
      <c r="J34" s="1294">
        <f>F34*H34</f>
        <v/>
      </c>
    </row>
    <row r="35" ht="15" customHeight="1" s="550">
      <c r="A35" s="580" t="n"/>
      <c r="B35" s="567" t="n"/>
      <c r="C35" s="567" t="n"/>
      <c r="D35" s="567" t="n"/>
      <c r="E35" s="111" t="n"/>
      <c r="F35" s="1437" t="n"/>
      <c r="G35" s="1437" t="n"/>
      <c r="H35" s="1288" t="n"/>
      <c r="I35" s="1288" t="n"/>
      <c r="J35" s="1294">
        <f>F35*H35</f>
        <v/>
      </c>
    </row>
    <row r="36" ht="15" customHeight="1" s="550">
      <c r="A36" s="580" t="n"/>
      <c r="B36" s="567" t="n"/>
      <c r="C36" s="567" t="n"/>
      <c r="D36" s="567" t="n"/>
      <c r="E36" s="111" t="n"/>
      <c r="F36" s="1437" t="n"/>
      <c r="G36" s="1437" t="n"/>
      <c r="H36" s="1290" t="n"/>
      <c r="I36" s="1290" t="n"/>
      <c r="J36" s="1294">
        <f>F36*H36</f>
        <v/>
      </c>
    </row>
    <row r="37" ht="15" customHeight="1" s="550">
      <c r="A37" s="572" t="n"/>
      <c r="B37" s="567" t="n"/>
      <c r="C37" s="567" t="n"/>
      <c r="D37" s="567" t="n"/>
      <c r="E37" s="577" t="inlineStr">
        <is>
          <t>SUBTOTAL MANO DE OBRA</t>
        </is>
      </c>
      <c r="F37" s="567" t="n"/>
      <c r="G37" s="567" t="n"/>
      <c r="H37" s="567" t="n"/>
      <c r="I37" s="567" t="n"/>
      <c r="J37" s="1295">
        <f>SUM(J31:J36)</f>
        <v/>
      </c>
    </row>
    <row r="38" ht="15" customHeight="1" s="550">
      <c r="A38" s="63" t="inlineStr">
        <is>
          <t>3.</t>
        </is>
      </c>
      <c r="B38" s="370" t="n"/>
      <c r="C38" s="276" t="inlineStr">
        <is>
          <t>EQUIPOS Y HERRAMIENTAS</t>
        </is>
      </c>
      <c r="D38" s="276" t="n"/>
      <c r="E38" s="606" t="n"/>
      <c r="F38" s="567" t="n"/>
      <c r="G38" s="567" t="n"/>
      <c r="H38" s="567" t="n"/>
      <c r="I38" s="567" t="n"/>
      <c r="J38" s="607" t="n"/>
    </row>
    <row r="39" ht="15.75" customHeight="1" s="550">
      <c r="A39" s="66" t="n"/>
      <c r="B39" s="276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88" t="n"/>
      <c r="I44" s="1288" t="n"/>
      <c r="J44" s="1294">
        <f>F44*H44</f>
        <v/>
      </c>
    </row>
    <row r="45" ht="15" customHeight="1" s="550">
      <c r="A45" s="580" t="n"/>
      <c r="B45" s="567" t="n"/>
      <c r="C45" s="567" t="n"/>
      <c r="D45" s="567" t="n"/>
      <c r="E45" s="111" t="n"/>
      <c r="F45" s="1437" t="n"/>
      <c r="G45" s="1437" t="n"/>
      <c r="H45" s="1288" t="n"/>
      <c r="I45" s="1288" t="n"/>
      <c r="J45" s="1294">
        <f>F45*H45</f>
        <v/>
      </c>
    </row>
    <row r="46" ht="15" customHeight="1" s="550">
      <c r="A46" s="572" t="n"/>
      <c r="B46" s="567" t="n"/>
      <c r="C46" s="567" t="n"/>
      <c r="D46" s="567" t="n"/>
      <c r="E46" s="577" t="inlineStr">
        <is>
          <t>SUBTOTAL EQUIPOS Y HERRAMIENTAS</t>
        </is>
      </c>
      <c r="F46" s="567" t="n"/>
      <c r="G46" s="567" t="n"/>
      <c r="H46" s="567" t="n"/>
      <c r="I46" s="567" t="n"/>
      <c r="J46" s="1295">
        <f>SUM(J40:J45)</f>
        <v/>
      </c>
    </row>
    <row r="47" ht="24.75" customHeight="1" s="550">
      <c r="A47" s="568" t="inlineStr">
        <is>
          <t xml:space="preserve">                Materiales</t>
        </is>
      </c>
      <c r="B47" s="567" t="n"/>
      <c r="C47" s="567" t="n"/>
      <c r="D47" s="567" t="n"/>
      <c r="E47" s="567" t="n"/>
      <c r="F47" s="567" t="n"/>
      <c r="G47" s="567" t="n"/>
      <c r="H47" s="567" t="n"/>
      <c r="I47" s="567" t="n"/>
      <c r="J47" s="1296">
        <f>J28</f>
        <v/>
      </c>
    </row>
    <row r="48" ht="24.75" customHeight="1" s="550">
      <c r="A48" s="568" t="inlineStr">
        <is>
          <t xml:space="preserve">                Mano de Obra</t>
        </is>
      </c>
      <c r="B48" s="567" t="n"/>
      <c r="C48" s="567" t="n"/>
      <c r="D48" s="567" t="n"/>
      <c r="E48" s="567" t="n"/>
      <c r="F48" s="567" t="n"/>
      <c r="G48" s="567" t="n"/>
      <c r="H48" s="567" t="n"/>
      <c r="I48" s="567" t="n"/>
      <c r="J48" s="1296">
        <f>J37</f>
        <v/>
      </c>
    </row>
    <row r="49" ht="24.75" customHeight="1" s="550">
      <c r="A49" s="568" t="inlineStr">
        <is>
          <t xml:space="preserve">                Equipos y herramientas</t>
        </is>
      </c>
      <c r="B49" s="567" t="n"/>
      <c r="C49" s="567" t="n"/>
      <c r="D49" s="567" t="n"/>
      <c r="E49" s="567" t="n"/>
      <c r="F49" s="567" t="n"/>
      <c r="G49" s="567" t="n"/>
      <c r="H49" s="567" t="n"/>
      <c r="I49" s="567" t="n"/>
      <c r="J49" s="1296">
        <f>J46</f>
        <v/>
      </c>
    </row>
    <row r="50" ht="19.95" customHeight="1" s="550">
      <c r="A50" s="1276" t="inlineStr">
        <is>
          <t>TOTAL DIRECTO UNITARIO</t>
        </is>
      </c>
      <c r="B50" s="1217" t="n"/>
      <c r="C50" s="1217" t="n"/>
      <c r="D50" s="1217" t="n"/>
      <c r="E50" s="1217" t="n"/>
      <c r="F50" s="1217" t="n"/>
      <c r="G50" s="1217" t="n"/>
      <c r="H50" s="1217" t="n"/>
      <c r="I50" s="1217" t="n"/>
      <c r="J50" s="1297">
        <f>SUM(J47:J49)</f>
        <v/>
      </c>
    </row>
    <row r="51" ht="4.5" customHeight="1" s="550">
      <c r="A51" s="67" t="n"/>
      <c r="B51" s="371" t="n"/>
      <c r="C51" s="371" t="n"/>
      <c r="D51" s="371" t="n"/>
      <c r="E51" s="371" t="n"/>
      <c r="F51" s="371" t="n"/>
      <c r="G51" s="371" t="n"/>
      <c r="H51" s="371" t="n"/>
      <c r="I51" s="371" t="n"/>
      <c r="J51" s="68" t="n"/>
    </row>
    <row r="52" ht="15.75" customHeight="1" s="550">
      <c r="A52" s="584" t="inlineStr">
        <is>
          <t>ELABORADO POR</t>
        </is>
      </c>
      <c r="B52" s="585" t="n"/>
      <c r="C52" s="585" t="n"/>
      <c r="D52" s="585" t="n"/>
      <c r="E52" s="372" t="n"/>
      <c r="F52" s="597" t="inlineStr">
        <is>
          <t>Vo. Bo. INTERVENTORÍA:</t>
        </is>
      </c>
      <c r="G52" s="585" t="n"/>
      <c r="H52" s="585" t="n"/>
      <c r="I52" s="585" t="n"/>
      <c r="J52" s="598" t="n"/>
    </row>
    <row r="53" ht="42" customHeight="1" s="550">
      <c r="A53" s="298" t="inlineStr">
        <is>
          <t>FIRMA:</t>
        </is>
      </c>
      <c r="B53" s="1267" t="n"/>
      <c r="C53" s="565" t="n"/>
      <c r="D53" s="565" t="n"/>
      <c r="E53" s="565" t="n"/>
      <c r="F53" s="1268" t="inlineStr">
        <is>
          <t>FIRMA:</t>
        </is>
      </c>
      <c r="G53" s="1269" t="n"/>
      <c r="H53" s="565" t="n"/>
      <c r="I53" s="565" t="n"/>
      <c r="J53" s="593" t="n"/>
    </row>
    <row r="54" ht="24.75" customHeight="1" s="550">
      <c r="A54" s="298" t="inlineStr">
        <is>
          <t>NOMBRE:</t>
        </is>
      </c>
      <c r="B54" s="1267" t="n"/>
      <c r="C54" s="565" t="n"/>
      <c r="D54" s="565" t="n"/>
      <c r="E54" s="565" t="n"/>
      <c r="F54" s="1268" t="inlineStr">
        <is>
          <t>NOMBRE:</t>
        </is>
      </c>
      <c r="G54" s="1269" t="n"/>
      <c r="H54" s="565" t="n"/>
      <c r="I54" s="565" t="n"/>
      <c r="J54" s="593" t="n"/>
    </row>
    <row r="55" ht="24.75" customHeight="1" s="550">
      <c r="A55" s="298" t="inlineStr">
        <is>
          <t>CARGO:</t>
        </is>
      </c>
      <c r="B55" s="1267" t="n"/>
      <c r="C55" s="565" t="n"/>
      <c r="D55" s="565" t="n"/>
      <c r="E55" s="565" t="n"/>
      <c r="F55" s="1268" t="inlineStr">
        <is>
          <t>CARGO:</t>
        </is>
      </c>
      <c r="G55" s="1269" t="n"/>
      <c r="H55" s="565" t="n"/>
      <c r="I55" s="565" t="n"/>
      <c r="J55" s="593" t="n"/>
    </row>
    <row r="56" ht="15" customHeight="1" s="550">
      <c r="A56" s="204" t="inlineStr">
        <is>
          <t>REV. 10/09/2026</t>
        </is>
      </c>
      <c r="B56" s="1278" t="n"/>
      <c r="C56" s="583" t="n"/>
      <c r="D56" s="583" t="n"/>
      <c r="E56" s="583" t="n"/>
      <c r="F56" s="583" t="n"/>
      <c r="G56" s="583" t="n"/>
      <c r="H56" s="583" t="n"/>
      <c r="I56" s="583" t="n"/>
      <c r="J56" s="335">
        <f>J5</f>
        <v/>
      </c>
    </row>
  </sheetData>
  <mergeCells count="59">
    <mergeCell ref="A23:D23"/>
    <mergeCell ref="G17:G18"/>
    <mergeCell ref="A22:D22"/>
    <mergeCell ref="G55:J55"/>
    <mergeCell ref="A35:D35"/>
    <mergeCell ref="E5:F5"/>
    <mergeCell ref="D17:D18"/>
    <mergeCell ref="B55:E55"/>
    <mergeCell ref="G54:J54"/>
    <mergeCell ref="A43:D43"/>
    <mergeCell ref="E17:F17"/>
    <mergeCell ref="A50:I50"/>
    <mergeCell ref="A28:D28"/>
    <mergeCell ref="A10:J10"/>
    <mergeCell ref="A19:J19"/>
    <mergeCell ref="A44:D44"/>
    <mergeCell ref="B56:I56"/>
    <mergeCell ref="C20:D20"/>
    <mergeCell ref="A40:D40"/>
    <mergeCell ref="A31:D31"/>
    <mergeCell ref="A47:I47"/>
    <mergeCell ref="A34:D34"/>
    <mergeCell ref="E28:I28"/>
    <mergeCell ref="B54:E54"/>
    <mergeCell ref="I17:I18"/>
    <mergeCell ref="A24:D24"/>
    <mergeCell ref="D1:J1"/>
    <mergeCell ref="H3:J3"/>
    <mergeCell ref="A36:D36"/>
    <mergeCell ref="A52:C52"/>
    <mergeCell ref="A11:J11"/>
    <mergeCell ref="A45:D45"/>
    <mergeCell ref="E46:I46"/>
    <mergeCell ref="E20:J20"/>
    <mergeCell ref="A25:D25"/>
    <mergeCell ref="A41:D41"/>
    <mergeCell ref="A16:J16"/>
    <mergeCell ref="A48:I48"/>
    <mergeCell ref="C15:E15"/>
    <mergeCell ref="A46:D46"/>
    <mergeCell ref="F52:J52"/>
    <mergeCell ref="A37:D37"/>
    <mergeCell ref="A27:D27"/>
    <mergeCell ref="C14:E14"/>
    <mergeCell ref="A49:I49"/>
    <mergeCell ref="B53:E53"/>
    <mergeCell ref="G53:J53"/>
    <mergeCell ref="E18:F18"/>
    <mergeCell ref="A26:D26"/>
    <mergeCell ref="H15:I15"/>
    <mergeCell ref="A12:J12"/>
    <mergeCell ref="C13:J13"/>
    <mergeCell ref="H14:I14"/>
    <mergeCell ref="A33:D33"/>
    <mergeCell ref="E37:I37"/>
    <mergeCell ref="A42:D42"/>
    <mergeCell ref="E38:J38"/>
    <mergeCell ref="A32:D32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2026-09-20T04:39:52Z</dcterms:modified>
  <cp:lastModifiedBy>Hugo Fernando Hurtado Ruiz</cp:lastModifiedBy>
  <cp:revision>1</cp:revision>
  <cp:lastPrinted>2026-09-14T01:27:33Z</cp:lastPrinted>
</cp:coreProperties>
</file>