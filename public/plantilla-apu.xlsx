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28" fillId="0" borderId="29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1944750</colOff>
      <row>8</row>
      <rowOff>49500</rowOff>
    </to>
    <pic>
      <nvPicPr>
        <cNvPr id="4" name="Imagen 2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564000" cy="176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W82"/>
  <sheetViews>
    <sheetView tabSelected="1" zoomScale="72" zoomScaleNormal="72" workbookViewId="0">
      <selection activeCell="O23" sqref="O23"/>
    </sheetView>
  </sheetViews>
  <sheetFormatPr baseColWidth="10" defaultColWidth="8.88671875" defaultRowHeight="14.4"/>
  <cols>
    <col width="20.77734375" customWidth="1" style="550" min="1" max="1"/>
    <col width="2.77734375" customWidth="1" style="550" min="2" max="2"/>
    <col width="50.77734375" customWidth="1" style="550" min="3" max="3"/>
    <col width="2.77734375" customWidth="1" style="550" min="4" max="4"/>
    <col width="26.33203125" customWidth="1" style="550" min="5" max="6"/>
    <col width="13" customWidth="1" style="550" min="7" max="7"/>
    <col width="26.33203125" customWidth="1" style="550" min="8" max="8"/>
    <col width="2.77734375" customWidth="1" style="550" min="9" max="9"/>
    <col width="26" customWidth="1" style="550" min="10" max="10"/>
    <col width="4.77734375" customWidth="1" style="550" min="14" max="14"/>
  </cols>
  <sheetData>
    <row r="1" ht="40.05" customHeight="1" s="550">
      <c r="A1" s="618" t="n"/>
      <c r="B1" s="618" t="n"/>
      <c r="C1" s="516" t="n"/>
      <c r="D1" s="1279" t="inlineStr">
        <is>
          <t>ANÁLISIS DE PRECIOS UNITARIOS</t>
        </is>
      </c>
    </row>
    <row r="2" ht="4.95" customHeight="1" s="550">
      <c r="A2" s="618" t="n"/>
      <c r="B2" s="618" t="n"/>
      <c r="C2" s="516" t="n"/>
      <c r="D2" s="1281" t="n"/>
      <c r="E2" s="1282" t="n"/>
      <c r="F2" s="1282" t="n"/>
      <c r="G2" s="1282" t="n"/>
      <c r="H2" s="1282" t="n"/>
      <c r="I2" s="1282" t="n"/>
      <c r="J2" s="1280" t="n"/>
    </row>
    <row r="3" ht="15" customHeight="1" s="550">
      <c r="A3" s="618" t="n"/>
      <c r="B3" s="618" t="n"/>
      <c r="C3" s="516" t="n"/>
      <c r="D3" s="618" t="n"/>
      <c r="E3" s="252" t="n"/>
      <c r="F3" s="252" t="n"/>
      <c r="G3" s="252" t="n"/>
      <c r="H3" s="558" t="inlineStr">
        <is>
          <t>CONTROL DOCUMENTAL</t>
        </is>
      </c>
      <c r="I3" s="583" t="n"/>
      <c r="J3" s="559" t="n"/>
    </row>
    <row r="4" ht="15" customHeight="1" s="550">
      <c r="A4" s="618" t="n"/>
      <c r="B4" s="618" t="n"/>
      <c r="C4" s="516" t="n"/>
      <c r="D4" s="618" t="n"/>
      <c r="E4" s="573" t="inlineStr">
        <is>
          <t>REFORMAS Y REMODELACIONES</t>
        </is>
      </c>
      <c r="H4" s="118" t="inlineStr">
        <is>
          <t>Código</t>
        </is>
      </c>
      <c r="I4" s="801" t="n"/>
      <c r="J4" s="189" t="inlineStr">
        <is>
          <t>RYR-AP-001</t>
        </is>
      </c>
      <c r="K4" s="113" t="n"/>
      <c r="M4" s="113" t="n"/>
      <c r="P4" s="113" t="inlineStr">
        <is>
          <t>m2</t>
        </is>
      </c>
      <c r="Q4" s="113" t="n"/>
      <c r="R4" s="114" t="n"/>
      <c r="S4" s="115" t="inlineStr">
        <is>
          <t>1 Topógrafo + 1 Cadenero 1o</t>
        </is>
      </c>
      <c r="T4" s="114" t="n"/>
      <c r="U4" s="615">
        <f>8&amp;"horas"</f>
        <v/>
      </c>
      <c r="V4" s="115" t="n">
        <v>100</v>
      </c>
      <c r="W4" s="115" t="inlineStr">
        <is>
          <t>m2/jornada</t>
        </is>
      </c>
    </row>
    <row r="5" ht="15" customHeight="1" s="550">
      <c r="A5" s="618" t="n"/>
      <c r="B5" s="618" t="n"/>
      <c r="C5" s="516" t="n"/>
      <c r="D5" s="618" t="n"/>
      <c r="E5" s="278" t="inlineStr">
        <is>
          <t>DISEÑAMOS, RENOVAMOS Y CONSTRUIMOS ESPACIOS QUE INSPIRAN</t>
        </is>
      </c>
      <c r="F5" s="252" t="n"/>
      <c r="G5" s="252" t="n"/>
      <c r="H5" s="195" t="inlineStr">
        <is>
          <t>Versión</t>
        </is>
      </c>
      <c r="I5" s="784" t="n"/>
      <c r="J5" s="189" t="n">
        <v>1</v>
      </c>
      <c r="K5" s="113" t="n"/>
      <c r="M5" s="113" t="n"/>
    </row>
    <row r="6" ht="15" customHeight="1" s="550">
      <c r="A6" s="618" t="n"/>
      <c r="B6" s="618" t="n"/>
      <c r="C6" s="516" t="n"/>
      <c r="D6" s="618" t="n"/>
      <c r="E6" s="188" t="n"/>
      <c r="F6" s="252" t="n"/>
      <c r="G6" s="252" t="n"/>
      <c r="H6" s="118" t="inlineStr">
        <is>
          <t>Fecha de Emisión</t>
        </is>
      </c>
      <c r="I6" s="801" t="n"/>
      <c r="J6" s="189" t="inlineStr">
        <is>
          <t>10/09/2026</t>
        </is>
      </c>
      <c r="K6" s="113" t="n"/>
      <c r="M6" s="113" t="n"/>
    </row>
    <row r="7" ht="15" customHeight="1" s="550">
      <c r="A7" s="618" t="n"/>
      <c r="B7" s="618" t="n"/>
      <c r="C7" s="516" t="n"/>
      <c r="D7" s="618" t="n"/>
      <c r="E7" s="252" t="n"/>
      <c r="F7" s="252" t="n"/>
      <c r="G7" s="252" t="n"/>
      <c r="H7" s="118" t="inlineStr">
        <is>
          <t>Página</t>
        </is>
      </c>
      <c r="I7" s="801" t="n"/>
      <c r="J7" s="189" t="inlineStr">
        <is>
          <t>1 de 1</t>
        </is>
      </c>
      <c r="K7" s="113" t="n"/>
      <c r="M7" s="113" t="n"/>
    </row>
    <row r="8" ht="15" customHeight="1" s="550">
      <c r="A8" s="252" t="n"/>
      <c r="B8" s="252" t="n"/>
      <c r="C8" s="252" t="n"/>
      <c r="D8" s="515" t="n"/>
      <c r="E8" s="252" t="n"/>
      <c r="F8" s="1" t="n"/>
      <c r="G8" s="1" t="n"/>
      <c r="H8" s="2" t="n"/>
      <c r="I8" s="2" t="n"/>
      <c r="J8" s="2" t="n"/>
    </row>
    <row r="9" ht="25.05" customHeight="1" s="550">
      <c r="A9" s="576" t="inlineStr">
        <is>
          <t>LOCALIZACIÓN Y REPLANTEO</t>
        </is>
      </c>
    </row>
    <row r="10" ht="15" customHeight="1" s="550">
      <c r="A10" s="586" t="n"/>
    </row>
    <row r="11" ht="15" customHeight="1" s="550">
      <c r="A11" s="602" t="inlineStr">
        <is>
          <t>IDENTIFICACIÓN DEL PROYECTO</t>
        </is>
      </c>
    </row>
    <row r="12" ht="15" customHeight="1" s="550">
      <c r="A12" s="360" t="inlineStr">
        <is>
          <t>Proyecto</t>
        </is>
      </c>
      <c r="B12" s="354" t="n"/>
      <c r="C12" s="603" t="n"/>
      <c r="D12" s="595" t="n"/>
      <c r="E12" s="595" t="n"/>
      <c r="F12" s="595" t="n"/>
      <c r="G12" s="595" t="n"/>
      <c r="H12" s="595" t="n"/>
      <c r="I12" s="595" t="n"/>
      <c r="J12" s="601" t="n"/>
    </row>
    <row r="13" ht="15" customHeight="1" s="550">
      <c r="A13" s="360" t="inlineStr">
        <is>
          <t>No de Contrato</t>
        </is>
      </c>
      <c r="B13" s="354" t="n"/>
      <c r="C13" s="599" t="n"/>
      <c r="D13" s="595" t="n"/>
      <c r="E13" s="595" t="n"/>
      <c r="F13" s="355" t="n"/>
      <c r="G13" s="355" t="n"/>
      <c r="H13" s="600" t="inlineStr">
        <is>
          <t>Fecha de Emisión</t>
        </is>
      </c>
      <c r="I13" s="601" t="n"/>
      <c r="J13" s="601" t="n"/>
    </row>
    <row r="14" ht="15" customHeight="1" s="550">
      <c r="A14" s="360" t="inlineStr">
        <is>
          <t>Contratista</t>
        </is>
      </c>
      <c r="B14" s="354" t="n"/>
      <c r="C14" s="594" t="inlineStr">
        <is>
          <t>REFORMAS Y REMODELACIONES</t>
        </is>
      </c>
      <c r="D14" s="595" t="n"/>
      <c r="E14" s="595" t="n"/>
      <c r="F14" s="355" t="n"/>
      <c r="G14" s="355" t="n"/>
      <c r="H14" s="600" t="inlineStr">
        <is>
          <t>Ubicación</t>
        </is>
      </c>
      <c r="I14" s="601" t="n"/>
      <c r="J14" s="601" t="n"/>
    </row>
    <row r="15" ht="15" customHeight="1" s="550">
      <c r="A15" s="591" t="n"/>
      <c r="B15" s="592" t="n"/>
      <c r="C15" s="592" t="n"/>
      <c r="D15" s="592" t="n"/>
      <c r="E15" s="592" t="n"/>
      <c r="F15" s="592" t="n"/>
      <c r="G15" s="592" t="n"/>
      <c r="H15" s="592" t="n"/>
      <c r="I15" s="592" t="n"/>
      <c r="J15" s="592" t="n"/>
    </row>
    <row r="16" ht="19.95" customHeight="1" s="550" thickBot="1">
      <c r="A16" s="574" t="inlineStr">
        <is>
          <t>UNIDAD</t>
        </is>
      </c>
      <c r="B16" s="376" t="n"/>
      <c r="C16" s="574" t="inlineStr">
        <is>
          <t>CUADRILLA</t>
        </is>
      </c>
      <c r="D16" s="570" t="n"/>
      <c r="E16" s="574" t="inlineStr">
        <is>
          <t>JORNADA</t>
        </is>
      </c>
      <c r="F16" s="575" t="n"/>
      <c r="G16" s="570" t="n"/>
      <c r="H16" s="574" t="inlineStr">
        <is>
          <t>RENDIMIENTO</t>
        </is>
      </c>
      <c r="I16" s="581" t="n"/>
      <c r="J16" s="574" t="inlineStr">
        <is>
          <t>CONSUMO M.O.</t>
        </is>
      </c>
    </row>
    <row r="17" ht="25.05" customHeight="1" s="550" thickTop="1">
      <c r="A17" s="604">
        <f>P4</f>
        <v/>
      </c>
      <c r="B17" s="376" t="n"/>
      <c r="C17" s="604">
        <f>S4</f>
        <v/>
      </c>
      <c r="D17" s="571" t="n"/>
      <c r="E17" s="604">
        <f>U4</f>
        <v/>
      </c>
      <c r="F17" s="605" t="n"/>
      <c r="G17" s="571" t="n"/>
      <c r="H17" s="604">
        <f>A1&amp;" "&amp;A17&amp;"/jornada"</f>
        <v/>
      </c>
      <c r="J17" s="377">
        <f>IFERROR(1/V4,0)</f>
        <v/>
      </c>
    </row>
    <row r="18" ht="15" customFormat="1" customHeight="1" s="582" thickBot="1">
      <c r="A18" s="578" t="n"/>
      <c r="B18" s="579" t="n"/>
      <c r="C18" s="579" t="n"/>
      <c r="D18" s="579" t="n"/>
      <c r="E18" s="579" t="n"/>
      <c r="F18" s="579" t="n"/>
      <c r="G18" s="579" t="n"/>
      <c r="H18" s="579" t="n"/>
      <c r="I18" s="579" t="n"/>
      <c r="J18" s="579" t="n"/>
    </row>
    <row r="19" ht="15" customFormat="1" customHeight="1" s="353" thickTop="1">
      <c r="A19" s="361" t="inlineStr">
        <is>
          <t>1.</t>
        </is>
      </c>
      <c r="B19" s="366" t="n"/>
      <c r="C19" s="1286" t="inlineStr">
        <is>
          <t>MATERIALES</t>
        </is>
      </c>
      <c r="D19" s="1287" t="n"/>
      <c r="E19" s="588" t="n"/>
      <c r="F19" s="589" t="n"/>
      <c r="G19" s="589" t="n"/>
      <c r="H19" s="589" t="n"/>
      <c r="I19" s="589" t="n"/>
      <c r="J19" s="590" t="n"/>
    </row>
    <row r="20" ht="15" customHeight="1" s="550">
      <c r="A20" s="356" t="n"/>
      <c r="B20" s="367" t="n"/>
      <c r="C20" s="357" t="inlineStr">
        <is>
          <t>Descripción</t>
        </is>
      </c>
      <c r="D20" s="358" t="n"/>
      <c r="E20" s="358" t="inlineStr">
        <is>
          <t>Und</t>
        </is>
      </c>
      <c r="F20" s="358" t="inlineStr">
        <is>
          <t>Cant.</t>
        </is>
      </c>
      <c r="G20" s="358" t="inlineStr">
        <is>
          <t>Factor de Desperdicio</t>
        </is>
      </c>
      <c r="H20" s="358" t="inlineStr">
        <is>
          <t>Vr Unit.</t>
        </is>
      </c>
      <c r="I20" s="358" t="n"/>
      <c r="J20" s="359" t="inlineStr">
        <is>
          <t>Subtotal</t>
        </is>
      </c>
    </row>
    <row r="21" ht="15" customFormat="1" customHeight="1" s="690">
      <c r="A21" s="566" t="n"/>
      <c r="B21" s="567" t="n"/>
      <c r="C21" s="567" t="n"/>
      <c r="D21" s="567" t="n"/>
      <c r="E21" s="111" t="n"/>
      <c r="F21" s="112" t="n"/>
      <c r="G21" s="112" t="n"/>
      <c r="H21" s="1288" t="n"/>
      <c r="I21" s="1288" t="n"/>
      <c r="J21" s="1289">
        <f>F21*IF(G21=0,1,G21)*H21</f>
        <v/>
      </c>
    </row>
    <row r="22" ht="15" customHeight="1" s="550">
      <c r="A22" s="566" t="n"/>
      <c r="B22" s="567" t="n"/>
      <c r="C22" s="567" t="n"/>
      <c r="D22" s="567" t="n"/>
      <c r="E22" s="111" t="n"/>
      <c r="F22" s="112" t="n"/>
      <c r="G22" s="112" t="n"/>
      <c r="H22" s="1288" t="n"/>
      <c r="I22" s="1288" t="n"/>
      <c r="J22" s="1289">
        <f>F22*IF(G22=0,1,G22)*H22</f>
        <v/>
      </c>
    </row>
    <row r="23" ht="15" customHeight="1" s="550">
      <c r="A23" s="566" t="n"/>
      <c r="B23" s="567" t="n"/>
      <c r="C23" s="567" t="n"/>
      <c r="D23" s="567" t="n"/>
      <c r="E23" s="111" t="n"/>
      <c r="F23" s="112" t="n"/>
      <c r="G23" s="112" t="n"/>
      <c r="H23" s="1288" t="n"/>
      <c r="I23" s="1288" t="n"/>
      <c r="J23" s="1289">
        <f>F23*IF(G23=0,1,G23)*H23</f>
        <v/>
      </c>
    </row>
    <row r="24" ht="15" customHeight="1" s="550">
      <c r="A24" s="566" t="n"/>
      <c r="B24" s="567" t="n"/>
      <c r="C24" s="567" t="n"/>
      <c r="D24" s="567" t="n"/>
      <c r="E24" s="111" t="n"/>
      <c r="F24" s="112" t="n"/>
      <c r="G24" s="112" t="n"/>
      <c r="H24" s="1288" t="n"/>
      <c r="I24" s="1288" t="n"/>
      <c r="J24" s="1289">
        <f>F24*IF(G24=0,1,G24)*H24</f>
        <v/>
      </c>
    </row>
    <row r="25" ht="15" customHeight="1" s="550">
      <c r="A25" s="566" t="n"/>
      <c r="B25" s="567" t="n"/>
      <c r="C25" s="567" t="n"/>
      <c r="D25" s="567" t="n"/>
      <c r="E25" s="111" t="n"/>
      <c r="F25" s="112" t="n"/>
      <c r="G25" s="112" t="n"/>
      <c r="H25" s="1288" t="n"/>
      <c r="I25" s="1288" t="n"/>
      <c r="J25" s="1289">
        <f>F25*IF(G25=0,1,G25)*H25</f>
        <v/>
      </c>
    </row>
    <row r="26" ht="15" customHeight="1" s="550">
      <c r="A26" s="566" t="n"/>
      <c r="B26" s="567" t="n"/>
      <c r="C26" s="567" t="n"/>
      <c r="D26" s="567" t="n"/>
      <c r="E26" s="111" t="n"/>
      <c r="F26" s="112" t="n"/>
      <c r="G26" s="112" t="n"/>
      <c r="H26" s="1290" t="n"/>
      <c r="I26" s="1290" t="n"/>
      <c r="J26" s="1289">
        <f>F26*IF(G26=0,1,G26)*H26</f>
        <v/>
      </c>
    </row>
    <row r="27" ht="15" customHeight="1" s="550">
      <c r="A27" s="566" t="n"/>
      <c r="B27" s="1446" t="n"/>
      <c r="C27" s="1446" t="n"/>
      <c r="D27" s="1446" t="n"/>
      <c r="E27" s="111" t="n"/>
      <c r="F27" s="112" t="n"/>
      <c r="G27" s="112" t="n"/>
      <c r="H27" s="1288" t="n"/>
      <c r="I27" s="1288" t="n"/>
      <c r="J27" s="1289">
        <f>F27*IF(G27=0,1,G27)*H27</f>
        <v/>
      </c>
    </row>
    <row r="28">
      <c r="A28" s="566" t="n"/>
      <c r="B28" s="1446" t="n"/>
      <c r="C28" s="1446" t="n"/>
      <c r="D28" s="1446" t="n"/>
      <c r="E28" s="111" t="n"/>
      <c r="F28" s="112" t="n"/>
      <c r="G28" s="112" t="n"/>
      <c r="H28" s="1288" t="n"/>
      <c r="I28" s="1288" t="n"/>
      <c r="J28" s="1289">
        <f>F28*IF(G28=0,1,G28)*H28</f>
        <v/>
      </c>
    </row>
    <row r="29">
      <c r="A29" s="566" t="n"/>
      <c r="B29" s="1446" t="n"/>
      <c r="C29" s="1446" t="n"/>
      <c r="D29" s="1446" t="n"/>
      <c r="E29" s="111" t="n"/>
      <c r="F29" s="112" t="n"/>
      <c r="G29" s="112" t="n"/>
      <c r="H29" s="1288" t="n"/>
      <c r="I29" s="1288" t="n"/>
      <c r="J29" s="1289">
        <f>F29*IF(G29=0,1,G29)*H29</f>
        <v/>
      </c>
    </row>
    <row r="30">
      <c r="A30" s="566" t="n"/>
      <c r="B30" s="1446" t="n"/>
      <c r="C30" s="1446" t="n"/>
      <c r="D30" s="1446" t="n"/>
      <c r="E30" s="111" t="n"/>
      <c r="F30" s="112" t="n"/>
      <c r="G30" s="112" t="n"/>
      <c r="H30" s="1288" t="n"/>
      <c r="I30" s="1288" t="n"/>
      <c r="J30" s="1289">
        <f>F30*IF(G30=0,1,G30)*H30</f>
        <v/>
      </c>
    </row>
    <row r="31">
      <c r="A31" s="566" t="n"/>
      <c r="B31" s="1446" t="n"/>
      <c r="C31" s="1446" t="n"/>
      <c r="D31" s="1446" t="n"/>
      <c r="E31" s="111" t="n"/>
      <c r="F31" s="112" t="n"/>
      <c r="G31" s="112" t="n"/>
      <c r="H31" s="1288" t="n"/>
      <c r="I31" s="1288" t="n"/>
      <c r="J31" s="1289">
        <f>F31*IF(G31=0,1,G31)*H31</f>
        <v/>
      </c>
    </row>
    <row r="32">
      <c r="A32" s="566" t="n"/>
      <c r="B32" s="1446" t="n"/>
      <c r="C32" s="1446" t="n"/>
      <c r="D32" s="1446" t="n"/>
      <c r="E32" s="111" t="n"/>
      <c r="F32" s="112" t="n"/>
      <c r="G32" s="112" t="n"/>
      <c r="H32" s="1288" t="n"/>
      <c r="I32" s="1288" t="n"/>
      <c r="J32" s="1289">
        <f>F32*IF(G32=0,1,G32)*H32</f>
        <v/>
      </c>
    </row>
    <row r="33">
      <c r="A33" s="566" t="n"/>
      <c r="B33" s="1446" t="n"/>
      <c r="C33" s="1446" t="n"/>
      <c r="D33" s="1446" t="n"/>
      <c r="E33" s="111" t="n"/>
      <c r="F33" s="112" t="n"/>
      <c r="G33" s="112" t="n"/>
      <c r="H33" s="1288" t="n"/>
      <c r="I33" s="1288" t="n"/>
      <c r="J33" s="1289">
        <f>F33*IF(G33=0,1,G33)*H33</f>
        <v/>
      </c>
    </row>
    <row r="34">
      <c r="A34" s="566" t="n"/>
      <c r="B34" s="1446" t="n"/>
      <c r="C34" s="1446" t="n"/>
      <c r="D34" s="1446" t="n"/>
      <c r="E34" s="111" t="n"/>
      <c r="F34" s="112" t="n"/>
      <c r="G34" s="112" t="n"/>
      <c r="H34" s="1288" t="n"/>
      <c r="I34" s="1288" t="n"/>
      <c r="J34" s="1289">
        <f>F34*IF(G34=0,1,G34)*H34</f>
        <v/>
      </c>
    </row>
    <row r="35">
      <c r="A35" s="566" t="n"/>
      <c r="B35" s="1446" t="n"/>
      <c r="C35" s="1446" t="n"/>
      <c r="D35" s="1446" t="n"/>
      <c r="E35" s="111" t="n"/>
      <c r="F35" s="112" t="n"/>
      <c r="G35" s="112" t="n"/>
      <c r="H35" s="1288" t="n"/>
      <c r="I35" s="1288" t="n"/>
      <c r="J35" s="1289">
        <f>F35*IF(G35=0,1,G35)*H35</f>
        <v/>
      </c>
    </row>
    <row r="36" ht="15" customHeight="1" s="550">
      <c r="A36" s="587" t="n"/>
      <c r="B36" s="1291" t="n"/>
      <c r="C36" s="1291" t="n"/>
      <c r="D36" s="1291" t="n"/>
      <c r="E36" s="596" t="inlineStr">
        <is>
          <t>SUBTOTAL MATERIALES</t>
        </is>
      </c>
      <c r="F36" s="1291" t="n"/>
      <c r="G36" s="1291" t="n"/>
      <c r="H36" s="1291" t="n"/>
      <c r="I36" s="1291" t="n"/>
      <c r="J36" s="1292">
        <f>SUM(J21:J35)</f>
        <v/>
      </c>
    </row>
    <row r="37" ht="15" customHeight="1" s="550">
      <c r="A37" s="187" t="inlineStr">
        <is>
          <t>2.</t>
        </is>
      </c>
      <c r="B37" s="368" t="n"/>
      <c r="C37" s="275" t="inlineStr">
        <is>
          <t>MANO DE OBRA</t>
        </is>
      </c>
      <c r="D37" s="275" t="n"/>
      <c r="E37" s="608" t="n"/>
      <c r="F37" s="609" t="n"/>
      <c r="G37" s="609" t="n"/>
      <c r="H37" s="609" t="n"/>
      <c r="I37" s="609" t="n"/>
      <c r="J37" s="610" t="n"/>
    </row>
    <row r="38" ht="15" customHeight="1" s="550">
      <c r="A38" s="64" t="n"/>
      <c r="B38" s="369" t="n"/>
      <c r="C38" s="48" t="inlineStr">
        <is>
          <t>Descripción</t>
        </is>
      </c>
      <c r="D38" s="48" t="n"/>
      <c r="E38" s="48" t="inlineStr">
        <is>
          <t>Und</t>
        </is>
      </c>
      <c r="F38" s="48" t="inlineStr">
        <is>
          <t>Cant.</t>
        </is>
      </c>
      <c r="G38" s="48" t="inlineStr">
        <is>
          <t>Rendimiento</t>
        </is>
      </c>
      <c r="H38" s="48" t="inlineStr">
        <is>
          <t>Vr Unit.</t>
        </is>
      </c>
      <c r="I38" s="48" t="n"/>
      <c r="J38" s="65" t="inlineStr">
        <is>
          <t>Subtotal</t>
        </is>
      </c>
    </row>
    <row r="39" ht="15" customHeight="1" s="550">
      <c r="A39" s="580" t="n"/>
      <c r="B39" s="567" t="n"/>
      <c r="C39" s="567" t="n"/>
      <c r="D39" s="567" t="n"/>
      <c r="E39" s="111" t="n"/>
      <c r="F39" s="1437" t="n"/>
      <c r="G39" s="1437" t="n"/>
      <c r="H39" s="1288" t="n"/>
      <c r="I39" s="1288" t="n"/>
      <c r="J39" s="1294">
        <f>G39*H39</f>
        <v/>
      </c>
    </row>
    <row r="40" ht="15" customHeight="1" s="550">
      <c r="A40" s="580" t="n"/>
      <c r="B40" s="567" t="n"/>
      <c r="C40" s="567" t="n"/>
      <c r="D40" s="567" t="n"/>
      <c r="E40" s="111" t="n"/>
      <c r="F40" s="1437" t="n"/>
      <c r="G40" s="1437" t="n"/>
      <c r="H40" s="1288" t="n"/>
      <c r="I40" s="1288" t="n"/>
      <c r="J40" s="1294">
        <f>G40*H40</f>
        <v/>
      </c>
    </row>
    <row r="41" ht="15" customHeight="1" s="550">
      <c r="A41" s="580" t="n"/>
      <c r="B41" s="567" t="n"/>
      <c r="C41" s="567" t="n"/>
      <c r="D41" s="567" t="n"/>
      <c r="E41" s="111" t="n"/>
      <c r="F41" s="1437" t="n"/>
      <c r="G41" s="1437" t="n"/>
      <c r="H41" s="1288" t="n"/>
      <c r="I41" s="1288" t="n"/>
      <c r="J41" s="1294">
        <f>G41*H41</f>
        <v/>
      </c>
    </row>
    <row r="42" ht="15" customHeight="1" s="550">
      <c r="A42" s="580" t="n"/>
      <c r="B42" s="567" t="n"/>
      <c r="C42" s="567" t="n"/>
      <c r="D42" s="567" t="n"/>
      <c r="E42" s="111" t="n"/>
      <c r="F42" s="1437" t="n"/>
      <c r="G42" s="1437" t="n"/>
      <c r="H42" s="1288" t="n"/>
      <c r="I42" s="1288" t="n"/>
      <c r="J42" s="1294">
        <f>G42*H42</f>
        <v/>
      </c>
    </row>
    <row r="43" ht="15" customHeight="1" s="550">
      <c r="A43" s="580" t="n"/>
      <c r="B43" s="567" t="n"/>
      <c r="C43" s="567" t="n"/>
      <c r="D43" s="567" t="n"/>
      <c r="E43" s="111" t="n"/>
      <c r="F43" s="1437" t="n"/>
      <c r="G43" s="1437" t="n"/>
      <c r="H43" s="1288" t="n"/>
      <c r="I43" s="1288" t="n"/>
      <c r="J43" s="1294">
        <f>G43*H43</f>
        <v/>
      </c>
    </row>
    <row r="44" ht="15" customHeight="1" s="550">
      <c r="A44" s="580" t="n"/>
      <c r="B44" s="567" t="n"/>
      <c r="C44" s="567" t="n"/>
      <c r="D44" s="567" t="n"/>
      <c r="E44" s="111" t="n"/>
      <c r="F44" s="1437" t="n"/>
      <c r="G44" s="1437" t="n"/>
      <c r="H44" s="1290" t="n"/>
      <c r="I44" s="1290" t="n"/>
      <c r="J44" s="1294">
        <f>G44*H44</f>
        <v/>
      </c>
    </row>
    <row r="45" ht="15" customHeight="1" s="550">
      <c r="A45" s="580" t="n"/>
      <c r="B45" s="1446" t="n"/>
      <c r="C45" s="1446" t="n"/>
      <c r="D45" s="1446" t="n"/>
      <c r="E45" s="111" t="n"/>
      <c r="F45" s="1437" t="n"/>
      <c r="G45" s="1437" t="n"/>
      <c r="H45" s="1288" t="n"/>
      <c r="I45" s="1288" t="n"/>
      <c r="J45" s="1294">
        <f>G45*H45</f>
        <v/>
      </c>
    </row>
    <row r="46">
      <c r="A46" s="580" t="n"/>
      <c r="B46" s="1446" t="n"/>
      <c r="C46" s="1446" t="n"/>
      <c r="D46" s="1446" t="n"/>
      <c r="E46" s="111" t="n"/>
      <c r="F46" s="1437" t="n"/>
      <c r="G46" s="1437" t="n"/>
      <c r="H46" s="1288" t="n"/>
      <c r="I46" s="1288" t="n"/>
      <c r="J46" s="1294">
        <f>G46*H46</f>
        <v/>
      </c>
    </row>
    <row r="47">
      <c r="A47" s="580" t="n"/>
      <c r="B47" s="1446" t="n"/>
      <c r="C47" s="1446" t="n"/>
      <c r="D47" s="1446" t="n"/>
      <c r="E47" s="111" t="n"/>
      <c r="F47" s="1437" t="n"/>
      <c r="G47" s="1437" t="n"/>
      <c r="H47" s="1288" t="n"/>
      <c r="I47" s="1288" t="n"/>
      <c r="J47" s="1294">
        <f>G47*H47</f>
        <v/>
      </c>
    </row>
    <row r="48">
      <c r="A48" s="580" t="n"/>
      <c r="B48" s="1446" t="n"/>
      <c r="C48" s="1446" t="n"/>
      <c r="D48" s="1446" t="n"/>
      <c r="E48" s="111" t="n"/>
      <c r="F48" s="1437" t="n"/>
      <c r="G48" s="1437" t="n"/>
      <c r="H48" s="1288" t="n"/>
      <c r="I48" s="1288" t="n"/>
      <c r="J48" s="1294">
        <f>G48*H48</f>
        <v/>
      </c>
    </row>
    <row r="49">
      <c r="A49" s="580" t="n"/>
      <c r="B49" s="1446" t="n"/>
      <c r="C49" s="1446" t="n"/>
      <c r="D49" s="1446" t="n"/>
      <c r="E49" s="111" t="n"/>
      <c r="F49" s="1437" t="n"/>
      <c r="G49" s="1437" t="n"/>
      <c r="H49" s="1288" t="n"/>
      <c r="I49" s="1288" t="n"/>
      <c r="J49" s="1294">
        <f>G49*H49</f>
        <v/>
      </c>
    </row>
    <row r="50">
      <c r="A50" s="580" t="n"/>
      <c r="B50" s="1446" t="n"/>
      <c r="C50" s="1446" t="n"/>
      <c r="D50" s="1446" t="n"/>
      <c r="E50" s="111" t="n"/>
      <c r="F50" s="1437" t="n"/>
      <c r="G50" s="1437" t="n"/>
      <c r="H50" s="1288" t="n"/>
      <c r="I50" s="1288" t="n"/>
      <c r="J50" s="1294">
        <f>G50*H50</f>
        <v/>
      </c>
    </row>
    <row r="51">
      <c r="A51" s="580" t="n"/>
      <c r="B51" s="1446" t="n"/>
      <c r="C51" s="1446" t="n"/>
      <c r="D51" s="1446" t="n"/>
      <c r="E51" s="111" t="n"/>
      <c r="F51" s="1437" t="n"/>
      <c r="G51" s="1437" t="n"/>
      <c r="H51" s="1288" t="n"/>
      <c r="I51" s="1288" t="n"/>
      <c r="J51" s="1294">
        <f>G51*H51</f>
        <v/>
      </c>
    </row>
    <row r="52">
      <c r="A52" s="580" t="n"/>
      <c r="B52" s="1446" t="n"/>
      <c r="C52" s="1446" t="n"/>
      <c r="D52" s="1446" t="n"/>
      <c r="E52" s="111" t="n"/>
      <c r="F52" s="1437" t="n"/>
      <c r="G52" s="1437" t="n"/>
      <c r="H52" s="1288" t="n"/>
      <c r="I52" s="1288" t="n"/>
      <c r="J52" s="1294">
        <f>G52*H52</f>
        <v/>
      </c>
    </row>
    <row r="53">
      <c r="A53" s="580" t="n"/>
      <c r="B53" s="1446" t="n"/>
      <c r="C53" s="1446" t="n"/>
      <c r="D53" s="1446" t="n"/>
      <c r="E53" s="111" t="n"/>
      <c r="F53" s="1437" t="n"/>
      <c r="G53" s="1437" t="n"/>
      <c r="H53" s="1288" t="n"/>
      <c r="I53" s="1288" t="n"/>
      <c r="J53" s="1294">
        <f>G53*H53</f>
        <v/>
      </c>
    </row>
    <row r="54" ht="15" customHeight="1" s="550">
      <c r="A54" s="572" t="n"/>
      <c r="B54" s="567" t="n"/>
      <c r="C54" s="567" t="n"/>
      <c r="D54" s="567" t="n"/>
      <c r="E54" s="577" t="inlineStr">
        <is>
          <t>SUBTOTAL MANO DE OBRA</t>
        </is>
      </c>
      <c r="F54" s="567" t="n"/>
      <c r="G54" s="567" t="n"/>
      <c r="H54" s="567" t="n"/>
      <c r="I54" s="567" t="n"/>
      <c r="J54" s="1295">
        <f>SUM(J39:J53)</f>
        <v/>
      </c>
    </row>
    <row r="55" ht="15" customHeight="1" s="550">
      <c r="A55" s="63" t="inlineStr">
        <is>
          <t>3.</t>
        </is>
      </c>
      <c r="B55" s="370" t="n"/>
      <c r="C55" s="276" t="inlineStr">
        <is>
          <t>EQUIPOS Y HERRAMIENTAS</t>
        </is>
      </c>
      <c r="D55" s="276" t="n"/>
      <c r="E55" s="606" t="n"/>
      <c r="F55" s="567" t="n"/>
      <c r="G55" s="567" t="n"/>
      <c r="H55" s="567" t="n"/>
      <c r="I55" s="567" t="n"/>
      <c r="J55" s="607" t="n"/>
    </row>
    <row r="56" ht="15.75" customHeight="1" s="550">
      <c r="A56" s="66" t="n"/>
      <c r="B56" s="276" t="n"/>
      <c r="C56" s="48" t="inlineStr">
        <is>
          <t>Descripción</t>
        </is>
      </c>
      <c r="D56" s="48" t="n"/>
      <c r="E56" s="48" t="inlineStr">
        <is>
          <t>Und</t>
        </is>
      </c>
      <c r="F56" s="48" t="inlineStr">
        <is>
          <t>Cant.</t>
        </is>
      </c>
      <c r="G56" s="48" t="inlineStr">
        <is>
          <t>Rendimiento</t>
        </is>
      </c>
      <c r="H56" s="48" t="inlineStr">
        <is>
          <t>Vr Unit.</t>
        </is>
      </c>
      <c r="I56" s="48" t="n"/>
      <c r="J56" s="65" t="inlineStr">
        <is>
          <t>Subtotal</t>
        </is>
      </c>
    </row>
    <row r="57" ht="15" customHeight="1" s="550">
      <c r="A57" s="580" t="n"/>
      <c r="B57" s="567" t="n"/>
      <c r="C57" s="567" t="n"/>
      <c r="D57" s="567" t="n"/>
      <c r="E57" s="111" t="n"/>
      <c r="F57" s="1437" t="n"/>
      <c r="G57" s="1437" t="n"/>
      <c r="H57" s="1288" t="n"/>
      <c r="I57" s="1288" t="n"/>
      <c r="J57" s="1294">
        <f>G57*H57</f>
        <v/>
      </c>
    </row>
    <row r="58" ht="15" customHeight="1" s="550">
      <c r="A58" s="580" t="n"/>
      <c r="B58" s="567" t="n"/>
      <c r="C58" s="567" t="n"/>
      <c r="D58" s="567" t="n"/>
      <c r="E58" s="111" t="n"/>
      <c r="F58" s="1437" t="n"/>
      <c r="G58" s="1437" t="n"/>
      <c r="H58" s="1288" t="n"/>
      <c r="I58" s="1288" t="n"/>
      <c r="J58" s="1294">
        <f>G58*H58</f>
        <v/>
      </c>
    </row>
    <row r="59" ht="15" customHeight="1" s="550">
      <c r="A59" s="580" t="n"/>
      <c r="B59" s="567" t="n"/>
      <c r="C59" s="567" t="n"/>
      <c r="D59" s="567" t="n"/>
      <c r="E59" s="111" t="n"/>
      <c r="F59" s="1437" t="n"/>
      <c r="G59" s="1437" t="n"/>
      <c r="H59" s="1288" t="n"/>
      <c r="I59" s="1288" t="n"/>
      <c r="J59" s="1294">
        <f>G59*H59</f>
        <v/>
      </c>
    </row>
    <row r="60" ht="15" customHeight="1" s="550">
      <c r="A60" s="580" t="n"/>
      <c r="B60" s="567" t="n"/>
      <c r="C60" s="567" t="n"/>
      <c r="D60" s="567" t="n"/>
      <c r="E60" s="111" t="n"/>
      <c r="F60" s="1437" t="n"/>
      <c r="G60" s="1437" t="n"/>
      <c r="H60" s="1288" t="n"/>
      <c r="I60" s="1288" t="n"/>
      <c r="J60" s="1294">
        <f>G60*H60</f>
        <v/>
      </c>
    </row>
    <row r="61" ht="15" customHeight="1" s="550">
      <c r="A61" s="580" t="n"/>
      <c r="B61" s="567" t="n"/>
      <c r="C61" s="567" t="n"/>
      <c r="D61" s="567" t="n"/>
      <c r="E61" s="111" t="n"/>
      <c r="F61" s="1437" t="n"/>
      <c r="G61" s="1437" t="n"/>
      <c r="H61" s="1288" t="n"/>
      <c r="I61" s="1288" t="n"/>
      <c r="J61" s="1294">
        <f>G61*H61</f>
        <v/>
      </c>
    </row>
    <row r="62" ht="15" customHeight="1" s="550">
      <c r="A62" s="580" t="n"/>
      <c r="B62" s="567" t="n"/>
      <c r="C62" s="567" t="n"/>
      <c r="D62" s="567" t="n"/>
      <c r="E62" s="111" t="n"/>
      <c r="F62" s="1437" t="n"/>
      <c r="G62" s="1437" t="n"/>
      <c r="H62" s="1288" t="n"/>
      <c r="I62" s="1288" t="n"/>
      <c r="J62" s="1294">
        <f>G62*H62</f>
        <v/>
      </c>
    </row>
    <row r="63" ht="15" customHeight="1" s="550">
      <c r="A63" s="580" t="n"/>
      <c r="B63" s="1446" t="n"/>
      <c r="C63" s="1446" t="n"/>
      <c r="D63" s="1446" t="n"/>
      <c r="E63" s="111" t="n"/>
      <c r="F63" s="1437" t="n"/>
      <c r="G63" s="1437" t="n"/>
      <c r="H63" s="1288" t="n"/>
      <c r="I63" s="1288" t="n"/>
      <c r="J63" s="1294">
        <f>G63*H63</f>
        <v/>
      </c>
    </row>
    <row r="64">
      <c r="A64" s="580" t="n"/>
      <c r="B64" s="1446" t="n"/>
      <c r="C64" s="1446" t="n"/>
      <c r="D64" s="1446" t="n"/>
      <c r="E64" s="111" t="n"/>
      <c r="F64" s="1437" t="n"/>
      <c r="G64" s="1437" t="n"/>
      <c r="H64" s="1288" t="n"/>
      <c r="I64" s="1288" t="n"/>
      <c r="J64" s="1294">
        <f>G64*H64</f>
        <v/>
      </c>
    </row>
    <row r="65">
      <c r="A65" s="580" t="n"/>
      <c r="B65" s="1446" t="n"/>
      <c r="C65" s="1446" t="n"/>
      <c r="D65" s="1446" t="n"/>
      <c r="E65" s="111" t="n"/>
      <c r="F65" s="1437" t="n"/>
      <c r="G65" s="1437" t="n"/>
      <c r="H65" s="1288" t="n"/>
      <c r="I65" s="1288" t="n"/>
      <c r="J65" s="1294">
        <f>G65*H65</f>
        <v/>
      </c>
    </row>
    <row r="66">
      <c r="A66" s="580" t="n"/>
      <c r="B66" s="1446" t="n"/>
      <c r="C66" s="1446" t="n"/>
      <c r="D66" s="1446" t="n"/>
      <c r="E66" s="111" t="n"/>
      <c r="F66" s="1437" t="n"/>
      <c r="G66" s="1437" t="n"/>
      <c r="H66" s="1288" t="n"/>
      <c r="I66" s="1288" t="n"/>
      <c r="J66" s="1294">
        <f>G66*H66</f>
        <v/>
      </c>
    </row>
    <row r="67">
      <c r="A67" s="580" t="n"/>
      <c r="B67" s="1446" t="n"/>
      <c r="C67" s="1446" t="n"/>
      <c r="D67" s="1446" t="n"/>
      <c r="E67" s="111" t="n"/>
      <c r="F67" s="1437" t="n"/>
      <c r="G67" s="1437" t="n"/>
      <c r="H67" s="1288" t="n"/>
      <c r="I67" s="1288" t="n"/>
      <c r="J67" s="1294">
        <f>G67*H67</f>
        <v/>
      </c>
    </row>
    <row r="68">
      <c r="A68" s="580" t="n"/>
      <c r="B68" s="1446" t="n"/>
      <c r="C68" s="1446" t="n"/>
      <c r="D68" s="1446" t="n"/>
      <c r="E68" s="111" t="n"/>
      <c r="F68" s="1437" t="n"/>
      <c r="G68" s="1437" t="n"/>
      <c r="H68" s="1288" t="n"/>
      <c r="I68" s="1288" t="n"/>
      <c r="J68" s="1294">
        <f>G68*H68</f>
        <v/>
      </c>
    </row>
    <row r="69">
      <c r="A69" s="580" t="n"/>
      <c r="B69" s="1446" t="n"/>
      <c r="C69" s="1446" t="n"/>
      <c r="D69" s="1446" t="n"/>
      <c r="E69" s="111" t="n"/>
      <c r="F69" s="1437" t="n"/>
      <c r="G69" s="1437" t="n"/>
      <c r="H69" s="1288" t="n"/>
      <c r="I69" s="1288" t="n"/>
      <c r="J69" s="1294">
        <f>G69*H69</f>
        <v/>
      </c>
    </row>
    <row r="70">
      <c r="A70" s="580" t="n"/>
      <c r="B70" s="1446" t="n"/>
      <c r="C70" s="1446" t="n"/>
      <c r="D70" s="1446" t="n"/>
      <c r="E70" s="111" t="n"/>
      <c r="F70" s="1437" t="n"/>
      <c r="G70" s="1437" t="n"/>
      <c r="H70" s="1288" t="n"/>
      <c r="I70" s="1288" t="n"/>
      <c r="J70" s="1294">
        <f>G70*H70</f>
        <v/>
      </c>
    </row>
    <row r="71">
      <c r="A71" s="580" t="n"/>
      <c r="B71" s="1446" t="n"/>
      <c r="C71" s="1446" t="n"/>
      <c r="D71" s="1446" t="n"/>
      <c r="E71" s="111" t="n"/>
      <c r="F71" s="1437" t="n"/>
      <c r="G71" s="1437" t="n"/>
      <c r="H71" s="1288" t="n"/>
      <c r="I71" s="1288" t="n"/>
      <c r="J71" s="1294">
        <f>G71*H71</f>
        <v/>
      </c>
    </row>
    <row r="72" ht="15" customHeight="1" s="550">
      <c r="A72" s="572" t="n"/>
      <c r="B72" s="567" t="n"/>
      <c r="C72" s="567" t="n"/>
      <c r="D72" s="567" t="n"/>
      <c r="E72" s="577" t="inlineStr">
        <is>
          <t>SUBTOTAL EQUIPOS Y HERRAMIENTAS</t>
        </is>
      </c>
      <c r="F72" s="567" t="n"/>
      <c r="G72" s="567" t="n"/>
      <c r="H72" s="567" t="n"/>
      <c r="I72" s="567" t="n"/>
      <c r="J72" s="1295">
        <f>SUM(J57:J71)</f>
        <v/>
      </c>
    </row>
    <row r="73" ht="24.75" customHeight="1" s="550">
      <c r="A73" s="568" t="inlineStr">
        <is>
          <t xml:space="preserve">                Materiales</t>
        </is>
      </c>
      <c r="B73" s="567" t="n"/>
      <c r="C73" s="567" t="n"/>
      <c r="D73" s="567" t="n"/>
      <c r="E73" s="567" t="n"/>
      <c r="F73" s="567" t="n"/>
      <c r="G73" s="567" t="n"/>
      <c r="H73" s="567" t="n"/>
      <c r="I73" s="567" t="n"/>
      <c r="J73" s="1296">
        <f>J36</f>
        <v/>
      </c>
    </row>
    <row r="74" ht="24.75" customHeight="1" s="550">
      <c r="A74" s="568" t="inlineStr">
        <is>
          <t xml:space="preserve">                Mano de Obra</t>
        </is>
      </c>
      <c r="B74" s="567" t="n"/>
      <c r="C74" s="567" t="n"/>
      <c r="D74" s="567" t="n"/>
      <c r="E74" s="567" t="n"/>
      <c r="F74" s="567" t="n"/>
      <c r="G74" s="567" t="n"/>
      <c r="H74" s="567" t="n"/>
      <c r="I74" s="567" t="n"/>
      <c r="J74" s="1296">
        <f>J54</f>
        <v/>
      </c>
    </row>
    <row r="75" ht="24.75" customHeight="1" s="550">
      <c r="A75" s="568" t="inlineStr">
        <is>
          <t xml:space="preserve">                Equipos y herramientas</t>
        </is>
      </c>
      <c r="B75" s="567" t="n"/>
      <c r="C75" s="567" t="n"/>
      <c r="D75" s="567" t="n"/>
      <c r="E75" s="567" t="n"/>
      <c r="F75" s="567" t="n"/>
      <c r="G75" s="567" t="n"/>
      <c r="H75" s="567" t="n"/>
      <c r="I75" s="567" t="n"/>
      <c r="J75" s="1296">
        <f>J72</f>
        <v/>
      </c>
    </row>
    <row r="76" ht="19.95" customHeight="1" s="550">
      <c r="A76" s="1276" t="inlineStr">
        <is>
          <t>TOTAL DIRECTO UNITARIO</t>
        </is>
      </c>
      <c r="B76" s="1217" t="n"/>
      <c r="C76" s="1217" t="n"/>
      <c r="D76" s="1217" t="n"/>
      <c r="E76" s="1217" t="n"/>
      <c r="F76" s="1217" t="n"/>
      <c r="G76" s="1217" t="n"/>
      <c r="H76" s="1217" t="n"/>
      <c r="I76" s="1217" t="n"/>
      <c r="J76" s="1297">
        <f>SUM(J73:J75)</f>
        <v/>
      </c>
    </row>
    <row r="77" ht="4.5" customHeight="1" s="550">
      <c r="A77" s="67" t="n"/>
      <c r="B77" s="371" t="n"/>
      <c r="C77" s="371" t="n"/>
      <c r="D77" s="371" t="n"/>
      <c r="E77" s="371" t="n"/>
      <c r="F77" s="371" t="n"/>
      <c r="G77" s="371" t="n"/>
      <c r="H77" s="371" t="n"/>
      <c r="I77" s="371" t="n"/>
      <c r="J77" s="68" t="n"/>
    </row>
    <row r="78" ht="15.75" customHeight="1" s="550">
      <c r="A78" s="584" t="inlineStr">
        <is>
          <t>ELABORADO POR</t>
        </is>
      </c>
      <c r="B78" s="585" t="n"/>
      <c r="C78" s="585" t="n"/>
      <c r="D78" s="585" t="n"/>
      <c r="E78" s="372" t="n"/>
      <c r="F78" s="597" t="inlineStr">
        <is>
          <t>Vo. Bo. INTERVENTORÍA:</t>
        </is>
      </c>
      <c r="G78" s="585" t="n"/>
      <c r="H78" s="585" t="n"/>
      <c r="I78" s="585" t="n"/>
      <c r="J78" s="598" t="n"/>
    </row>
    <row r="79" ht="42" customHeight="1" s="550">
      <c r="A79" s="298" t="inlineStr">
        <is>
          <t>FIRMA:</t>
        </is>
      </c>
      <c r="B79" s="1267" t="n"/>
      <c r="C79" s="565" t="n"/>
      <c r="D79" s="565" t="n"/>
      <c r="E79" s="565" t="n"/>
      <c r="F79" s="1268" t="inlineStr">
        <is>
          <t>FIRMA:</t>
        </is>
      </c>
      <c r="G79" s="1269" t="n"/>
      <c r="H79" s="565" t="n"/>
      <c r="I79" s="565" t="n"/>
      <c r="J79" s="593" t="n"/>
    </row>
    <row r="80" ht="24.75" customHeight="1" s="550">
      <c r="A80" s="298" t="inlineStr">
        <is>
          <t>NOMBRE:</t>
        </is>
      </c>
      <c r="B80" s="1267" t="n"/>
      <c r="C80" s="565" t="n"/>
      <c r="D80" s="565" t="n"/>
      <c r="E80" s="565" t="n"/>
      <c r="F80" s="1268" t="inlineStr">
        <is>
          <t>NOMBRE:</t>
        </is>
      </c>
      <c r="G80" s="1269" t="n"/>
      <c r="H80" s="565" t="n"/>
      <c r="I80" s="565" t="n"/>
      <c r="J80" s="593" t="n"/>
    </row>
    <row r="81" ht="24.75" customHeight="1" s="550">
      <c r="A81" s="298" t="inlineStr">
        <is>
          <t>CARGO:</t>
        </is>
      </c>
      <c r="B81" s="1267" t="n"/>
      <c r="C81" s="565" t="n"/>
      <c r="D81" s="565" t="n"/>
      <c r="E81" s="565" t="n"/>
      <c r="F81" s="1268" t="inlineStr">
        <is>
          <t>CARGO:</t>
        </is>
      </c>
      <c r="G81" s="1269" t="n"/>
      <c r="H81" s="565" t="n"/>
      <c r="I81" s="565" t="n"/>
      <c r="J81" s="593" t="n"/>
    </row>
    <row r="82" ht="15" customHeight="1" s="550">
      <c r="A82" s="204" t="inlineStr">
        <is>
          <t>REV. 10/09/2026</t>
        </is>
      </c>
      <c r="B82" s="1278" t="n"/>
      <c r="C82" s="583" t="n"/>
      <c r="D82" s="583" t="n"/>
      <c r="E82" s="583" t="n"/>
      <c r="F82" s="583" t="n"/>
      <c r="G82" s="583" t="n"/>
      <c r="H82" s="583" t="n"/>
      <c r="I82" s="583" t="n"/>
      <c r="J82" s="335">
        <f>J4</f>
        <v/>
      </c>
    </row>
    <row r="83" ht="15" customHeight="1" s="550"/>
  </sheetData>
  <mergeCells count="59">
    <mergeCell ref="A23:D23"/>
    <mergeCell ref="E19:J19"/>
    <mergeCell ref="F78:J78"/>
    <mergeCell ref="A22:D22"/>
    <mergeCell ref="G79:J79"/>
    <mergeCell ref="A75:I75"/>
    <mergeCell ref="A62:D62"/>
    <mergeCell ref="A72:D72"/>
    <mergeCell ref="I16:I17"/>
    <mergeCell ref="A43:D43"/>
    <mergeCell ref="B80:E80"/>
    <mergeCell ref="A74:I74"/>
    <mergeCell ref="E17:F17"/>
    <mergeCell ref="A10:J10"/>
    <mergeCell ref="A44:D44"/>
    <mergeCell ref="E4:F4"/>
    <mergeCell ref="B79:E79"/>
    <mergeCell ref="A40:D40"/>
    <mergeCell ref="A58:D58"/>
    <mergeCell ref="A9:J9"/>
    <mergeCell ref="A76:I76"/>
    <mergeCell ref="G81:J81"/>
    <mergeCell ref="A39:D39"/>
    <mergeCell ref="A15:J15"/>
    <mergeCell ref="A59:D59"/>
    <mergeCell ref="D16:D17"/>
    <mergeCell ref="A24:D24"/>
    <mergeCell ref="B81:E81"/>
    <mergeCell ref="H3:J3"/>
    <mergeCell ref="D1:J1"/>
    <mergeCell ref="A60:D60"/>
    <mergeCell ref="A36:D36"/>
    <mergeCell ref="A11:J11"/>
    <mergeCell ref="C12:J12"/>
    <mergeCell ref="B82:I82"/>
    <mergeCell ref="A61:D61"/>
    <mergeCell ref="C13:E13"/>
    <mergeCell ref="A54:D54"/>
    <mergeCell ref="E37:J37"/>
    <mergeCell ref="A25:D25"/>
    <mergeCell ref="A41:D41"/>
    <mergeCell ref="E36:I36"/>
    <mergeCell ref="G16:G17"/>
    <mergeCell ref="H13:I13"/>
    <mergeCell ref="C14:E14"/>
    <mergeCell ref="E55:J55"/>
    <mergeCell ref="A73:I73"/>
    <mergeCell ref="E16:F16"/>
    <mergeCell ref="E54:I54"/>
    <mergeCell ref="A18:J18"/>
    <mergeCell ref="A26:D26"/>
    <mergeCell ref="C19:D19"/>
    <mergeCell ref="A21:D21"/>
    <mergeCell ref="E72:I72"/>
    <mergeCell ref="A57:D57"/>
    <mergeCell ref="A78:C78"/>
    <mergeCell ref="H14:I14"/>
    <mergeCell ref="A42:D42"/>
    <mergeCell ref="G80:J8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2026-10-01T16:09:23Z</dcterms:modified>
  <cp:lastModifiedBy>Hugo Fernando Hurtado Ruiz</cp:lastModifiedBy>
  <cp:revision>1</cp:revision>
  <cp:lastPrinted>2026-09-14T01:27:33Z</cp:lastPrinted>
</cp:coreProperties>
</file>