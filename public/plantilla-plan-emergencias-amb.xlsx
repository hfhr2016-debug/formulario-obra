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Emergencias Ambiental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5" formatCode="DD/MM/YYYY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</fonts>
  <fills count="23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5" fillId="20" borderId="3" applyAlignment="1" pivotButton="0" quotePrefix="0" xfId="3">
      <alignment horizontal="center" vertical="center"/>
    </xf>
    <xf numFmtId="0" fontId="8" fillId="20" borderId="7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/>
    </xf>
    <xf numFmtId="0" fontId="15" fillId="22" borderId="23" applyAlignment="1" pivotButton="0" quotePrefix="0" xfId="3">
      <alignment horizontal="center" vertical="center" wrapText="1"/>
    </xf>
    <xf numFmtId="0" fontId="4" fillId="20" borderId="14" applyAlignment="1" pivotButton="0" quotePrefix="0" xfId="3">
      <alignment horizontal="left" vertical="center" indent="1"/>
    </xf>
    <xf numFmtId="0" fontId="10" fillId="21" borderId="7" applyAlignment="1" pivotButton="0" quotePrefix="0" xfId="3">
      <alignment horizontal="left" vertical="center" wrapText="1"/>
    </xf>
    <xf numFmtId="165" fontId="7" fillId="0" borderId="7" applyAlignment="1" pivotButton="0" quotePrefix="0" xfId="3">
      <alignment horizontal="center" vertical="center" wrapText="1"/>
    </xf>
    <xf numFmtId="0" fontId="18" fillId="22" borderId="23" applyAlignment="1" pivotButton="0" quotePrefix="0" xfId="3">
      <alignment horizontal="center" vertical="center" wrapText="1"/>
    </xf>
    <xf numFmtId="0" fontId="10" fillId="21" borderId="7" applyAlignment="1" pivotButton="0" quotePrefix="0" xfId="3">
      <alignment horizontal="left" vertical="center" indent="1"/>
    </xf>
    <xf numFmtId="0" fontId="6" fillId="20" borderId="7" applyAlignment="1" pivotButton="0" quotePrefix="0" xfId="3">
      <alignment horizontal="center" vertical="center"/>
    </xf>
    <xf numFmtId="165" fontId="20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  <xf numFmtId="0" fontId="18" fillId="22" borderId="23" applyAlignment="1" pivotButton="0" quotePrefix="0" xfId="3">
      <alignment horizontal="center" vertical="center"/>
    </xf>
    <xf numFmtId="0" fontId="18" fillId="21" borderId="14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7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9DC3E6"/>
          <bgColor rgb="009DC3E6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71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360" t="inlineStr">
        <is>
          <t>PLAN DE EMERGENCIAS AMBIENTALES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361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362" t="inlineStr">
        <is>
          <t>Código</t>
        </is>
      </c>
      <c r="K5" s="64" t="inlineStr">
        <is>
          <t>RYR-AM-024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362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362" t="inlineStr">
        <is>
          <t>Fecha de Emisión</t>
        </is>
      </c>
      <c r="K7" s="64" t="inlineStr">
        <is>
          <t>10/10/2026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62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63" t="inlineStr">
        <is>
          <t>Cómo prevenir y atender derrames, incendios, vertimientos y otros eventos con efecto en el ambiente · Decreto 1076 de 2015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364" t="inlineStr">
        <is>
          <t>1. DATOS DEL PLAN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365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365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365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365" t="inlineStr">
        <is>
          <t>Responsable del plan</t>
        </is>
      </c>
      <c r="B13" s="89" t="n"/>
      <c r="C13" s="68" t="n"/>
      <c r="D13" s="93" t="n"/>
      <c r="E13" s="93" t="n"/>
      <c r="F13" s="93" t="n"/>
      <c r="G13" s="89" t="n"/>
      <c r="H13" s="365" t="inlineStr">
        <is>
          <t>Versión del plan</t>
        </is>
      </c>
      <c r="I13" s="89" t="n"/>
      <c r="J13" s="69" t="n"/>
      <c r="K13" s="93" t="n"/>
      <c r="L13" s="89" t="n"/>
    </row>
    <row r="14" ht="21" customHeight="1" s="127">
      <c r="A14" s="365" t="inlineStr">
        <is>
          <t>Fecha de elaboración</t>
        </is>
      </c>
      <c r="B14" s="89" t="n"/>
      <c r="C14" s="366" t="n"/>
      <c r="D14" s="89" t="n"/>
      <c r="E14" s="365" t="inlineStr">
        <is>
          <t>Última revisión</t>
        </is>
      </c>
      <c r="F14" s="89" t="n"/>
      <c r="G14" s="366" t="n"/>
      <c r="H14" s="89" t="n"/>
      <c r="I14" s="365" t="inlineStr">
        <is>
          <t>Próxima revisión</t>
        </is>
      </c>
      <c r="J14" s="89" t="n"/>
      <c r="K14" s="366" t="n"/>
      <c r="L14" s="89" t="n"/>
    </row>
    <row r="15" ht="16.5" customHeight="1" s="127">
      <c r="A15" s="364" t="inlineStr">
        <is>
          <t>2. ENTORNO Y PUNTOS SENSIBLES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21" customHeight="1" s="127">
      <c r="A16" s="365" t="inlineStr">
        <is>
          <t>Cuerpo de agua más cercano</t>
        </is>
      </c>
      <c r="B16" s="89" t="n"/>
      <c r="C16" s="68" t="n"/>
      <c r="D16" s="93" t="n"/>
      <c r="E16" s="89" t="n"/>
      <c r="F16" s="365" t="inlineStr">
        <is>
          <t>Distancia (m)</t>
        </is>
      </c>
      <c r="G16" s="89" t="n"/>
      <c r="H16" s="69" t="n"/>
      <c r="I16" s="365" t="inlineStr">
        <is>
          <t>¿Alcantarilla o sumidero cerca?</t>
        </is>
      </c>
      <c r="J16" s="89" t="n"/>
      <c r="K16" s="69" t="n"/>
      <c r="L16" s="89" t="n"/>
    </row>
    <row r="17" ht="21" customHeight="1" s="127">
      <c r="A17" s="365" t="inlineStr">
        <is>
          <t>Vecinos sensibles</t>
        </is>
      </c>
      <c r="B17" s="89" t="n"/>
      <c r="C17" s="68" t="n"/>
      <c r="D17" s="93" t="n"/>
      <c r="E17" s="93" t="n"/>
      <c r="F17" s="93" t="n"/>
      <c r="G17" s="89" t="n"/>
      <c r="H17" s="365" t="inlineStr">
        <is>
          <t>¿Zona protegida cerca?</t>
        </is>
      </c>
      <c r="I17" s="89" t="n"/>
      <c r="J17" s="69" t="n"/>
      <c r="K17" s="93" t="n"/>
      <c r="L17" s="89" t="n"/>
    </row>
    <row r="18" ht="21" customHeight="1" s="127">
      <c r="A18" s="365" t="inlineStr">
        <is>
          <t>Centro de salud más cercano</t>
        </is>
      </c>
      <c r="B18" s="89" t="n"/>
      <c r="C18" s="68" t="n"/>
      <c r="D18" s="93" t="n"/>
      <c r="E18" s="93" t="n"/>
      <c r="F18" s="93" t="n"/>
      <c r="G18" s="89" t="n"/>
      <c r="H18" s="365" t="inlineStr">
        <is>
          <t>Teléfono del centro</t>
        </is>
      </c>
      <c r="I18" s="89" t="n"/>
      <c r="J18" s="69" t="n"/>
      <c r="K18" s="93" t="n"/>
      <c r="L18" s="89" t="n"/>
    </row>
    <row r="19" ht="21" customHeight="1" s="127">
      <c r="A19" s="365" t="inlineStr">
        <is>
          <t>Punto de encuentro</t>
        </is>
      </c>
      <c r="B19" s="89" t="n"/>
      <c r="C19" s="68" t="n"/>
      <c r="D19" s="93" t="n"/>
      <c r="E19" s="93" t="n"/>
      <c r="F19" s="93" t="n"/>
      <c r="G19" s="89" t="n"/>
      <c r="H19" s="365" t="inlineStr">
        <is>
          <t>Acceso para ambulancia y bomberos</t>
        </is>
      </c>
      <c r="I19" s="89" t="n"/>
      <c r="J19" s="68" t="n"/>
      <c r="K19" s="93" t="n"/>
      <c r="L19" s="89" t="n"/>
    </row>
    <row r="20" ht="16.5" customHeight="1" s="127">
      <c r="A20" s="364" t="inlineStr">
        <is>
          <t>3. ESCENARIOS DE EMERGENCIA Y CÓMO RESPONDER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7" t="n"/>
    </row>
    <row r="21" ht="28" customHeight="1" s="127">
      <c r="A21" s="367" t="inlineStr">
        <is>
          <t>No.</t>
        </is>
      </c>
      <c r="B21" s="367" t="inlineStr">
        <is>
          <t>Escenario</t>
        </is>
      </c>
      <c r="C21" s="348" t="n"/>
      <c r="D21" s="367" t="inlineStr">
        <is>
          <t>¿Aplica?</t>
        </is>
      </c>
      <c r="E21" s="367" t="inlineStr">
        <is>
          <t>Dónde puede ocurrir</t>
        </is>
      </c>
      <c r="F21" s="348" t="n"/>
      <c r="G21" s="367" t="inlineStr">
        <is>
          <t>Qué hacer (acción de respuesta)</t>
        </is>
      </c>
      <c r="H21" s="347" t="n"/>
      <c r="I21" s="347" t="n"/>
      <c r="J21" s="348" t="n"/>
      <c r="K21" s="367" t="inlineStr">
        <is>
          <t>Responsable</t>
        </is>
      </c>
      <c r="L21" s="348" t="n"/>
    </row>
    <row r="22" ht="46" customHeight="1" s="127">
      <c r="A22" s="306" t="n">
        <v>1</v>
      </c>
      <c r="B22" s="230" t="inlineStr">
        <is>
          <t>Derrame de combustible, aceite o sustancias químicas</t>
        </is>
      </c>
      <c r="C22" s="97" t="n"/>
      <c r="D22" s="306" t="n"/>
      <c r="E22" s="230" t="n"/>
      <c r="F22" s="97" t="n"/>
      <c r="G22" s="230" t="n"/>
      <c r="H22" s="98" t="n"/>
      <c r="I22" s="98" t="n"/>
      <c r="J22" s="97" t="n"/>
      <c r="K22" s="230" t="n"/>
      <c r="L22" s="97" t="n"/>
    </row>
    <row r="23" ht="46" customHeight="1" s="127">
      <c r="A23" s="306" t="n">
        <v>2</v>
      </c>
      <c r="B23" s="230" t="inlineStr">
        <is>
          <t>Incendio o explosión</t>
        </is>
      </c>
      <c r="C23" s="97" t="n"/>
      <c r="D23" s="306" t="n"/>
      <c r="E23" s="230" t="n"/>
      <c r="F23" s="97" t="n"/>
      <c r="G23" s="230" t="n"/>
      <c r="H23" s="98" t="n"/>
      <c r="I23" s="98" t="n"/>
      <c r="J23" s="97" t="n"/>
      <c r="K23" s="230" t="n"/>
      <c r="L23" s="97" t="n"/>
    </row>
    <row r="24" ht="46" customHeight="1" s="127">
      <c r="A24" s="306" t="n">
        <v>3</v>
      </c>
      <c r="B24" s="230" t="inlineStr">
        <is>
          <t>Vertimiento de concreto, lechadas o aguas con sedimentos a una red o fuente de agua</t>
        </is>
      </c>
      <c r="C24" s="97" t="n"/>
      <c r="D24" s="306" t="n"/>
      <c r="E24" s="230" t="n"/>
      <c r="F24" s="97" t="n"/>
      <c r="G24" s="230" t="n"/>
      <c r="H24" s="98" t="n"/>
      <c r="I24" s="98" t="n"/>
      <c r="J24" s="97" t="n"/>
      <c r="K24" s="230" t="n"/>
      <c r="L24" s="97" t="n"/>
    </row>
    <row r="25" ht="46" customHeight="1" s="127">
      <c r="A25" s="306" t="n">
        <v>4</v>
      </c>
      <c r="B25" s="230" t="inlineStr">
        <is>
          <t>Fuga de gas o de una sustancia peligrosa</t>
        </is>
      </c>
      <c r="C25" s="97" t="n"/>
      <c r="D25" s="306" t="n"/>
      <c r="E25" s="230" t="n"/>
      <c r="F25" s="97" t="n"/>
      <c r="G25" s="230" t="n"/>
      <c r="H25" s="98" t="n"/>
      <c r="I25" s="98" t="n"/>
      <c r="J25" s="97" t="n"/>
      <c r="K25" s="230" t="n"/>
      <c r="L25" s="97" t="n"/>
    </row>
    <row r="26" ht="46" customHeight="1" s="127">
      <c r="A26" s="306" t="n">
        <v>5</v>
      </c>
      <c r="B26" s="230" t="inlineStr">
        <is>
          <t>Lluvia fuerte o inundación que arrastra sedimentos</t>
        </is>
      </c>
      <c r="C26" s="97" t="n"/>
      <c r="D26" s="306" t="n"/>
      <c r="E26" s="230" t="n"/>
      <c r="F26" s="97" t="n"/>
      <c r="G26" s="230" t="n"/>
      <c r="H26" s="98" t="n"/>
      <c r="I26" s="98" t="n"/>
      <c r="J26" s="97" t="n"/>
      <c r="K26" s="230" t="n"/>
      <c r="L26" s="97" t="n"/>
    </row>
    <row r="27" ht="46" customHeight="1" s="127">
      <c r="A27" s="306" t="n">
        <v>6</v>
      </c>
      <c r="B27" s="230" t="inlineStr">
        <is>
          <t>Deslizamiento o falla de un talud</t>
        </is>
      </c>
      <c r="C27" s="97" t="n"/>
      <c r="D27" s="306" t="n"/>
      <c r="E27" s="230" t="n"/>
      <c r="F27" s="97" t="n"/>
      <c r="G27" s="230" t="n"/>
      <c r="H27" s="98" t="n"/>
      <c r="I27" s="98" t="n"/>
      <c r="J27" s="97" t="n"/>
      <c r="K27" s="230" t="n"/>
      <c r="L27" s="97" t="n"/>
    </row>
    <row r="28" ht="46" customHeight="1" s="127">
      <c r="A28" s="306" t="n">
        <v>7</v>
      </c>
      <c r="B28" s="230" t="inlineStr">
        <is>
          <t>Afectación de fauna o de árboles protegidos</t>
        </is>
      </c>
      <c r="C28" s="97" t="n"/>
      <c r="D28" s="306" t="n"/>
      <c r="E28" s="230" t="n"/>
      <c r="F28" s="97" t="n"/>
      <c r="G28" s="230" t="n"/>
      <c r="H28" s="98" t="n"/>
      <c r="I28" s="98" t="n"/>
      <c r="J28" s="97" t="n"/>
      <c r="K28" s="230" t="n"/>
      <c r="L28" s="97" t="n"/>
    </row>
    <row r="29" ht="46" customHeight="1" s="127">
      <c r="A29" s="306" t="n">
        <v>8</v>
      </c>
      <c r="B29" s="230" t="inlineStr">
        <is>
          <t>Otro:</t>
        </is>
      </c>
      <c r="C29" s="97" t="n"/>
      <c r="D29" s="306" t="n"/>
      <c r="E29" s="230" t="n"/>
      <c r="F29" s="97" t="n"/>
      <c r="G29" s="230" t="n"/>
      <c r="H29" s="98" t="n"/>
      <c r="I29" s="98" t="n"/>
      <c r="J29" s="97" t="n"/>
      <c r="K29" s="230" t="n"/>
      <c r="L29" s="97" t="n"/>
    </row>
    <row r="30" ht="20" customHeight="1" s="127">
      <c r="A30" s="368" t="inlineStr">
        <is>
          <t>Escenarios que aplican a la obra</t>
        </is>
      </c>
      <c r="B30" s="93" t="n"/>
      <c r="C30" s="89" t="n"/>
      <c r="D30" s="369">
        <f>COUNTIF(D22:D29,"Sí")</f>
        <v/>
      </c>
      <c r="E30" s="368" t="inlineStr">
        <is>
          <t>Con acción de respuesta definida</t>
        </is>
      </c>
      <c r="F30" s="93" t="n"/>
      <c r="G30" s="93" t="n"/>
      <c r="H30" s="93" t="n"/>
      <c r="I30" s="93" t="n"/>
      <c r="J30" s="89" t="n"/>
      <c r="K30" s="369">
        <f>COUNTIFS(D22:D29,"Sí",G22:G29,"&lt;&gt;")</f>
        <v/>
      </c>
      <c r="L30" s="89" t="n"/>
    </row>
    <row r="31" ht="16.5" customHeight="1" s="127">
      <c r="A31" s="364" t="inlineStr">
        <is>
          <t>4. RECURSOS PARA ATENDER LA EMERGENCIA</t>
        </is>
      </c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7" t="n"/>
    </row>
    <row r="32" ht="22" customHeight="1" s="127">
      <c r="A32" s="367" t="inlineStr">
        <is>
          <t>No.</t>
        </is>
      </c>
      <c r="B32" s="367" t="inlineStr">
        <is>
          <t>Recurso</t>
        </is>
      </c>
      <c r="C32" s="347" t="n"/>
      <c r="D32" s="348" t="n"/>
      <c r="E32" s="367" t="inlineStr">
        <is>
          <t>Cantidad</t>
        </is>
      </c>
      <c r="F32" s="367" t="inlineStr">
        <is>
          <t>Ubicación</t>
        </is>
      </c>
      <c r="G32" s="347" t="n"/>
      <c r="H32" s="348" t="n"/>
      <c r="I32" s="367" t="inlineStr">
        <is>
          <t>Última revisión</t>
        </is>
      </c>
      <c r="J32" s="348" t="n"/>
      <c r="K32" s="367" t="inlineStr">
        <is>
          <t>Estado</t>
        </is>
      </c>
      <c r="L32" s="348" t="n"/>
    </row>
    <row r="33" ht="22" customHeight="1" s="127">
      <c r="A33" s="306" t="n">
        <v>1</v>
      </c>
      <c r="B33" s="230" t="inlineStr">
        <is>
          <t>Kit antiderrames</t>
        </is>
      </c>
      <c r="C33" s="98" t="n"/>
      <c r="D33" s="97" t="n"/>
      <c r="E33" s="306" t="n"/>
      <c r="F33" s="230" t="n"/>
      <c r="G33" s="98" t="n"/>
      <c r="H33" s="97" t="n"/>
      <c r="I33" s="370" t="n"/>
      <c r="J33" s="97" t="n"/>
      <c r="K33" s="306" t="n"/>
      <c r="L33" s="97" t="n"/>
    </row>
    <row r="34" ht="22" customHeight="1" s="127">
      <c r="A34" s="306" t="n">
        <v>2</v>
      </c>
      <c r="B34" s="230" t="inlineStr">
        <is>
          <t>Material absorbente (arena, aserrín, sepiolita)</t>
        </is>
      </c>
      <c r="C34" s="98" t="n"/>
      <c r="D34" s="97" t="n"/>
      <c r="E34" s="306" t="n"/>
      <c r="F34" s="230" t="n"/>
      <c r="G34" s="98" t="n"/>
      <c r="H34" s="97" t="n"/>
      <c r="I34" s="370" t="n"/>
      <c r="J34" s="97" t="n"/>
      <c r="K34" s="306" t="n"/>
      <c r="L34" s="97" t="n"/>
    </row>
    <row r="35" ht="22" customHeight="1" s="127">
      <c r="A35" s="306" t="n">
        <v>3</v>
      </c>
      <c r="B35" s="230" t="inlineStr">
        <is>
          <t>Extintores</t>
        </is>
      </c>
      <c r="C35" s="98" t="n"/>
      <c r="D35" s="97" t="n"/>
      <c r="E35" s="306" t="n"/>
      <c r="F35" s="230" t="n"/>
      <c r="G35" s="98" t="n"/>
      <c r="H35" s="97" t="n"/>
      <c r="I35" s="370" t="n"/>
      <c r="J35" s="97" t="n"/>
      <c r="K35" s="306" t="n"/>
      <c r="L35" s="97" t="n"/>
    </row>
    <row r="36" ht="22" customHeight="1" s="127">
      <c r="A36" s="306" t="n">
        <v>4</v>
      </c>
      <c r="B36" s="230" t="inlineStr">
        <is>
          <t>Barreras o diques de contención</t>
        </is>
      </c>
      <c r="C36" s="98" t="n"/>
      <c r="D36" s="97" t="n"/>
      <c r="E36" s="306" t="n"/>
      <c r="F36" s="230" t="n"/>
      <c r="G36" s="98" t="n"/>
      <c r="H36" s="97" t="n"/>
      <c r="I36" s="370" t="n"/>
      <c r="J36" s="97" t="n"/>
      <c r="K36" s="306" t="n"/>
      <c r="L36" s="97" t="n"/>
    </row>
    <row r="37" ht="22" customHeight="1" s="127">
      <c r="A37" s="306" t="n">
        <v>5</v>
      </c>
      <c r="B37" s="230" t="inlineStr">
        <is>
          <t>Botiquín de primeros auxilios</t>
        </is>
      </c>
      <c r="C37" s="98" t="n"/>
      <c r="D37" s="97" t="n"/>
      <c r="E37" s="306" t="n"/>
      <c r="F37" s="230" t="n"/>
      <c r="G37" s="98" t="n"/>
      <c r="H37" s="97" t="n"/>
      <c r="I37" s="370" t="n"/>
      <c r="J37" s="97" t="n"/>
      <c r="K37" s="306" t="n"/>
      <c r="L37" s="97" t="n"/>
    </row>
    <row r="38" ht="22" customHeight="1" s="127">
      <c r="A38" s="306" t="n">
        <v>6</v>
      </c>
      <c r="B38" s="230" t="inlineStr">
        <is>
          <t>Camilla</t>
        </is>
      </c>
      <c r="C38" s="98" t="n"/>
      <c r="D38" s="97" t="n"/>
      <c r="E38" s="306" t="n"/>
      <c r="F38" s="230" t="n"/>
      <c r="G38" s="98" t="n"/>
      <c r="H38" s="97" t="n"/>
      <c r="I38" s="370" t="n"/>
      <c r="J38" s="97" t="n"/>
      <c r="K38" s="306" t="n"/>
      <c r="L38" s="97" t="n"/>
    </row>
    <row r="39" ht="22" customHeight="1" s="127">
      <c r="A39" s="306" t="n">
        <v>7</v>
      </c>
      <c r="B39" s="230" t="inlineStr">
        <is>
          <t>Alarma o sistema de aviso</t>
        </is>
      </c>
      <c r="C39" s="98" t="n"/>
      <c r="D39" s="97" t="n"/>
      <c r="E39" s="306" t="n"/>
      <c r="F39" s="230" t="n"/>
      <c r="G39" s="98" t="n"/>
      <c r="H39" s="97" t="n"/>
      <c r="I39" s="370" t="n"/>
      <c r="J39" s="97" t="n"/>
      <c r="K39" s="306" t="n"/>
      <c r="L39" s="97" t="n"/>
    </row>
    <row r="40" ht="22" customHeight="1" s="127">
      <c r="A40" s="306" t="n">
        <v>8</v>
      </c>
      <c r="B40" s="230" t="inlineStr">
        <is>
          <t>Otro:</t>
        </is>
      </c>
      <c r="C40" s="98" t="n"/>
      <c r="D40" s="97" t="n"/>
      <c r="E40" s="306" t="n"/>
      <c r="F40" s="230" t="n"/>
      <c r="G40" s="98" t="n"/>
      <c r="H40" s="97" t="n"/>
      <c r="I40" s="370" t="n"/>
      <c r="J40" s="97" t="n"/>
      <c r="K40" s="306" t="n"/>
      <c r="L40" s="97" t="n"/>
    </row>
    <row r="41" ht="16.5" customHeight="1" s="127">
      <c r="A41" s="364" t="inlineStr">
        <is>
          <t>5. BRIGADA Y CONTACTOS DE EMERGENCIA</t>
        </is>
      </c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7" t="n"/>
    </row>
    <row r="42" ht="22" customHeight="1" s="127">
      <c r="A42" s="367" t="inlineStr">
        <is>
          <t>No.</t>
        </is>
      </c>
      <c r="B42" s="367" t="inlineStr">
        <is>
          <t>Función en la brigada</t>
        </is>
      </c>
      <c r="C42" s="347" t="n"/>
      <c r="D42" s="348" t="n"/>
      <c r="E42" s="367" t="inlineStr">
        <is>
          <t>Nombre</t>
        </is>
      </c>
      <c r="F42" s="347" t="n"/>
      <c r="G42" s="347" t="n"/>
      <c r="H42" s="348" t="n"/>
      <c r="I42" s="367" t="inlineStr">
        <is>
          <t>Teléfono</t>
        </is>
      </c>
      <c r="J42" s="348" t="n"/>
      <c r="K42" s="367" t="inlineStr">
        <is>
          <t>Suplente (si no está)</t>
        </is>
      </c>
      <c r="L42" s="348" t="n"/>
    </row>
    <row r="43" ht="22" customHeight="1" s="127">
      <c r="A43" s="306" t="n">
        <v>1</v>
      </c>
      <c r="B43" s="230" t="inlineStr">
        <is>
          <t>Jefe de brigada o coordinador de emergencias</t>
        </is>
      </c>
      <c r="C43" s="98" t="n"/>
      <c r="D43" s="97" t="n"/>
      <c r="E43" s="230" t="n"/>
      <c r="F43" s="98" t="n"/>
      <c r="G43" s="98" t="n"/>
      <c r="H43" s="97" t="n"/>
      <c r="I43" s="306" t="n"/>
      <c r="J43" s="97" t="n"/>
      <c r="K43" s="230" t="n"/>
      <c r="L43" s="97" t="n"/>
    </row>
    <row r="44" ht="22" customHeight="1" s="127">
      <c r="A44" s="306" t="n">
        <v>2</v>
      </c>
      <c r="B44" s="230" t="inlineStr">
        <is>
          <t>Brigadista de derrames y contención</t>
        </is>
      </c>
      <c r="C44" s="98" t="n"/>
      <c r="D44" s="97" t="n"/>
      <c r="E44" s="230" t="n"/>
      <c r="F44" s="98" t="n"/>
      <c r="G44" s="98" t="n"/>
      <c r="H44" s="97" t="n"/>
      <c r="I44" s="306" t="n"/>
      <c r="J44" s="97" t="n"/>
      <c r="K44" s="230" t="n"/>
      <c r="L44" s="97" t="n"/>
    </row>
    <row r="45" ht="22" customHeight="1" s="127">
      <c r="A45" s="306" t="n">
        <v>3</v>
      </c>
      <c r="B45" s="230" t="inlineStr">
        <is>
          <t>Brigadista contra incendios</t>
        </is>
      </c>
      <c r="C45" s="98" t="n"/>
      <c r="D45" s="97" t="n"/>
      <c r="E45" s="230" t="n"/>
      <c r="F45" s="98" t="n"/>
      <c r="G45" s="98" t="n"/>
      <c r="H45" s="97" t="n"/>
      <c r="I45" s="306" t="n"/>
      <c r="J45" s="97" t="n"/>
      <c r="K45" s="230" t="n"/>
      <c r="L45" s="97" t="n"/>
    </row>
    <row r="46" ht="22" customHeight="1" s="127">
      <c r="A46" s="306" t="n">
        <v>4</v>
      </c>
      <c r="B46" s="230" t="inlineStr">
        <is>
          <t>Brigadista de primeros auxilios</t>
        </is>
      </c>
      <c r="C46" s="98" t="n"/>
      <c r="D46" s="97" t="n"/>
      <c r="E46" s="230" t="n"/>
      <c r="F46" s="98" t="n"/>
      <c r="G46" s="98" t="n"/>
      <c r="H46" s="97" t="n"/>
      <c r="I46" s="306" t="n"/>
      <c r="J46" s="97" t="n"/>
      <c r="K46" s="230" t="n"/>
      <c r="L46" s="97" t="n"/>
    </row>
    <row r="47" ht="22" customHeight="1" s="127">
      <c r="A47" s="367" t="inlineStr">
        <is>
          <t>No.</t>
        </is>
      </c>
      <c r="B47" s="367" t="inlineStr">
        <is>
          <t>Entidad externa</t>
        </is>
      </c>
      <c r="C47" s="347" t="n"/>
      <c r="D47" s="347" t="n"/>
      <c r="E47" s="348" t="n"/>
      <c r="F47" s="367" t="inlineStr">
        <is>
          <t>Teléfono</t>
        </is>
      </c>
      <c r="G47" s="348" t="n"/>
      <c r="H47" s="367" t="inlineStr">
        <is>
          <t>Cuándo llamar</t>
        </is>
      </c>
      <c r="I47" s="347" t="n"/>
      <c r="J47" s="347" t="n"/>
      <c r="K47" s="347" t="n"/>
      <c r="L47" s="348" t="n"/>
    </row>
    <row r="48" ht="22" customHeight="1" s="127">
      <c r="A48" s="306" t="n">
        <v>1</v>
      </c>
      <c r="B48" s="230" t="inlineStr">
        <is>
          <t>Línea de emergencias</t>
        </is>
      </c>
      <c r="C48" s="98" t="n"/>
      <c r="D48" s="98" t="n"/>
      <c r="E48" s="97" t="n"/>
      <c r="F48" s="306" t="n"/>
      <c r="G48" s="97" t="n"/>
      <c r="H48" s="230" t="inlineStr">
        <is>
          <t>Cualquier emergencia con riesgo para las personas</t>
        </is>
      </c>
      <c r="I48" s="98" t="n"/>
      <c r="J48" s="98" t="n"/>
      <c r="K48" s="98" t="n"/>
      <c r="L48" s="97" t="n"/>
    </row>
    <row r="49" ht="22" customHeight="1" s="127">
      <c r="A49" s="306" t="n">
        <v>2</v>
      </c>
      <c r="B49" s="230" t="inlineStr">
        <is>
          <t>Bomberos</t>
        </is>
      </c>
      <c r="C49" s="98" t="n"/>
      <c r="D49" s="98" t="n"/>
      <c r="E49" s="97" t="n"/>
      <c r="F49" s="306" t="n"/>
      <c r="G49" s="97" t="n"/>
      <c r="H49" s="230" t="inlineStr">
        <is>
          <t>Incendio, explosión o fuga</t>
        </is>
      </c>
      <c r="I49" s="98" t="n"/>
      <c r="J49" s="98" t="n"/>
      <c r="K49" s="98" t="n"/>
      <c r="L49" s="97" t="n"/>
    </row>
    <row r="50" ht="22" customHeight="1" s="127">
      <c r="A50" s="306" t="n">
        <v>3</v>
      </c>
      <c r="B50" s="230" t="inlineStr">
        <is>
          <t>Defensa Civil o Cruz Roja</t>
        </is>
      </c>
      <c r="C50" s="98" t="n"/>
      <c r="D50" s="98" t="n"/>
      <c r="E50" s="97" t="n"/>
      <c r="F50" s="306" t="n"/>
      <c r="G50" s="97" t="n"/>
      <c r="H50" s="230" t="inlineStr">
        <is>
          <t>Apoyo en rescate o primeros auxilios</t>
        </is>
      </c>
      <c r="I50" s="98" t="n"/>
      <c r="J50" s="98" t="n"/>
      <c r="K50" s="98" t="n"/>
      <c r="L50" s="97" t="n"/>
    </row>
    <row r="51" ht="22" customHeight="1" s="127">
      <c r="A51" s="306" t="n">
        <v>4</v>
      </c>
      <c r="B51" s="230" t="inlineStr">
        <is>
          <t>Autoridad ambiental</t>
        </is>
      </c>
      <c r="C51" s="98" t="n"/>
      <c r="D51" s="98" t="n"/>
      <c r="E51" s="97" t="n"/>
      <c r="F51" s="306" t="n"/>
      <c r="G51" s="97" t="n"/>
      <c r="H51" s="230" t="inlineStr">
        <is>
          <t>Afectación a agua, suelo, aire o fauna</t>
        </is>
      </c>
      <c r="I51" s="98" t="n"/>
      <c r="J51" s="98" t="n"/>
      <c r="K51" s="98" t="n"/>
      <c r="L51" s="97" t="n"/>
    </row>
    <row r="52" ht="22" customHeight="1" s="127">
      <c r="A52" s="306" t="n">
        <v>5</v>
      </c>
      <c r="B52" s="230" t="inlineStr">
        <is>
          <t>Empresa de acueducto y alcantarillado</t>
        </is>
      </c>
      <c r="C52" s="98" t="n"/>
      <c r="D52" s="98" t="n"/>
      <c r="E52" s="97" t="n"/>
      <c r="F52" s="306" t="n"/>
      <c r="G52" s="97" t="n"/>
      <c r="H52" s="230" t="inlineStr">
        <is>
          <t>Vertimiento a la red o daño en tubería</t>
        </is>
      </c>
      <c r="I52" s="98" t="n"/>
      <c r="J52" s="98" t="n"/>
      <c r="K52" s="98" t="n"/>
      <c r="L52" s="97" t="n"/>
    </row>
    <row r="53" ht="22" customHeight="1" s="127">
      <c r="A53" s="306" t="n">
        <v>6</v>
      </c>
      <c r="B53" s="230" t="inlineStr">
        <is>
          <t>Gestor de residuos peligrosos</t>
        </is>
      </c>
      <c r="C53" s="98" t="n"/>
      <c r="D53" s="98" t="n"/>
      <c r="E53" s="97" t="n"/>
      <c r="F53" s="306" t="n"/>
      <c r="G53" s="97" t="n"/>
      <c r="H53" s="230" t="inlineStr">
        <is>
          <t>Recoger material contaminado</t>
        </is>
      </c>
      <c r="I53" s="98" t="n"/>
      <c r="J53" s="98" t="n"/>
      <c r="K53" s="98" t="n"/>
      <c r="L53" s="97" t="n"/>
    </row>
    <row r="54" ht="22" customHeight="1" s="127">
      <c r="A54" s="306" t="n">
        <v>7</v>
      </c>
      <c r="B54" s="230" t="inlineStr">
        <is>
          <t>Interventoría o contratante</t>
        </is>
      </c>
      <c r="C54" s="98" t="n"/>
      <c r="D54" s="98" t="n"/>
      <c r="E54" s="97" t="n"/>
      <c r="F54" s="306" t="n"/>
      <c r="G54" s="97" t="n"/>
      <c r="H54" s="230" t="inlineStr">
        <is>
          <t>Informar de todo evento</t>
        </is>
      </c>
      <c r="I54" s="98" t="n"/>
      <c r="J54" s="98" t="n"/>
      <c r="K54" s="98" t="n"/>
      <c r="L54" s="97" t="n"/>
    </row>
    <row r="55" ht="16.5" customHeight="1" s="127">
      <c r="A55" s="364" t="inlineStr">
        <is>
          <t>6. SIMULACROS Y PRÁCTICAS</t>
        </is>
      </c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7" t="n"/>
    </row>
    <row r="56" ht="22" customHeight="1" s="127">
      <c r="A56" s="367" t="inlineStr">
        <is>
          <t>No.</t>
        </is>
      </c>
      <c r="B56" s="367" t="inlineStr">
        <is>
          <t>Fecha</t>
        </is>
      </c>
      <c r="C56" s="348" t="n"/>
      <c r="D56" s="367" t="inlineStr">
        <is>
          <t>Escenario practicado</t>
        </is>
      </c>
      <c r="E56" s="347" t="n"/>
      <c r="F56" s="348" t="n"/>
      <c r="G56" s="367" t="inlineStr">
        <is>
          <t>Participantes</t>
        </is>
      </c>
      <c r="H56" s="367" t="inlineStr">
        <is>
          <t>Resultado y mejoras</t>
        </is>
      </c>
      <c r="I56" s="347" t="n"/>
      <c r="J56" s="347" t="n"/>
      <c r="K56" s="347" t="n"/>
      <c r="L56" s="348" t="n"/>
    </row>
    <row r="57" ht="30" customHeight="1" s="127">
      <c r="A57" s="306" t="n">
        <v>1</v>
      </c>
      <c r="B57" s="370" t="n"/>
      <c r="C57" s="97" t="n"/>
      <c r="D57" s="230" t="n"/>
      <c r="E57" s="98" t="n"/>
      <c r="F57" s="97" t="n"/>
      <c r="G57" s="306" t="n"/>
      <c r="H57" s="230" t="n"/>
      <c r="I57" s="98" t="n"/>
      <c r="J57" s="98" t="n"/>
      <c r="K57" s="98" t="n"/>
      <c r="L57" s="97" t="n"/>
    </row>
    <row r="58" ht="30" customHeight="1" s="127">
      <c r="A58" s="306" t="n">
        <v>2</v>
      </c>
      <c r="B58" s="370" t="n"/>
      <c r="C58" s="97" t="n"/>
      <c r="D58" s="230" t="n"/>
      <c r="E58" s="98" t="n"/>
      <c r="F58" s="97" t="n"/>
      <c r="G58" s="306" t="n"/>
      <c r="H58" s="230" t="n"/>
      <c r="I58" s="98" t="n"/>
      <c r="J58" s="98" t="n"/>
      <c r="K58" s="98" t="n"/>
      <c r="L58" s="97" t="n"/>
    </row>
    <row r="59" ht="30" customHeight="1" s="127">
      <c r="A59" s="306" t="n">
        <v>3</v>
      </c>
      <c r="B59" s="370" t="n"/>
      <c r="C59" s="97" t="n"/>
      <c r="D59" s="230" t="n"/>
      <c r="E59" s="98" t="n"/>
      <c r="F59" s="97" t="n"/>
      <c r="G59" s="306" t="n"/>
      <c r="H59" s="230" t="n"/>
      <c r="I59" s="98" t="n"/>
      <c r="J59" s="98" t="n"/>
      <c r="K59" s="98" t="n"/>
      <c r="L59" s="97" t="n"/>
    </row>
    <row r="60" ht="30" customHeight="1" s="127">
      <c r="A60" s="306" t="n">
        <v>4</v>
      </c>
      <c r="B60" s="370" t="n"/>
      <c r="C60" s="97" t="n"/>
      <c r="D60" s="230" t="n"/>
      <c r="E60" s="98" t="n"/>
      <c r="F60" s="97" t="n"/>
      <c r="G60" s="306" t="n"/>
      <c r="H60" s="230" t="n"/>
      <c r="I60" s="98" t="n"/>
      <c r="J60" s="98" t="n"/>
      <c r="K60" s="98" t="n"/>
      <c r="L60" s="97" t="n"/>
    </row>
    <row r="61" ht="20" customHeight="1" s="127">
      <c r="A61" s="368" t="inlineStr">
        <is>
          <t>Simulacros realizados</t>
        </is>
      </c>
      <c r="B61" s="93" t="n"/>
      <c r="C61" s="89" t="n"/>
      <c r="D61" s="369">
        <f>COUNTA(B57:B60)</f>
        <v/>
      </c>
      <c r="E61" s="368" t="inlineStr">
        <is>
          <t>Fecha del último simulacro</t>
        </is>
      </c>
      <c r="F61" s="93" t="n"/>
      <c r="G61" s="93" t="n"/>
      <c r="H61" s="93" t="n"/>
      <c r="I61" s="93" t="n"/>
      <c r="J61" s="89" t="n"/>
      <c r="K61" s="369" t="n"/>
      <c r="L61" s="89" t="n"/>
    </row>
    <row r="62" ht="16.5" customHeight="1" s="127">
      <c r="A62" s="364" t="inlineStr">
        <is>
          <t>7. QUÉ HACER SI OCURRE UNA EMERGENCIA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7" t="n"/>
    </row>
    <row r="63" ht="58" customHeight="1" s="127">
      <c r="A63" s="371" t="inlineStr">
        <is>
          <t>1) Proteja a las personas y aléjelas del peligro.  2) Avise al jefe de brigada y al responsable ambiental.  3) Si puede hacerlo sin riesgo, detenga la fuente y contenga el derrame o el vertimiento para que no llegue a sumideros, redes o fuentes de agua.  4) Llame a las entidades de la sección 5 que correspondan.  5) Informe a la interventoría y, si hay afectación, a la autoridad ambiental.  6) Registre el evento en «Incidente o Accidente Ambiental» y abra su acción correctiva.</t>
        </is>
      </c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89" t="n"/>
    </row>
    <row r="64" ht="16.5" customHeight="1" s="127">
      <c r="A64" s="364" t="inlineStr">
        <is>
          <t>8. OBSERVACIONES</t>
        </is>
      </c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7" t="n"/>
    </row>
    <row r="65" ht="44" customHeight="1" s="127">
      <c r="A65" s="100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89" t="n"/>
    </row>
    <row r="66" ht="16.5" customHeight="1" s="127">
      <c r="A66" s="364" t="inlineStr">
        <is>
          <t>9. FIRMAS</t>
        </is>
      </c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7" t="n"/>
    </row>
    <row r="67" ht="18" customHeight="1" s="127">
      <c r="A67" s="372" t="inlineStr">
        <is>
          <t>ELABORÓ — RESPONSABLE AMBIENTAL</t>
        </is>
      </c>
      <c r="B67" s="347" t="n"/>
      <c r="C67" s="347" t="n"/>
      <c r="D67" s="348" t="n"/>
      <c r="E67" s="372" t="inlineStr">
        <is>
          <t>REVISÓ — RESIDENTE DE OBRA</t>
        </is>
      </c>
      <c r="F67" s="347" t="n"/>
      <c r="G67" s="347" t="n"/>
      <c r="H67" s="348" t="n"/>
      <c r="I67" s="372" t="inlineStr">
        <is>
          <t>APROBÓ — DIRECTOR DE OBRA</t>
        </is>
      </c>
      <c r="J67" s="347" t="n"/>
      <c r="K67" s="347" t="n"/>
      <c r="L67" s="348" t="n"/>
    </row>
    <row r="68" ht="42" customHeight="1" s="127">
      <c r="A68" s="373" t="inlineStr">
        <is>
          <t>Firma:</t>
        </is>
      </c>
      <c r="B68" s="97" t="n"/>
      <c r="C68" s="301" t="n"/>
      <c r="D68" s="97" t="n"/>
      <c r="E68" s="373" t="inlineStr">
        <is>
          <t>Firma:</t>
        </is>
      </c>
      <c r="F68" s="97" t="n"/>
      <c r="G68" s="301" t="n"/>
      <c r="H68" s="97" t="n"/>
      <c r="I68" s="373" t="inlineStr">
        <is>
          <t>Firma:</t>
        </is>
      </c>
      <c r="J68" s="97" t="n"/>
      <c r="K68" s="301" t="n"/>
      <c r="L68" s="97" t="n"/>
    </row>
    <row r="69" ht="21" customHeight="1" s="127">
      <c r="A69" s="373" t="inlineStr">
        <is>
          <t>Nombre:</t>
        </is>
      </c>
      <c r="B69" s="97" t="n"/>
      <c r="C69" s="301" t="n"/>
      <c r="D69" s="97" t="n"/>
      <c r="E69" s="373" t="inlineStr">
        <is>
          <t>Nombre:</t>
        </is>
      </c>
      <c r="F69" s="97" t="n"/>
      <c r="G69" s="301" t="n"/>
      <c r="H69" s="97" t="n"/>
      <c r="I69" s="373" t="inlineStr">
        <is>
          <t>Nombre:</t>
        </is>
      </c>
      <c r="J69" s="97" t="n"/>
      <c r="K69" s="301" t="n"/>
      <c r="L69" s="97" t="n"/>
    </row>
    <row r="70" ht="21" customHeight="1" s="127">
      <c r="A70" s="373" t="inlineStr">
        <is>
          <t>Cargo:</t>
        </is>
      </c>
      <c r="B70" s="97" t="n"/>
      <c r="C70" s="301" t="n"/>
      <c r="D70" s="97" t="n"/>
      <c r="E70" s="373" t="inlineStr">
        <is>
          <t>Cargo:</t>
        </is>
      </c>
      <c r="F70" s="97" t="n"/>
      <c r="G70" s="301" t="n"/>
      <c r="H70" s="97" t="n"/>
      <c r="I70" s="373" t="inlineStr">
        <is>
          <t>Cargo:</t>
        </is>
      </c>
      <c r="J70" s="97" t="n"/>
      <c r="K70" s="301" t="n"/>
      <c r="L70" s="97" t="n"/>
    </row>
    <row r="71">
      <c r="A71" s="25" t="inlineStr">
        <is>
          <t>REV. 10/10/2026</t>
        </is>
      </c>
      <c r="G71" s="105">
        <f>K5</f>
        <v/>
      </c>
    </row>
  </sheetData>
  <mergeCells count="213">
    <mergeCell ref="B42:D42"/>
    <mergeCell ref="F36:H36"/>
    <mergeCell ref="F33:H33"/>
    <mergeCell ref="K24:L24"/>
    <mergeCell ref="F16:G16"/>
    <mergeCell ref="K33:L33"/>
    <mergeCell ref="H54:L54"/>
    <mergeCell ref="B22:C22"/>
    <mergeCell ref="E23:F23"/>
    <mergeCell ref="B44:D44"/>
    <mergeCell ref="A70:B70"/>
    <mergeCell ref="E30:J30"/>
    <mergeCell ref="K26:L26"/>
    <mergeCell ref="B34:D34"/>
    <mergeCell ref="K35:L35"/>
    <mergeCell ref="B21:C21"/>
    <mergeCell ref="H56:L56"/>
    <mergeCell ref="B37:D37"/>
    <mergeCell ref="D1:L2"/>
    <mergeCell ref="I16:J16"/>
    <mergeCell ref="E61:J61"/>
    <mergeCell ref="H49:L49"/>
    <mergeCell ref="B47:E47"/>
    <mergeCell ref="F39:H39"/>
    <mergeCell ref="G68:H68"/>
    <mergeCell ref="A63:L63"/>
    <mergeCell ref="D5:I5"/>
    <mergeCell ref="I42:J42"/>
    <mergeCell ref="K42:L42"/>
    <mergeCell ref="E27:F27"/>
    <mergeCell ref="A17:B17"/>
    <mergeCell ref="H13:I13"/>
    <mergeCell ref="I44:J44"/>
    <mergeCell ref="B24:C24"/>
    <mergeCell ref="G71:L71"/>
    <mergeCell ref="J13:L13"/>
    <mergeCell ref="A19:B19"/>
    <mergeCell ref="H48:L48"/>
    <mergeCell ref="A68:B68"/>
    <mergeCell ref="K28:L28"/>
    <mergeCell ref="K37:L37"/>
    <mergeCell ref="E22:F22"/>
    <mergeCell ref="I69:J69"/>
    <mergeCell ref="D6:I6"/>
    <mergeCell ref="B26:C26"/>
    <mergeCell ref="B43:D43"/>
    <mergeCell ref="K69:L69"/>
    <mergeCell ref="C18:G18"/>
    <mergeCell ref="D57:F57"/>
    <mergeCell ref="C69:D69"/>
    <mergeCell ref="K30:L30"/>
    <mergeCell ref="E45:H45"/>
    <mergeCell ref="B49:E49"/>
    <mergeCell ref="B25:C25"/>
    <mergeCell ref="F54:G54"/>
    <mergeCell ref="I46:J46"/>
    <mergeCell ref="A11:B11"/>
    <mergeCell ref="F35:H35"/>
    <mergeCell ref="C14:D14"/>
    <mergeCell ref="G29:J29"/>
    <mergeCell ref="E14:F14"/>
    <mergeCell ref="B51:E51"/>
    <mergeCell ref="B27:C27"/>
    <mergeCell ref="G70:H70"/>
    <mergeCell ref="A55:L55"/>
    <mergeCell ref="H58:L58"/>
    <mergeCell ref="I70:J70"/>
    <mergeCell ref="K21:L21"/>
    <mergeCell ref="G22:J22"/>
    <mergeCell ref="B50:E50"/>
    <mergeCell ref="I32:J32"/>
    <mergeCell ref="K32:L32"/>
    <mergeCell ref="H51:L51"/>
    <mergeCell ref="H60:L60"/>
    <mergeCell ref="G21:J21"/>
    <mergeCell ref="E67:H67"/>
    <mergeCell ref="H17:I17"/>
    <mergeCell ref="I43:J43"/>
    <mergeCell ref="B36:D36"/>
    <mergeCell ref="K43:L43"/>
    <mergeCell ref="C12:G12"/>
    <mergeCell ref="G23:J23"/>
    <mergeCell ref="B29:C29"/>
    <mergeCell ref="B45:D45"/>
    <mergeCell ref="F47:G47"/>
    <mergeCell ref="I33:J33"/>
    <mergeCell ref="K27:L27"/>
    <mergeCell ref="A31:L31"/>
    <mergeCell ref="H19:I19"/>
    <mergeCell ref="D60:F60"/>
    <mergeCell ref="H57:L57"/>
    <mergeCell ref="E26:F26"/>
    <mergeCell ref="H12:I12"/>
    <mergeCell ref="I35:J35"/>
    <mergeCell ref="F48:G48"/>
    <mergeCell ref="B53:E53"/>
    <mergeCell ref="B46:D46"/>
    <mergeCell ref="E25:F25"/>
    <mergeCell ref="F40:H40"/>
    <mergeCell ref="G24:J24"/>
    <mergeCell ref="K6:L6"/>
    <mergeCell ref="B39:D39"/>
    <mergeCell ref="C11:L11"/>
    <mergeCell ref="C16:E16"/>
    <mergeCell ref="K16:L16"/>
    <mergeCell ref="K68:L68"/>
    <mergeCell ref="K25:L25"/>
    <mergeCell ref="C68:D68"/>
    <mergeCell ref="G26:J26"/>
    <mergeCell ref="E68:F68"/>
    <mergeCell ref="F32:H32"/>
    <mergeCell ref="A66:L66"/>
    <mergeCell ref="K5:L5"/>
    <mergeCell ref="I45:J45"/>
    <mergeCell ref="J4:L4"/>
    <mergeCell ref="K45:L45"/>
    <mergeCell ref="G25:J25"/>
    <mergeCell ref="B56:C56"/>
    <mergeCell ref="A69:B69"/>
    <mergeCell ref="B58:C58"/>
    <mergeCell ref="F38:H38"/>
    <mergeCell ref="K29:L29"/>
    <mergeCell ref="F53:G53"/>
    <mergeCell ref="E29:F29"/>
    <mergeCell ref="H59:L59"/>
    <mergeCell ref="B54:E54"/>
    <mergeCell ref="K44:L44"/>
    <mergeCell ref="D58:F58"/>
    <mergeCell ref="B60:C60"/>
    <mergeCell ref="D3:L3"/>
    <mergeCell ref="I37:J37"/>
    <mergeCell ref="E69:F69"/>
    <mergeCell ref="K46:L46"/>
    <mergeCell ref="F50:G50"/>
    <mergeCell ref="B57:C57"/>
    <mergeCell ref="K40:L40"/>
    <mergeCell ref="F37:H37"/>
    <mergeCell ref="G69:H69"/>
    <mergeCell ref="A12:B12"/>
    <mergeCell ref="A20:L20"/>
    <mergeCell ref="K8:L8"/>
    <mergeCell ref="J18:L18"/>
    <mergeCell ref="B35:D35"/>
    <mergeCell ref="B52:E52"/>
    <mergeCell ref="B28:C28"/>
    <mergeCell ref="A14:B14"/>
    <mergeCell ref="A30:C30"/>
    <mergeCell ref="D59:F59"/>
    <mergeCell ref="J17:L17"/>
    <mergeCell ref="K23:L23"/>
    <mergeCell ref="C70:D70"/>
    <mergeCell ref="E70:F70"/>
    <mergeCell ref="H47:L47"/>
    <mergeCell ref="F34:H34"/>
    <mergeCell ref="K7:L7"/>
    <mergeCell ref="A15:L15"/>
    <mergeCell ref="A64:L64"/>
    <mergeCell ref="J19:L19"/>
    <mergeCell ref="A61:C61"/>
    <mergeCell ref="F49:G49"/>
    <mergeCell ref="E46:H46"/>
    <mergeCell ref="C13:G13"/>
    <mergeCell ref="I34:J34"/>
    <mergeCell ref="K34:L34"/>
    <mergeCell ref="H53:L53"/>
    <mergeCell ref="A41:L41"/>
    <mergeCell ref="E24:F24"/>
    <mergeCell ref="B59:C59"/>
    <mergeCell ref="H50:L50"/>
    <mergeCell ref="I36:J36"/>
    <mergeCell ref="K36:L36"/>
    <mergeCell ref="B38:D38"/>
    <mergeCell ref="A16:B16"/>
    <mergeCell ref="A67:D67"/>
    <mergeCell ref="E43:H43"/>
    <mergeCell ref="F51:G51"/>
    <mergeCell ref="B23:C23"/>
    <mergeCell ref="E28:F28"/>
    <mergeCell ref="B40:D40"/>
    <mergeCell ref="D56:F56"/>
    <mergeCell ref="J12:L12"/>
    <mergeCell ref="A18:B18"/>
    <mergeCell ref="K22:L22"/>
    <mergeCell ref="G27:J27"/>
    <mergeCell ref="E42:H42"/>
    <mergeCell ref="H52:L52"/>
    <mergeCell ref="B33:D33"/>
    <mergeCell ref="A62:L62"/>
    <mergeCell ref="I68:J68"/>
    <mergeCell ref="A10:L10"/>
    <mergeCell ref="B32:D32"/>
    <mergeCell ref="B48:E48"/>
    <mergeCell ref="E44:H44"/>
    <mergeCell ref="G14:H14"/>
    <mergeCell ref="A9:L9"/>
    <mergeCell ref="I14:J14"/>
    <mergeCell ref="I39:J39"/>
    <mergeCell ref="K39:L39"/>
    <mergeCell ref="K14:L14"/>
    <mergeCell ref="K61:L61"/>
    <mergeCell ref="K70:L70"/>
    <mergeCell ref="F52:G52"/>
    <mergeCell ref="C17:G17"/>
    <mergeCell ref="G28:J28"/>
    <mergeCell ref="I38:J38"/>
    <mergeCell ref="K38:L38"/>
    <mergeCell ref="H18:I18"/>
    <mergeCell ref="A13:B13"/>
    <mergeCell ref="C19:G19"/>
    <mergeCell ref="I40:J40"/>
    <mergeCell ref="I67:L67"/>
    <mergeCell ref="E21:F21"/>
    <mergeCell ref="A65:L65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2026-10-11T01:13:52Z</dcterms:modified>
  <cp:lastModifiedBy>Hugo Fernando Hurtado Ruiz</cp:lastModifiedBy>
</cp:coreProperties>
</file>