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ontrol Presupuesta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&quot;$&quot;#,##0;[Red]\-&quot;$&quot;#,##0"/>
    <numFmt numFmtId="165" formatCode="0.0%"/>
  </numFmts>
  <fonts count="13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Calibri"/>
      <family val="2"/>
      <color rgb="FF000000"/>
      <sz val="10"/>
    </font>
    <font>
      <name val="Arial"/>
      <family val="2"/>
      <b val="1"/>
      <color rgb="FF000000"/>
      <sz val="14"/>
    </font>
    <font>
      <name val="Calibri"/>
      <family val="2"/>
      <i val="1"/>
      <color rgb="FF000000"/>
      <sz val="14"/>
    </font>
    <font>
      <name val="Arial"/>
      <family val="2"/>
      <b val="1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F243E"/>
      <sz val="10"/>
    </font>
    <font>
      <name val="Calibri"/>
      <family val="2"/>
      <b val="1"/>
      <color rgb="FFFFFFFF"/>
      <sz val="10"/>
    </font>
    <font>
      <name val="Calibri"/>
      <family val="2"/>
      <b val="1"/>
      <i val="1"/>
      <color rgb="FF000000"/>
      <sz val="10"/>
    </font>
    <font>
      <name val="Calibri"/>
      <color rgb="FF000000"/>
      <sz val="10"/>
    </font>
    <font>
      <name val="Calibri"/>
      <b val="1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A233"/>
      </patternFill>
    </fill>
    <fill>
      <patternFill patternType="solid">
        <fgColor rgb="FFDCE6F1"/>
      </patternFill>
    </fill>
    <fill>
      <patternFill patternType="solid">
        <fgColor rgb="FF92D050"/>
      </patternFill>
    </fill>
    <fill>
      <patternFill patternType="solid">
        <fgColor rgb="FFFAFAFA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 wrapText="1"/>
    </xf>
    <xf numFmtId="165" fontId="2" fillId="5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4" fontId="2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2" fillId="7" borderId="1" applyAlignment="1" pivotButton="0" quotePrefix="0" xfId="0">
      <alignment horizontal="left" vertical="center" wrapText="1"/>
    </xf>
    <xf numFmtId="0" fontId="6" fillId="4" borderId="9" applyAlignment="1" pivotButton="0" quotePrefix="0" xfId="0">
      <alignment vertical="center" wrapText="1"/>
    </xf>
    <xf numFmtId="0" fontId="6" fillId="4" borderId="10" applyAlignment="1" pivotButton="0" quotePrefix="0" xfId="0">
      <alignment vertical="center" wrapText="1"/>
    </xf>
    <xf numFmtId="0" fontId="6" fillId="4" borderId="11" applyAlignment="1" pivotButton="0" quotePrefix="0" xfId="0">
      <alignment vertical="center" wrapText="1"/>
    </xf>
    <xf numFmtId="0" fontId="0" fillId="7" borderId="9" pivotButton="0" quotePrefix="0" xfId="0"/>
    <xf numFmtId="0" fontId="0" fillId="7" borderId="10" pivotButton="0" quotePrefix="0" xfId="0"/>
    <xf numFmtId="0" fontId="0" fillId="7" borderId="11" pivotButton="0" quotePrefix="0" xfId="0"/>
    <xf numFmtId="164" fontId="2" fillId="4" borderId="9" applyAlignment="1" pivotButton="0" quotePrefix="0" xfId="0">
      <alignment horizontal="center" vertical="center" wrapText="1"/>
    </xf>
    <xf numFmtId="164" fontId="2" fillId="4" borderId="10" applyAlignment="1" pivotButton="0" quotePrefix="0" xfId="0">
      <alignment horizontal="center" vertical="center" wrapText="1"/>
    </xf>
    <xf numFmtId="164" fontId="2" fillId="4" borderId="11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6" borderId="4" applyAlignment="1" pivotButton="0" quotePrefix="0" xfId="0">
      <alignment horizontal="left" vertical="top" wrapText="1"/>
    </xf>
    <xf numFmtId="0" fontId="2" fillId="6" borderId="3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6" borderId="5" applyAlignment="1" pivotButton="0" quotePrefix="0" xfId="0">
      <alignment horizontal="left" vertical="top" wrapText="1"/>
    </xf>
    <xf numFmtId="0" fontId="2" fillId="6" borderId="6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left" vertical="top" wrapText="1"/>
    </xf>
    <xf numFmtId="0" fontId="2" fillId="6" borderId="8" applyAlignment="1" pivotButton="0" quotePrefix="0" xfId="0">
      <alignment horizontal="left" vertical="top" wrapText="1"/>
    </xf>
    <xf numFmtId="165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6" fillId="4" borderId="1" applyAlignment="1" pivotButton="0" quotePrefix="0" xfId="0">
      <alignment vertical="center" wrapText="1"/>
    </xf>
    <xf numFmtId="0" fontId="0" fillId="7" borderId="1" pivotButton="0" quotePrefix="0" xfId="0"/>
    <xf numFmtId="0" fontId="2" fillId="6" borderId="1" applyAlignment="1" pivotButton="0" quotePrefix="0" xfId="0">
      <alignment horizontal="left" vertical="top" wrapText="1"/>
    </xf>
    <xf numFmtId="164" fontId="2" fillId="4" borderId="1" applyAlignment="1" pivotButton="0" quotePrefix="0" xfId="0">
      <alignment horizontal="center" vertical="center" wrapText="1"/>
    </xf>
    <xf numFmtId="0" fontId="11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1" fillId="0" borderId="1" applyAlignment="1" pivotButton="0" quotePrefix="0" xfId="0">
      <alignment horizontal="center" vertical="center" wrapText="1"/>
    </xf>
    <xf numFmtId="164" fontId="11" fillId="0" borderId="1" applyAlignment="1" applyProtection="1" pivotButton="0" quotePrefix="0" xfId="0">
      <alignment horizontal="right" vertical="center" wrapText="1"/>
      <protection locked="0" hidden="0"/>
    </xf>
    <xf numFmtId="164" fontId="2" fillId="4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4" fontId="12" fillId="7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right" vertical="center" wrapText="1"/>
    </xf>
    <xf numFmtId="165" fontId="11" fillId="0" borderId="1" applyAlignment="1" applyProtection="1" pivotButton="0" quotePrefix="0" xfId="0">
      <alignment horizontal="center" vertical="center" wrapText="1"/>
      <protection locked="0" hidden="0"/>
    </xf>
    <xf numFmtId="165" fontId="11" fillId="0" borderId="1" applyAlignment="1" pivotButton="0" quotePrefix="0" xfId="0">
      <alignment horizontal="center" vertical="center" wrapText="1"/>
    </xf>
    <xf numFmtId="0" fontId="12" fillId="0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/>
  </cellStyles>
  <dxfs count="3"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3420000" cy="1620000"/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420000" cy="162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1"/>
  </sheetPr>
  <dimension ref="A1:N46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7.77734375" customWidth="1" style="33" min="1" max="1"/>
    <col width="34" customWidth="1" style="33" min="2" max="2"/>
    <col width="16" customWidth="1" style="33" min="3" max="3"/>
    <col width="14" customWidth="1" style="33" min="4" max="4"/>
    <col width="16" customWidth="1" style="33" min="5" max="6"/>
    <col width="12.77734375" customWidth="1" style="33" min="7" max="7"/>
    <col width="16" customWidth="1" style="33" min="8" max="8"/>
    <col width="15.77734375" customWidth="1" style="33" min="9" max="9"/>
    <col width="12.77734375" customWidth="1" style="33" min="10" max="10"/>
    <col width="20.77734375" customWidth="1" style="33" min="11" max="11"/>
    <col width="16" customWidth="1" style="33" min="12" max="12"/>
    <col width="15.77734375" customWidth="1" style="33" min="13" max="13"/>
    <col width="20.77734375" customWidth="1" style="33" min="14" max="14"/>
  </cols>
  <sheetData>
    <row r="1" ht="40.05" customHeight="1" s="33">
      <c r="A1" s="75" t="n"/>
      <c r="D1" s="41" t="inlineStr">
        <is>
          <t>CONTROL PRESUPUESTAL DE OBRA</t>
        </is>
      </c>
    </row>
    <row r="2" ht="4.95" customHeight="1" s="33">
      <c r="D2" s="25" t="n"/>
    </row>
    <row r="3" ht="14.4" customHeight="1" s="33">
      <c r="D3" s="32" t="n"/>
      <c r="L3" s="37" t="inlineStr">
        <is>
          <t>CONTROL DOCUMENTAL</t>
        </is>
      </c>
      <c r="M3" s="76" t="n"/>
      <c r="N3" s="77" t="n"/>
    </row>
    <row r="4" ht="15" customHeight="1" s="33">
      <c r="D4" s="36" t="inlineStr">
        <is>
          <t>REFORMAS Y REMODELACIONES</t>
        </is>
      </c>
      <c r="L4" s="21" t="inlineStr">
        <is>
          <t>Código</t>
        </is>
      </c>
      <c r="M4" s="77" t="n"/>
      <c r="N4" s="2" t="inlineStr">
        <is>
          <t>RYR-CP-002</t>
        </is>
      </c>
    </row>
    <row r="5" ht="14.4" customHeight="1" s="33">
      <c r="D5" s="38" t="inlineStr">
        <is>
          <t>DISEÑAMOS, RENOVAMOS Y CONSTRUIMOS ESPACIOS QUE INSPIRAN.</t>
        </is>
      </c>
      <c r="L5" s="21" t="inlineStr">
        <is>
          <t>Versión</t>
        </is>
      </c>
      <c r="M5" s="77" t="n"/>
      <c r="N5" s="2" t="inlineStr">
        <is>
          <t>1</t>
        </is>
      </c>
    </row>
    <row r="6" ht="20.4" customHeight="1" s="33">
      <c r="D6" s="32" t="n"/>
      <c r="L6" s="21" t="inlineStr">
        <is>
          <t>Fecha de Emisión</t>
        </is>
      </c>
      <c r="M6" s="77" t="n"/>
      <c r="N6" s="2" t="inlineStr">
        <is>
          <t>08/10/2026</t>
        </is>
      </c>
    </row>
    <row r="7" ht="18" customHeight="1" s="33">
      <c r="A7" s="51" t="n"/>
      <c r="B7" s="51" t="n"/>
      <c r="C7" s="51" t="n"/>
      <c r="D7" s="32" t="n"/>
      <c r="L7" s="21" t="inlineStr">
        <is>
          <t>Página</t>
        </is>
      </c>
      <c r="M7" s="77" t="n"/>
      <c r="N7" s="2" t="inlineStr">
        <is>
          <t>1 de 1</t>
        </is>
      </c>
    </row>
    <row r="8">
      <c r="A8" s="27" t="inlineStr">
        <is>
          <t>Presupuesto vs. ejecutado en actas vs. costo real · valores en pesos colombianos a costo directo (sin AIU)</t>
        </is>
      </c>
      <c r="B8" s="76" t="n"/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  <c r="M8" s="76" t="n"/>
      <c r="N8" s="77" t="n"/>
    </row>
    <row r="9" ht="15" customHeight="1" s="33">
      <c r="A9" s="39" t="inlineStr">
        <is>
          <t>1. DATOS GENERALES</t>
        </is>
      </c>
      <c r="B9" s="76" t="n"/>
      <c r="C9" s="76" t="n"/>
      <c r="D9" s="76" t="n"/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7" t="n"/>
    </row>
    <row r="10" ht="18" customHeight="1" s="33">
      <c r="A10" s="21" t="inlineStr">
        <is>
          <t>Proyecto / Obra</t>
        </is>
      </c>
      <c r="B10" s="76" t="n"/>
      <c r="C10" s="77" t="n"/>
      <c r="D10" s="82" t="n"/>
      <c r="E10" s="83" t="n"/>
      <c r="F10" s="83" t="n"/>
      <c r="G10" s="84" t="n"/>
      <c r="H10" s="21" t="inlineStr">
        <is>
          <t>Tipo de proyecto</t>
        </is>
      </c>
      <c r="I10" s="76" t="n"/>
      <c r="J10" s="77" t="n"/>
      <c r="K10" s="82" t="n"/>
      <c r="L10" s="83" t="n"/>
      <c r="M10" s="83" t="n"/>
      <c r="N10" s="84" t="n"/>
    </row>
    <row r="11" ht="18" customHeight="1" s="33">
      <c r="A11" s="21" t="inlineStr">
        <is>
          <t>Contrato N°</t>
        </is>
      </c>
      <c r="B11" s="76" t="n"/>
      <c r="C11" s="77" t="n"/>
      <c r="D11" s="82" t="n"/>
      <c r="E11" s="83" t="n"/>
      <c r="F11" s="83" t="n"/>
      <c r="G11" s="84" t="n"/>
      <c r="H11" s="21" t="inlineStr">
        <is>
          <t>Contratante</t>
        </is>
      </c>
      <c r="I11" s="76" t="n"/>
      <c r="J11" s="77" t="n"/>
      <c r="K11" s="82" t="n"/>
      <c r="L11" s="83" t="n"/>
      <c r="M11" s="83" t="n"/>
      <c r="N11" s="84" t="n"/>
    </row>
    <row r="12" ht="18" customHeight="1" s="33">
      <c r="A12" s="21" t="inlineStr">
        <is>
          <t>Acta / corte N°</t>
        </is>
      </c>
      <c r="B12" s="76" t="n"/>
      <c r="C12" s="77" t="n"/>
      <c r="D12" s="82" t="n"/>
      <c r="E12" s="83" t="n"/>
      <c r="F12" s="83" t="n"/>
      <c r="G12" s="84" t="n"/>
      <c r="H12" s="21" t="inlineStr">
        <is>
          <t>Fecha de corte</t>
        </is>
      </c>
      <c r="I12" s="76" t="n"/>
      <c r="J12" s="77" t="n"/>
      <c r="K12" s="82" t="n"/>
      <c r="L12" s="83" t="n"/>
      <c r="M12" s="83" t="n"/>
      <c r="N12" s="84" t="n"/>
    </row>
    <row r="13" ht="15" customHeight="1" s="33">
      <c r="A13" s="39" t="inlineStr">
        <is>
          <t>2. CONTROL POR CAPÍTULO</t>
        </is>
      </c>
      <c r="B13" s="76" t="n"/>
      <c r="C13" s="76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7" t="n"/>
    </row>
    <row r="14" ht="52.05" customHeight="1" s="33">
      <c r="A14" s="4" t="inlineStr">
        <is>
          <t>Cap.</t>
        </is>
      </c>
      <c r="B14" s="4" t="inlineStr">
        <is>
          <t>Capítulo del presupuesto</t>
        </is>
      </c>
      <c r="C14" s="4" t="inlineStr">
        <is>
          <t>Presupuesto contratado</t>
        </is>
      </c>
      <c r="D14" s="4" t="inlineStr">
        <is>
          <t>Adiciones aprobadas</t>
        </is>
      </c>
      <c r="E14" s="4" t="inlineStr">
        <is>
          <t>Presupuesto vigente</t>
        </is>
      </c>
      <c r="F14" s="4" t="inlineStr">
        <is>
          <t>Ejecutado según actas</t>
        </is>
      </c>
      <c r="G14" s="4" t="inlineStr">
        <is>
          <t>% avance</t>
        </is>
      </c>
      <c r="H14" s="4" t="inlineStr">
        <is>
          <t>Costo real acumulado</t>
        </is>
      </c>
      <c r="I14" s="4" t="inlineStr">
        <is>
          <t>Desviación (costo real − ejecutado)</t>
        </is>
      </c>
      <c r="J14" s="4" t="inlineStr">
        <is>
          <t>% desv.</t>
        </is>
      </c>
      <c r="K14" s="4" t="inlineStr">
        <is>
          <t>Saldo por ejecutar</t>
        </is>
      </c>
      <c r="L14" s="4" t="inlineStr">
        <is>
          <t>Costo proyectado al cierre</t>
        </is>
      </c>
      <c r="M14" s="4" t="inlineStr">
        <is>
          <t>Desv. proyectada %</t>
        </is>
      </c>
      <c r="N14" s="4" t="inlineStr">
        <is>
          <t>Estado</t>
        </is>
      </c>
    </row>
    <row r="15" ht="22.05" customHeight="1" s="33">
      <c r="A15" s="85" t="n">
        <v>1</v>
      </c>
      <c r="B15" s="82" t="n"/>
      <c r="C15" s="86" t="n"/>
      <c r="D15" s="86" t="n"/>
      <c r="E15" s="87">
        <f>IF(AND(C15="",D15=""),"",N(C15)+N(D15))</f>
        <v/>
      </c>
      <c r="F15" s="86" t="n"/>
      <c r="G15" s="88">
        <f>IF(OR(E15="",E15=0),"",F15/E15)</f>
        <v/>
      </c>
      <c r="H15" s="87" t="n"/>
      <c r="I15" s="87">
        <f>IF(OR(F15="",H15=""),"",H15-F15)</f>
        <v/>
      </c>
      <c r="J15" s="88">
        <f>IF(OR(I15="",F15=0),"",I15/F15)</f>
        <v/>
      </c>
      <c r="K15" s="89">
        <f>IF(E15="","",E15-N(F15))</f>
        <v/>
      </c>
      <c r="L15" s="87">
        <f>IF(OR(F15="",F15=0,H15=""),"",H15/F15*E15)</f>
        <v/>
      </c>
      <c r="M15" s="88">
        <f>IF(OR(L15="",E15="",E15=0),"",L15/E15-1)</f>
        <v/>
      </c>
      <c r="N15" s="17">
        <f>IF(J15="","",IF(J15&gt;0.05,"ALERTA",IF(J15&gt;0,"VIGILAR","OK")))</f>
        <v/>
      </c>
    </row>
    <row r="16" ht="22.05" customHeight="1" s="33">
      <c r="A16" s="85" t="n">
        <v>2</v>
      </c>
      <c r="B16" s="82" t="n"/>
      <c r="C16" s="86" t="n"/>
      <c r="D16" s="86" t="n"/>
      <c r="E16" s="87">
        <f>IF(AND(C16="",D16=""),"",N(C16)+N(D16))</f>
        <v/>
      </c>
      <c r="F16" s="86" t="n"/>
      <c r="G16" s="88">
        <f>IF(OR(E16="",E16=0),"",F16/E16)</f>
        <v/>
      </c>
      <c r="H16" s="87" t="n"/>
      <c r="I16" s="87">
        <f>IF(OR(F16="",H16=""),"",H16-F16)</f>
        <v/>
      </c>
      <c r="J16" s="88">
        <f>IF(OR(I16="",F16=0),"",I16/F16)</f>
        <v/>
      </c>
      <c r="K16" s="89">
        <f>IF(E16="","",E16-N(F16))</f>
        <v/>
      </c>
      <c r="L16" s="87">
        <f>IF(OR(F16="",F16=0,H16=""),"",H16/F16*E16)</f>
        <v/>
      </c>
      <c r="M16" s="88">
        <f>IF(OR(L16="",E16="",E16=0),"",L16/E16-1)</f>
        <v/>
      </c>
      <c r="N16" s="17">
        <f>IF(J16="","",IF(J16&gt;0.05,"ALERTA",IF(J16&gt;0,"VIGILAR","OK")))</f>
        <v/>
      </c>
    </row>
    <row r="17" ht="22.05" customHeight="1" s="33">
      <c r="A17" s="85" t="n">
        <v>3</v>
      </c>
      <c r="B17" s="82" t="n"/>
      <c r="C17" s="86" t="n"/>
      <c r="D17" s="86" t="n"/>
      <c r="E17" s="87">
        <f>IF(AND(C17="",D17=""),"",N(C17)+N(D17))</f>
        <v/>
      </c>
      <c r="F17" s="86" t="n"/>
      <c r="G17" s="88">
        <f>IF(OR(E17="",E17=0),"",F17/E17)</f>
        <v/>
      </c>
      <c r="H17" s="87" t="n"/>
      <c r="I17" s="87">
        <f>IF(OR(F17="",H17=""),"",H17-F17)</f>
        <v/>
      </c>
      <c r="J17" s="88">
        <f>IF(OR(I17="",F17=0),"",I17/F17)</f>
        <v/>
      </c>
      <c r="K17" s="89">
        <f>IF(E17="","",E17-N(F17))</f>
        <v/>
      </c>
      <c r="L17" s="87">
        <f>IF(OR(F17="",F17=0,H17=""),"",H17/F17*E17)</f>
        <v/>
      </c>
      <c r="M17" s="88">
        <f>IF(OR(L17="",E17="",E17=0),"",L17/E17-1)</f>
        <v/>
      </c>
      <c r="N17" s="17">
        <f>IF(J17="","",IF(J17&gt;0.05,"ALERTA",IF(J17&gt;0,"VIGILAR","OK")))</f>
        <v/>
      </c>
    </row>
    <row r="18" ht="22.05" customHeight="1" s="33">
      <c r="A18" s="85" t="n">
        <v>4</v>
      </c>
      <c r="B18" s="82" t="n"/>
      <c r="C18" s="86" t="n"/>
      <c r="D18" s="86" t="n"/>
      <c r="E18" s="87">
        <f>IF(AND(C18="",D18=""),"",N(C18)+N(D18))</f>
        <v/>
      </c>
      <c r="F18" s="86" t="n"/>
      <c r="G18" s="88">
        <f>IF(OR(E18="",E18=0),"",F18/E18)</f>
        <v/>
      </c>
      <c r="H18" s="87" t="n"/>
      <c r="I18" s="87">
        <f>IF(OR(F18="",H18=""),"",H18-F18)</f>
        <v/>
      </c>
      <c r="J18" s="88">
        <f>IF(OR(I18="",F18=0),"",I18/F18)</f>
        <v/>
      </c>
      <c r="K18" s="89">
        <f>IF(E18="","",E18-N(F18))</f>
        <v/>
      </c>
      <c r="L18" s="87">
        <f>IF(OR(F18="",F18=0,H18=""),"",H18/F18*E18)</f>
        <v/>
      </c>
      <c r="M18" s="88">
        <f>IF(OR(L18="",E18="",E18=0),"",L18/E18-1)</f>
        <v/>
      </c>
      <c r="N18" s="17">
        <f>IF(J18="","",IF(J18&gt;0.05,"ALERTA",IF(J18&gt;0,"VIGILAR","OK")))</f>
        <v/>
      </c>
    </row>
    <row r="19" ht="22.05" customHeight="1" s="33">
      <c r="A19" s="85" t="n">
        <v>5</v>
      </c>
      <c r="B19" s="82" t="n"/>
      <c r="C19" s="86" t="n"/>
      <c r="D19" s="86" t="n"/>
      <c r="E19" s="87">
        <f>IF(AND(C19="",D19=""),"",N(C19)+N(D19))</f>
        <v/>
      </c>
      <c r="F19" s="86" t="n"/>
      <c r="G19" s="88">
        <f>IF(OR(E19="",E19=0),"",F19/E19)</f>
        <v/>
      </c>
      <c r="H19" s="87" t="n"/>
      <c r="I19" s="87">
        <f>IF(OR(F19="",H19=""),"",H19-F19)</f>
        <v/>
      </c>
      <c r="J19" s="88">
        <f>IF(OR(I19="",F19=0),"",I19/F19)</f>
        <v/>
      </c>
      <c r="K19" s="89">
        <f>IF(E19="","",E19-N(F19))</f>
        <v/>
      </c>
      <c r="L19" s="87">
        <f>IF(OR(F19="",F19=0,H19=""),"",H19/F19*E19)</f>
        <v/>
      </c>
      <c r="M19" s="88">
        <f>IF(OR(L19="",E19="",E19=0),"",L19/E19-1)</f>
        <v/>
      </c>
      <c r="N19" s="17">
        <f>IF(J19="","",IF(J19&gt;0.05,"ALERTA",IF(J19&gt;0,"VIGILAR","OK")))</f>
        <v/>
      </c>
    </row>
    <row r="20" ht="22.05" customHeight="1" s="33">
      <c r="A20" s="85" t="n">
        <v>6</v>
      </c>
      <c r="B20" s="82" t="n"/>
      <c r="C20" s="86" t="n"/>
      <c r="D20" s="86" t="n"/>
      <c r="E20" s="87">
        <f>IF(AND(C20="",D20=""),"",N(C20)+N(D20))</f>
        <v/>
      </c>
      <c r="F20" s="86" t="n"/>
      <c r="G20" s="88">
        <f>IF(OR(E20="",E20=0),"",F20/E20)</f>
        <v/>
      </c>
      <c r="H20" s="87" t="n"/>
      <c r="I20" s="87">
        <f>IF(OR(F20="",H20=""),"",H20-F20)</f>
        <v/>
      </c>
      <c r="J20" s="88">
        <f>IF(OR(I20="",F20=0),"",I20/F20)</f>
        <v/>
      </c>
      <c r="K20" s="89">
        <f>IF(E20="","",E20-N(F20))</f>
        <v/>
      </c>
      <c r="L20" s="87">
        <f>IF(OR(F20="",F20=0,H20=""),"",H20/F20*E20)</f>
        <v/>
      </c>
      <c r="M20" s="88">
        <f>IF(OR(L20="",E20="",E20=0),"",L20/E20-1)</f>
        <v/>
      </c>
      <c r="N20" s="17">
        <f>IF(J20="","",IF(J20&gt;0.05,"ALERTA",IF(J20&gt;0,"VIGILAR","OK")))</f>
        <v/>
      </c>
    </row>
    <row r="21" ht="22.05" customHeight="1" s="33">
      <c r="A21" s="85" t="n">
        <v>7</v>
      </c>
      <c r="B21" s="82" t="n"/>
      <c r="C21" s="86" t="n"/>
      <c r="D21" s="86" t="n"/>
      <c r="E21" s="87">
        <f>IF(AND(C21="",D21=""),"",N(C21)+N(D21))</f>
        <v/>
      </c>
      <c r="F21" s="86" t="n"/>
      <c r="G21" s="88">
        <f>IF(OR(E21="",E21=0),"",F21/E21)</f>
        <v/>
      </c>
      <c r="H21" s="87" t="n"/>
      <c r="I21" s="87">
        <f>IF(OR(F21="",H21=""),"",H21-F21)</f>
        <v/>
      </c>
      <c r="J21" s="88">
        <f>IF(OR(I21="",F21=0),"",I21/F21)</f>
        <v/>
      </c>
      <c r="K21" s="89">
        <f>IF(E21="","",E21-N(F21))</f>
        <v/>
      </c>
      <c r="L21" s="87">
        <f>IF(OR(F21="",F21=0,H21=""),"",H21/F21*E21)</f>
        <v/>
      </c>
      <c r="M21" s="88">
        <f>IF(OR(L21="",E21="",E21=0),"",L21/E21-1)</f>
        <v/>
      </c>
      <c r="N21" s="17">
        <f>IF(J21="","",IF(J21&gt;0.05,"ALERTA",IF(J21&gt;0,"VIGILAR","OK")))</f>
        <v/>
      </c>
    </row>
    <row r="22" ht="22.05" customHeight="1" s="33">
      <c r="A22" s="85" t="n">
        <v>8</v>
      </c>
      <c r="B22" s="82" t="n"/>
      <c r="C22" s="86" t="n"/>
      <c r="D22" s="86" t="n"/>
      <c r="E22" s="87">
        <f>IF(AND(C22="",D22=""),"",N(C22)+N(D22))</f>
        <v/>
      </c>
      <c r="F22" s="86" t="n"/>
      <c r="G22" s="88">
        <f>IF(OR(E22="",E22=0),"",F22/E22)</f>
        <v/>
      </c>
      <c r="H22" s="87" t="n"/>
      <c r="I22" s="87">
        <f>IF(OR(F22="",H22=""),"",H22-F22)</f>
        <v/>
      </c>
      <c r="J22" s="88">
        <f>IF(OR(I22="",F22=0),"",I22/F22)</f>
        <v/>
      </c>
      <c r="K22" s="89">
        <f>IF(E22="","",E22-N(F22))</f>
        <v/>
      </c>
      <c r="L22" s="87">
        <f>IF(OR(F22="",F22=0,H22=""),"",H22/F22*E22)</f>
        <v/>
      </c>
      <c r="M22" s="88">
        <f>IF(OR(L22="",E22="",E22=0),"",L22/E22-1)</f>
        <v/>
      </c>
      <c r="N22" s="17">
        <f>IF(J22="","",IF(J22&gt;0.05,"ALERTA",IF(J22&gt;0,"VIGILAR","OK")))</f>
        <v/>
      </c>
    </row>
    <row r="23" ht="22.05" customHeight="1" s="33">
      <c r="A23" s="85" t="n">
        <v>9</v>
      </c>
      <c r="B23" s="82" t="n"/>
      <c r="C23" s="86" t="n"/>
      <c r="D23" s="86" t="n"/>
      <c r="E23" s="87">
        <f>IF(AND(C23="",D23=""),"",N(C23)+N(D23))</f>
        <v/>
      </c>
      <c r="F23" s="86" t="n"/>
      <c r="G23" s="88">
        <f>IF(OR(E23="",E23=0),"",F23/E23)</f>
        <v/>
      </c>
      <c r="H23" s="87" t="n"/>
      <c r="I23" s="87">
        <f>IF(OR(F23="",H23=""),"",H23-F23)</f>
        <v/>
      </c>
      <c r="J23" s="88">
        <f>IF(OR(I23="",F23=0),"",I23/F23)</f>
        <v/>
      </c>
      <c r="K23" s="89">
        <f>IF(E23="","",E23-N(F23))</f>
        <v/>
      </c>
      <c r="L23" s="87">
        <f>IF(OR(F23="",F23=0,H23=""),"",H23/F23*E23)</f>
        <v/>
      </c>
      <c r="M23" s="88">
        <f>IF(OR(L23="",E23="",E23=0),"",L23/E23-1)</f>
        <v/>
      </c>
      <c r="N23" s="17">
        <f>IF(J23="","",IF(J23&gt;0.05,"ALERTA",IF(J23&gt;0,"VIGILAR","OK")))</f>
        <v/>
      </c>
    </row>
    <row r="24" ht="22.05" customHeight="1" s="33">
      <c r="A24" s="85" t="n">
        <v>10</v>
      </c>
      <c r="B24" s="82" t="n"/>
      <c r="C24" s="86" t="n"/>
      <c r="D24" s="86" t="n"/>
      <c r="E24" s="87">
        <f>IF(AND(C24="",D24=""),"",N(C24)+N(D24))</f>
        <v/>
      </c>
      <c r="F24" s="86" t="n"/>
      <c r="G24" s="88">
        <f>IF(OR(E24="",E24=0),"",F24/E24)</f>
        <v/>
      </c>
      <c r="H24" s="87" t="n"/>
      <c r="I24" s="87">
        <f>IF(OR(F24="",H24=""),"",H24-F24)</f>
        <v/>
      </c>
      <c r="J24" s="88">
        <f>IF(OR(I24="",F24=0),"",I24/F24)</f>
        <v/>
      </c>
      <c r="K24" s="89">
        <f>IF(E24="","",E24-N(F24))</f>
        <v/>
      </c>
      <c r="L24" s="87">
        <f>IF(OR(F24="",F24=0,H24=""),"",H24/F24*E24)</f>
        <v/>
      </c>
      <c r="M24" s="88">
        <f>IF(OR(L24="",E24="",E24=0),"",L24/E24-1)</f>
        <v/>
      </c>
      <c r="N24" s="17">
        <f>IF(J24="","",IF(J24&gt;0.05,"ALERTA",IF(J24&gt;0,"VIGILAR","OK")))</f>
        <v/>
      </c>
    </row>
    <row r="25" ht="22.05" customHeight="1" s="33">
      <c r="A25" s="85" t="n">
        <v>11</v>
      </c>
      <c r="B25" s="82" t="n"/>
      <c r="C25" s="86" t="n"/>
      <c r="D25" s="86" t="n"/>
      <c r="E25" s="87">
        <f>IF(AND(C25="",D25=""),"",N(C25)+N(D25))</f>
        <v/>
      </c>
      <c r="F25" s="86" t="n"/>
      <c r="G25" s="88">
        <f>IF(OR(E25="",E25=0),"",F25/E25)</f>
        <v/>
      </c>
      <c r="H25" s="87" t="n"/>
      <c r="I25" s="87">
        <f>IF(OR(F25="",H25=""),"",H25-F25)</f>
        <v/>
      </c>
      <c r="J25" s="88">
        <f>IF(OR(I25="",F25=0),"",I25/F25)</f>
        <v/>
      </c>
      <c r="K25" s="89">
        <f>IF(E25="","",E25-N(F25))</f>
        <v/>
      </c>
      <c r="L25" s="87">
        <f>IF(OR(F25="",F25=0,H25=""),"",H25/F25*E25)</f>
        <v/>
      </c>
      <c r="M25" s="88">
        <f>IF(OR(L25="",E25="",E25=0),"",L25/E25-1)</f>
        <v/>
      </c>
      <c r="N25" s="17">
        <f>IF(J25="","",IF(J25&gt;0.05,"ALERTA",IF(J25&gt;0,"VIGILAR","OK")))</f>
        <v/>
      </c>
    </row>
    <row r="26" ht="22.05" customHeight="1" s="33">
      <c r="A26" s="85" t="n">
        <v>12</v>
      </c>
      <c r="B26" s="82" t="n"/>
      <c r="C26" s="86" t="n"/>
      <c r="D26" s="86" t="n"/>
      <c r="E26" s="87">
        <f>IF(AND(C26="",D26=""),"",N(C26)+N(D26))</f>
        <v/>
      </c>
      <c r="F26" s="86" t="n"/>
      <c r="G26" s="88">
        <f>IF(OR(E26="",E26=0),"",F26/E26)</f>
        <v/>
      </c>
      <c r="H26" s="87" t="n"/>
      <c r="I26" s="87">
        <f>IF(OR(F26="",H26=""),"",H26-F26)</f>
        <v/>
      </c>
      <c r="J26" s="88">
        <f>IF(OR(I26="",F26=0),"",I26/F26)</f>
        <v/>
      </c>
      <c r="K26" s="89">
        <f>IF(E26="","",E26-N(F26))</f>
        <v/>
      </c>
      <c r="L26" s="87">
        <f>IF(OR(F26="",F26=0,H26=""),"",H26/F26*E26)</f>
        <v/>
      </c>
      <c r="M26" s="88">
        <f>IF(OR(L26="",E26="",E26=0),"",L26/E26-1)</f>
        <v/>
      </c>
      <c r="N26" s="17">
        <f>IF(J26="","",IF(J26&gt;0.05,"ALERTA",IF(J26&gt;0,"VIGILAR","OK")))</f>
        <v/>
      </c>
    </row>
    <row r="27" ht="22.05" customHeight="1" s="33">
      <c r="A27" s="85" t="n">
        <v>13</v>
      </c>
      <c r="B27" s="82" t="n"/>
      <c r="C27" s="86" t="n"/>
      <c r="D27" s="86" t="n"/>
      <c r="E27" s="87">
        <f>IF(AND(C27="",D27=""),"",N(C27)+N(D27))</f>
        <v/>
      </c>
      <c r="F27" s="86" t="n"/>
      <c r="G27" s="88">
        <f>IF(OR(E27="",E27=0),"",F27/E27)</f>
        <v/>
      </c>
      <c r="H27" s="87" t="n"/>
      <c r="I27" s="87">
        <f>IF(OR(F27="",H27=""),"",H27-F27)</f>
        <v/>
      </c>
      <c r="J27" s="88">
        <f>IF(OR(I27="",F27=0),"",I27/F27)</f>
        <v/>
      </c>
      <c r="K27" s="89">
        <f>IF(E27="","",E27-N(F27))</f>
        <v/>
      </c>
      <c r="L27" s="87">
        <f>IF(OR(F27="",F27=0,H27=""),"",H27/F27*E27)</f>
        <v/>
      </c>
      <c r="M27" s="88">
        <f>IF(OR(L27="",E27="",E27=0),"",L27/E27-1)</f>
        <v/>
      </c>
      <c r="N27" s="17">
        <f>IF(J27="","",IF(J27&gt;0.05,"ALERTA",IF(J27&gt;0,"VIGILAR","OK")))</f>
        <v/>
      </c>
    </row>
    <row r="28" ht="22.05" customHeight="1" s="33">
      <c r="A28" s="85" t="n">
        <v>14</v>
      </c>
      <c r="B28" s="82" t="n"/>
      <c r="C28" s="86" t="n"/>
      <c r="D28" s="86" t="n"/>
      <c r="E28" s="87">
        <f>IF(AND(C28="",D28=""),"",N(C28)+N(D28))</f>
        <v/>
      </c>
      <c r="F28" s="86" t="n"/>
      <c r="G28" s="88">
        <f>IF(OR(E28="",E28=0),"",F28/E28)</f>
        <v/>
      </c>
      <c r="H28" s="87" t="n"/>
      <c r="I28" s="87">
        <f>IF(OR(F28="",H28=""),"",H28-F28)</f>
        <v/>
      </c>
      <c r="J28" s="88">
        <f>IF(OR(I28="",F28=0),"",I28/F28)</f>
        <v/>
      </c>
      <c r="K28" s="89">
        <f>IF(E28="","",E28-N(F28))</f>
        <v/>
      </c>
      <c r="L28" s="87">
        <f>IF(OR(F28="",F28=0,H28=""),"",H28/F28*E28)</f>
        <v/>
      </c>
      <c r="M28" s="88">
        <f>IF(OR(L28="",E28="",E28=0),"",L28/E28-1)</f>
        <v/>
      </c>
      <c r="N28" s="17">
        <f>IF(J28="","",IF(J28&gt;0.05,"ALERTA",IF(J28&gt;0,"VIGILAR","OK")))</f>
        <v/>
      </c>
    </row>
    <row r="29" ht="22.05" customHeight="1" s="33">
      <c r="A29" s="85" t="n">
        <v>15</v>
      </c>
      <c r="B29" s="82" t="n"/>
      <c r="C29" s="86" t="n"/>
      <c r="D29" s="86" t="n"/>
      <c r="E29" s="87">
        <f>IF(AND(C29="",D29=""),"",N(C29)+N(D29))</f>
        <v/>
      </c>
      <c r="F29" s="86" t="n"/>
      <c r="G29" s="88">
        <f>IF(OR(E29="",E29=0),"",F29/E29)</f>
        <v/>
      </c>
      <c r="H29" s="87" t="n"/>
      <c r="I29" s="87">
        <f>IF(OR(F29="",H29=""),"",H29-F29)</f>
        <v/>
      </c>
      <c r="J29" s="88">
        <f>IF(OR(I29="",F29=0),"",I29/F29)</f>
        <v/>
      </c>
      <c r="K29" s="89">
        <f>IF(E29="","",E29-N(F29))</f>
        <v/>
      </c>
      <c r="L29" s="87">
        <f>IF(OR(F29="",F29=0,H29=""),"",H29/F29*E29)</f>
        <v/>
      </c>
      <c r="M29" s="88">
        <f>IF(OR(L29="",E29="",E29=0),"",L29/E29-1)</f>
        <v/>
      </c>
      <c r="N29" s="17">
        <f>IF(J29="","",IF(J29&gt;0.05,"ALERTA",IF(J29&gt;0,"VIGILAR","OK")))</f>
        <v/>
      </c>
    </row>
    <row r="30" ht="22.05" customHeight="1" s="33">
      <c r="A30" s="85" t="n">
        <v>16</v>
      </c>
      <c r="B30" s="82" t="n"/>
      <c r="C30" s="86" t="n"/>
      <c r="D30" s="86" t="n"/>
      <c r="E30" s="87">
        <f>IF(AND(C30="",D30=""),"",N(C30)+N(D30))</f>
        <v/>
      </c>
      <c r="F30" s="86" t="n"/>
      <c r="G30" s="88">
        <f>IF(OR(E30="",E30=0),"",F30/E30)</f>
        <v/>
      </c>
      <c r="H30" s="87" t="n"/>
      <c r="I30" s="87">
        <f>IF(OR(F30="",H30=""),"",H30-F30)</f>
        <v/>
      </c>
      <c r="J30" s="88">
        <f>IF(OR(I30="",F30=0),"",I30/F30)</f>
        <v/>
      </c>
      <c r="K30" s="89">
        <f>IF(E30="","",E30-N(F30))</f>
        <v/>
      </c>
      <c r="L30" s="87">
        <f>IF(OR(F30="",F30=0,H30=""),"",H30/F30*E30)</f>
        <v/>
      </c>
      <c r="M30" s="88">
        <f>IF(OR(L30="",E30="",E30=0),"",L30/E30-1)</f>
        <v/>
      </c>
      <c r="N30" s="17">
        <f>IF(J30="","",IF(J30&gt;0.05,"ALERTA",IF(J30&gt;0,"VIGILAR","OK")))</f>
        <v/>
      </c>
    </row>
    <row r="31" ht="15" customHeight="1" s="33">
      <c r="A31" s="35" t="inlineStr">
        <is>
          <t>TOTAL OBRA</t>
        </is>
      </c>
      <c r="B31" s="77" t="n"/>
      <c r="C31" s="90">
        <f>SUM(C15:C30)</f>
        <v/>
      </c>
      <c r="D31" s="90">
        <f>SUM(D15:D30)</f>
        <v/>
      </c>
      <c r="E31" s="90">
        <f>SUM(E15:E30)</f>
        <v/>
      </c>
      <c r="F31" s="90">
        <f>SUM(F15:F30)</f>
        <v/>
      </c>
      <c r="G31" s="91">
        <f>IF(E31=0,"",F31/E31)</f>
        <v/>
      </c>
      <c r="H31" s="90">
        <f>SUM(H15:H30)</f>
        <v/>
      </c>
      <c r="I31" s="90">
        <f>SUM(I15:I30)</f>
        <v/>
      </c>
      <c r="J31" s="91">
        <f>IF(F31=0,"",I31/F31)</f>
        <v/>
      </c>
      <c r="K31" s="90">
        <f>SUM(K15:K30)</f>
        <v/>
      </c>
      <c r="L31" s="90">
        <f>SUM(L15:L30)</f>
        <v/>
      </c>
      <c r="M31" s="91">
        <f>IF(OR(L31=0,E31=0),"",L31/E31-1)</f>
        <v/>
      </c>
      <c r="N31" s="27">
        <f>IF(J31="","",IF(J31&gt;0.05,"ALERTA",IF(J31&gt;0,"VIGILAR","OK")))</f>
        <v/>
      </c>
    </row>
    <row r="32" ht="15" customHeight="1" s="33"/>
    <row r="33" ht="15" customHeight="1" s="33">
      <c r="A33" s="39" t="inlineStr">
        <is>
          <t>3. RESUMEN FINANCIERO DE LA OBRA</t>
        </is>
      </c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7" t="n"/>
    </row>
    <row r="34" ht="15" customHeight="1" s="33">
      <c r="A34" s="21" t="inlineStr">
        <is>
          <t>Costos directos vigentes (presupuesto + adiciones)</t>
        </is>
      </c>
      <c r="B34" s="76" t="n"/>
      <c r="C34" s="76" t="n"/>
      <c r="D34" s="77" t="n"/>
      <c r="E34" s="92">
        <f>E31</f>
        <v/>
      </c>
      <c r="F34" s="77" t="n"/>
      <c r="H34" s="45" t="inlineStr">
        <is>
          <t>Semáforo de la columna «Estado»:
  OK = el costo real es igual o menor que lo ejecutado.
  VIGILAR = el costo real supera lo ejecutado hasta un 5 %.
  ALERTA = el costo real supera lo ejecutado en más del 5 %.
El «costo proyectado al cierre» supone que el capítulo seguirá costando la misma proporción que hasta hoy.</t>
        </is>
      </c>
      <c r="I34" s="46" t="n"/>
      <c r="J34" s="46" t="n"/>
      <c r="K34" s="46" t="n"/>
      <c r="L34" s="46" t="n"/>
      <c r="M34" s="46" t="n"/>
      <c r="N34" s="47" t="n"/>
    </row>
    <row r="35" ht="15" customHeight="1" s="33">
      <c r="A35" s="21" t="inlineStr">
        <is>
          <t>AIU (%)</t>
        </is>
      </c>
      <c r="B35" s="76" t="n"/>
      <c r="C35" s="76" t="n"/>
      <c r="D35" s="77" t="n"/>
      <c r="E35" s="93" t="n"/>
      <c r="F35" s="84" t="n"/>
      <c r="H35" s="48" t="n"/>
      <c r="N35" s="49" t="n"/>
    </row>
    <row r="36" ht="15" customHeight="1" s="33">
      <c r="A36" s="21" t="inlineStr">
        <is>
          <t>Valor total del contrato con AIU</t>
        </is>
      </c>
      <c r="B36" s="76" t="n"/>
      <c r="C36" s="76" t="n"/>
      <c r="D36" s="77" t="n"/>
      <c r="E36" s="92">
        <f>E34*(1+E35)</f>
        <v/>
      </c>
      <c r="F36" s="77" t="n"/>
      <c r="H36" s="48" t="n"/>
      <c r="N36" s="49" t="n"/>
    </row>
    <row r="37" ht="15" customHeight="1" s="33">
      <c r="A37" s="21" t="inlineStr">
        <is>
          <t>Ejecutado a la fecha (costo directo)</t>
        </is>
      </c>
      <c r="B37" s="76" t="n"/>
      <c r="C37" s="76" t="n"/>
      <c r="D37" s="77" t="n"/>
      <c r="E37" s="92">
        <f>F31</f>
        <v/>
      </c>
      <c r="F37" s="77" t="n"/>
      <c r="H37" s="48" t="n"/>
      <c r="N37" s="49" t="n"/>
    </row>
    <row r="38" ht="15" customHeight="1" s="33">
      <c r="A38" s="21" t="inlineStr">
        <is>
          <t>Costo real acumulado</t>
        </is>
      </c>
      <c r="B38" s="76" t="n"/>
      <c r="C38" s="76" t="n"/>
      <c r="D38" s="77" t="n"/>
      <c r="E38" s="92">
        <f>H31</f>
        <v/>
      </c>
      <c r="F38" s="77" t="n"/>
      <c r="H38" s="48" t="n"/>
      <c r="N38" s="49" t="n"/>
    </row>
    <row r="39" ht="15" customHeight="1" s="33">
      <c r="A39" s="21" t="inlineStr">
        <is>
          <t>Margen bruto a la fecha (ejecutado − costo real)</t>
        </is>
      </c>
      <c r="B39" s="76" t="n"/>
      <c r="C39" s="76" t="n"/>
      <c r="D39" s="77" t="n"/>
      <c r="E39" s="92">
        <f>F31-H31</f>
        <v/>
      </c>
      <c r="F39" s="77" t="n"/>
      <c r="H39" s="48" t="n"/>
      <c r="N39" s="49" t="n"/>
    </row>
    <row r="40" ht="15" customHeight="1" s="33">
      <c r="A40" s="21" t="inlineStr">
        <is>
          <t>% de avance financiero de la obra</t>
        </is>
      </c>
      <c r="B40" s="76" t="n"/>
      <c r="C40" s="76" t="n"/>
      <c r="D40" s="77" t="n"/>
      <c r="E40" s="94">
        <f>G31</f>
        <v/>
      </c>
      <c r="F40" s="77" t="n"/>
      <c r="H40" s="50" t="n"/>
      <c r="I40" s="51" t="n"/>
      <c r="J40" s="51" t="n"/>
      <c r="K40" s="51" t="n"/>
      <c r="L40" s="51" t="n"/>
      <c r="M40" s="51" t="n"/>
      <c r="N40" s="52" t="n"/>
    </row>
    <row r="41" ht="15" customHeight="1" s="33"/>
    <row r="42" ht="15" customHeight="1" s="33">
      <c r="A42" s="39" t="inlineStr">
        <is>
          <t>FIRMAS</t>
        </is>
      </c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7" t="n"/>
    </row>
    <row r="43" ht="15" customHeight="1" s="33">
      <c r="A43" s="27" t="inlineStr">
        <is>
          <t>ELABORÓ — DIRECTOR DE OBRA</t>
        </is>
      </c>
      <c r="B43" s="76" t="n"/>
      <c r="C43" s="76" t="n"/>
      <c r="D43" s="76" t="n"/>
      <c r="E43" s="76" t="n"/>
      <c r="F43" s="76" t="n"/>
      <c r="G43" s="77" t="n"/>
      <c r="H43" s="27" t="inlineStr">
        <is>
          <t>REVISÓ — GERENCIA</t>
        </is>
      </c>
      <c r="I43" s="76" t="n"/>
      <c r="J43" s="76" t="n"/>
      <c r="K43" s="76" t="n"/>
      <c r="L43" s="76" t="n"/>
      <c r="M43" s="76" t="n"/>
      <c r="N43" s="77" t="n"/>
    </row>
    <row r="44" ht="15" customHeight="1" s="33">
      <c r="A44" s="21" t="inlineStr">
        <is>
          <t>Firma:</t>
        </is>
      </c>
      <c r="B44" s="76" t="n"/>
      <c r="C44" s="77" t="n"/>
      <c r="D44" s="82" t="n"/>
      <c r="E44" s="83" t="n"/>
      <c r="F44" s="83" t="n"/>
      <c r="G44" s="84" t="n"/>
      <c r="H44" s="21" t="inlineStr">
        <is>
          <t>Firma:</t>
        </is>
      </c>
      <c r="I44" s="76" t="n"/>
      <c r="J44" s="77" t="n"/>
      <c r="K44" s="95" t="n"/>
      <c r="L44" s="83" t="n"/>
      <c r="M44" s="83" t="n"/>
      <c r="N44" s="84" t="n"/>
    </row>
    <row r="45" ht="15" customHeight="1" s="33">
      <c r="A45" s="21" t="inlineStr">
        <is>
          <t>Nombre:</t>
        </is>
      </c>
      <c r="B45" s="76" t="n"/>
      <c r="C45" s="77" t="n"/>
      <c r="D45" s="82" t="n"/>
      <c r="E45" s="83" t="n"/>
      <c r="F45" s="83" t="n"/>
      <c r="G45" s="84" t="n"/>
      <c r="H45" s="21" t="inlineStr">
        <is>
          <t>Nombre:</t>
        </is>
      </c>
      <c r="I45" s="76" t="n"/>
      <c r="J45" s="77" t="n"/>
      <c r="K45" s="95" t="n"/>
      <c r="L45" s="83" t="n"/>
      <c r="M45" s="83" t="n"/>
      <c r="N45" s="84" t="n"/>
    </row>
    <row r="46" ht="15" customHeight="1" s="33">
      <c r="A46" s="21" t="inlineStr">
        <is>
          <t>Cargo:</t>
        </is>
      </c>
      <c r="B46" s="76" t="n"/>
      <c r="C46" s="77" t="n"/>
      <c r="D46" s="82" t="n"/>
      <c r="E46" s="83" t="n"/>
      <c r="F46" s="83" t="n"/>
      <c r="G46" s="84" t="n"/>
      <c r="H46" s="21" t="inlineStr">
        <is>
          <t>Cargo:</t>
        </is>
      </c>
      <c r="I46" s="76" t="n"/>
      <c r="J46" s="77" t="n"/>
      <c r="K46" s="95" t="n"/>
      <c r="L46" s="83" t="n"/>
      <c r="M46" s="83" t="n"/>
      <c r="N46" s="8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0">
    <mergeCell ref="A9:N9"/>
    <mergeCell ref="H46:J46"/>
    <mergeCell ref="L7:M7"/>
    <mergeCell ref="A1:C7"/>
    <mergeCell ref="D12:G12"/>
    <mergeCell ref="A35:D35"/>
    <mergeCell ref="A46:C46"/>
    <mergeCell ref="D1:N1"/>
    <mergeCell ref="A38:D38"/>
    <mergeCell ref="A43:G43"/>
    <mergeCell ref="A12:C12"/>
    <mergeCell ref="K10:N10"/>
    <mergeCell ref="E39:F39"/>
    <mergeCell ref="H11:J11"/>
    <mergeCell ref="H45:J45"/>
    <mergeCell ref="E35:F35"/>
    <mergeCell ref="A40:D40"/>
    <mergeCell ref="E38:F38"/>
    <mergeCell ref="D6:K6"/>
    <mergeCell ref="A34:D34"/>
    <mergeCell ref="D44:G44"/>
    <mergeCell ref="L3:N3"/>
    <mergeCell ref="A39:D39"/>
    <mergeCell ref="D2:N2"/>
    <mergeCell ref="L5:M5"/>
    <mergeCell ref="H12:J12"/>
    <mergeCell ref="H43:N43"/>
    <mergeCell ref="D10:G10"/>
    <mergeCell ref="E40:F40"/>
    <mergeCell ref="A36:D36"/>
    <mergeCell ref="D46:G46"/>
    <mergeCell ref="A10:C10"/>
    <mergeCell ref="K45:N45"/>
    <mergeCell ref="E34:F34"/>
    <mergeCell ref="L4:M4"/>
    <mergeCell ref="D7:K7"/>
    <mergeCell ref="A44:C44"/>
    <mergeCell ref="D45:G45"/>
    <mergeCell ref="K11:N11"/>
    <mergeCell ref="A33:N33"/>
    <mergeCell ref="E36:F36"/>
    <mergeCell ref="D11:G11"/>
    <mergeCell ref="A42:N42"/>
    <mergeCell ref="D4:K4"/>
    <mergeCell ref="K46:N46"/>
    <mergeCell ref="A37:D37"/>
    <mergeCell ref="K44:N44"/>
    <mergeCell ref="D3:K3"/>
    <mergeCell ref="A8:N8"/>
    <mergeCell ref="H10:J10"/>
    <mergeCell ref="L6:M6"/>
    <mergeCell ref="A45:C45"/>
    <mergeCell ref="H44:J44"/>
    <mergeCell ref="A11:C11"/>
    <mergeCell ref="K12:N12"/>
    <mergeCell ref="E37:F37"/>
    <mergeCell ref="H34:N40"/>
    <mergeCell ref="D5:K5"/>
    <mergeCell ref="A31:B31"/>
    <mergeCell ref="A13:N13"/>
  </mergeCells>
  <pageMargins left="0.4" right="0.4" top="0.4" bottom="0.6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2026-10-09T05:18:12Z</dcterms:created>
  <dcterms:modified xmlns:dcterms="http://purl.org/dc/terms/" xmlns:xsi="http://www.w3.org/2001/XMLSchema-instance" xsi:type="dcterms:W3CDTF">2026-10-10T05:18:05Z</dcterms:modified>
  <cp:lastModifiedBy>Hugo Fernando Hurtado Ruiz</cp:lastModifiedBy>
</cp:coreProperties>
</file>