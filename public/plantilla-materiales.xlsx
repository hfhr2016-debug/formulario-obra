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ntrol de Material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;[Red]\-&quot;$&quot;#,##0"/>
    <numFmt numFmtId="165" formatCode="0.0%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  <font>
      <name val="Calibri"/>
      <family val="2"/>
      <b val="1"/>
      <sz val="10"/>
    </font>
    <font>
      <name val="Calibri"/>
      <color rgb="FF000000"/>
      <sz val="10"/>
    </font>
    <font>
      <name val="Calibri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A233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 wrapText="1"/>
    </xf>
    <xf numFmtId="165" fontId="2" fillId="5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left" vertical="center" wrapText="1"/>
    </xf>
    <xf numFmtId="0" fontId="0" fillId="0" borderId="7" pivotButton="0" quotePrefix="0" xfId="0"/>
    <xf numFmtId="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4" fontId="2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4" fontId="2" fillId="4" borderId="9" applyAlignment="1" pivotButton="0" quotePrefix="0" xfId="0">
      <alignment horizontal="center" vertical="center" wrapText="1"/>
    </xf>
    <xf numFmtId="164" fontId="2" fillId="4" borderId="10" applyAlignment="1" pivotButton="0" quotePrefix="0" xfId="0">
      <alignment horizontal="center" vertical="center" wrapText="1"/>
    </xf>
    <xf numFmtId="164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5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" fontId="2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0" fillId="9" borderId="0" applyAlignment="1" pivotButton="0" quotePrefix="0" xfId="0">
      <alignment horizontal="center"/>
    </xf>
    <xf numFmtId="14" fontId="2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2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4" fontId="12" fillId="0" borderId="1" applyAlignment="1" applyProtection="1" pivotButton="0" quotePrefix="0" xfId="0">
      <alignment horizontal="center" vertical="center" wrapText="1"/>
      <protection locked="0" hidden="0"/>
    </xf>
    <xf numFmtId="164" fontId="12" fillId="0" borderId="1" applyAlignment="1" applyProtection="1" pivotButton="0" quotePrefix="0" xfId="0">
      <alignment horizontal="right" vertical="center" wrapText="1"/>
      <protection locked="0" hidden="0"/>
    </xf>
    <xf numFmtId="165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164" fontId="13" fillId="0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165" fontId="13" fillId="0" borderId="1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3420000" cy="1620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420000" cy="162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N47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4" min="1" max="1"/>
    <col width="32" customWidth="1" style="34" min="2" max="2"/>
    <col width="30.77734375" customWidth="1" style="34" min="3" max="3"/>
    <col width="10" customWidth="1" style="34" min="4" max="4"/>
    <col width="14" customWidth="1" style="34" min="5" max="5"/>
    <col width="20.77734375" customWidth="1" style="34" min="6" max="6"/>
    <col width="14" customWidth="1" style="34" min="7" max="7"/>
    <col width="20.77734375" customWidth="1" style="34" min="8" max="8"/>
    <col width="14" customWidth="1" style="34" min="9" max="10"/>
    <col width="13" customWidth="1" style="34" min="10" max="10"/>
    <col width="12" customWidth="1" style="34" min="11" max="12"/>
    <col width="13" customWidth="1" style="34" min="12" max="12"/>
    <col width="20.77734375" customWidth="1" style="34" min="13" max="13"/>
    <col width="25.77734375" customWidth="1" style="34" min="14" max="14"/>
  </cols>
  <sheetData>
    <row r="1" ht="40.05" customHeight="1" s="34">
      <c r="A1" s="76" t="n"/>
      <c r="D1" s="42" t="inlineStr">
        <is>
          <t>CONTROL DE MATERIALES DE OBRA</t>
        </is>
      </c>
    </row>
    <row r="2" ht="4.95" customHeight="1" s="34">
      <c r="D2" s="26" t="n"/>
    </row>
    <row r="3" ht="14.4" customHeight="1" s="34">
      <c r="D3" s="33" t="n"/>
      <c r="L3" s="38" t="inlineStr">
        <is>
          <t>CONTROL DOCUMENTAL</t>
        </is>
      </c>
      <c r="M3" s="90" t="n"/>
      <c r="N3" s="84" t="n"/>
    </row>
    <row r="4" ht="15" customHeight="1" s="34">
      <c r="D4" s="37" t="inlineStr">
        <is>
          <t>REFORMAS Y REMODELACIONES</t>
        </is>
      </c>
      <c r="L4" s="22" t="inlineStr">
        <is>
          <t>Código</t>
        </is>
      </c>
      <c r="M4" s="84" t="n"/>
      <c r="N4" s="2" t="inlineStr">
        <is>
          <t>RYR-CP-005</t>
        </is>
      </c>
    </row>
    <row r="5" ht="14.4" customHeight="1" s="34">
      <c r="D5" s="39" t="inlineStr">
        <is>
          <t>DISEÑAMOS, RENOVAMOS Y CONSTRUIMOS ESPACIOS QUE INSPIRAN.</t>
        </is>
      </c>
      <c r="L5" s="22" t="inlineStr">
        <is>
          <t>Versión</t>
        </is>
      </c>
      <c r="M5" s="84" t="n"/>
      <c r="N5" s="2" t="inlineStr">
        <is>
          <t>1</t>
        </is>
      </c>
    </row>
    <row r="6" ht="20.4" customHeight="1" s="34">
      <c r="D6" s="33" t="n"/>
      <c r="L6" s="22" t="inlineStr">
        <is>
          <t>Fecha de Emisión</t>
        </is>
      </c>
      <c r="M6" s="84" t="n"/>
      <c r="N6" s="2" t="inlineStr">
        <is>
          <t>08/10/2026</t>
        </is>
      </c>
    </row>
    <row r="7" ht="18" customHeight="1" s="34">
      <c r="A7" s="52" t="n"/>
      <c r="B7" s="52" t="n"/>
      <c r="C7" s="52" t="n"/>
      <c r="D7" s="33" t="n"/>
      <c r="L7" s="22" t="inlineStr">
        <is>
          <t>Página</t>
        </is>
      </c>
      <c r="M7" s="84" t="n"/>
      <c r="N7" s="2" t="inlineStr">
        <is>
          <t>1 de 1</t>
        </is>
      </c>
    </row>
    <row r="8">
      <c r="A8" s="28" t="inlineStr">
        <is>
          <t>Lo presupuestado, lo comprado y lo consumido de cada material · Detecta sobrecostos de precio y materiales sin consumir</t>
        </is>
      </c>
      <c r="B8" s="90" t="n"/>
      <c r="C8" s="90" t="n"/>
      <c r="D8" s="90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84" t="n"/>
    </row>
    <row r="9" ht="15" customHeight="1" s="34">
      <c r="A9" s="40" t="inlineStr">
        <is>
          <t>1. DATOS GENERALES</t>
        </is>
      </c>
      <c r="B9" s="90" t="n"/>
      <c r="C9" s="90" t="n"/>
      <c r="D9" s="90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84" t="n"/>
    </row>
    <row r="10" ht="18" customHeight="1" s="34">
      <c r="A10" s="22" t="inlineStr">
        <is>
          <t>Proyecto / Obra</t>
        </is>
      </c>
      <c r="B10" s="90" t="n"/>
      <c r="C10" s="84" t="n"/>
      <c r="D10" s="91" t="n"/>
      <c r="E10" s="92" t="n"/>
      <c r="F10" s="92" t="n"/>
      <c r="G10" s="93" t="n"/>
      <c r="H10" s="22" t="inlineStr">
        <is>
          <t>Tipo de proyecto</t>
        </is>
      </c>
      <c r="I10" s="90" t="n"/>
      <c r="J10" s="84" t="n"/>
      <c r="K10" s="91" t="n"/>
      <c r="L10" s="92" t="n"/>
      <c r="M10" s="92" t="n"/>
      <c r="N10" s="93" t="n"/>
    </row>
    <row r="11" ht="18" customHeight="1" s="34">
      <c r="A11" s="22" t="inlineStr">
        <is>
          <t>Contrato N°</t>
        </is>
      </c>
      <c r="B11" s="90" t="n"/>
      <c r="C11" s="84" t="n"/>
      <c r="D11" s="91" t="n"/>
      <c r="E11" s="92" t="n"/>
      <c r="F11" s="92" t="n"/>
      <c r="G11" s="93" t="n"/>
      <c r="H11" s="22" t="inlineStr">
        <is>
          <t>Contratante</t>
        </is>
      </c>
      <c r="I11" s="90" t="n"/>
      <c r="J11" s="84" t="n"/>
      <c r="K11" s="91" t="n"/>
      <c r="L11" s="92" t="n"/>
      <c r="M11" s="92" t="n"/>
      <c r="N11" s="93" t="n"/>
    </row>
    <row r="12" ht="18" customHeight="1" s="34">
      <c r="A12" s="22" t="inlineStr">
        <is>
          <t>Mes / periodo de control</t>
        </is>
      </c>
      <c r="B12" s="90" t="n"/>
      <c r="C12" s="84" t="n"/>
      <c r="D12" s="91" t="n"/>
      <c r="E12" s="92" t="n"/>
      <c r="F12" s="92" t="n"/>
      <c r="G12" s="93" t="n"/>
      <c r="H12" s="22" t="inlineStr">
        <is>
          <t>Responsable del control</t>
        </is>
      </c>
      <c r="I12" s="90" t="n"/>
      <c r="J12" s="84" t="n"/>
      <c r="K12" s="91" t="n"/>
      <c r="L12" s="92" t="n"/>
      <c r="M12" s="92" t="n"/>
      <c r="N12" s="93" t="n"/>
    </row>
    <row r="13" ht="15" customHeight="1" s="34">
      <c r="A13" s="40" t="inlineStr">
        <is>
          <t>2. CONTROL POR MATERIAL</t>
        </is>
      </c>
      <c r="B13" s="90" t="n"/>
      <c r="C13" s="90" t="n"/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84" t="n"/>
    </row>
    <row r="14" ht="52.05" customHeight="1" s="34">
      <c r="A14" s="83" t="inlineStr">
        <is>
          <t>No.</t>
        </is>
      </c>
      <c r="B14" s="83" t="inlineStr">
        <is>
          <t>Material</t>
        </is>
      </c>
      <c r="C14" s="83" t="inlineStr">
        <is>
          <t>Capítulo del presupuesto</t>
        </is>
      </c>
      <c r="D14" s="83" t="inlineStr">
        <is>
          <t>Unidad</t>
        </is>
      </c>
      <c r="E14" s="83" t="inlineStr">
        <is>
          <t>Cantidad presupuestada</t>
        </is>
      </c>
      <c r="F14" s="83" t="inlineStr">
        <is>
          <t>Precio unitario presupuestado</t>
        </is>
      </c>
      <c r="G14" s="83" t="inlineStr">
        <is>
          <t>Cantidad comprada</t>
        </is>
      </c>
      <c r="H14" s="83" t="inlineStr">
        <is>
          <t>Precio unitario real (promedio)</t>
        </is>
      </c>
      <c r="I14" s="83" t="inlineStr">
        <is>
          <t>Cantidad consumida</t>
        </is>
      </c>
      <c r="J14" s="83" t="inlineStr">
        <is>
          <t>Saldo en obra</t>
        </is>
      </c>
      <c r="K14" s="83" t="inlineStr">
        <is>
          <t>% comprado del presupuesto</t>
        </is>
      </c>
      <c r="L14" s="83" t="inlineStr">
        <is>
          <t>Variación de precio %</t>
        </is>
      </c>
      <c r="M14" s="83" t="inlineStr">
        <is>
          <t>Sobrecosto por precio</t>
        </is>
      </c>
      <c r="N14" s="83" t="inlineStr">
        <is>
          <t>Estado</t>
        </is>
      </c>
    </row>
    <row r="15" ht="22.05" customHeight="1" s="34">
      <c r="A15" s="94" t="n">
        <v>1</v>
      </c>
      <c r="B15" s="91" t="n"/>
      <c r="C15" s="91" t="n"/>
      <c r="D15" s="95" t="n"/>
      <c r="E15" s="96" t="n"/>
      <c r="F15" s="97" t="n"/>
      <c r="G15" s="96" t="n"/>
      <c r="H15" s="97" t="n"/>
      <c r="I15" s="96" t="n"/>
      <c r="J15" s="77">
        <f>IF(G15="","",G15-N(I15))</f>
        <v/>
      </c>
      <c r="K15" s="98">
        <f>IF(OR(E15="",E15=0,G15=""),"",G15/E15)</f>
        <v/>
      </c>
      <c r="L15" s="98">
        <f>IF(OR(F15="",F15=0,H15=""),"",H15/F15-1)</f>
        <v/>
      </c>
      <c r="M15" s="99">
        <f>IF(OR(G15="",F15="",H15=""),"",G15*(H15-F15))</f>
        <v/>
      </c>
      <c r="N15" s="78">
        <f>IF(L15="","",IF(L15&gt;0.05,"ALERTA",IF(L15&gt;0,"VIGILAR","OK")))</f>
        <v/>
      </c>
    </row>
    <row r="16" ht="22.05" customHeight="1" s="34">
      <c r="A16" s="94" t="n">
        <v>2</v>
      </c>
      <c r="B16" s="91" t="n"/>
      <c r="C16" s="91" t="n"/>
      <c r="D16" s="95" t="n"/>
      <c r="E16" s="96" t="n"/>
      <c r="F16" s="97" t="n"/>
      <c r="G16" s="96" t="n"/>
      <c r="H16" s="97" t="n"/>
      <c r="I16" s="96" t="n"/>
      <c r="J16" s="77">
        <f>IF(G16="","",G16-N(I16))</f>
        <v/>
      </c>
      <c r="K16" s="98">
        <f>IF(OR(E16="",E16=0,G16=""),"",G16/E16)</f>
        <v/>
      </c>
      <c r="L16" s="98">
        <f>IF(OR(F16="",F16=0,H16=""),"",H16/F16-1)</f>
        <v/>
      </c>
      <c r="M16" s="99">
        <f>IF(OR(G16="",F16="",H16=""),"",G16*(H16-F16))</f>
        <v/>
      </c>
      <c r="N16" s="78">
        <f>IF(L16="","",IF(L16&gt;0.05,"ALERTA",IF(L16&gt;0,"VIGILAR","OK")))</f>
        <v/>
      </c>
    </row>
    <row r="17" ht="22.05" customHeight="1" s="34">
      <c r="A17" s="94" t="n">
        <v>3</v>
      </c>
      <c r="B17" s="91" t="n"/>
      <c r="C17" s="91" t="n"/>
      <c r="D17" s="95" t="n"/>
      <c r="E17" s="96" t="n"/>
      <c r="F17" s="97" t="n"/>
      <c r="G17" s="96" t="n"/>
      <c r="H17" s="97" t="n"/>
      <c r="I17" s="96" t="n"/>
      <c r="J17" s="77">
        <f>IF(G17="","",G17-N(I17))</f>
        <v/>
      </c>
      <c r="K17" s="98">
        <f>IF(OR(E17="",E17=0,G17=""),"",G17/E17)</f>
        <v/>
      </c>
      <c r="L17" s="98">
        <f>IF(OR(F17="",F17=0,H17=""),"",H17/F17-1)</f>
        <v/>
      </c>
      <c r="M17" s="99">
        <f>IF(OR(G17="",F17="",H17=""),"",G17*(H17-F17))</f>
        <v/>
      </c>
      <c r="N17" s="78">
        <f>IF(L17="","",IF(L17&gt;0.05,"ALERTA",IF(L17&gt;0,"VIGILAR","OK")))</f>
        <v/>
      </c>
    </row>
    <row r="18" ht="22.05" customHeight="1" s="34">
      <c r="A18" s="94" t="n">
        <v>4</v>
      </c>
      <c r="B18" s="91" t="n"/>
      <c r="C18" s="91" t="n"/>
      <c r="D18" s="95" t="n"/>
      <c r="E18" s="96" t="n"/>
      <c r="F18" s="97" t="n"/>
      <c r="G18" s="96" t="n"/>
      <c r="H18" s="97" t="n"/>
      <c r="I18" s="96" t="n"/>
      <c r="J18" s="77">
        <f>IF(G18="","",G18-N(I18))</f>
        <v/>
      </c>
      <c r="K18" s="98">
        <f>IF(OR(E18="",E18=0,G18=""),"",G18/E18)</f>
        <v/>
      </c>
      <c r="L18" s="98">
        <f>IF(OR(F18="",F18=0,H18=""),"",H18/F18-1)</f>
        <v/>
      </c>
      <c r="M18" s="99">
        <f>IF(OR(G18="",F18="",H18=""),"",G18*(H18-F18))</f>
        <v/>
      </c>
      <c r="N18" s="78">
        <f>IF(L18="","",IF(L18&gt;0.05,"ALERTA",IF(L18&gt;0,"VIGILAR","OK")))</f>
        <v/>
      </c>
    </row>
    <row r="19" ht="22.05" customHeight="1" s="34">
      <c r="A19" s="94" t="n">
        <v>5</v>
      </c>
      <c r="B19" s="91" t="n"/>
      <c r="C19" s="91" t="n"/>
      <c r="D19" s="95" t="n"/>
      <c r="E19" s="96" t="n"/>
      <c r="F19" s="97" t="n"/>
      <c r="G19" s="96" t="n"/>
      <c r="H19" s="97" t="n"/>
      <c r="I19" s="96" t="n"/>
      <c r="J19" s="77">
        <f>IF(G19="","",G19-N(I19))</f>
        <v/>
      </c>
      <c r="K19" s="98">
        <f>IF(OR(E19="",E19=0,G19=""),"",G19/E19)</f>
        <v/>
      </c>
      <c r="L19" s="98">
        <f>IF(OR(F19="",F19=0,H19=""),"",H19/F19-1)</f>
        <v/>
      </c>
      <c r="M19" s="99">
        <f>IF(OR(G19="",F19="",H19=""),"",G19*(H19-F19))</f>
        <v/>
      </c>
      <c r="N19" s="78">
        <f>IF(L19="","",IF(L19&gt;0.05,"ALERTA",IF(L19&gt;0,"VIGILAR","OK")))</f>
        <v/>
      </c>
    </row>
    <row r="20" ht="22.05" customHeight="1" s="34">
      <c r="A20" s="94" t="n">
        <v>6</v>
      </c>
      <c r="B20" s="91" t="n"/>
      <c r="C20" s="91" t="n"/>
      <c r="D20" s="95" t="n"/>
      <c r="E20" s="96" t="n"/>
      <c r="F20" s="97" t="n"/>
      <c r="G20" s="96" t="n"/>
      <c r="H20" s="97" t="n"/>
      <c r="I20" s="96" t="n"/>
      <c r="J20" s="77">
        <f>IF(G20="","",G20-N(I20))</f>
        <v/>
      </c>
      <c r="K20" s="98">
        <f>IF(OR(E20="",E20=0,G20=""),"",G20/E20)</f>
        <v/>
      </c>
      <c r="L20" s="98">
        <f>IF(OR(F20="",F20=0,H20=""),"",H20/F20-1)</f>
        <v/>
      </c>
      <c r="M20" s="99">
        <f>IF(OR(G20="",F20="",H20=""),"",G20*(H20-F20))</f>
        <v/>
      </c>
      <c r="N20" s="78">
        <f>IF(L20="","",IF(L20&gt;0.05,"ALERTA",IF(L20&gt;0,"VIGILAR","OK")))</f>
        <v/>
      </c>
    </row>
    <row r="21" ht="22.05" customHeight="1" s="34">
      <c r="A21" s="94" t="n">
        <v>7</v>
      </c>
      <c r="B21" s="91" t="n"/>
      <c r="C21" s="91" t="n"/>
      <c r="D21" s="95" t="n"/>
      <c r="E21" s="96" t="n"/>
      <c r="F21" s="97" t="n"/>
      <c r="G21" s="96" t="n"/>
      <c r="H21" s="97" t="n"/>
      <c r="I21" s="96" t="n"/>
      <c r="J21" s="77">
        <f>IF(G21="","",G21-N(I21))</f>
        <v/>
      </c>
      <c r="K21" s="98">
        <f>IF(OR(E21="",E21=0,G21=""),"",G21/E21)</f>
        <v/>
      </c>
      <c r="L21" s="98">
        <f>IF(OR(F21="",F21=0,H21=""),"",H21/F21-1)</f>
        <v/>
      </c>
      <c r="M21" s="99">
        <f>IF(OR(G21="",F21="",H21=""),"",G21*(H21-F21))</f>
        <v/>
      </c>
      <c r="N21" s="78">
        <f>IF(L21="","",IF(L21&gt;0.05,"ALERTA",IF(L21&gt;0,"VIGILAR","OK")))</f>
        <v/>
      </c>
    </row>
    <row r="22" ht="22.05" customHeight="1" s="34">
      <c r="A22" s="94" t="n">
        <v>8</v>
      </c>
      <c r="B22" s="91" t="n"/>
      <c r="C22" s="91" t="n"/>
      <c r="D22" s="95" t="n"/>
      <c r="E22" s="96" t="n"/>
      <c r="F22" s="97" t="n"/>
      <c r="G22" s="96" t="n"/>
      <c r="H22" s="97" t="n"/>
      <c r="I22" s="96" t="n"/>
      <c r="J22" s="77">
        <f>IF(G22="","",G22-N(I22))</f>
        <v/>
      </c>
      <c r="K22" s="98">
        <f>IF(OR(E22="",E22=0,G22=""),"",G22/E22)</f>
        <v/>
      </c>
      <c r="L22" s="98">
        <f>IF(OR(F22="",F22=0,H22=""),"",H22/F22-1)</f>
        <v/>
      </c>
      <c r="M22" s="99">
        <f>IF(OR(G22="",F22="",H22=""),"",G22*(H22-F22))</f>
        <v/>
      </c>
      <c r="N22" s="78">
        <f>IF(L22="","",IF(L22&gt;0.05,"ALERTA",IF(L22&gt;0,"VIGILAR","OK")))</f>
        <v/>
      </c>
    </row>
    <row r="23" ht="22.05" customHeight="1" s="34">
      <c r="A23" s="94" t="n">
        <v>9</v>
      </c>
      <c r="B23" s="91" t="n"/>
      <c r="C23" s="91" t="n"/>
      <c r="D23" s="95" t="n"/>
      <c r="E23" s="96" t="n"/>
      <c r="F23" s="97" t="n"/>
      <c r="G23" s="96" t="n"/>
      <c r="H23" s="97" t="n"/>
      <c r="I23" s="96" t="n"/>
      <c r="J23" s="77">
        <f>IF(G23="","",G23-N(I23))</f>
        <v/>
      </c>
      <c r="K23" s="98">
        <f>IF(OR(E23="",E23=0,G23=""),"",G23/E23)</f>
        <v/>
      </c>
      <c r="L23" s="98">
        <f>IF(OR(F23="",F23=0,H23=""),"",H23/F23-1)</f>
        <v/>
      </c>
      <c r="M23" s="99">
        <f>IF(OR(G23="",F23="",H23=""),"",G23*(H23-F23))</f>
        <v/>
      </c>
      <c r="N23" s="78">
        <f>IF(L23="","",IF(L23&gt;0.05,"ALERTA",IF(L23&gt;0,"VIGILAR","OK")))</f>
        <v/>
      </c>
    </row>
    <row r="24" ht="22.05" customHeight="1" s="34">
      <c r="A24" s="94" t="n">
        <v>10</v>
      </c>
      <c r="B24" s="91" t="n"/>
      <c r="C24" s="91" t="n"/>
      <c r="D24" s="95" t="n"/>
      <c r="E24" s="96" t="n"/>
      <c r="F24" s="97" t="n"/>
      <c r="G24" s="96" t="n"/>
      <c r="H24" s="97" t="n"/>
      <c r="I24" s="96" t="n"/>
      <c r="J24" s="77">
        <f>IF(G24="","",G24-N(I24))</f>
        <v/>
      </c>
      <c r="K24" s="98">
        <f>IF(OR(E24="",E24=0,G24=""),"",G24/E24)</f>
        <v/>
      </c>
      <c r="L24" s="98">
        <f>IF(OR(F24="",F24=0,H24=""),"",H24/F24-1)</f>
        <v/>
      </c>
      <c r="M24" s="99">
        <f>IF(OR(G24="",F24="",H24=""),"",G24*(H24-F24))</f>
        <v/>
      </c>
      <c r="N24" s="78">
        <f>IF(L24="","",IF(L24&gt;0.05,"ALERTA",IF(L24&gt;0,"VIGILAR","OK")))</f>
        <v/>
      </c>
    </row>
    <row r="25" ht="22.05" customHeight="1" s="34">
      <c r="A25" s="94" t="n">
        <v>11</v>
      </c>
      <c r="B25" s="91" t="n"/>
      <c r="C25" s="91" t="n"/>
      <c r="D25" s="95" t="n"/>
      <c r="E25" s="96" t="n"/>
      <c r="F25" s="97" t="n"/>
      <c r="G25" s="96" t="n"/>
      <c r="H25" s="97" t="n"/>
      <c r="I25" s="96" t="n"/>
      <c r="J25" s="77">
        <f>IF(G25="","",G25-N(I25))</f>
        <v/>
      </c>
      <c r="K25" s="98">
        <f>IF(OR(E25="",E25=0,G25=""),"",G25/E25)</f>
        <v/>
      </c>
      <c r="L25" s="98">
        <f>IF(OR(F25="",F25=0,H25=""),"",H25/F25-1)</f>
        <v/>
      </c>
      <c r="M25" s="99">
        <f>IF(OR(G25="",F25="",H25=""),"",G25*(H25-F25))</f>
        <v/>
      </c>
      <c r="N25" s="78">
        <f>IF(L25="","",IF(L25&gt;0.05,"ALERTA",IF(L25&gt;0,"VIGILAR","OK")))</f>
        <v/>
      </c>
    </row>
    <row r="26" ht="22.05" customHeight="1" s="34">
      <c r="A26" s="94" t="n">
        <v>12</v>
      </c>
      <c r="B26" s="91" t="n"/>
      <c r="C26" s="91" t="n"/>
      <c r="D26" s="95" t="n"/>
      <c r="E26" s="96" t="n"/>
      <c r="F26" s="97" t="n"/>
      <c r="G26" s="96" t="n"/>
      <c r="H26" s="97" t="n"/>
      <c r="I26" s="96" t="n"/>
      <c r="J26" s="77">
        <f>IF(G26="","",G26-N(I26))</f>
        <v/>
      </c>
      <c r="K26" s="98">
        <f>IF(OR(E26="",E26=0,G26=""),"",G26/E26)</f>
        <v/>
      </c>
      <c r="L26" s="98">
        <f>IF(OR(F26="",F26=0,H26=""),"",H26/F26-1)</f>
        <v/>
      </c>
      <c r="M26" s="99">
        <f>IF(OR(G26="",F26="",H26=""),"",G26*(H26-F26))</f>
        <v/>
      </c>
      <c r="N26" s="78">
        <f>IF(L26="","",IF(L26&gt;0.05,"ALERTA",IF(L26&gt;0,"VIGILAR","OK")))</f>
        <v/>
      </c>
    </row>
    <row r="27" ht="22.05" customHeight="1" s="34">
      <c r="A27" s="94" t="n">
        <v>13</v>
      </c>
      <c r="B27" s="91" t="n"/>
      <c r="C27" s="91" t="n"/>
      <c r="D27" s="95" t="n"/>
      <c r="E27" s="96" t="n"/>
      <c r="F27" s="97" t="n"/>
      <c r="G27" s="96" t="n"/>
      <c r="H27" s="97" t="n"/>
      <c r="I27" s="96" t="n"/>
      <c r="J27" s="77">
        <f>IF(G27="","",G27-N(I27))</f>
        <v/>
      </c>
      <c r="K27" s="98">
        <f>IF(OR(E27="",E27=0,G27=""),"",G27/E27)</f>
        <v/>
      </c>
      <c r="L27" s="98">
        <f>IF(OR(F27="",F27=0,H27=""),"",H27/F27-1)</f>
        <v/>
      </c>
      <c r="M27" s="99">
        <f>IF(OR(G27="",F27="",H27=""),"",G27*(H27-F27))</f>
        <v/>
      </c>
      <c r="N27" s="78">
        <f>IF(L27="","",IF(L27&gt;0.05,"ALERTA",IF(L27&gt;0,"VIGILAR","OK")))</f>
        <v/>
      </c>
    </row>
    <row r="28" ht="22.05" customHeight="1" s="34">
      <c r="A28" s="94" t="n">
        <v>14</v>
      </c>
      <c r="B28" s="91" t="n"/>
      <c r="C28" s="91" t="n"/>
      <c r="D28" s="95" t="n"/>
      <c r="E28" s="96" t="n"/>
      <c r="F28" s="97" t="n"/>
      <c r="G28" s="96" t="n"/>
      <c r="H28" s="97" t="n"/>
      <c r="I28" s="96" t="n"/>
      <c r="J28" s="77">
        <f>IF(G28="","",G28-N(I28))</f>
        <v/>
      </c>
      <c r="K28" s="98">
        <f>IF(OR(E28="",E28=0,G28=""),"",G28/E28)</f>
        <v/>
      </c>
      <c r="L28" s="98">
        <f>IF(OR(F28="",F28=0,H28=""),"",H28/F28-1)</f>
        <v/>
      </c>
      <c r="M28" s="99">
        <f>IF(OR(G28="",F28="",H28=""),"",G28*(H28-F28))</f>
        <v/>
      </c>
      <c r="N28" s="78">
        <f>IF(L28="","",IF(L28&gt;0.05,"ALERTA",IF(L28&gt;0,"VIGILAR","OK")))</f>
        <v/>
      </c>
    </row>
    <row r="29" ht="22.05" customHeight="1" s="34">
      <c r="A29" s="94" t="n">
        <v>15</v>
      </c>
      <c r="B29" s="91" t="n"/>
      <c r="C29" s="91" t="n"/>
      <c r="D29" s="95" t="n"/>
      <c r="E29" s="96" t="n"/>
      <c r="F29" s="97" t="n"/>
      <c r="G29" s="96" t="n"/>
      <c r="H29" s="97" t="n"/>
      <c r="I29" s="96" t="n"/>
      <c r="J29" s="77">
        <f>IF(G29="","",G29-N(I29))</f>
        <v/>
      </c>
      <c r="K29" s="98">
        <f>IF(OR(E29="",E29=0,G29=""),"",G29/E29)</f>
        <v/>
      </c>
      <c r="L29" s="98">
        <f>IF(OR(F29="",F29=0,H29=""),"",H29/F29-1)</f>
        <v/>
      </c>
      <c r="M29" s="99">
        <f>IF(OR(G29="",F29="",H29=""),"",G29*(H29-F29))</f>
        <v/>
      </c>
      <c r="N29" s="78">
        <f>IF(L29="","",IF(L29&gt;0.05,"ALERTA",IF(L29&gt;0,"VIGILAR","OK")))</f>
        <v/>
      </c>
    </row>
    <row r="30" ht="22.05" customHeight="1" s="34">
      <c r="A30" s="94" t="n">
        <v>16</v>
      </c>
      <c r="B30" s="91" t="n"/>
      <c r="C30" s="91" t="n"/>
      <c r="D30" s="95" t="n"/>
      <c r="E30" s="96" t="n"/>
      <c r="F30" s="97" t="n"/>
      <c r="G30" s="96" t="n"/>
      <c r="H30" s="97" t="n"/>
      <c r="I30" s="96" t="n"/>
      <c r="J30" s="77">
        <f>IF(G30="","",G30-N(I30))</f>
        <v/>
      </c>
      <c r="K30" s="98">
        <f>IF(OR(E30="",E30=0,G30=""),"",G30/E30)</f>
        <v/>
      </c>
      <c r="L30" s="98">
        <f>IF(OR(F30="",F30=0,H30=""),"",H30/F30-1)</f>
        <v/>
      </c>
      <c r="M30" s="99">
        <f>IF(OR(G30="",F30="",H30=""),"",G30*(H30-F30))</f>
        <v/>
      </c>
      <c r="N30" s="78">
        <f>IF(L30="","",IF(L30&gt;0.05,"ALERTA",IF(L30&gt;0,"VIGILAR","OK")))</f>
        <v/>
      </c>
    </row>
    <row r="31" ht="22.05" customHeight="1" s="34">
      <c r="A31" s="94" t="n">
        <v>17</v>
      </c>
      <c r="B31" s="91" t="n"/>
      <c r="C31" s="91" t="n"/>
      <c r="D31" s="95" t="n"/>
      <c r="E31" s="96" t="n"/>
      <c r="F31" s="97" t="n"/>
      <c r="G31" s="96" t="n"/>
      <c r="H31" s="97" t="n"/>
      <c r="I31" s="96" t="n"/>
      <c r="J31" s="77">
        <f>IF(G31="","",G31-N(I31))</f>
        <v/>
      </c>
      <c r="K31" s="98">
        <f>IF(OR(E31="",E31=0,G31=""),"",G31/E31)</f>
        <v/>
      </c>
      <c r="L31" s="98">
        <f>IF(OR(F31="",F31=0,H31=""),"",H31/F31-1)</f>
        <v/>
      </c>
      <c r="M31" s="99">
        <f>IF(OR(G31="",F31="",H31=""),"",G31*(H31-F31))</f>
        <v/>
      </c>
      <c r="N31" s="78">
        <f>IF(L31="","",IF(L31&gt;0.05,"ALERTA",IF(L31&gt;0,"VIGILAR","OK")))</f>
        <v/>
      </c>
    </row>
    <row r="32" ht="22.05" customHeight="1" s="34">
      <c r="A32" s="94" t="n">
        <v>18</v>
      </c>
      <c r="B32" s="91" t="n"/>
      <c r="C32" s="91" t="n"/>
      <c r="D32" s="95" t="n"/>
      <c r="E32" s="96" t="n"/>
      <c r="F32" s="97" t="n"/>
      <c r="G32" s="96" t="n"/>
      <c r="H32" s="97" t="n"/>
      <c r="I32" s="96" t="n"/>
      <c r="J32" s="77">
        <f>IF(G32="","",G32-N(I32))</f>
        <v/>
      </c>
      <c r="K32" s="98">
        <f>IF(OR(E32="",E32=0,G32=""),"",G32/E32)</f>
        <v/>
      </c>
      <c r="L32" s="98">
        <f>IF(OR(F32="",F32=0,H32=""),"",H32/F32-1)</f>
        <v/>
      </c>
      <c r="M32" s="99">
        <f>IF(OR(G32="",F32="",H32=""),"",G32*(H32-F32))</f>
        <v/>
      </c>
      <c r="N32" s="78">
        <f>IF(L32="","",IF(L32&gt;0.05,"ALERTA",IF(L32&gt;0,"VIGILAR","OK")))</f>
        <v/>
      </c>
    </row>
    <row r="33" ht="22.05" customHeight="1" s="34">
      <c r="A33" s="94" t="n">
        <v>19</v>
      </c>
      <c r="B33" s="91" t="n"/>
      <c r="C33" s="91" t="n"/>
      <c r="D33" s="95" t="n"/>
      <c r="E33" s="96" t="n"/>
      <c r="F33" s="97" t="n"/>
      <c r="G33" s="96" t="n"/>
      <c r="H33" s="97" t="n"/>
      <c r="I33" s="96" t="n"/>
      <c r="J33" s="77">
        <f>IF(G33="","",G33-N(I33))</f>
        <v/>
      </c>
      <c r="K33" s="98">
        <f>IF(OR(E33="",E33=0,G33=""),"",G33/E33)</f>
        <v/>
      </c>
      <c r="L33" s="98">
        <f>IF(OR(F33="",F33=0,H33=""),"",H33/F33-1)</f>
        <v/>
      </c>
      <c r="M33" s="99">
        <f>IF(OR(G33="",F33="",H33=""),"",G33*(H33-F33))</f>
        <v/>
      </c>
      <c r="N33" s="78">
        <f>IF(L33="","",IF(L33&gt;0.05,"ALERTA",IF(L33&gt;0,"VIGILAR","OK")))</f>
        <v/>
      </c>
    </row>
    <row r="34" ht="22.05" customHeight="1" s="34">
      <c r="A34" s="94" t="n">
        <v>20</v>
      </c>
      <c r="B34" s="91" t="n"/>
      <c r="C34" s="91" t="n"/>
      <c r="D34" s="95" t="n"/>
      <c r="E34" s="96" t="n"/>
      <c r="F34" s="97" t="n"/>
      <c r="G34" s="96" t="n"/>
      <c r="H34" s="97" t="n"/>
      <c r="I34" s="96" t="n"/>
      <c r="J34" s="77">
        <f>IF(G34="","",G34-N(I34))</f>
        <v/>
      </c>
      <c r="K34" s="98">
        <f>IF(OR(E34="",E34=0,G34=""),"",G34/E34)</f>
        <v/>
      </c>
      <c r="L34" s="98">
        <f>IF(OR(F34="",F34=0,H34=""),"",H34/F34-1)</f>
        <v/>
      </c>
      <c r="M34" s="99">
        <f>IF(OR(G34="",F34="",H34=""),"",G34*(H34-F34))</f>
        <v/>
      </c>
      <c r="N34" s="78">
        <f>IF(L34="","",IF(L34&gt;0.05,"ALERTA",IF(L34&gt;0,"VIGILAR","OK")))</f>
        <v/>
      </c>
    </row>
    <row r="35">
      <c r="A35" s="36" t="inlineStr">
        <is>
          <t>TOTAL DEL PERIODO</t>
        </is>
      </c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84" t="n"/>
      <c r="M35" s="100">
        <f>SUM(M15:M34)</f>
        <v/>
      </c>
      <c r="N35" s="35" t="n"/>
    </row>
    <row r="36"/>
    <row r="37" ht="15" customHeight="1" s="34">
      <c r="A37" s="40" t="inlineStr">
        <is>
          <t>3. RESUMEN</t>
        </is>
      </c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84" t="n"/>
    </row>
    <row r="38" ht="81" customHeight="1" s="34">
      <c r="A38" s="22" t="inlineStr">
        <is>
          <t>Valor presupuestado de lo comprado</t>
        </is>
      </c>
      <c r="B38" s="90" t="n"/>
      <c r="C38" s="90" t="n"/>
      <c r="D38" s="84" t="n"/>
      <c r="E38" s="101">
        <f>SUMPRODUCT(N(+G15:G34),N(+F15:F34))</f>
        <v/>
      </c>
      <c r="F38" s="84" t="n"/>
      <c r="H38" s="102" t="inlineStr">
        <is>
          <t>Cómo leer el semáforo (variación de precio):
  OK = el precio real es igual o menor que el presupuestado.
  VIGILAR = el precio real supera el presupuestado hasta un 5 %.
  ALERTA = lo supera en más del 5 %.
El saldo en obra es lo comprado menos lo consumido: material que ya se pagó y sigue en bodega.</t>
        </is>
      </c>
      <c r="I38" s="47" t="n"/>
      <c r="J38" s="47" t="n"/>
      <c r="K38" s="47" t="n"/>
      <c r="L38" s="47" t="n"/>
      <c r="M38" s="47" t="n"/>
      <c r="N38" s="48" t="n"/>
    </row>
    <row r="39" ht="18" customHeight="1" s="34">
      <c r="A39" s="22" t="inlineStr">
        <is>
          <t>Valor real de lo comprado</t>
        </is>
      </c>
      <c r="B39" s="90" t="n"/>
      <c r="C39" s="90" t="n"/>
      <c r="D39" s="84" t="n"/>
      <c r="E39" s="101">
        <f>SUMPRODUCT(N(+G15:G34),N(+H15:H34))</f>
        <v/>
      </c>
      <c r="F39" s="84" t="n"/>
      <c r="H39" s="49" t="n"/>
      <c r="N39" s="50" t="n"/>
    </row>
    <row r="40" ht="18" customHeight="1" s="34">
      <c r="A40" s="22" t="inlineStr">
        <is>
          <t>Sobrecosto (o ahorro) por precio</t>
        </is>
      </c>
      <c r="B40" s="90" t="n"/>
      <c r="C40" s="90" t="n"/>
      <c r="D40" s="84" t="n"/>
      <c r="E40" s="101">
        <f>E39-E38</f>
        <v/>
      </c>
      <c r="F40" s="84" t="n"/>
      <c r="H40" s="49" t="n"/>
      <c r="N40" s="50" t="n"/>
    </row>
    <row r="41" ht="18" customHeight="1" s="34">
      <c r="A41" s="22" t="inlineStr">
        <is>
          <t>Variación global de precio %</t>
        </is>
      </c>
      <c r="B41" s="90" t="n"/>
      <c r="C41" s="90" t="n"/>
      <c r="D41" s="84" t="n"/>
      <c r="E41" s="103">
        <f>IF(E38=0,"",E39/E38-1)</f>
        <v/>
      </c>
      <c r="F41" s="84" t="n"/>
      <c r="H41" s="51" t="n"/>
      <c r="I41" s="52" t="n"/>
      <c r="J41" s="52" t="n"/>
      <c r="K41" s="52" t="n"/>
      <c r="L41" s="52" t="n"/>
      <c r="M41" s="52" t="n"/>
      <c r="N41" s="53" t="n"/>
    </row>
    <row r="42"/>
    <row r="43" ht="15" customHeight="1" s="34">
      <c r="A43" s="40" t="inlineStr">
        <is>
          <t>FIRMAS</t>
        </is>
      </c>
      <c r="B43" s="90" t="n"/>
      <c r="C43" s="90" t="n"/>
      <c r="D43" s="90" t="n"/>
      <c r="E43" s="90" t="n"/>
      <c r="F43" s="90" t="n"/>
      <c r="G43" s="90" t="n"/>
      <c r="H43" s="90" t="n"/>
      <c r="I43" s="90" t="n"/>
      <c r="J43" s="90" t="n"/>
      <c r="K43" s="90" t="n"/>
      <c r="L43" s="90" t="n"/>
      <c r="M43" s="90" t="n"/>
      <c r="N43" s="84" t="n"/>
    </row>
    <row r="44">
      <c r="A44" s="28" t="inlineStr">
        <is>
          <t>ELABORÓ — ALMACENISTA / RESIDENTE</t>
        </is>
      </c>
      <c r="B44" s="90" t="n"/>
      <c r="C44" s="90" t="n"/>
      <c r="D44" s="90" t="n"/>
      <c r="E44" s="90" t="n"/>
      <c r="F44" s="90" t="n"/>
      <c r="G44" s="84" t="n"/>
      <c r="H44" s="28" t="inlineStr">
        <is>
          <t>REVISÓ — DIRECTOR DE OBRA</t>
        </is>
      </c>
      <c r="I44" s="90" t="n"/>
      <c r="J44" s="90" t="n"/>
      <c r="K44" s="90" t="n"/>
      <c r="L44" s="90" t="n"/>
      <c r="M44" s="90" t="n"/>
      <c r="N44" s="84" t="n"/>
    </row>
    <row r="45" ht="15" customHeight="1" s="34">
      <c r="A45" s="22" t="inlineStr">
        <is>
          <t>Firma:</t>
        </is>
      </c>
      <c r="B45" s="90" t="n"/>
      <c r="C45" s="84" t="n"/>
      <c r="D45" s="91" t="n"/>
      <c r="E45" s="92" t="n"/>
      <c r="F45" s="92" t="n"/>
      <c r="G45" s="93" t="n"/>
      <c r="H45" s="22" t="inlineStr">
        <is>
          <t>Firma:</t>
        </is>
      </c>
      <c r="I45" s="90" t="n"/>
      <c r="J45" s="84" t="n"/>
      <c r="K45" s="91" t="n"/>
      <c r="L45" s="92" t="n"/>
      <c r="M45" s="92" t="n"/>
      <c r="N45" s="93" t="n"/>
    </row>
    <row r="46" ht="15" customHeight="1" s="34">
      <c r="A46" s="22" t="inlineStr">
        <is>
          <t>Nombre:</t>
        </is>
      </c>
      <c r="B46" s="90" t="n"/>
      <c r="C46" s="84" t="n"/>
      <c r="D46" s="91" t="n"/>
      <c r="E46" s="92" t="n"/>
      <c r="F46" s="92" t="n"/>
      <c r="G46" s="93" t="n"/>
      <c r="H46" s="22" t="inlineStr">
        <is>
          <t>Nombre:</t>
        </is>
      </c>
      <c r="I46" s="90" t="n"/>
      <c r="J46" s="84" t="n"/>
      <c r="K46" s="91" t="n"/>
      <c r="L46" s="92" t="n"/>
      <c r="M46" s="92" t="n"/>
      <c r="N46" s="93" t="n"/>
    </row>
    <row r="47" ht="15" customHeight="1" s="34">
      <c r="A47" s="22" t="inlineStr">
        <is>
          <t>Cargo:</t>
        </is>
      </c>
      <c r="B47" s="90" t="n"/>
      <c r="C47" s="84" t="n"/>
      <c r="D47" s="91" t="n"/>
      <c r="E47" s="92" t="n"/>
      <c r="F47" s="92" t="n"/>
      <c r="G47" s="93" t="n"/>
      <c r="H47" s="22" t="inlineStr">
        <is>
          <t>Cargo:</t>
        </is>
      </c>
      <c r="I47" s="90" t="n"/>
      <c r="J47" s="84" t="n"/>
      <c r="K47" s="91" t="n"/>
      <c r="L47" s="92" t="n"/>
      <c r="M47" s="92" t="n"/>
      <c r="N47" s="9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4">
    <mergeCell ref="A9:N9"/>
    <mergeCell ref="H46:J46"/>
    <mergeCell ref="L7:M7"/>
    <mergeCell ref="D12:G12"/>
    <mergeCell ref="A46:C46"/>
    <mergeCell ref="A1:C7"/>
    <mergeCell ref="A38:D38"/>
    <mergeCell ref="H38:N41"/>
    <mergeCell ref="D1:N1"/>
    <mergeCell ref="A12:C12"/>
    <mergeCell ref="K10:N10"/>
    <mergeCell ref="H11:J11"/>
    <mergeCell ref="E39:F39"/>
    <mergeCell ref="H45:J45"/>
    <mergeCell ref="A40:D40"/>
    <mergeCell ref="A44:G44"/>
    <mergeCell ref="E38:F38"/>
    <mergeCell ref="A47:C47"/>
    <mergeCell ref="D6:K6"/>
    <mergeCell ref="A39:D39"/>
    <mergeCell ref="H47:J47"/>
    <mergeCell ref="D2:N2"/>
    <mergeCell ref="H12:J12"/>
    <mergeCell ref="L5:M5"/>
    <mergeCell ref="D10:G10"/>
    <mergeCell ref="A37:N37"/>
    <mergeCell ref="E40:F40"/>
    <mergeCell ref="A35:L35"/>
    <mergeCell ref="D46:G46"/>
    <mergeCell ref="A10:C10"/>
    <mergeCell ref="K45:N45"/>
    <mergeCell ref="L4:M4"/>
    <mergeCell ref="H44:N44"/>
    <mergeCell ref="D45:G45"/>
    <mergeCell ref="D7:K7"/>
    <mergeCell ref="K11:N11"/>
    <mergeCell ref="K47:N47"/>
    <mergeCell ref="A41:D41"/>
    <mergeCell ref="D11:G11"/>
    <mergeCell ref="D4:K4"/>
    <mergeCell ref="K46:N46"/>
    <mergeCell ref="A8:N8"/>
    <mergeCell ref="H10:J10"/>
    <mergeCell ref="A11:C11"/>
    <mergeCell ref="D3:K3"/>
    <mergeCell ref="A45:C45"/>
    <mergeCell ref="L6:M6"/>
    <mergeCell ref="E41:F41"/>
    <mergeCell ref="D47:G47"/>
    <mergeCell ref="K12:N12"/>
    <mergeCell ref="A43:N43"/>
    <mergeCell ref="D5:K5"/>
    <mergeCell ref="L3:N3"/>
    <mergeCell ref="A13:N13"/>
  </mergeCells>
  <pageMargins left="0.4" right="0.4" top="0.4" bottom="0.6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2026-10-10T05:18:10Z</dcterms:modified>
  <cp:lastModifiedBy>Hugo Fernando Hurtado Ruiz</cp:lastModifiedBy>
</cp:coreProperties>
</file>