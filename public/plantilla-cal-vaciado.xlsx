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Vaciado de Concret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9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  <col width="8.88671875" customWidth="1" style="67" min="13" max="16384"/>
  </cols>
  <sheetData>
    <row r="1" ht="40.05" customHeight="1" s="67">
      <c r="D1" s="38" t="inlineStr">
        <is>
          <t>CONTROL DE VACIADO DE CONCRETO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RYR-CA-010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Registro de cada camión, ensayos en obra y curado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Contratista / Empresa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Ubicación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Fecha</t>
        </is>
      </c>
      <c r="B13" s="32" t="n"/>
      <c r="C13" s="165" t="n"/>
      <c r="D13" s="163" t="n"/>
      <c r="E13" s="122" t="inlineStr">
        <is>
          <t>Hora de inicio</t>
        </is>
      </c>
      <c r="F13" s="32" t="n"/>
      <c r="G13" s="169" t="n"/>
      <c r="H13" s="122" t="inlineStr">
        <is>
          <t>Hora de finalización</t>
        </is>
      </c>
      <c r="I13" s="32" t="n"/>
      <c r="J13" s="169" t="n"/>
      <c r="K13" s="22" t="inlineStr">
        <is>
          <t>Hoja N°</t>
        </is>
      </c>
      <c r="L13" s="169" t="n"/>
    </row>
    <row r="14" ht="21" customHeight="1" s="67">
      <c r="A14" s="122" t="inlineStr">
        <is>
          <t>Elemento vaciado</t>
        </is>
      </c>
      <c r="B14" s="32" t="n"/>
      <c r="C14" s="164" t="n"/>
      <c r="D14" s="162" t="n"/>
      <c r="E14" s="162" t="n"/>
      <c r="F14" s="162" t="n"/>
      <c r="G14" s="163" t="n"/>
      <c r="H14" s="122" t="inlineStr">
        <is>
          <t>Eje, nivel o localización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Proveedor del concreto</t>
        </is>
      </c>
      <c r="B15" s="32" t="n"/>
      <c r="C15" s="161" t="n"/>
      <c r="D15" s="162" t="n"/>
      <c r="E15" s="162" t="n"/>
      <c r="F15" s="162" t="n"/>
      <c r="G15" s="163" t="n"/>
      <c r="H15" s="122" t="inlineStr">
        <is>
          <t>Planta o mezcla N°</t>
        </is>
      </c>
      <c r="I15" s="32" t="n"/>
      <c r="J15" s="161" t="n"/>
      <c r="K15" s="162" t="n"/>
      <c r="L15" s="163" t="n"/>
    </row>
    <row r="16" ht="21" customHeight="1" s="67">
      <c r="A16" s="122" t="inlineStr">
        <is>
          <t>Resistencia especificada f'c (MPa)</t>
        </is>
      </c>
      <c r="B16" s="32" t="n"/>
      <c r="C16" s="169" t="n"/>
      <c r="D16" s="122" t="inlineStr">
        <is>
          <t>Asentamiento mínimo (mm)</t>
        </is>
      </c>
      <c r="E16" s="32" t="n"/>
      <c r="F16" s="169" t="n"/>
      <c r="G16" s="122" t="inlineStr">
        <is>
          <t>Asentamiento máximo (mm)</t>
        </is>
      </c>
      <c r="H16" s="32" t="n"/>
      <c r="I16" s="169" t="n"/>
      <c r="J16" s="122" t="inlineStr">
        <is>
          <t>Volumen programado (m³)</t>
        </is>
      </c>
      <c r="K16" s="32" t="n"/>
      <c r="L16" s="169" t="n"/>
    </row>
    <row r="17" ht="21" customHeight="1" s="67">
      <c r="A17" s="122" t="inlineStr">
        <is>
          <t>Método de colocación</t>
        </is>
      </c>
      <c r="B17" s="32" t="n"/>
      <c r="C17" s="164" t="n"/>
      <c r="D17" s="162" t="n"/>
      <c r="E17" s="162" t="n"/>
      <c r="F17" s="162" t="n"/>
      <c r="G17" s="163" t="n"/>
      <c r="H17" s="122" t="inlineStr">
        <is>
          <t>Clima durante el vaciado</t>
        </is>
      </c>
      <c r="I17" s="32" t="n"/>
      <c r="J17" s="164" t="n"/>
      <c r="K17" s="162" t="n"/>
      <c r="L17" s="163" t="n"/>
    </row>
    <row r="18" ht="16.5" customHeight="1" s="67">
      <c r="A18" s="15" t="inlineStr">
        <is>
          <t>2. ANTES DEL VACIADO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7" t="n"/>
    </row>
    <row r="19" ht="19.05" customHeight="1" s="67">
      <c r="A19" s="42" t="inlineStr">
        <is>
          <t>No.</t>
        </is>
      </c>
      <c r="B19" s="124" t="inlineStr">
        <is>
          <t>Aspecto verificado</t>
        </is>
      </c>
      <c r="C19" s="31" t="n"/>
      <c r="D19" s="31" t="n"/>
      <c r="E19" s="31" t="n"/>
      <c r="F19" s="31" t="n"/>
      <c r="G19" s="31" t="n"/>
      <c r="H19" s="32" t="n"/>
      <c r="I19" s="124" t="inlineStr">
        <is>
          <t>¿Cumple?</t>
        </is>
      </c>
      <c r="J19" s="32" t="n"/>
      <c r="K19" s="124" t="inlineStr">
        <is>
          <t>Observación</t>
        </is>
      </c>
      <c r="L19" s="32" t="n"/>
    </row>
    <row r="20" ht="16.95" customHeight="1" s="67">
      <c r="A20" s="125" t="n">
        <v>1</v>
      </c>
      <c r="B20" s="175" t="inlineStr">
        <is>
          <t>Acero (RYR-CA-008) y formaleta (RYR-CA-009) aprobados para vaciar</t>
        </is>
      </c>
      <c r="C20" s="16" t="n"/>
      <c r="D20" s="16" t="n"/>
      <c r="E20" s="16" t="n"/>
      <c r="F20" s="16" t="n"/>
      <c r="G20" s="16" t="n"/>
      <c r="H20" s="17" t="n"/>
      <c r="I20" s="173" t="n"/>
      <c r="J20" s="172" t="n"/>
      <c r="K20" s="170" t="n"/>
      <c r="L20" s="172" t="n"/>
    </row>
    <row r="21" ht="16.95" customHeight="1" s="67">
      <c r="A21" s="125" t="n">
        <v>2</v>
      </c>
      <c r="B21" s="175" t="inlineStr">
        <is>
          <t>Plan de vaciado definido: volumen, orden, juntas y personal</t>
        </is>
      </c>
      <c r="C21" s="16" t="n"/>
      <c r="D21" s="16" t="n"/>
      <c r="E21" s="16" t="n"/>
      <c r="F21" s="16" t="n"/>
      <c r="G21" s="16" t="n"/>
      <c r="H21" s="17" t="n"/>
      <c r="I21" s="173" t="n"/>
      <c r="J21" s="172" t="n"/>
      <c r="K21" s="170" t="n"/>
      <c r="L21" s="172" t="n"/>
    </row>
    <row r="22" ht="16.95" customHeight="1" s="67">
      <c r="A22" s="125" t="n">
        <v>3</v>
      </c>
      <c r="B22" s="175" t="inlineStr">
        <is>
          <t>Equipos listos: bomba, vibradores, planta eléctrica y herramientas</t>
        </is>
      </c>
      <c r="C22" s="16" t="n"/>
      <c r="D22" s="16" t="n"/>
      <c r="E22" s="16" t="n"/>
      <c r="F22" s="16" t="n"/>
      <c r="G22" s="16" t="n"/>
      <c r="H22" s="17" t="n"/>
      <c r="I22" s="173" t="n"/>
      <c r="J22" s="172" t="n"/>
      <c r="K22" s="170" t="n"/>
      <c r="L22" s="172" t="n"/>
    </row>
    <row r="23" ht="16.95" customHeight="1" s="67">
      <c r="A23" s="125" t="n">
        <v>4</v>
      </c>
      <c r="B23" s="175" t="inlineStr">
        <is>
          <t>Elementos de ensayo disponibles: cono, moldes de cilindros y termómetro</t>
        </is>
      </c>
      <c r="C23" s="16" t="n"/>
      <c r="D23" s="16" t="n"/>
      <c r="E23" s="16" t="n"/>
      <c r="F23" s="16" t="n"/>
      <c r="G23" s="16" t="n"/>
      <c r="H23" s="17" t="n"/>
      <c r="I23" s="173" t="n"/>
      <c r="J23" s="172" t="n"/>
      <c r="K23" s="170" t="n"/>
      <c r="L23" s="172" t="n"/>
    </row>
    <row r="24" ht="16.95" customHeight="1" s="67">
      <c r="A24" s="125" t="n">
        <v>5</v>
      </c>
      <c r="B24" s="175" t="inlineStr">
        <is>
          <t>Protección prevista contra lluvia o calor excesivo</t>
        </is>
      </c>
      <c r="C24" s="16" t="n"/>
      <c r="D24" s="16" t="n"/>
      <c r="E24" s="16" t="n"/>
      <c r="F24" s="16" t="n"/>
      <c r="G24" s="16" t="n"/>
      <c r="H24" s="17" t="n"/>
      <c r="I24" s="173" t="n"/>
      <c r="J24" s="172" t="n"/>
      <c r="K24" s="170" t="n"/>
      <c r="L24" s="172" t="n"/>
    </row>
    <row r="25" ht="16.5" customHeight="1" s="67">
      <c r="A25" s="15" t="inlineStr">
        <is>
          <t>3. CAMIONES RECIBIDOS Y ENSAYOS EN OBRA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7" t="n"/>
    </row>
    <row r="26" ht="43.95" customHeight="1" s="67">
      <c r="A26" s="42" t="inlineStr">
        <is>
          <t>No.</t>
        </is>
      </c>
      <c r="B26" s="42" t="inlineStr">
        <is>
          <t>Remisión N°</t>
        </is>
      </c>
      <c r="C26" s="42" t="inlineStr">
        <is>
          <t>Hora de salida de planta</t>
        </is>
      </c>
      <c r="D26" s="42" t="inlineStr">
        <is>
          <t>Hora de descargue</t>
        </is>
      </c>
      <c r="E26" s="42" t="inlineStr">
        <is>
          <t>Tiempo (min)</t>
        </is>
      </c>
      <c r="F26" s="42" t="inlineStr">
        <is>
          <t>Volumen (m³)</t>
        </is>
      </c>
      <c r="G26" s="42" t="inlineStr">
        <is>
          <t>Asentamiento (mm)</t>
        </is>
      </c>
      <c r="H26" s="42" t="inlineStr">
        <is>
          <t>Temp. del concreto (°C)</t>
        </is>
      </c>
      <c r="I26" s="42" t="inlineStr">
        <is>
          <t>Cilindros tomados (N°)</t>
        </is>
      </c>
      <c r="J26" s="42" t="inlineStr">
        <is>
          <t>Asentamiento</t>
        </is>
      </c>
      <c r="K26" s="124" t="inlineStr">
        <is>
          <t>Observaciones</t>
        </is>
      </c>
      <c r="L26" s="32" t="n"/>
    </row>
    <row r="27" ht="21" customHeight="1" s="67">
      <c r="A27" s="125" t="n">
        <v>1</v>
      </c>
      <c r="B27" s="173" t="n"/>
      <c r="C27" s="184" t="n"/>
      <c r="D27" s="184" t="n"/>
      <c r="E27" s="146">
        <f>IF(OR(C27="",D27=""),"",ROUND((D27-C27)*1440,0))</f>
        <v/>
      </c>
      <c r="F27" s="185" t="n"/>
      <c r="G27" s="173" t="n"/>
      <c r="H27" s="185" t="n"/>
      <c r="I27" s="173" t="n"/>
      <c r="J27" s="125">
        <f>IF(OR(G27="",$F$16="",$I$16=""),"",IF(AND(G27&gt;=$F$16,G27&lt;=$I$16),"Cumple","No cumple"))</f>
        <v/>
      </c>
      <c r="K27" s="170" t="n"/>
      <c r="L27" s="172" t="n"/>
    </row>
    <row r="28" ht="21" customHeight="1" s="67">
      <c r="A28" s="125" t="n">
        <v>2</v>
      </c>
      <c r="B28" s="173" t="n"/>
      <c r="C28" s="184" t="n"/>
      <c r="D28" s="184" t="n"/>
      <c r="E28" s="146">
        <f>IF(OR(C28="",D28=""),"",ROUND((D28-C28)*1440,0))</f>
        <v/>
      </c>
      <c r="F28" s="185" t="n"/>
      <c r="G28" s="173" t="n"/>
      <c r="H28" s="185" t="n"/>
      <c r="I28" s="173" t="n"/>
      <c r="J28" s="125">
        <f>IF(OR(G28="",$F$16="",$I$16=""),"",IF(AND(G28&gt;=$F$16,G28&lt;=$I$16),"Cumple","No cumple"))</f>
        <v/>
      </c>
      <c r="K28" s="170" t="n"/>
      <c r="L28" s="172" t="n"/>
    </row>
    <row r="29" ht="21" customHeight="1" s="67">
      <c r="A29" s="125" t="n">
        <v>3</v>
      </c>
      <c r="B29" s="173" t="n"/>
      <c r="C29" s="184" t="n"/>
      <c r="D29" s="184" t="n"/>
      <c r="E29" s="146">
        <f>IF(OR(C29="",D29=""),"",ROUND((D29-C29)*1440,0))</f>
        <v/>
      </c>
      <c r="F29" s="185" t="n"/>
      <c r="G29" s="173" t="n"/>
      <c r="H29" s="185" t="n"/>
      <c r="I29" s="173" t="n"/>
      <c r="J29" s="125">
        <f>IF(OR(G29="",$F$16="",$I$16=""),"",IF(AND(G29&gt;=$F$16,G29&lt;=$I$16),"Cumple","No cumple"))</f>
        <v/>
      </c>
      <c r="K29" s="170" t="n"/>
      <c r="L29" s="172" t="n"/>
    </row>
    <row r="30" ht="21" customHeight="1" s="67">
      <c r="A30" s="125" t="n">
        <v>4</v>
      </c>
      <c r="B30" s="173" t="n"/>
      <c r="C30" s="184" t="n"/>
      <c r="D30" s="184" t="n"/>
      <c r="E30" s="146">
        <f>IF(OR(C30="",D30=""),"",ROUND((D30-C30)*1440,0))</f>
        <v/>
      </c>
      <c r="F30" s="185" t="n"/>
      <c r="G30" s="173" t="n"/>
      <c r="H30" s="185" t="n"/>
      <c r="I30" s="173" t="n"/>
      <c r="J30" s="125">
        <f>IF(OR(G30="",$F$16="",$I$16=""),"",IF(AND(G30&gt;=$F$16,G30&lt;=$I$16),"Cumple","No cumple"))</f>
        <v/>
      </c>
      <c r="K30" s="170" t="n"/>
      <c r="L30" s="172" t="n"/>
    </row>
    <row r="31" ht="21" customHeight="1" s="67">
      <c r="A31" s="125" t="n">
        <v>5</v>
      </c>
      <c r="B31" s="173" t="n"/>
      <c r="C31" s="184" t="n"/>
      <c r="D31" s="184" t="n"/>
      <c r="E31" s="146">
        <f>IF(OR(C31="",D31=""),"",ROUND((D31-C31)*1440,0))</f>
        <v/>
      </c>
      <c r="F31" s="185" t="n"/>
      <c r="G31" s="173" t="n"/>
      <c r="H31" s="185" t="n"/>
      <c r="I31" s="173" t="n"/>
      <c r="J31" s="125">
        <f>IF(OR(G31="",$F$16="",$I$16=""),"",IF(AND(G31&gt;=$F$16,G31&lt;=$I$16),"Cumple","No cumple"))</f>
        <v/>
      </c>
      <c r="K31" s="170" t="n"/>
      <c r="L31" s="172" t="n"/>
    </row>
    <row r="32" ht="21" customHeight="1" s="67">
      <c r="A32" s="125" t="n">
        <v>6</v>
      </c>
      <c r="B32" s="173" t="n"/>
      <c r="C32" s="184" t="n"/>
      <c r="D32" s="184" t="n"/>
      <c r="E32" s="146">
        <f>IF(OR(C32="",D32=""),"",ROUND((D32-C32)*1440,0))</f>
        <v/>
      </c>
      <c r="F32" s="185" t="n"/>
      <c r="G32" s="173" t="n"/>
      <c r="H32" s="185" t="n"/>
      <c r="I32" s="173" t="n"/>
      <c r="J32" s="125">
        <f>IF(OR(G32="",$F$16="",$I$16=""),"",IF(AND(G32&gt;=$F$16,G32&lt;=$I$16),"Cumple","No cumple"))</f>
        <v/>
      </c>
      <c r="K32" s="170" t="n"/>
      <c r="L32" s="172" t="n"/>
    </row>
    <row r="33" ht="21" customHeight="1" s="67">
      <c r="A33" s="125" t="n">
        <v>7</v>
      </c>
      <c r="B33" s="173" t="n"/>
      <c r="C33" s="184" t="n"/>
      <c r="D33" s="184" t="n"/>
      <c r="E33" s="146">
        <f>IF(OR(C33="",D33=""),"",ROUND((D33-C33)*1440,0))</f>
        <v/>
      </c>
      <c r="F33" s="185" t="n"/>
      <c r="G33" s="173" t="n"/>
      <c r="H33" s="185" t="n"/>
      <c r="I33" s="173" t="n"/>
      <c r="J33" s="125">
        <f>IF(OR(G33="",$F$16="",$I$16=""),"",IF(AND(G33&gt;=$F$16,G33&lt;=$I$16),"Cumple","No cumple"))</f>
        <v/>
      </c>
      <c r="K33" s="170" t="n"/>
      <c r="L33" s="172" t="n"/>
    </row>
    <row r="34" ht="21" customHeight="1" s="67">
      <c r="A34" s="125" t="n">
        <v>8</v>
      </c>
      <c r="B34" s="173" t="n"/>
      <c r="C34" s="184" t="n"/>
      <c r="D34" s="184" t="n"/>
      <c r="E34" s="146">
        <f>IF(OR(C34="",D34=""),"",ROUND((D34-C34)*1440,0))</f>
        <v/>
      </c>
      <c r="F34" s="185" t="n"/>
      <c r="G34" s="173" t="n"/>
      <c r="H34" s="185" t="n"/>
      <c r="I34" s="173" t="n"/>
      <c r="J34" s="125">
        <f>IF(OR(G34="",$F$16="",$I$16=""),"",IF(AND(G34&gt;=$F$16,G34&lt;=$I$16),"Cumple","No cumple"))</f>
        <v/>
      </c>
      <c r="K34" s="170" t="n"/>
      <c r="L34" s="172" t="n"/>
    </row>
    <row r="35" ht="21" customHeight="1" s="67">
      <c r="A35" s="125" t="n">
        <v>9</v>
      </c>
      <c r="B35" s="173" t="n"/>
      <c r="C35" s="184" t="n"/>
      <c r="D35" s="184" t="n"/>
      <c r="E35" s="146">
        <f>IF(OR(C35="",D35=""),"",ROUND((D35-C35)*1440,0))</f>
        <v/>
      </c>
      <c r="F35" s="185" t="n"/>
      <c r="G35" s="173" t="n"/>
      <c r="H35" s="185" t="n"/>
      <c r="I35" s="173" t="n"/>
      <c r="J35" s="125">
        <f>IF(OR(G35="",$F$16="",$I$16=""),"",IF(AND(G35&gt;=$F$16,G35&lt;=$I$16),"Cumple","No cumple"))</f>
        <v/>
      </c>
      <c r="K35" s="170" t="n"/>
      <c r="L35" s="172" t="n"/>
    </row>
    <row r="36" ht="21" customHeight="1" s="67">
      <c r="A36" s="125" t="n">
        <v>10</v>
      </c>
      <c r="B36" s="173" t="n"/>
      <c r="C36" s="184" t="n"/>
      <c r="D36" s="184" t="n"/>
      <c r="E36" s="146">
        <f>IF(OR(C36="",D36=""),"",ROUND((D36-C36)*1440,0))</f>
        <v/>
      </c>
      <c r="F36" s="185" t="n"/>
      <c r="G36" s="173" t="n"/>
      <c r="H36" s="185" t="n"/>
      <c r="I36" s="173" t="n"/>
      <c r="J36" s="125">
        <f>IF(OR(G36="",$F$16="",$I$16=""),"",IF(AND(G36&gt;=$F$16,G36&lt;=$I$16),"Cumple","No cumple"))</f>
        <v/>
      </c>
      <c r="K36" s="170" t="n"/>
      <c r="L36" s="172" t="n"/>
    </row>
    <row r="37" ht="22.05" customHeight="1" s="67">
      <c r="A37" s="132" t="inlineStr">
        <is>
          <t>TOTALES</t>
        </is>
      </c>
      <c r="B37" s="31" t="n"/>
      <c r="C37" s="31" t="n"/>
      <c r="D37" s="31" t="n"/>
      <c r="E37" s="32" t="n"/>
      <c r="F37" s="134">
        <f>SUM(F27:F36)</f>
        <v/>
      </c>
      <c r="G37" s="135">
        <f>COUNT(B27:B36)&amp;" camiones"</f>
        <v/>
      </c>
      <c r="H37" s="32" t="n"/>
      <c r="I37" s="133">
        <f>SUM(I27:I36)</f>
        <v/>
      </c>
      <c r="J37" s="135">
        <f>IF(OR(L16="",F37=0),"",TEXT(F37-L16,"+0.0;-0.0")&amp;" m³ vs. programado")</f>
        <v/>
      </c>
      <c r="K37" s="31" t="n"/>
      <c r="L37" s="32" t="n"/>
    </row>
    <row r="38" ht="30" customHeight="1" s="67">
      <c r="A38" s="87" t="inlineStr">
        <is>
          <t>El tiempo máximo entre la salida de planta y la colocación lo fija la especificación y la NSR-10 (referencia común: 90 minutos); si se excede, se consulta antes de colocar. El rango de asentamiento sale del diseño de mezcla aprobado.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2" t="n"/>
    </row>
    <row r="39" ht="16.5" customHeight="1" s="67">
      <c r="A39" s="15" t="inlineStr">
        <is>
          <t>4. DURANTE EL VACIADO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7" t="n"/>
    </row>
    <row r="40" ht="19.05" customHeight="1" s="67">
      <c r="A40" s="42" t="inlineStr">
        <is>
          <t>No.</t>
        </is>
      </c>
      <c r="B40" s="124" t="inlineStr">
        <is>
          <t>Aspecto verificado</t>
        </is>
      </c>
      <c r="C40" s="31" t="n"/>
      <c r="D40" s="31" t="n"/>
      <c r="E40" s="31" t="n"/>
      <c r="F40" s="31" t="n"/>
      <c r="G40" s="31" t="n"/>
      <c r="H40" s="32" t="n"/>
      <c r="I40" s="124" t="inlineStr">
        <is>
          <t>¿Cumple?</t>
        </is>
      </c>
      <c r="J40" s="32" t="n"/>
      <c r="K40" s="124" t="inlineStr">
        <is>
          <t>Observación</t>
        </is>
      </c>
      <c r="L40" s="32" t="n"/>
    </row>
    <row r="41" ht="16.95" customHeight="1" s="67">
      <c r="A41" s="125" t="n">
        <v>1</v>
      </c>
      <c r="B41" s="175" t="inlineStr">
        <is>
          <t>Remisión coincide con el concreto pedido (resistencia, asentamiento, aditivos)</t>
        </is>
      </c>
      <c r="C41" s="16" t="n"/>
      <c r="D41" s="16" t="n"/>
      <c r="E41" s="16" t="n"/>
      <c r="F41" s="16" t="n"/>
      <c r="G41" s="16" t="n"/>
      <c r="H41" s="17" t="n"/>
      <c r="I41" s="173" t="n"/>
      <c r="J41" s="172" t="n"/>
      <c r="K41" s="170" t="n"/>
      <c r="L41" s="172" t="n"/>
    </row>
    <row r="42" ht="16.95" customHeight="1" s="67">
      <c r="A42" s="125" t="n">
        <v>2</v>
      </c>
      <c r="B42" s="175" t="inlineStr">
        <is>
          <t>No se agregó agua adicional al concreto en la obra</t>
        </is>
      </c>
      <c r="C42" s="16" t="n"/>
      <c r="D42" s="16" t="n"/>
      <c r="E42" s="16" t="n"/>
      <c r="F42" s="16" t="n"/>
      <c r="G42" s="16" t="n"/>
      <c r="H42" s="17" t="n"/>
      <c r="I42" s="173" t="n"/>
      <c r="J42" s="172" t="n"/>
      <c r="K42" s="170" t="n"/>
      <c r="L42" s="172" t="n"/>
    </row>
    <row r="43" ht="16.95" customHeight="1" s="67">
      <c r="A43" s="125" t="n">
        <v>3</v>
      </c>
      <c r="B43" s="175" t="inlineStr">
        <is>
          <t>Altura de caída controlada para evitar segregación</t>
        </is>
      </c>
      <c r="C43" s="16" t="n"/>
      <c r="D43" s="16" t="n"/>
      <c r="E43" s="16" t="n"/>
      <c r="F43" s="16" t="n"/>
      <c r="G43" s="16" t="n"/>
      <c r="H43" s="17" t="n"/>
      <c r="I43" s="173" t="n"/>
      <c r="J43" s="172" t="n"/>
      <c r="K43" s="170" t="n"/>
      <c r="L43" s="172" t="n"/>
    </row>
    <row r="44" ht="16.95" customHeight="1" s="67">
      <c r="A44" s="125" t="n">
        <v>4</v>
      </c>
      <c r="B44" s="175" t="inlineStr">
        <is>
          <t>Vibrado completo, sin zonas sin compactar ni exceso de vibración</t>
        </is>
      </c>
      <c r="C44" s="16" t="n"/>
      <c r="D44" s="16" t="n"/>
      <c r="E44" s="16" t="n"/>
      <c r="F44" s="16" t="n"/>
      <c r="G44" s="16" t="n"/>
      <c r="H44" s="17" t="n"/>
      <c r="I44" s="173" t="n"/>
      <c r="J44" s="172" t="n"/>
      <c r="K44" s="170" t="n"/>
      <c r="L44" s="172" t="n"/>
    </row>
    <row r="45" ht="16.95" customHeight="1" s="67">
      <c r="A45" s="125" t="n">
        <v>5</v>
      </c>
      <c r="B45" s="175" t="inlineStr">
        <is>
          <t>Vaciado continuo, sin juntas frías; juntas de construcción previstas y tratadas</t>
        </is>
      </c>
      <c r="C45" s="16" t="n"/>
      <c r="D45" s="16" t="n"/>
      <c r="E45" s="16" t="n"/>
      <c r="F45" s="16" t="n"/>
      <c r="G45" s="16" t="n"/>
      <c r="H45" s="17" t="n"/>
      <c r="I45" s="173" t="n"/>
      <c r="J45" s="172" t="n"/>
      <c r="K45" s="170" t="n"/>
      <c r="L45" s="172" t="n"/>
    </row>
    <row r="46" ht="16.95" customHeight="1" s="67">
      <c r="A46" s="125" t="n">
        <v>6</v>
      </c>
      <c r="B46" s="175" t="inlineStr">
        <is>
          <t>Acabado y nivelación de la superficie según especificación</t>
        </is>
      </c>
      <c r="C46" s="16" t="n"/>
      <c r="D46" s="16" t="n"/>
      <c r="E46" s="16" t="n"/>
      <c r="F46" s="16" t="n"/>
      <c r="G46" s="16" t="n"/>
      <c r="H46" s="17" t="n"/>
      <c r="I46" s="173" t="n"/>
      <c r="J46" s="172" t="n"/>
      <c r="K46" s="170" t="n"/>
      <c r="L46" s="172" t="n"/>
    </row>
    <row r="47" ht="16.5" customHeight="1" s="67">
      <c r="A47" s="15" t="inlineStr">
        <is>
          <t>5. DESPUÉS DEL VACIADO Y CURADO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7" t="n"/>
    </row>
    <row r="48" ht="19.05" customHeight="1" s="67">
      <c r="A48" s="42" t="inlineStr">
        <is>
          <t>No.</t>
        </is>
      </c>
      <c r="B48" s="124" t="inlineStr">
        <is>
          <t>Aspecto verificado</t>
        </is>
      </c>
      <c r="C48" s="31" t="n"/>
      <c r="D48" s="31" t="n"/>
      <c r="E48" s="31" t="n"/>
      <c r="F48" s="31" t="n"/>
      <c r="G48" s="31" t="n"/>
      <c r="H48" s="32" t="n"/>
      <c r="I48" s="124" t="inlineStr">
        <is>
          <t>¿Cumple?</t>
        </is>
      </c>
      <c r="J48" s="32" t="n"/>
      <c r="K48" s="124" t="inlineStr">
        <is>
          <t>Observación</t>
        </is>
      </c>
      <c r="L48" s="32" t="n"/>
    </row>
    <row r="49" ht="16.95" customHeight="1" s="67">
      <c r="A49" s="125" t="n">
        <v>1</v>
      </c>
      <c r="B49" s="175" t="inlineStr">
        <is>
          <t>Curado iniciado en el tiempo previsto (agua, membrana o cubierta)</t>
        </is>
      </c>
      <c r="C49" s="16" t="n"/>
      <c r="D49" s="16" t="n"/>
      <c r="E49" s="16" t="n"/>
      <c r="F49" s="16" t="n"/>
      <c r="G49" s="16" t="n"/>
      <c r="H49" s="17" t="n"/>
      <c r="I49" s="173" t="n"/>
      <c r="J49" s="172" t="n"/>
      <c r="K49" s="170" t="n"/>
      <c r="L49" s="172" t="n"/>
    </row>
    <row r="50" ht="16.95" customHeight="1" s="67">
      <c r="A50" s="125" t="n">
        <v>2</v>
      </c>
      <c r="B50" s="175" t="inlineStr">
        <is>
          <t>Elemento protegido de impactos, cargas y tránsito</t>
        </is>
      </c>
      <c r="C50" s="16" t="n"/>
      <c r="D50" s="16" t="n"/>
      <c r="E50" s="16" t="n"/>
      <c r="F50" s="16" t="n"/>
      <c r="G50" s="16" t="n"/>
      <c r="H50" s="17" t="n"/>
      <c r="I50" s="173" t="n"/>
      <c r="J50" s="172" t="n"/>
      <c r="K50" s="170" t="n"/>
      <c r="L50" s="172" t="n"/>
    </row>
    <row r="51" ht="16.95" customHeight="1" s="67">
      <c r="A51" s="125" t="n">
        <v>3</v>
      </c>
      <c r="B51" s="175" t="inlineStr">
        <is>
          <t>Cilindros protegidos en obra y llevados al laboratorio a tiempo</t>
        </is>
      </c>
      <c r="C51" s="16" t="n"/>
      <c r="D51" s="16" t="n"/>
      <c r="E51" s="16" t="n"/>
      <c r="F51" s="16" t="n"/>
      <c r="G51" s="16" t="n"/>
      <c r="H51" s="17" t="n"/>
      <c r="I51" s="173" t="n"/>
      <c r="J51" s="172" t="n"/>
      <c r="K51" s="170" t="n"/>
      <c r="L51" s="172" t="n"/>
    </row>
    <row r="52" ht="21" customHeight="1" s="67">
      <c r="A52" s="122" t="inlineStr">
        <is>
          <t>Método de curado</t>
        </is>
      </c>
      <c r="B52" s="32" t="n"/>
      <c r="C52" s="164" t="n"/>
      <c r="D52" s="162" t="n"/>
      <c r="E52" s="163" t="n"/>
      <c r="F52" s="122" t="inlineStr">
        <is>
          <t>Inicio del curado</t>
        </is>
      </c>
      <c r="G52" s="32" t="n"/>
      <c r="H52" s="169" t="n"/>
      <c r="I52" s="122" t="inlineStr">
        <is>
          <t>Duración (días)</t>
        </is>
      </c>
      <c r="J52" s="32" t="n"/>
      <c r="K52" s="164" t="n"/>
      <c r="L52" s="163" t="n"/>
    </row>
    <row r="53" ht="16.5" customHeight="1" s="67">
      <c r="A53" s="15" t="inlineStr">
        <is>
          <t>6. OBSERVACIONES Y FIRMAS</t>
        </is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7" t="n"/>
    </row>
    <row r="54" ht="48" customHeight="1" s="67">
      <c r="A54" s="122" t="inlineStr">
        <is>
          <t>Observaciones, novedades y acciones</t>
        </is>
      </c>
      <c r="B54" s="32" t="n"/>
      <c r="C54" s="177" t="n"/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3" t="n"/>
    </row>
    <row r="55" ht="18" customHeight="1" s="67">
      <c r="A55" s="130" t="inlineStr">
        <is>
          <t>INSPECCIONA — CALIDAD</t>
        </is>
      </c>
      <c r="B55" s="31" t="n"/>
      <c r="C55" s="31" t="n"/>
      <c r="D55" s="32" t="n"/>
      <c r="E55" s="130" t="inlineStr">
        <is>
          <t>EJECUTA — RESIDENTE / MAESTRO</t>
        </is>
      </c>
      <c r="F55" s="31" t="n"/>
      <c r="G55" s="31" t="n"/>
      <c r="H55" s="32" t="n"/>
      <c r="I55" s="130" t="inlineStr">
        <is>
          <t>Vo.Bo. — INTERVENTORÍA / SUPERVISIÓN</t>
        </is>
      </c>
      <c r="J55" s="31" t="n"/>
      <c r="K55" s="31" t="n"/>
      <c r="L55" s="32" t="n"/>
    </row>
    <row r="56" ht="42" customHeight="1" s="67">
      <c r="A56" s="18" t="inlineStr">
        <is>
          <t>Firma:</t>
        </is>
      </c>
      <c r="B56" s="17" t="n"/>
      <c r="C56" s="170" t="n"/>
      <c r="D56" s="172" t="n"/>
      <c r="E56" s="18" t="inlineStr">
        <is>
          <t>Firma:</t>
        </is>
      </c>
      <c r="F56" s="17" t="n"/>
      <c r="G56" s="170" t="n"/>
      <c r="H56" s="172" t="n"/>
      <c r="I56" s="18" t="inlineStr">
        <is>
          <t>Firma:</t>
        </is>
      </c>
      <c r="J56" s="17" t="n"/>
      <c r="K56" s="170" t="n"/>
      <c r="L56" s="172" t="n"/>
    </row>
    <row r="57" ht="21" customHeight="1" s="67">
      <c r="A57" s="18" t="inlineStr">
        <is>
          <t>Nombre:</t>
        </is>
      </c>
      <c r="B57" s="17" t="n"/>
      <c r="C57" s="170" t="n"/>
      <c r="D57" s="172" t="n"/>
      <c r="E57" s="18" t="inlineStr">
        <is>
          <t>Nombre:</t>
        </is>
      </c>
      <c r="F57" s="17" t="n"/>
      <c r="G57" s="170" t="n"/>
      <c r="H57" s="172" t="n"/>
      <c r="I57" s="18" t="inlineStr">
        <is>
          <t>Nombre:</t>
        </is>
      </c>
      <c r="J57" s="17" t="n"/>
      <c r="K57" s="170" t="n"/>
      <c r="L57" s="172" t="n"/>
    </row>
    <row r="58" ht="21" customHeight="1" s="67">
      <c r="A58" s="18" t="inlineStr">
        <is>
          <t>Cargo:</t>
        </is>
      </c>
      <c r="B58" s="17" t="n"/>
      <c r="C58" s="170" t="n"/>
      <c r="D58" s="172" t="n"/>
      <c r="E58" s="18" t="inlineStr">
        <is>
          <t>Cargo:</t>
        </is>
      </c>
      <c r="F58" s="17" t="n"/>
      <c r="G58" s="170" t="n"/>
      <c r="H58" s="172" t="n"/>
      <c r="I58" s="18" t="inlineStr">
        <is>
          <t>Cargo:</t>
        </is>
      </c>
      <c r="J58" s="17" t="n"/>
      <c r="K58" s="170" t="n"/>
      <c r="L58" s="172" t="n"/>
    </row>
    <row r="59">
      <c r="A59" s="2" t="inlineStr">
        <is>
          <t>REV. 09/10/2026</t>
        </is>
      </c>
      <c r="G59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37">
    <mergeCell ref="K49:L49"/>
    <mergeCell ref="B40:H40"/>
    <mergeCell ref="A15:B15"/>
    <mergeCell ref="B49:H49"/>
    <mergeCell ref="K24:L24"/>
    <mergeCell ref="K33:L33"/>
    <mergeCell ref="B24:H24"/>
    <mergeCell ref="C14:G14"/>
    <mergeCell ref="B51:H51"/>
    <mergeCell ref="K26:L26"/>
    <mergeCell ref="K35:L35"/>
    <mergeCell ref="A54:B54"/>
    <mergeCell ref="D1:L2"/>
    <mergeCell ref="B41:H41"/>
    <mergeCell ref="K50:L50"/>
    <mergeCell ref="G57:H57"/>
    <mergeCell ref="A37:E37"/>
    <mergeCell ref="A56:B56"/>
    <mergeCell ref="C56:D56"/>
    <mergeCell ref="I58:J58"/>
    <mergeCell ref="K58:L58"/>
    <mergeCell ref="K52:L52"/>
    <mergeCell ref="D5:I5"/>
    <mergeCell ref="I42:J42"/>
    <mergeCell ref="K42:L42"/>
    <mergeCell ref="G58:H58"/>
    <mergeCell ref="I52:J52"/>
    <mergeCell ref="B42:H42"/>
    <mergeCell ref="A17:B17"/>
    <mergeCell ref="H13:I13"/>
    <mergeCell ref="I44:J44"/>
    <mergeCell ref="I20:J20"/>
    <mergeCell ref="B44:H44"/>
    <mergeCell ref="H15:I15"/>
    <mergeCell ref="K28:L28"/>
    <mergeCell ref="D6:I6"/>
    <mergeCell ref="J15:L15"/>
    <mergeCell ref="K30:L30"/>
    <mergeCell ref="I46:J46"/>
    <mergeCell ref="A11:B11"/>
    <mergeCell ref="K21:L21"/>
    <mergeCell ref="I57:J57"/>
    <mergeCell ref="K51:L51"/>
    <mergeCell ref="C52:E52"/>
    <mergeCell ref="K32:L32"/>
    <mergeCell ref="I41:J41"/>
    <mergeCell ref="K41:L41"/>
    <mergeCell ref="I56:J56"/>
    <mergeCell ref="K56:L56"/>
    <mergeCell ref="H17:I17"/>
    <mergeCell ref="A38:L38"/>
    <mergeCell ref="I43:J43"/>
    <mergeCell ref="K43:L43"/>
    <mergeCell ref="C12:G12"/>
    <mergeCell ref="I24:J24"/>
    <mergeCell ref="B43:H43"/>
    <mergeCell ref="K27:L27"/>
    <mergeCell ref="H12:I12"/>
    <mergeCell ref="J14:L14"/>
    <mergeCell ref="A52:B52"/>
    <mergeCell ref="G16:H16"/>
    <mergeCell ref="J37:L37"/>
    <mergeCell ref="C57:D57"/>
    <mergeCell ref="I19:J19"/>
    <mergeCell ref="K19:L19"/>
    <mergeCell ref="H14:I14"/>
    <mergeCell ref="K6:L6"/>
    <mergeCell ref="B19:H19"/>
    <mergeCell ref="E58:F58"/>
    <mergeCell ref="C11:L11"/>
    <mergeCell ref="A25:L25"/>
    <mergeCell ref="C58:D58"/>
    <mergeCell ref="K5:L5"/>
    <mergeCell ref="I45:J45"/>
    <mergeCell ref="J4:L4"/>
    <mergeCell ref="K45:L45"/>
    <mergeCell ref="A18:L18"/>
    <mergeCell ref="B20:H20"/>
    <mergeCell ref="B45:H45"/>
    <mergeCell ref="K29:L29"/>
    <mergeCell ref="A47:L47"/>
    <mergeCell ref="K44:L44"/>
    <mergeCell ref="G37:H37"/>
    <mergeCell ref="E13:F13"/>
    <mergeCell ref="D3:L3"/>
    <mergeCell ref="K31:L31"/>
    <mergeCell ref="K46:L46"/>
    <mergeCell ref="E55:H55"/>
    <mergeCell ref="K40:L40"/>
    <mergeCell ref="B46:H46"/>
    <mergeCell ref="I21:J21"/>
    <mergeCell ref="A12:B12"/>
    <mergeCell ref="A57:B57"/>
    <mergeCell ref="K8:L8"/>
    <mergeCell ref="B21:H21"/>
    <mergeCell ref="J16:K16"/>
    <mergeCell ref="B48:H48"/>
    <mergeCell ref="I23:J23"/>
    <mergeCell ref="A14:B14"/>
    <mergeCell ref="K23:L23"/>
    <mergeCell ref="J17:L17"/>
    <mergeCell ref="C54:L54"/>
    <mergeCell ref="G59:L59"/>
    <mergeCell ref="B23:H23"/>
    <mergeCell ref="E57:F57"/>
    <mergeCell ref="K7:L7"/>
    <mergeCell ref="I51:J51"/>
    <mergeCell ref="K57:L57"/>
    <mergeCell ref="I50:J50"/>
    <mergeCell ref="E56:F56"/>
    <mergeCell ref="G56:H56"/>
    <mergeCell ref="K34:L34"/>
    <mergeCell ref="C15:G15"/>
    <mergeCell ref="I49:J49"/>
    <mergeCell ref="K36:L36"/>
    <mergeCell ref="B50:H50"/>
    <mergeCell ref="K20:L20"/>
    <mergeCell ref="A16:B16"/>
    <mergeCell ref="I22:J22"/>
    <mergeCell ref="J12:L12"/>
    <mergeCell ref="K22:L22"/>
    <mergeCell ref="A53:L53"/>
    <mergeCell ref="B22:H22"/>
    <mergeCell ref="D16:E16"/>
    <mergeCell ref="A10:L10"/>
    <mergeCell ref="A9:L9"/>
    <mergeCell ref="I48:J48"/>
    <mergeCell ref="A39:L39"/>
    <mergeCell ref="F52:G52"/>
    <mergeCell ref="K48:L48"/>
    <mergeCell ref="C17:G17"/>
    <mergeCell ref="A55:D55"/>
    <mergeCell ref="A13:B13"/>
    <mergeCell ref="I55:L55"/>
    <mergeCell ref="C13:D13"/>
    <mergeCell ref="I40:J40"/>
    <mergeCell ref="A58:B58"/>
  </mergeCells>
  <pageMargins left="0.4" right="0.4" top="0.4" bottom="0.7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2026-10-10T14:16:14Z</dcterms:modified>
  <cp:lastModifiedBy>Hugo Fernando Hurtado Ruiz</cp:lastModifiedBy>
</cp:coreProperties>
</file>