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Equipos de Medición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5" formatCode="0.0"/>
    <numFmt numFmtId="166" formatCode="0.0%"/>
    <numFmt numFmtId="167" formatCode="hh:mm"/>
    <numFmt numFmtId="168" formatCode="dd/mm/yyyy"/>
  </numFmts>
  <fonts count="2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color rgb="FF1B2A45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93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4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5" fontId="18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4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5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5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7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5" fontId="19" fillId="0" borderId="9" applyAlignment="1" pivotButton="0" quotePrefix="0" xfId="3">
      <alignment horizontal="center" vertical="center"/>
    </xf>
    <xf numFmtId="165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7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  <xf numFmtId="168" fontId="19" fillId="0" borderId="19" applyAlignment="1" pivotButton="0" quotePrefix="0" xfId="3">
      <alignment horizontal="center" vertical="center"/>
    </xf>
    <xf numFmtId="0" fontId="20" fillId="0" borderId="19" applyAlignment="1" pivotButton="0" quotePrefix="0" xfId="3">
      <alignment horizontal="center" vertical="center"/>
    </xf>
    <xf numFmtId="0" fontId="14" fillId="0" borderId="19" applyAlignment="1" pivotButton="0" quotePrefix="0" xfId="3">
      <alignment horizontal="left" vertical="center" wrapText="1"/>
    </xf>
    <xf numFmtId="0" fontId="26" fillId="0" borderId="19" applyAlignment="1" pivotButton="0" quotePrefix="0" xfId="3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6" fillId="0" borderId="15" applyAlignment="1" pivotButton="0" quotePrefix="0" xfId="0">
      <alignment horizontal="center" vertical="center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2252203</xdr:colOff>
      <xdr:row>7</xdr:row>
      <xdr:rowOff>177646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564000" cy="169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P44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5" customWidth="1" style="67" min="1" max="1"/>
    <col width="10" customWidth="1" style="67" min="2" max="2"/>
    <col width="28" customWidth="1" style="67" min="3" max="3"/>
    <col width="16" customWidth="1" style="67" min="4" max="4"/>
    <col width="13" customWidth="1" style="67" min="5" max="5"/>
    <col width="15" customWidth="1" style="67" min="6" max="6"/>
    <col width="12" customWidth="1" style="67" min="7" max="7"/>
    <col width="19" customWidth="1" style="67" min="8" max="8"/>
    <col width="12" customWidth="1" style="67" min="9" max="9"/>
    <col width="10" customWidth="1" style="67" min="10" max="10"/>
    <col width="12" customWidth="1" style="67" min="11" max="11"/>
    <col width="20" customWidth="1" style="67" min="12" max="12"/>
    <col width="14" customWidth="1" style="67" min="13" max="13"/>
    <col width="17" customWidth="1" style="67" min="14" max="14"/>
    <col width="13" customWidth="1" style="67" min="15" max="15"/>
    <col width="26" customWidth="1" style="67" min="16" max="16"/>
  </cols>
  <sheetData>
    <row r="1" ht="40" customHeight="1" s="67">
      <c r="D1" s="63" t="inlineStr">
        <is>
          <t>CONTROL DE EQUIPOS DE MEDICIÓN Y LABORATORIO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</row>
    <row r="3" ht="4.95" customHeight="1" s="67">
      <c r="D3" s="110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</row>
    <row r="4" ht="15" customHeight="1" s="67">
      <c r="N4" s="117" t="inlineStr">
        <is>
          <t>CONTROL DOCUMENTAL</t>
        </is>
      </c>
      <c r="O4" s="24" t="n"/>
      <c r="P4" s="112" t="n"/>
    </row>
    <row r="5" ht="15" customHeight="1" s="67">
      <c r="D5" s="27" t="inlineStr">
        <is>
          <t>REFORMAS Y REMODELACIONES</t>
        </is>
      </c>
      <c r="M5" s="29" t="n"/>
      <c r="N5" s="93" t="inlineStr">
        <is>
          <t>Código</t>
        </is>
      </c>
      <c r="O5" s="94" t="inlineStr">
        <is>
          <t>RYR-CA-018</t>
        </is>
      </c>
      <c r="P5" s="32" t="n"/>
    </row>
    <row r="6" ht="15" customHeight="1" s="67">
      <c r="D6" s="37" t="inlineStr">
        <is>
          <t>DISEÑAMOS, RENOVAMOS Y CONSTRUIMOS ESPACIOS QUE INSPIRAN.</t>
        </is>
      </c>
      <c r="M6" s="29" t="n"/>
      <c r="N6" s="93" t="inlineStr">
        <is>
          <t>Versión</t>
        </is>
      </c>
      <c r="O6" s="94" t="n">
        <v>1</v>
      </c>
      <c r="P6" s="32" t="n"/>
    </row>
    <row r="7" ht="15" customHeight="1" s="67">
      <c r="N7" s="93" t="inlineStr">
        <is>
          <t>Fecha de Emisión</t>
        </is>
      </c>
      <c r="O7" s="94" t="inlineStr">
        <is>
          <t>09/10/2026</t>
        </is>
      </c>
      <c r="P7" s="32" t="n"/>
    </row>
    <row r="8" ht="15" customHeight="1" s="67">
      <c r="N8" s="93" t="inlineStr">
        <is>
          <t>Página</t>
        </is>
      </c>
      <c r="O8" s="94" t="inlineStr">
        <is>
          <t>1 de 1</t>
        </is>
      </c>
      <c r="P8" s="32" t="n"/>
    </row>
    <row r="9" ht="15" customHeight="1" s="67">
      <c r="A9" s="75" t="inlineStr">
        <is>
          <t>Qué equipos se usan para medir y ensayar, con qué calibración y cuándo vence · Control de calidad en obra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2" t="n"/>
    </row>
    <row r="10" ht="16.5" customHeight="1" s="67">
      <c r="A10" s="77" t="inlineStr">
        <is>
          <t>1. DATOS GENERALES</t>
        </is>
      </c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2" t="n"/>
    </row>
    <row r="11" ht="22.05" customHeight="1" s="67">
      <c r="A11" s="81" t="inlineStr">
        <is>
          <t>Proyecto / Obra</t>
        </is>
      </c>
      <c r="B11" s="32" t="n"/>
      <c r="C11" s="161" t="n"/>
      <c r="D11" s="162" t="n"/>
      <c r="E11" s="162" t="n"/>
      <c r="F11" s="163" t="n"/>
      <c r="G11" s="81" t="inlineStr">
        <is>
          <t>Contrato N°</t>
        </is>
      </c>
      <c r="H11" s="32" t="n"/>
      <c r="I11" s="161" t="n"/>
      <c r="J11" s="162" t="n"/>
      <c r="K11" s="163" t="n"/>
      <c r="L11" s="81" t="inlineStr">
        <is>
          <t>Fecha de corte</t>
        </is>
      </c>
      <c r="M11" s="161" t="n"/>
      <c r="N11" s="162" t="n"/>
      <c r="O11" s="162" t="n"/>
      <c r="P11" s="163" t="n"/>
    </row>
    <row r="12" ht="22.05" customHeight="1" s="67">
      <c r="A12" s="81" t="inlineStr">
        <is>
          <t>Contratista</t>
        </is>
      </c>
      <c r="B12" s="32" t="n"/>
      <c r="C12" s="161" t="n"/>
      <c r="D12" s="162" t="n"/>
      <c r="E12" s="162" t="n"/>
      <c r="F12" s="163" t="n"/>
      <c r="G12" s="81" t="inlineStr">
        <is>
          <t>Responsable de los equipos</t>
        </is>
      </c>
      <c r="H12" s="32" t="n"/>
      <c r="I12" s="161" t="n"/>
      <c r="J12" s="162" t="n"/>
      <c r="K12" s="163" t="n"/>
      <c r="L12" s="81" t="inlineStr">
        <is>
          <t>Hoja N°</t>
        </is>
      </c>
      <c r="M12" s="161" t="n"/>
      <c r="N12" s="162" t="n"/>
      <c r="O12" s="162" t="n"/>
      <c r="P12" s="163" t="n"/>
    </row>
    <row r="13" ht="16.5" customHeight="1" s="67">
      <c r="A13" s="77" t="inlineStr">
        <is>
          <t>2. EQUIPOS E INSTRUMENTOS</t>
        </is>
      </c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2" t="n"/>
    </row>
    <row r="14" ht="34" customHeight="1" s="67">
      <c r="A14" s="101" t="inlineStr">
        <is>
          <t>No.</t>
        </is>
      </c>
      <c r="B14" s="101" t="inlineStr">
        <is>
          <t>Código</t>
        </is>
      </c>
      <c r="C14" s="101" t="inlineStr">
        <is>
          <t>Equipo o instrumento</t>
        </is>
      </c>
      <c r="D14" s="101" t="inlineStr">
        <is>
          <t>Marca / modelo</t>
        </is>
      </c>
      <c r="E14" s="101" t="inlineStr">
        <is>
          <t>Serie</t>
        </is>
      </c>
      <c r="F14" s="101" t="inlineStr">
        <is>
          <t>Rango o capacidad</t>
        </is>
      </c>
      <c r="G14" s="101" t="inlineStr">
        <is>
          <t>Propietario</t>
        </is>
      </c>
      <c r="H14" s="101" t="inlineStr">
        <is>
          <t>Ubicación o responsable</t>
        </is>
      </c>
      <c r="I14" s="101" t="inlineStr">
        <is>
          <t>Fecha de calibración</t>
        </is>
      </c>
      <c r="J14" s="101" t="inlineStr">
        <is>
          <t>Frecuencia (meses)</t>
        </is>
      </c>
      <c r="K14" s="101" t="inlineStr">
        <is>
          <t>Próxima calibración</t>
        </is>
      </c>
      <c r="L14" s="101" t="inlineStr">
        <is>
          <t>Ente calibrador</t>
        </is>
      </c>
      <c r="M14" s="101" t="inlineStr">
        <is>
          <t>N° de certificado</t>
        </is>
      </c>
      <c r="N14" s="101" t="inlineStr">
        <is>
          <t>¿En servicio?</t>
        </is>
      </c>
      <c r="O14" s="101" t="inlineStr">
        <is>
          <t>Estado</t>
        </is>
      </c>
      <c r="P14" s="101" t="inlineStr">
        <is>
          <t>Observaciones</t>
        </is>
      </c>
    </row>
    <row r="15" ht="24" customHeight="1" s="67">
      <c r="A15" s="116" t="n">
        <v>1</v>
      </c>
      <c r="B15" s="166" t="n"/>
      <c r="C15" s="166" t="n"/>
      <c r="D15" s="166" t="n"/>
      <c r="E15" s="166" t="n"/>
      <c r="F15" s="166" t="n"/>
      <c r="G15" s="116" t="n"/>
      <c r="H15" s="166" t="n"/>
      <c r="I15" s="187" t="n"/>
      <c r="J15" s="116" t="n"/>
      <c r="K15" s="187">
        <f>IF(OR(I15="",J15=""),"",EDATE(I15,J15))</f>
        <v/>
      </c>
      <c r="L15" s="166" t="n"/>
      <c r="M15" s="166" t="n"/>
      <c r="N15" s="116" t="n"/>
      <c r="O15" s="116">
        <f>IF(N15="No","Fuera de servicio",IF(K15="",IF(I15="","","Sin frecuencia"),IF(K15&lt;TODAY(),"Vencido",IF(K15-TODAY()&lt;=30,"Por vencer","Vigente"))))</f>
        <v/>
      </c>
      <c r="P15" s="166" t="n"/>
    </row>
    <row r="16" ht="24" customHeight="1" s="67">
      <c r="A16" s="116" t="n">
        <v>2</v>
      </c>
      <c r="B16" s="166" t="n"/>
      <c r="C16" s="166" t="n"/>
      <c r="D16" s="166" t="n"/>
      <c r="E16" s="166" t="n"/>
      <c r="F16" s="166" t="n"/>
      <c r="G16" s="116" t="n"/>
      <c r="H16" s="166" t="n"/>
      <c r="I16" s="187" t="n"/>
      <c r="J16" s="116" t="n"/>
      <c r="K16" s="187">
        <f>IF(OR(I16="",J16=""),"",EDATE(I16,J16))</f>
        <v/>
      </c>
      <c r="L16" s="166" t="n"/>
      <c r="M16" s="166" t="n"/>
      <c r="N16" s="116" t="n"/>
      <c r="O16" s="116">
        <f>IF(N16="No","Fuera de servicio",IF(K16="",IF(I16="","","Sin frecuencia"),IF(K16&lt;TODAY(),"Vencido",IF(K16-TODAY()&lt;=30,"Por vencer","Vigente"))))</f>
        <v/>
      </c>
      <c r="P16" s="166" t="n"/>
    </row>
    <row r="17" ht="24" customHeight="1" s="67">
      <c r="A17" s="116" t="n">
        <v>3</v>
      </c>
      <c r="B17" s="166" t="n"/>
      <c r="C17" s="166" t="n"/>
      <c r="D17" s="166" t="n"/>
      <c r="E17" s="166" t="n"/>
      <c r="F17" s="166" t="n"/>
      <c r="G17" s="116" t="n"/>
      <c r="H17" s="166" t="n"/>
      <c r="I17" s="187" t="n"/>
      <c r="J17" s="116" t="n"/>
      <c r="K17" s="187">
        <f>IF(OR(I17="",J17=""),"",EDATE(I17,J17))</f>
        <v/>
      </c>
      <c r="L17" s="166" t="n"/>
      <c r="M17" s="166" t="n"/>
      <c r="N17" s="116" t="n"/>
      <c r="O17" s="116">
        <f>IF(N17="No","Fuera de servicio",IF(K17="",IF(I17="","","Sin frecuencia"),IF(K17&lt;TODAY(),"Vencido",IF(K17-TODAY()&lt;=30,"Por vencer","Vigente"))))</f>
        <v/>
      </c>
      <c r="P17" s="166" t="n"/>
    </row>
    <row r="18" ht="24" customHeight="1" s="67">
      <c r="A18" s="116" t="n">
        <v>4</v>
      </c>
      <c r="B18" s="166" t="n"/>
      <c r="C18" s="166" t="n"/>
      <c r="D18" s="166" t="n"/>
      <c r="E18" s="166" t="n"/>
      <c r="F18" s="166" t="n"/>
      <c r="G18" s="116" t="n"/>
      <c r="H18" s="166" t="n"/>
      <c r="I18" s="187" t="n"/>
      <c r="J18" s="116" t="n"/>
      <c r="K18" s="187">
        <f>IF(OR(I18="",J18=""),"",EDATE(I18,J18))</f>
        <v/>
      </c>
      <c r="L18" s="166" t="n"/>
      <c r="M18" s="166" t="n"/>
      <c r="N18" s="116" t="n"/>
      <c r="O18" s="116">
        <f>IF(N18="No","Fuera de servicio",IF(K18="",IF(I18="","","Sin frecuencia"),IF(K18&lt;TODAY(),"Vencido",IF(K18-TODAY()&lt;=30,"Por vencer","Vigente"))))</f>
        <v/>
      </c>
      <c r="P18" s="166" t="n"/>
    </row>
    <row r="19" ht="24" customHeight="1" s="67">
      <c r="A19" s="116" t="n">
        <v>5</v>
      </c>
      <c r="B19" s="166" t="n"/>
      <c r="C19" s="166" t="n"/>
      <c r="D19" s="166" t="n"/>
      <c r="E19" s="166" t="n"/>
      <c r="F19" s="166" t="n"/>
      <c r="G19" s="116" t="n"/>
      <c r="H19" s="166" t="n"/>
      <c r="I19" s="187" t="n"/>
      <c r="J19" s="116" t="n"/>
      <c r="K19" s="187">
        <f>IF(OR(I19="",J19=""),"",EDATE(I19,J19))</f>
        <v/>
      </c>
      <c r="L19" s="166" t="n"/>
      <c r="M19" s="166" t="n"/>
      <c r="N19" s="116" t="n"/>
      <c r="O19" s="116">
        <f>IF(N19="No","Fuera de servicio",IF(K19="",IF(I19="","","Sin frecuencia"),IF(K19&lt;TODAY(),"Vencido",IF(K19-TODAY()&lt;=30,"Por vencer","Vigente"))))</f>
        <v/>
      </c>
      <c r="P19" s="166" t="n"/>
    </row>
    <row r="20" ht="24" customHeight="1" s="67">
      <c r="A20" s="116" t="n">
        <v>6</v>
      </c>
      <c r="B20" s="166" t="n"/>
      <c r="C20" s="166" t="n"/>
      <c r="D20" s="166" t="n"/>
      <c r="E20" s="166" t="n"/>
      <c r="F20" s="166" t="n"/>
      <c r="G20" s="116" t="n"/>
      <c r="H20" s="166" t="n"/>
      <c r="I20" s="187" t="n"/>
      <c r="J20" s="116" t="n"/>
      <c r="K20" s="187">
        <f>IF(OR(I20="",J20=""),"",EDATE(I20,J20))</f>
        <v/>
      </c>
      <c r="L20" s="166" t="n"/>
      <c r="M20" s="166" t="n"/>
      <c r="N20" s="116" t="n"/>
      <c r="O20" s="116">
        <f>IF(N20="No","Fuera de servicio",IF(K20="",IF(I20="","","Sin frecuencia"),IF(K20&lt;TODAY(),"Vencido",IF(K20-TODAY()&lt;=30,"Por vencer","Vigente"))))</f>
        <v/>
      </c>
      <c r="P20" s="166" t="n"/>
    </row>
    <row r="21" ht="24" customHeight="1" s="67">
      <c r="A21" s="116" t="n">
        <v>7</v>
      </c>
      <c r="B21" s="166" t="n"/>
      <c r="C21" s="166" t="n"/>
      <c r="D21" s="166" t="n"/>
      <c r="E21" s="166" t="n"/>
      <c r="F21" s="166" t="n"/>
      <c r="G21" s="116" t="n"/>
      <c r="H21" s="166" t="n"/>
      <c r="I21" s="187" t="n"/>
      <c r="J21" s="116" t="n"/>
      <c r="K21" s="187">
        <f>IF(OR(I21="",J21=""),"",EDATE(I21,J21))</f>
        <v/>
      </c>
      <c r="L21" s="166" t="n"/>
      <c r="M21" s="166" t="n"/>
      <c r="N21" s="116" t="n"/>
      <c r="O21" s="116">
        <f>IF(N21="No","Fuera de servicio",IF(K21="",IF(I21="","","Sin frecuencia"),IF(K21&lt;TODAY(),"Vencido",IF(K21-TODAY()&lt;=30,"Por vencer","Vigente"))))</f>
        <v/>
      </c>
      <c r="P21" s="166" t="n"/>
    </row>
    <row r="22" ht="24" customHeight="1" s="67">
      <c r="A22" s="116" t="n">
        <v>8</v>
      </c>
      <c r="B22" s="166" t="n"/>
      <c r="C22" s="166" t="n"/>
      <c r="D22" s="166" t="n"/>
      <c r="E22" s="166" t="n"/>
      <c r="F22" s="166" t="n"/>
      <c r="G22" s="116" t="n"/>
      <c r="H22" s="166" t="n"/>
      <c r="I22" s="187" t="n"/>
      <c r="J22" s="116" t="n"/>
      <c r="K22" s="187">
        <f>IF(OR(I22="",J22=""),"",EDATE(I22,J22))</f>
        <v/>
      </c>
      <c r="L22" s="166" t="n"/>
      <c r="M22" s="166" t="n"/>
      <c r="N22" s="116" t="n"/>
      <c r="O22" s="116">
        <f>IF(N22="No","Fuera de servicio",IF(K22="",IF(I22="","","Sin frecuencia"),IF(K22&lt;TODAY(),"Vencido",IF(K22-TODAY()&lt;=30,"Por vencer","Vigente"))))</f>
        <v/>
      </c>
      <c r="P22" s="166" t="n"/>
    </row>
    <row r="23" ht="24" customHeight="1" s="67">
      <c r="A23" s="116" t="n">
        <v>9</v>
      </c>
      <c r="B23" s="166" t="n"/>
      <c r="C23" s="166" t="n"/>
      <c r="D23" s="166" t="n"/>
      <c r="E23" s="166" t="n"/>
      <c r="F23" s="166" t="n"/>
      <c r="G23" s="116" t="n"/>
      <c r="H23" s="166" t="n"/>
      <c r="I23" s="187" t="n"/>
      <c r="J23" s="116" t="n"/>
      <c r="K23" s="187">
        <f>IF(OR(I23="",J23=""),"",EDATE(I23,J23))</f>
        <v/>
      </c>
      <c r="L23" s="166" t="n"/>
      <c r="M23" s="166" t="n"/>
      <c r="N23" s="116" t="n"/>
      <c r="O23" s="116">
        <f>IF(N23="No","Fuera de servicio",IF(K23="",IF(I23="","","Sin frecuencia"),IF(K23&lt;TODAY(),"Vencido",IF(K23-TODAY()&lt;=30,"Por vencer","Vigente"))))</f>
        <v/>
      </c>
      <c r="P23" s="166" t="n"/>
    </row>
    <row r="24" ht="24" customHeight="1" s="67">
      <c r="A24" s="116" t="n">
        <v>10</v>
      </c>
      <c r="B24" s="166" t="n"/>
      <c r="C24" s="166" t="n"/>
      <c r="D24" s="166" t="n"/>
      <c r="E24" s="166" t="n"/>
      <c r="F24" s="166" t="n"/>
      <c r="G24" s="116" t="n"/>
      <c r="H24" s="166" t="n"/>
      <c r="I24" s="187" t="n"/>
      <c r="J24" s="116" t="n"/>
      <c r="K24" s="187">
        <f>IF(OR(I24="",J24=""),"",EDATE(I24,J24))</f>
        <v/>
      </c>
      <c r="L24" s="166" t="n"/>
      <c r="M24" s="166" t="n"/>
      <c r="N24" s="116" t="n"/>
      <c r="O24" s="116">
        <f>IF(N24="No","Fuera de servicio",IF(K24="",IF(I24="","","Sin frecuencia"),IF(K24&lt;TODAY(),"Vencido",IF(K24-TODAY()&lt;=30,"Por vencer","Vigente"))))</f>
        <v/>
      </c>
      <c r="P24" s="166" t="n"/>
    </row>
    <row r="25" ht="24" customHeight="1" s="67">
      <c r="A25" s="116" t="n">
        <v>11</v>
      </c>
      <c r="B25" s="166" t="n"/>
      <c r="C25" s="166" t="n"/>
      <c r="D25" s="166" t="n"/>
      <c r="E25" s="166" t="n"/>
      <c r="F25" s="166" t="n"/>
      <c r="G25" s="116" t="n"/>
      <c r="H25" s="166" t="n"/>
      <c r="I25" s="187" t="n"/>
      <c r="J25" s="116" t="n"/>
      <c r="K25" s="187">
        <f>IF(OR(I25="",J25=""),"",EDATE(I25,J25))</f>
        <v/>
      </c>
      <c r="L25" s="166" t="n"/>
      <c r="M25" s="166" t="n"/>
      <c r="N25" s="116" t="n"/>
      <c r="O25" s="116">
        <f>IF(N25="No","Fuera de servicio",IF(K25="",IF(I25="","","Sin frecuencia"),IF(K25&lt;TODAY(),"Vencido",IF(K25-TODAY()&lt;=30,"Por vencer","Vigente"))))</f>
        <v/>
      </c>
      <c r="P25" s="166" t="n"/>
    </row>
    <row r="26" ht="24" customHeight="1" s="67">
      <c r="A26" s="116" t="n">
        <v>12</v>
      </c>
      <c r="B26" s="166" t="n"/>
      <c r="C26" s="166" t="n"/>
      <c r="D26" s="166" t="n"/>
      <c r="E26" s="166" t="n"/>
      <c r="F26" s="166" t="n"/>
      <c r="G26" s="116" t="n"/>
      <c r="H26" s="166" t="n"/>
      <c r="I26" s="187" t="n"/>
      <c r="J26" s="116" t="n"/>
      <c r="K26" s="187">
        <f>IF(OR(I26="",J26=""),"",EDATE(I26,J26))</f>
        <v/>
      </c>
      <c r="L26" s="166" t="n"/>
      <c r="M26" s="166" t="n"/>
      <c r="N26" s="116" t="n"/>
      <c r="O26" s="116">
        <f>IF(N26="No","Fuera de servicio",IF(K26="",IF(I26="","","Sin frecuencia"),IF(K26&lt;TODAY(),"Vencido",IF(K26-TODAY()&lt;=30,"Por vencer","Vigente"))))</f>
        <v/>
      </c>
      <c r="P26" s="166" t="n"/>
    </row>
    <row r="27" ht="24" customHeight="1" s="67">
      <c r="A27" s="116" t="n">
        <v>13</v>
      </c>
      <c r="B27" s="166" t="n"/>
      <c r="C27" s="166" t="n"/>
      <c r="D27" s="166" t="n"/>
      <c r="E27" s="166" t="n"/>
      <c r="F27" s="166" t="n"/>
      <c r="G27" s="116" t="n"/>
      <c r="H27" s="166" t="n"/>
      <c r="I27" s="187" t="n"/>
      <c r="J27" s="116" t="n"/>
      <c r="K27" s="187">
        <f>IF(OR(I27="",J27=""),"",EDATE(I27,J27))</f>
        <v/>
      </c>
      <c r="L27" s="166" t="n"/>
      <c r="M27" s="166" t="n"/>
      <c r="N27" s="116" t="n"/>
      <c r="O27" s="116">
        <f>IF(N27="No","Fuera de servicio",IF(K27="",IF(I27="","","Sin frecuencia"),IF(K27&lt;TODAY(),"Vencido",IF(K27-TODAY()&lt;=30,"Por vencer","Vigente"))))</f>
        <v/>
      </c>
      <c r="P27" s="166" t="n"/>
    </row>
    <row r="28" ht="24" customHeight="1" s="67">
      <c r="A28" s="116" t="n">
        <v>14</v>
      </c>
      <c r="B28" s="166" t="n"/>
      <c r="C28" s="166" t="n"/>
      <c r="D28" s="166" t="n"/>
      <c r="E28" s="166" t="n"/>
      <c r="F28" s="166" t="n"/>
      <c r="G28" s="116" t="n"/>
      <c r="H28" s="166" t="n"/>
      <c r="I28" s="187" t="n"/>
      <c r="J28" s="116" t="n"/>
      <c r="K28" s="187">
        <f>IF(OR(I28="",J28=""),"",EDATE(I28,J28))</f>
        <v/>
      </c>
      <c r="L28" s="166" t="n"/>
      <c r="M28" s="166" t="n"/>
      <c r="N28" s="116" t="n"/>
      <c r="O28" s="116">
        <f>IF(N28="No","Fuera de servicio",IF(K28="",IF(I28="","","Sin frecuencia"),IF(K28&lt;TODAY(),"Vencido",IF(K28-TODAY()&lt;=30,"Por vencer","Vigente"))))</f>
        <v/>
      </c>
      <c r="P28" s="166" t="n"/>
    </row>
    <row r="29" ht="24" customHeight="1" s="67">
      <c r="A29" s="116" t="n">
        <v>15</v>
      </c>
      <c r="B29" s="166" t="n"/>
      <c r="C29" s="166" t="n"/>
      <c r="D29" s="166" t="n"/>
      <c r="E29" s="166" t="n"/>
      <c r="F29" s="166" t="n"/>
      <c r="G29" s="116" t="n"/>
      <c r="H29" s="166" t="n"/>
      <c r="I29" s="187" t="n"/>
      <c r="J29" s="116" t="n"/>
      <c r="K29" s="187">
        <f>IF(OR(I29="",J29=""),"",EDATE(I29,J29))</f>
        <v/>
      </c>
      <c r="L29" s="166" t="n"/>
      <c r="M29" s="166" t="n"/>
      <c r="N29" s="116" t="n"/>
      <c r="O29" s="116">
        <f>IF(N29="No","Fuera de servicio",IF(K29="",IF(I29="","","Sin frecuencia"),IF(K29&lt;TODAY(),"Vencido",IF(K29-TODAY()&lt;=30,"Por vencer","Vigente"))))</f>
        <v/>
      </c>
      <c r="P29" s="166" t="n"/>
    </row>
    <row r="30" ht="24" customHeight="1" s="67">
      <c r="A30" s="116" t="n">
        <v>16</v>
      </c>
      <c r="B30" s="166" t="n"/>
      <c r="C30" s="166" t="n"/>
      <c r="D30" s="166" t="n"/>
      <c r="E30" s="166" t="n"/>
      <c r="F30" s="166" t="n"/>
      <c r="G30" s="116" t="n"/>
      <c r="H30" s="166" t="n"/>
      <c r="I30" s="187" t="n"/>
      <c r="J30" s="116" t="n"/>
      <c r="K30" s="187">
        <f>IF(OR(I30="",J30=""),"",EDATE(I30,J30))</f>
        <v/>
      </c>
      <c r="L30" s="166" t="n"/>
      <c r="M30" s="166" t="n"/>
      <c r="N30" s="116" t="n"/>
      <c r="O30" s="116">
        <f>IF(N30="No","Fuera de servicio",IF(K30="",IF(I30="","","Sin frecuencia"),IF(K30&lt;TODAY(),"Vencido",IF(K30-TODAY()&lt;=30,"Por vencer","Vigente"))))</f>
        <v/>
      </c>
      <c r="P30" s="166" t="n"/>
    </row>
    <row r="31" ht="24" customHeight="1" s="67">
      <c r="A31" s="116" t="n">
        <v>17</v>
      </c>
      <c r="B31" s="166" t="n"/>
      <c r="C31" s="166" t="n"/>
      <c r="D31" s="166" t="n"/>
      <c r="E31" s="166" t="n"/>
      <c r="F31" s="166" t="n"/>
      <c r="G31" s="116" t="n"/>
      <c r="H31" s="166" t="n"/>
      <c r="I31" s="187" t="n"/>
      <c r="J31" s="116" t="n"/>
      <c r="K31" s="187">
        <f>IF(OR(I31="",J31=""),"",EDATE(I31,J31))</f>
        <v/>
      </c>
      <c r="L31" s="166" t="n"/>
      <c r="M31" s="166" t="n"/>
      <c r="N31" s="116" t="n"/>
      <c r="O31" s="116">
        <f>IF(N31="No","Fuera de servicio",IF(K31="",IF(I31="","","Sin frecuencia"),IF(K31&lt;TODAY(),"Vencido",IF(K31-TODAY()&lt;=30,"Por vencer","Vigente"))))</f>
        <v/>
      </c>
      <c r="P31" s="166" t="n"/>
    </row>
    <row r="32" ht="24" customHeight="1" s="67">
      <c r="A32" s="116" t="n">
        <v>18</v>
      </c>
      <c r="B32" s="166" t="n"/>
      <c r="C32" s="166" t="n"/>
      <c r="D32" s="166" t="n"/>
      <c r="E32" s="166" t="n"/>
      <c r="F32" s="166" t="n"/>
      <c r="G32" s="116" t="n"/>
      <c r="H32" s="166" t="n"/>
      <c r="I32" s="187" t="n"/>
      <c r="J32" s="116" t="n"/>
      <c r="K32" s="187">
        <f>IF(OR(I32="",J32=""),"",EDATE(I32,J32))</f>
        <v/>
      </c>
      <c r="L32" s="166" t="n"/>
      <c r="M32" s="166" t="n"/>
      <c r="N32" s="116" t="n"/>
      <c r="O32" s="116">
        <f>IF(N32="No","Fuera de servicio",IF(K32="",IF(I32="","","Sin frecuencia"),IF(K32&lt;TODAY(),"Vencido",IF(K32-TODAY()&lt;=30,"Por vencer","Vigente"))))</f>
        <v/>
      </c>
      <c r="P32" s="166" t="n"/>
    </row>
    <row r="33" ht="24" customHeight="1" s="67">
      <c r="A33" s="116" t="n">
        <v>19</v>
      </c>
      <c r="B33" s="166" t="n"/>
      <c r="C33" s="166" t="n"/>
      <c r="D33" s="166" t="n"/>
      <c r="E33" s="166" t="n"/>
      <c r="F33" s="166" t="n"/>
      <c r="G33" s="116" t="n"/>
      <c r="H33" s="166" t="n"/>
      <c r="I33" s="187" t="n"/>
      <c r="J33" s="116" t="n"/>
      <c r="K33" s="187">
        <f>IF(OR(I33="",J33=""),"",EDATE(I33,J33))</f>
        <v/>
      </c>
      <c r="L33" s="166" t="n"/>
      <c r="M33" s="166" t="n"/>
      <c r="N33" s="116" t="n"/>
      <c r="O33" s="116">
        <f>IF(N33="No","Fuera de servicio",IF(K33="",IF(I33="","","Sin frecuencia"),IF(K33&lt;TODAY(),"Vencido",IF(K33-TODAY()&lt;=30,"Por vencer","Vigente"))))</f>
        <v/>
      </c>
      <c r="P33" s="166" t="n"/>
    </row>
    <row r="34" ht="24" customHeight="1" s="67">
      <c r="A34" s="116" t="n">
        <v>20</v>
      </c>
      <c r="B34" s="166" t="n"/>
      <c r="C34" s="166" t="n"/>
      <c r="D34" s="166" t="n"/>
      <c r="E34" s="166" t="n"/>
      <c r="F34" s="166" t="n"/>
      <c r="G34" s="116" t="n"/>
      <c r="H34" s="166" t="n"/>
      <c r="I34" s="187" t="n"/>
      <c r="J34" s="116" t="n"/>
      <c r="K34" s="187">
        <f>IF(OR(I34="",J34=""),"",EDATE(I34,J34))</f>
        <v/>
      </c>
      <c r="L34" s="166" t="n"/>
      <c r="M34" s="166" t="n"/>
      <c r="N34" s="116" t="n"/>
      <c r="O34" s="116">
        <f>IF(N34="No","Fuera de servicio",IF(K34="",IF(I34="","","Sin frecuencia"),IF(K34&lt;TODAY(),"Vencido",IF(K34-TODAY()&lt;=30,"Por vencer","Vigente"))))</f>
        <v/>
      </c>
      <c r="P34" s="166" t="n"/>
    </row>
    <row r="35" ht="19.95" customHeight="1" s="67">
      <c r="A35" s="108" t="inlineStr">
        <is>
          <t>Total de equipos</t>
        </is>
      </c>
      <c r="B35" s="31" t="n"/>
      <c r="C35" s="32" t="n"/>
      <c r="D35" s="108" t="inlineStr">
        <is>
          <t>Vigentes</t>
        </is>
      </c>
      <c r="E35" s="32" t="n"/>
      <c r="F35" s="108" t="inlineStr">
        <is>
          <t>Por vencer</t>
        </is>
      </c>
      <c r="G35" s="32" t="n"/>
      <c r="H35" s="108" t="inlineStr">
        <is>
          <t>Vencidos</t>
        </is>
      </c>
      <c r="I35" s="32" t="n"/>
      <c r="J35" s="108" t="inlineStr">
        <is>
          <t>Fuera de servicio</t>
        </is>
      </c>
      <c r="K35" s="31" t="n"/>
      <c r="L35" s="32" t="n"/>
      <c r="M35" s="108" t="inlineStr">
        <is>
          <t>Calibrados en el último año</t>
        </is>
      </c>
      <c r="N35" s="31" t="n"/>
      <c r="O35" s="31" t="n"/>
      <c r="P35" s="32" t="n"/>
    </row>
    <row r="36" ht="19.95" customHeight="1" s="67">
      <c r="A36" s="190">
        <f>COUNTA(C15:C34)</f>
        <v/>
      </c>
      <c r="B36" s="31" t="n"/>
      <c r="C36" s="32" t="n"/>
      <c r="D36" s="190">
        <f>COUNTIF(O15:O34,"Vigente")</f>
        <v/>
      </c>
      <c r="E36" s="32" t="n"/>
      <c r="F36" s="190">
        <f>COUNTIF(O15:O34,"Por vencer")</f>
        <v/>
      </c>
      <c r="G36" s="32" t="n"/>
      <c r="H36" s="190">
        <f>COUNTIF(O15:O34,"Vencido")</f>
        <v/>
      </c>
      <c r="I36" s="32" t="n"/>
      <c r="J36" s="190">
        <f>COUNTIF(O15:O34,"Fuera de servicio")</f>
        <v/>
      </c>
      <c r="K36" s="31" t="n"/>
      <c r="L36" s="32" t="n"/>
      <c r="M36" s="190">
        <f>COUNTIFS(I15:I34,"&gt;"&amp;(TODAY()-365))</f>
        <v/>
      </c>
      <c r="N36" s="31" t="n"/>
      <c r="O36" s="31" t="n"/>
      <c r="P36" s="32" t="n"/>
    </row>
    <row r="37" ht="30" customHeight="1" s="67">
      <c r="A37" s="189" t="inlineStr">
        <is>
          <t>Un equipo se considera «Vencido» cuando pasó su fecha de próxima calibración: no debe usarse para aceptar o rechazar trabajo hasta recalibrarlo o verificarlo. Las calibraciones deben ser trazables a patrones nacionales (laboratorio acreditado ONAC / ISO-IEC 17025). Esta hoja se actualiza cada vez que un equipo se calibra, se compra o se retira.</t>
        </is>
      </c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2" t="n"/>
    </row>
    <row r="38" ht="16.5" customHeight="1" s="67">
      <c r="A38" s="77" t="inlineStr">
        <is>
          <t>3. FIRMAS</t>
        </is>
      </c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2" t="n"/>
    </row>
    <row r="39" ht="18" customHeight="1" s="67">
      <c r="A39" s="88" t="inlineStr">
        <is>
          <t>ELABORÓ — INSPECTOR / INGENIERO DE CALIDAD</t>
        </is>
      </c>
      <c r="B39" s="31" t="n"/>
      <c r="C39" s="31" t="n"/>
      <c r="D39" s="31" t="n"/>
      <c r="E39" s="32" t="n"/>
      <c r="F39" s="88" t="inlineStr">
        <is>
          <t>REVISÓ — RESIDENTE DE OBRA</t>
        </is>
      </c>
      <c r="G39" s="31" t="n"/>
      <c r="H39" s="31" t="n"/>
      <c r="I39" s="31" t="n"/>
      <c r="J39" s="31" t="n"/>
      <c r="K39" s="32" t="n"/>
      <c r="L39" s="88" t="inlineStr">
        <is>
          <t>Vo.Bo. — GERENCIA / INTERVENTORÍA</t>
        </is>
      </c>
      <c r="M39" s="31" t="n"/>
      <c r="N39" s="31" t="n"/>
      <c r="O39" s="31" t="n"/>
      <c r="P39" s="32" t="n"/>
    </row>
    <row r="40" ht="42" customHeight="1" s="67">
      <c r="A40" s="89" t="inlineStr">
        <is>
          <t>Firma:</t>
        </is>
      </c>
      <c r="B40" s="32" t="n"/>
      <c r="C40" s="161" t="n"/>
      <c r="D40" s="162" t="n"/>
      <c r="E40" s="163" t="n"/>
      <c r="F40" s="89" t="inlineStr">
        <is>
          <t>Firma:</t>
        </is>
      </c>
      <c r="G40" s="32" t="n"/>
      <c r="H40" s="161" t="n"/>
      <c r="I40" s="162" t="n"/>
      <c r="J40" s="162" t="n"/>
      <c r="K40" s="163" t="n"/>
      <c r="L40" s="89" t="inlineStr">
        <is>
          <t>Firma:</t>
        </is>
      </c>
      <c r="M40" s="32" t="n"/>
      <c r="N40" s="161" t="n"/>
      <c r="O40" s="162" t="n"/>
      <c r="P40" s="163" t="n"/>
    </row>
    <row r="41" ht="21" customHeight="1" s="67">
      <c r="A41" s="89" t="inlineStr">
        <is>
          <t>Nombre:</t>
        </is>
      </c>
      <c r="B41" s="32" t="n"/>
      <c r="C41" s="161" t="n"/>
      <c r="D41" s="162" t="n"/>
      <c r="E41" s="163" t="n"/>
      <c r="F41" s="89" t="inlineStr">
        <is>
          <t>Nombre:</t>
        </is>
      </c>
      <c r="G41" s="32" t="n"/>
      <c r="H41" s="161" t="n"/>
      <c r="I41" s="162" t="n"/>
      <c r="J41" s="162" t="n"/>
      <c r="K41" s="163" t="n"/>
      <c r="L41" s="89" t="inlineStr">
        <is>
          <t>Nombre:</t>
        </is>
      </c>
      <c r="M41" s="32" t="n"/>
      <c r="N41" s="161" t="n"/>
      <c r="O41" s="162" t="n"/>
      <c r="P41" s="163" t="n"/>
    </row>
    <row r="42" ht="21" customHeight="1" s="67">
      <c r="A42" s="89" t="inlineStr">
        <is>
          <t>Cargo:</t>
        </is>
      </c>
      <c r="B42" s="32" t="n"/>
      <c r="C42" s="161" t="n"/>
      <c r="D42" s="162" t="n"/>
      <c r="E42" s="163" t="n"/>
      <c r="F42" s="89" t="inlineStr">
        <is>
          <t>Cargo:</t>
        </is>
      </c>
      <c r="G42" s="32" t="n"/>
      <c r="H42" s="161" t="n"/>
      <c r="I42" s="162" t="n"/>
      <c r="J42" s="162" t="n"/>
      <c r="K42" s="163" t="n"/>
      <c r="L42" s="89" t="inlineStr">
        <is>
          <t>Cargo:</t>
        </is>
      </c>
      <c r="M42" s="32" t="n"/>
      <c r="N42" s="161" t="n"/>
      <c r="O42" s="162" t="n"/>
      <c r="P42" s="163" t="n"/>
    </row>
    <row r="43" s="67"/>
    <row r="44" s="67">
      <c r="A44" s="2" t="inlineStr">
        <is>
          <t>REV. 09/10/2026</t>
        </is>
      </c>
      <c r="F44" s="33">
        <f>O5</f>
        <v/>
      </c>
    </row>
    <row r="45" s="67"/>
    <row r="46" s="67"/>
    <row r="47" s="67"/>
    <row r="48" s="67"/>
    <row r="49" s="67"/>
    <row r="50" s="67"/>
    <row r="51" s="67"/>
    <row r="52" s="67"/>
    <row r="53" s="67"/>
    <row r="54" s="67"/>
    <row r="55" s="67"/>
    <row r="56" s="67"/>
    <row r="57" s="67"/>
    <row r="58" s="67"/>
    <row r="59" s="67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9">
    <mergeCell ref="O7:P7"/>
    <mergeCell ref="A39:E39"/>
    <mergeCell ref="H35:I35"/>
    <mergeCell ref="M36:P36"/>
    <mergeCell ref="G12:H12"/>
    <mergeCell ref="C41:E41"/>
    <mergeCell ref="N42:P42"/>
    <mergeCell ref="F44:P44"/>
    <mergeCell ref="J36:L36"/>
    <mergeCell ref="G11:H11"/>
    <mergeCell ref="O6:P6"/>
    <mergeCell ref="C40:E40"/>
    <mergeCell ref="A11:B11"/>
    <mergeCell ref="D3:P3"/>
    <mergeCell ref="J35:L35"/>
    <mergeCell ref="I12:K12"/>
    <mergeCell ref="A38:P38"/>
    <mergeCell ref="D36:E36"/>
    <mergeCell ref="F40:G40"/>
    <mergeCell ref="H42:K42"/>
    <mergeCell ref="A44:D44"/>
    <mergeCell ref="D5:M5"/>
    <mergeCell ref="A10:P10"/>
    <mergeCell ref="A13:P13"/>
    <mergeCell ref="O5:P5"/>
    <mergeCell ref="A41:B41"/>
    <mergeCell ref="A9:P9"/>
    <mergeCell ref="L42:M42"/>
    <mergeCell ref="N40:P40"/>
    <mergeCell ref="F36:G36"/>
    <mergeCell ref="F42:G42"/>
    <mergeCell ref="H36:I36"/>
    <mergeCell ref="A35:C35"/>
    <mergeCell ref="F41:G41"/>
    <mergeCell ref="L39:P39"/>
    <mergeCell ref="F35:G35"/>
    <mergeCell ref="H41:K41"/>
    <mergeCell ref="A12:B12"/>
    <mergeCell ref="F39:K39"/>
    <mergeCell ref="H40:K40"/>
    <mergeCell ref="A42:B42"/>
    <mergeCell ref="M35:P35"/>
    <mergeCell ref="M11:P11"/>
    <mergeCell ref="D6:M6"/>
    <mergeCell ref="L41:M41"/>
    <mergeCell ref="N4:P4"/>
    <mergeCell ref="L40:M40"/>
    <mergeCell ref="O8:P8"/>
    <mergeCell ref="C42:E42"/>
    <mergeCell ref="I11:K11"/>
    <mergeCell ref="A36:C36"/>
    <mergeCell ref="N41:P41"/>
    <mergeCell ref="A37:P37"/>
    <mergeCell ref="C12:F12"/>
    <mergeCell ref="M12:P12"/>
    <mergeCell ref="C11:F11"/>
    <mergeCell ref="A40:B40"/>
    <mergeCell ref="D1:P2"/>
    <mergeCell ref="D35:E35"/>
  </mergeCells>
  <pageMargins left="0.4" right="0.4" top="0.4" bottom="0.7" header="0.5" footer="0.5"/>
  <pageSetup orientation="landscape" fitToHeight="0" fitToWidth="1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2026-10-11T00:42:27Z</dcterms:modified>
  <cp:lastModifiedBy>Hugo Fernando Hurtado Ruiz</cp:lastModifiedBy>
</cp:coreProperties>
</file>