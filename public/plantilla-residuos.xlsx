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egistro de Residuos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 iterateDelta="0.0001"/>
</workbook>
</file>

<file path=xl/styles.xml><?xml version="1.0" encoding="utf-8"?>
<styleSheet xmlns="http://schemas.openxmlformats.org/spreadsheetml/2006/main">
  <fonts count="4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color theme="1"/>
      <sz val="10"/>
    </font>
    <font>
      <name val="Calibri"/>
      <family val="2"/>
      <color theme="1"/>
      <sz val="10"/>
    </font>
    <font>
      <name val="Arial"/>
      <family val="2"/>
      <i val="1"/>
      <sz val="9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.5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color rgb="FF6B7280"/>
      <sz val="7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Calibri"/>
      <family val="2"/>
      <b val="1"/>
      <i val="1"/>
      <color theme="0" tint="-0.249977111117893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theme="1"/>
      <sz val="9"/>
      <scheme val="minor"/>
    </font>
    <font>
      <name val="Calibri"/>
      <family val="2"/>
      <b val="1"/>
      <i val="1"/>
      <color theme="0" tint="-0.249977111117893"/>
      <sz val="7"/>
      <scheme val="minor"/>
    </font>
    <font>
      <name val="Calibri"/>
      <family val="2"/>
      <color theme="1"/>
      <sz val="10"/>
      <scheme val="minor"/>
    </font>
    <font>
      <name val="Arial"/>
      <family val="2"/>
      <b val="1"/>
      <color rgb="FF404040"/>
      <sz val="16"/>
    </font>
    <font>
      <name val="Calibri"/>
      <color rgb="FF1B2A45"/>
      <sz val="10"/>
    </font>
    <font>
      <name val="Calibri"/>
      <b val="1"/>
      <sz val="9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B1F33"/>
      <sz val="10"/>
      <scheme val="minor"/>
    </font>
    <font>
      <name val="Calibri"/>
      <family val="2"/>
      <color rgb="FF0B1F33"/>
      <sz val="11"/>
      <scheme val="minor"/>
    </font>
    <font>
      <name val="Calibri"/>
      <family val="2"/>
      <b val="1"/>
      <color rgb="FF0B1F33"/>
      <sz val="8.5"/>
      <scheme val="minor"/>
    </font>
    <font>
      <name val="Calibri"/>
      <family val="2"/>
      <color rgb="FF0B1F33"/>
      <sz val="10"/>
      <scheme val="minor"/>
    </font>
    <font>
      <name val="Calibri"/>
      <family val="2"/>
      <b val="1"/>
      <sz val="9"/>
      <scheme val="minor"/>
    </font>
    <font>
      <name val="Calibri"/>
      <family val="2"/>
      <b val="1"/>
      <color rgb="FF0B1F33"/>
      <sz val="9"/>
      <scheme val="minor"/>
    </font>
    <font>
      <name val="Arial"/>
      <b val="1"/>
      <sz val="9"/>
    </font>
  </fonts>
  <fills count="23">
    <fill>
      <patternFill/>
    </fill>
    <fill>
      <patternFill patternType="gray125"/>
    </fill>
    <fill>
      <patternFill patternType="solid">
        <fgColor rgb="FFC9A2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EF1F6"/>
        <bgColor rgb="FFFFFFFF"/>
      </patternFill>
    </fill>
    <fill>
      <patternFill patternType="solid">
        <fgColor rgb="FFEEF1F6"/>
        <bgColor indexed="64"/>
      </patternFill>
    </fill>
    <fill>
      <patternFill patternType="solid">
        <fgColor rgb="FFEAF0F6"/>
        <bgColor rgb="FFFFFFFF"/>
      </patternFill>
    </fill>
    <fill>
      <patternFill patternType="solid">
        <fgColor theme="0" tint="-0.0499893185216834"/>
        <bgColor rgb="FF003366"/>
      </patternFill>
    </fill>
    <fill>
      <patternFill patternType="solid">
        <fgColor theme="0"/>
        <bgColor rgb="FF003366"/>
      </patternFill>
    </fill>
    <fill>
      <patternFill patternType="solid">
        <fgColor rgb="FFD9D9D9"/>
        <bgColor rgb="FFD9D9D9"/>
      </patternFill>
    </fill>
    <fill>
      <patternFill patternType="solid">
        <fgColor rgb="FF0B1F33"/>
        <bgColor indexed="64"/>
      </patternFill>
    </fill>
    <fill>
      <patternFill patternType="solid">
        <fgColor rgb="FF0B1F33"/>
        <bgColor rgb="FF003366"/>
      </patternFill>
    </fill>
    <fill>
      <patternFill patternType="solid">
        <fgColor rgb="FFE5A018"/>
        <bgColor indexed="64"/>
      </patternFill>
    </fill>
    <fill>
      <patternFill patternType="solid">
        <fgColor rgb="FFE5A018"/>
        <bgColor rgb="FFFFFFFF"/>
      </patternFill>
    </fill>
    <fill>
      <patternFill patternType="solid">
        <fgColor rgb="FFE5A018"/>
        <bgColor rgb="FFEEF1F6"/>
      </patternFill>
    </fill>
    <fill>
      <patternFill patternType="solid">
        <fgColor rgb="FFE8EEF3"/>
        <bgColor rgb="FFFFFFFF"/>
      </patternFill>
    </fill>
    <fill>
      <patternFill patternType="solid">
        <fgColor rgb="FFE8EEF3"/>
        <bgColor indexed="64"/>
      </patternFill>
    </fill>
    <fill>
      <patternFill patternType="solid">
        <fgColor rgb="FFE8EEF3"/>
        <bgColor rgb="FFEEF1F6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40AD03"/>
        <bgColor rgb="FF40AD03"/>
      </patternFill>
    </fill>
    <fill>
      <patternFill patternType="solid">
        <fgColor rgb="FFE2F0D9"/>
        <bgColor rgb="FFE2F0D9"/>
      </patternFill>
    </fill>
    <fill>
      <patternFill patternType="solid">
        <fgColor rgb="FFFFFF66"/>
        <bgColor rgb="FFFFFF66"/>
      </patternFill>
    </fill>
  </fills>
  <borders count="5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rgb="FF9AA3B2"/>
      </left>
      <right/>
      <top/>
      <bottom/>
      <diagonal/>
    </border>
    <border>
      <left style="thin">
        <color rgb="FF9AA3B2"/>
      </left>
      <right/>
      <top/>
      <bottom style="thin">
        <color rgb="FF9AA3B2"/>
      </bottom>
      <diagonal/>
    </border>
    <border>
      <left/>
      <right/>
      <top/>
      <bottom style="thin">
        <color rgb="FF9AA3B2"/>
      </bottom>
      <diagonal/>
    </border>
    <border>
      <left/>
      <right/>
      <top style="thin">
        <color rgb="FF9AA3B2"/>
      </top>
      <bottom/>
      <diagonal/>
    </border>
    <border>
      <left/>
      <right style="thin">
        <color rgb="FF9AA3B2"/>
      </right>
      <top/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 style="thin">
        <color rgb="FF9AA3B2"/>
      </bottom>
      <diagonal/>
    </border>
    <border>
      <left style="thin">
        <color rgb="FF9AA3B2"/>
      </left>
      <right/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/>
      <diagonal/>
    </border>
    <border>
      <left/>
      <right/>
      <top style="thin">
        <color theme="3" tint="0.5999633777886288"/>
      </top>
      <bottom style="thin">
        <color theme="3" tint="0.5999633777886288"/>
      </bottom>
      <diagonal/>
    </border>
    <border>
      <left/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 style="thin">
        <color rgb="FF9AA3B2"/>
      </left>
      <right style="thin">
        <color rgb="FF9AA3B2"/>
      </right>
      <top/>
      <bottom style="thin">
        <color rgb="FF9AA3B2"/>
      </bottom>
      <diagonal/>
    </border>
    <border>
      <left style="thin">
        <color rgb="FF9AA3B2"/>
      </left>
      <right/>
      <top style="thin">
        <color rgb="FF9AA3B2"/>
      </top>
      <bottom/>
      <diagonal/>
    </border>
    <border>
      <left/>
      <right style="thin">
        <color rgb="FF9AA3B2"/>
      </right>
      <top/>
      <bottom style="thin">
        <color rgb="FF9AA3B2"/>
      </bottom>
      <diagonal/>
    </border>
    <border>
      <left/>
      <right/>
      <top style="thin">
        <color rgb="FF9AA3B2"/>
      </top>
      <bottom style="thin">
        <color rgb="FF9AA3B2"/>
      </bottom>
      <diagonal/>
    </border>
    <border>
      <left style="thin">
        <color theme="3" tint="0.5999633777886288"/>
      </left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 style="thin">
        <color theme="0"/>
      </left>
      <right style="thin">
        <color rgb="FF9AA3B2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3" tint="0.5999633777886288"/>
      </bottom>
      <diagonal/>
    </border>
    <border>
      <left style="thin">
        <color rgb="FF9AA3B2"/>
      </left>
      <right style="thin">
        <color rgb="FF9AA3B2"/>
      </right>
      <top/>
      <bottom/>
      <diagonal/>
    </border>
    <border>
      <left style="thin">
        <color rgb="FF0B1F33"/>
      </left>
      <right style="thin">
        <color rgb="FF0B1F33"/>
      </right>
      <top style="thin">
        <color rgb="FF0B1F33"/>
      </top>
      <bottom style="thin">
        <color rgb="FF0B1F33"/>
      </bottom>
      <diagonal/>
    </border>
    <border>
      <left style="thin">
        <color rgb="FF0B1F33"/>
      </left>
      <right style="thin">
        <color rgb="FF9AA3B2"/>
      </right>
      <top style="thin">
        <color rgb="FF0B1F33"/>
      </top>
      <bottom style="thin">
        <color rgb="FF0B1F33"/>
      </bottom>
      <diagonal/>
    </border>
    <border>
      <left/>
      <right/>
      <top style="thin">
        <color rgb="FF0B1F33"/>
      </top>
      <bottom style="thin">
        <color rgb="FF0B1F33"/>
      </bottom>
      <diagonal/>
    </border>
    <border>
      <left/>
      <right style="thin">
        <color rgb="FF0B1F33"/>
      </right>
      <top style="thin">
        <color rgb="FF0B1F33"/>
      </top>
      <bottom style="thin">
        <color rgb="FF0B1F33"/>
      </bottom>
      <diagonal/>
    </border>
    <border>
      <left/>
      <right style="thin">
        <color rgb="FF9AA3B2"/>
      </right>
      <top style="thin">
        <color rgb="FF0B1F33"/>
      </top>
      <bottom style="thin">
        <color rgb="FF0B1F33"/>
      </bottom>
      <diagonal/>
    </border>
    <border>
      <left style="thin">
        <color rgb="FF9AA3B2"/>
      </left>
      <right style="thin">
        <color rgb="FF9AA3B2"/>
      </right>
      <top style="thin">
        <color rgb="FF0B1F33"/>
      </top>
      <bottom style="thin">
        <color rgb="FF0B1F33"/>
      </bottom>
      <diagonal/>
    </border>
    <border>
      <left style="thin">
        <color rgb="FF0B1F33"/>
      </left>
      <right/>
      <top style="thin">
        <color rgb="FF0B1F33"/>
      </top>
      <bottom style="thin">
        <color rgb="FF0B1F3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9AA3B2"/>
      </right>
      <top style="thin">
        <color indexed="64"/>
      </top>
      <bottom style="thin">
        <color indexed="64"/>
      </bottom>
      <diagonal/>
    </border>
    <border>
      <left style="thin">
        <color rgb="FF9AA3B2"/>
      </left>
      <right style="thin">
        <color rgb="FF9AA3B2"/>
      </right>
      <top style="thin">
        <color indexed="64"/>
      </top>
      <bottom style="thin">
        <color indexed="64"/>
      </bottom>
      <diagonal/>
    </border>
    <border>
      <left style="thin">
        <color rgb="FF9AA3B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3" tint="0.599963377788628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B1F33"/>
      </left>
      <right style="thin">
        <color theme="3" tint="0.5999633777886288"/>
      </right>
      <top style="thin">
        <color rgb="FF0B1F33"/>
      </top>
      <bottom style="thin">
        <color rgb="FF0B1F33"/>
      </bottom>
      <diagonal/>
    </border>
    <border>
      <left/>
      <right/>
      <top style="thin">
        <color rgb="FF0B1F33"/>
      </top>
      <bottom/>
      <diagonal/>
    </border>
    <border>
      <left/>
      <right style="thin">
        <color rgb="FF0B1F33"/>
      </right>
      <top style="thin">
        <color rgb="FF0B1F33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9AA3B2"/>
      </right>
      <top style="thin">
        <color indexed="64"/>
      </top>
      <bottom/>
      <diagonal/>
    </border>
    <border>
      <left/>
      <right style="thin">
        <color rgb="FF9AA3B2"/>
      </right>
      <top style="thin">
        <color indexed="64"/>
      </top>
      <bottom style="thin">
        <color indexed="64"/>
      </bottom>
      <diagonal/>
    </border>
    <border>
      <left/>
      <right style="thin">
        <color theme="3" tint="0.5999633777886288"/>
      </right>
      <top style="thin">
        <color indexed="64"/>
      </top>
      <bottom/>
      <diagonal/>
    </border>
    <border>
      <left/>
      <right style="thin">
        <color theme="3" tint="0.5999633777886288"/>
      </right>
      <top style="thin">
        <color indexed="64"/>
      </top>
      <bottom style="thin">
        <color indexed="64"/>
      </bottom>
      <diagonal/>
    </border>
    <border>
      <left/>
      <right style="thin">
        <color theme="3" tint="0.5999633777886288"/>
      </right>
      <top style="thin">
        <color rgb="FF0B1F33"/>
      </top>
      <bottom/>
      <diagonal/>
    </border>
    <border>
      <left/>
      <right style="thin">
        <color theme="3" tint="0.5999633777886288"/>
      </right>
      <top style="thin">
        <color rgb="FF0B1F33"/>
      </top>
      <bottom style="thin">
        <color rgb="FF0B1F33"/>
      </bottom>
      <diagonal/>
    </border>
    <border>
      <left/>
      <right/>
      <top style="thin">
        <color theme="3" tint="0.5999633777886288"/>
      </top>
      <bottom/>
      <diagonal/>
    </border>
    <border>
      <left/>
      <right style="thin">
        <color theme="3" tint="0.5999633777886288"/>
      </right>
      <top style="thin">
        <color theme="3" tint="0.5999633777886288"/>
      </top>
      <bottom/>
      <diagonal/>
    </border>
    <border>
      <left/>
      <right style="thin">
        <color rgb="FF9AA3B2"/>
      </right>
      <top style="thin">
        <color rgb="FF0B1F33"/>
      </top>
      <bottom/>
      <diagonal/>
    </border>
  </borders>
  <cellStyleXfs count="6"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</cellStyleXfs>
  <cellXfs count="383">
    <xf numFmtId="0" fontId="0" fillId="0" borderId="0" pivotButton="0" quotePrefix="0" xfId="0"/>
    <xf numFmtId="0" fontId="0" fillId="0" borderId="0" pivotButton="0" quotePrefix="0" xfId="0"/>
    <xf numFmtId="0" fontId="3" fillId="0" borderId="0" pivotButton="0" quotePrefix="0" xfId="3"/>
    <xf numFmtId="0" fontId="3" fillId="0" borderId="1" pivotButton="0" quotePrefix="0" xfId="3"/>
    <xf numFmtId="0" fontId="3" fillId="0" borderId="6" pivotButton="0" quotePrefix="0" xfId="3"/>
    <xf numFmtId="0" fontId="10" fillId="4" borderId="7" applyAlignment="1" pivotButton="0" quotePrefix="0" xfId="3">
      <alignment horizontal="left" vertical="center"/>
    </xf>
    <xf numFmtId="0" fontId="11" fillId="3" borderId="1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12" fillId="5" borderId="8" applyAlignment="1" pivotButton="0" quotePrefix="0" xfId="3">
      <alignment vertical="center"/>
    </xf>
    <xf numFmtId="0" fontId="14" fillId="3" borderId="0" applyAlignment="1" pivotButton="0" quotePrefix="0" xfId="3">
      <alignment horizontal="center" vertical="center"/>
    </xf>
    <xf numFmtId="0" fontId="10" fillId="4" borderId="10" applyAlignment="1" pivotButton="0" quotePrefix="0" xfId="3">
      <alignment horizontal="left" vertical="center"/>
    </xf>
    <xf numFmtId="0" fontId="7" fillId="0" borderId="7" applyAlignment="1" pivotButton="0" quotePrefix="0" xfId="3">
      <alignment horizontal="left" vertical="center" wrapText="1"/>
    </xf>
    <xf numFmtId="0" fontId="10" fillId="6" borderId="7" applyAlignment="1" pivotButton="0" quotePrefix="0" xfId="3">
      <alignment horizontal="left" vertical="center" wrapText="1"/>
    </xf>
    <xf numFmtId="0" fontId="7" fillId="0" borderId="7" applyAlignment="1" pivotButton="0" quotePrefix="0" xfId="3">
      <alignment horizontal="center" vertical="center" wrapText="1"/>
    </xf>
    <xf numFmtId="0" fontId="18" fillId="4" borderId="7" applyAlignment="1" pivotButton="0" quotePrefix="0" xfId="3">
      <alignment horizontal="left" vertical="center" wrapText="1"/>
    </xf>
    <xf numFmtId="0" fontId="20" fillId="0" borderId="7" applyAlignment="1" pivotButton="0" quotePrefix="0" xfId="3">
      <alignment horizontal="left" vertical="center" wrapText="1" indent="1"/>
    </xf>
    <xf numFmtId="0" fontId="18" fillId="4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center" vertical="center"/>
    </xf>
    <xf numFmtId="0" fontId="20" fillId="0" borderId="7" applyAlignment="1" pivotButton="0" quotePrefix="0" xfId="3">
      <alignment horizontal="left" vertical="center" shrinkToFit="1" indent="1"/>
    </xf>
    <xf numFmtId="0" fontId="22" fillId="0" borderId="0" pivotButton="0" quotePrefix="0" xfId="3"/>
    <xf numFmtId="0" fontId="1" fillId="0" borderId="0" pivotButton="0" quotePrefix="0" xfId="3"/>
    <xf numFmtId="0" fontId="0" fillId="0" borderId="10" pivotButton="0" quotePrefix="0" xfId="0"/>
    <xf numFmtId="9" fontId="7" fillId="0" borderId="7" applyAlignment="1" pivotButton="0" quotePrefix="0" xfId="3">
      <alignment horizontal="center" vertical="center" wrapText="1"/>
    </xf>
    <xf numFmtId="14" fontId="20" fillId="0" borderId="7" applyAlignment="1" pivotButton="0" quotePrefix="0" xfId="3">
      <alignment horizontal="center" vertical="center"/>
    </xf>
    <xf numFmtId="9" fontId="20" fillId="0" borderId="7" applyAlignment="1" pivotButton="0" quotePrefix="0" xfId="3">
      <alignment horizontal="center" vertical="center"/>
    </xf>
    <xf numFmtId="0" fontId="23" fillId="0" borderId="0" pivotButton="0" quotePrefix="0" xfId="3"/>
    <xf numFmtId="0" fontId="24" fillId="0" borderId="0" pivotButton="0" quotePrefix="0" xfId="0"/>
    <xf numFmtId="0" fontId="11" fillId="3" borderId="0" applyAlignment="1" pivotButton="0" quotePrefix="0" xfId="3">
      <alignment horizontal="center" vertical="center"/>
    </xf>
    <xf numFmtId="0" fontId="11" fillId="3" borderId="20" applyAlignment="1" pivotButton="0" quotePrefix="0" xfId="3">
      <alignment horizontal="center" vertical="center"/>
    </xf>
    <xf numFmtId="0" fontId="11" fillId="3" borderId="21" applyAlignment="1" pivotButton="0" quotePrefix="0" xfId="3">
      <alignment horizontal="center" vertical="center"/>
    </xf>
    <xf numFmtId="0" fontId="0" fillId="0" borderId="0" pivotButton="0" quotePrefix="0" xfId="0"/>
    <xf numFmtId="0" fontId="10" fillId="4" borderId="7" applyAlignment="1" pivotButton="0" quotePrefix="0" xfId="0">
      <alignment horizontal="left" vertical="center"/>
    </xf>
    <xf numFmtId="0" fontId="10" fillId="6" borderId="7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center" vertical="center" wrapText="1"/>
    </xf>
    <xf numFmtId="0" fontId="20" fillId="0" borderId="7" applyAlignment="1" pivotButton="0" quotePrefix="0" xfId="0">
      <alignment horizontal="center" vertical="center"/>
    </xf>
    <xf numFmtId="0" fontId="27" fillId="0" borderId="0" pivotButton="0" quotePrefix="0" xfId="0"/>
    <xf numFmtId="0" fontId="7" fillId="0" borderId="7" applyAlignment="1" pivotButton="0" quotePrefix="0" xfId="0">
      <alignment horizontal="center" vertical="center"/>
    </xf>
    <xf numFmtId="0" fontId="28" fillId="0" borderId="8" applyAlignment="1" pivotButton="0" quotePrefix="0" xfId="0">
      <alignment horizontal="center"/>
    </xf>
    <xf numFmtId="0" fontId="10" fillId="6" borderId="7" applyAlignment="1" pivotButton="0" quotePrefix="0" xfId="3">
      <alignment horizontal="left" vertical="center" wrapText="1"/>
    </xf>
    <xf numFmtId="0" fontId="11" fillId="3" borderId="0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7" fillId="0" borderId="7" applyAlignment="1" pivotButton="0" quotePrefix="0" xfId="3">
      <alignment horizontal="center" vertical="center" wrapText="1"/>
    </xf>
    <xf numFmtId="0" fontId="18" fillId="4" borderId="7" applyAlignment="1" pivotButton="0" quotePrefix="0" xfId="3">
      <alignment horizontal="left" vertical="center" wrapText="1"/>
    </xf>
    <xf numFmtId="0" fontId="20" fillId="0" borderId="7" applyAlignment="1" pivotButton="0" quotePrefix="0" xfId="3">
      <alignment horizontal="left" vertical="center" wrapText="1" indent="1"/>
    </xf>
    <xf numFmtId="0" fontId="18" fillId="4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center" vertical="center" wrapText="1"/>
    </xf>
    <xf numFmtId="0" fontId="0" fillId="0" borderId="0" pivotButton="0" quotePrefix="0" xfId="0"/>
    <xf numFmtId="0" fontId="20" fillId="0" borderId="7" applyAlignment="1" pivotButton="0" quotePrefix="0" xfId="3">
      <alignment horizontal="center" vertical="center"/>
    </xf>
    <xf numFmtId="0" fontId="11" fillId="3" borderId="1" applyAlignment="1" pivotButton="0" quotePrefix="0" xfId="3">
      <alignment horizontal="center" vertical="center"/>
    </xf>
    <xf numFmtId="0" fontId="11" fillId="3" borderId="0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0" fillId="0" borderId="0" pivotButton="0" quotePrefix="0" xfId="0"/>
    <xf numFmtId="0" fontId="20" fillId="0" borderId="7" applyAlignment="1" pivotButton="0" quotePrefix="0" xfId="3">
      <alignment horizontal="left" vertical="center" indent="1"/>
    </xf>
    <xf numFmtId="2" fontId="30" fillId="6" borderId="7" applyAlignment="1" pivotButton="0" quotePrefix="0" xfId="3">
      <alignment horizontal="center" vertical="center" wrapText="1"/>
    </xf>
    <xf numFmtId="0" fontId="31" fillId="0" borderId="7" applyAlignment="1" pivotButton="0" quotePrefix="0" xfId="3">
      <alignment horizontal="left" vertical="center" indent="1"/>
    </xf>
    <xf numFmtId="9" fontId="30" fillId="6" borderId="7" applyAlignment="1" pivotButton="0" quotePrefix="0" xfId="3">
      <alignment horizontal="center" vertical="center" wrapText="1"/>
    </xf>
    <xf numFmtId="0" fontId="13" fillId="0" borderId="9" applyAlignment="1" pivotButton="0" quotePrefix="0" xfId="3">
      <alignment horizontal="center" vertical="center"/>
    </xf>
    <xf numFmtId="0" fontId="13" fillId="0" borderId="8" applyAlignment="1" pivotButton="0" quotePrefix="0" xfId="3">
      <alignment horizontal="center" vertical="center"/>
    </xf>
    <xf numFmtId="0" fontId="7" fillId="0" borderId="11" applyAlignment="1" pivotButton="0" quotePrefix="0" xfId="3">
      <alignment horizontal="center" vertical="center"/>
    </xf>
    <xf numFmtId="0" fontId="10" fillId="6" borderId="7" applyAlignment="1" pivotButton="0" quotePrefix="0" xfId="3">
      <alignment horizontal="left" vertical="center" wrapText="1"/>
    </xf>
    <xf numFmtId="0" fontId="5" fillId="2" borderId="5" applyAlignment="1" pivotButton="0" quotePrefix="0" xfId="3">
      <alignment horizontal="center" vertical="center"/>
    </xf>
    <xf numFmtId="0" fontId="9" fillId="3" borderId="1" applyAlignment="1" pivotButton="0" quotePrefix="0" xfId="3">
      <alignment horizontal="center" vertical="center"/>
    </xf>
    <xf numFmtId="0" fontId="9" fillId="3" borderId="0" applyAlignment="1" pivotButton="0" quotePrefix="0" xfId="3">
      <alignment horizontal="center" vertical="center"/>
    </xf>
    <xf numFmtId="0" fontId="9" fillId="3" borderId="6" applyAlignment="1" pivotButton="0" quotePrefix="0" xfId="3">
      <alignment horizontal="center" vertical="center"/>
    </xf>
    <xf numFmtId="0" fontId="7" fillId="0" borderId="7" applyAlignment="1" pivotButton="0" quotePrefix="0" xfId="3">
      <alignment horizontal="center" vertical="center"/>
    </xf>
    <xf numFmtId="0" fontId="11" fillId="3" borderId="1" applyAlignment="1" pivotButton="0" quotePrefix="0" xfId="3">
      <alignment horizontal="center" vertical="center"/>
    </xf>
    <xf numFmtId="0" fontId="11" fillId="3" borderId="0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7" fillId="0" borderId="7" applyAlignment="1" pivotButton="0" quotePrefix="0" xfId="3">
      <alignment horizontal="left" vertical="center" wrapText="1"/>
    </xf>
    <xf numFmtId="0" fontId="7" fillId="0" borderId="7" applyAlignment="1" pivotButton="0" quotePrefix="0" xfId="3">
      <alignment horizontal="center" vertical="center" wrapText="1"/>
    </xf>
    <xf numFmtId="0" fontId="18" fillId="4" borderId="7" applyAlignment="1" pivotButton="0" quotePrefix="0" xfId="3">
      <alignment horizontal="left" vertical="center" wrapText="1"/>
    </xf>
    <xf numFmtId="0" fontId="19" fillId="0" borderId="7" applyAlignment="1" pivotButton="0" quotePrefix="0" xfId="3">
      <alignment horizontal="left" vertical="top" wrapText="1"/>
    </xf>
    <xf numFmtId="0" fontId="20" fillId="0" borderId="7" applyAlignment="1" pivotButton="0" quotePrefix="0" xfId="3">
      <alignment horizontal="left" vertical="center" wrapText="1" indent="1"/>
    </xf>
    <xf numFmtId="0" fontId="19" fillId="0" borderId="7" applyAlignment="1" pivotButton="0" quotePrefix="0" xfId="3">
      <alignment horizontal="left" vertical="center" wrapText="1"/>
    </xf>
    <xf numFmtId="0" fontId="18" fillId="4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left" vertical="center" shrinkToFit="1" indent="1"/>
    </xf>
    <xf numFmtId="0" fontId="18" fillId="4" borderId="7" applyAlignment="1" pivotButton="0" quotePrefix="0" xfId="3">
      <alignment horizontal="left" vertical="center" indent="1"/>
    </xf>
    <xf numFmtId="0" fontId="16" fillId="7" borderId="15" applyAlignment="1" pivotButton="0" quotePrefix="0" xfId="3">
      <alignment horizontal="center" vertical="center"/>
    </xf>
    <xf numFmtId="0" fontId="16" fillId="7" borderId="5" applyAlignment="1" pivotButton="0" quotePrefix="0" xfId="3">
      <alignment horizontal="center" vertical="center"/>
    </xf>
    <xf numFmtId="0" fontId="16" fillId="7" borderId="10" applyAlignment="1" pivotButton="0" quotePrefix="0" xfId="3">
      <alignment horizontal="center" vertical="center"/>
    </xf>
    <xf numFmtId="0" fontId="16" fillId="7" borderId="2" applyAlignment="1" pivotButton="0" quotePrefix="0" xfId="3">
      <alignment horizontal="center" vertical="center"/>
    </xf>
    <xf numFmtId="0" fontId="16" fillId="7" borderId="0" applyAlignment="1" pivotButton="0" quotePrefix="0" xfId="3">
      <alignment horizontal="center" vertical="center"/>
    </xf>
    <xf numFmtId="0" fontId="16" fillId="7" borderId="6" applyAlignment="1" pivotButton="0" quotePrefix="0" xfId="3">
      <alignment horizontal="center" vertical="center"/>
    </xf>
    <xf numFmtId="0" fontId="16" fillId="7" borderId="3" applyAlignment="1" pivotButton="0" quotePrefix="0" xfId="3">
      <alignment horizontal="center" vertical="center"/>
    </xf>
    <xf numFmtId="0" fontId="16" fillId="7" borderId="4" applyAlignment="1" pivotButton="0" quotePrefix="0" xfId="3">
      <alignment horizontal="center" vertical="center"/>
    </xf>
    <xf numFmtId="0" fontId="16" fillId="7" borderId="16" applyAlignment="1" pivotButton="0" quotePrefix="0" xfId="3">
      <alignment horizontal="center" vertical="center"/>
    </xf>
    <xf numFmtId="0" fontId="21" fillId="0" borderId="7" applyAlignment="1" pivotButton="0" quotePrefix="0" xfId="3">
      <alignment horizontal="center" vertical="center" wrapText="1"/>
    </xf>
    <xf numFmtId="0" fontId="22" fillId="0" borderId="0" applyAlignment="1" pivotButton="0" quotePrefix="0" xfId="3">
      <alignment horizontal="right"/>
    </xf>
    <xf numFmtId="0" fontId="0" fillId="0" borderId="8" pivotButton="0" quotePrefix="0" xfId="0"/>
    <xf numFmtId="0" fontId="11" fillId="3" borderId="19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6" pivotButton="0" quotePrefix="0" xfId="0"/>
    <xf numFmtId="0" fontId="0" fillId="0" borderId="17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6" pivotButton="0" quotePrefix="0" xfId="0"/>
    <xf numFmtId="0" fontId="0" fillId="0" borderId="4" pivotButton="0" quotePrefix="0" xfId="0"/>
    <xf numFmtId="0" fontId="9" fillId="3" borderId="19" applyAlignment="1" pivotButton="0" quotePrefix="0" xfId="3">
      <alignment horizontal="center" vertical="center"/>
    </xf>
    <xf numFmtId="0" fontId="7" fillId="0" borderId="7" applyAlignment="1" pivotButton="0" quotePrefix="0" xfId="3">
      <alignment horizontal="left" vertical="top" wrapText="1"/>
    </xf>
    <xf numFmtId="0" fontId="7" fillId="2" borderId="7" applyAlignment="1" pivotButton="0" quotePrefix="0" xfId="3">
      <alignment horizontal="left" vertical="center" wrapText="1"/>
    </xf>
    <xf numFmtId="0" fontId="0" fillId="2" borderId="17" pivotButton="0" quotePrefix="0" xfId="0"/>
    <xf numFmtId="0" fontId="0" fillId="2" borderId="8" pivotButton="0" quotePrefix="0" xfId="0"/>
    <xf numFmtId="0" fontId="0" fillId="0" borderId="5" pivotButton="0" quotePrefix="0" xfId="0"/>
    <xf numFmtId="0" fontId="23" fillId="0" borderId="0" applyAlignment="1" pivotButton="0" quotePrefix="0" xfId="3">
      <alignment horizontal="right"/>
    </xf>
    <xf numFmtId="0" fontId="24" fillId="0" borderId="0" pivotButton="0" quotePrefix="0" xfId="0"/>
    <xf numFmtId="0" fontId="5" fillId="2" borderId="5" applyAlignment="1" pivotButton="0" quotePrefix="0" xfId="0">
      <alignment horizontal="center" vertical="center"/>
    </xf>
    <xf numFmtId="0" fontId="8" fillId="8" borderId="6" applyAlignment="1" pivotButton="0" quotePrefix="0" xfId="0">
      <alignment vertical="center"/>
    </xf>
    <xf numFmtId="0" fontId="9" fillId="3" borderId="19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10" fillId="6" borderId="7" applyAlignment="1" pivotButton="0" quotePrefix="0" xfId="0">
      <alignment horizontal="left" vertical="center" wrapText="1"/>
    </xf>
    <xf numFmtId="0" fontId="11" fillId="3" borderId="19" applyAlignment="1" pivotButton="0" quotePrefix="0" xfId="0">
      <alignment horizontal="center" vertical="center"/>
    </xf>
    <xf numFmtId="0" fontId="11" fillId="3" borderId="6" applyAlignment="1" pivotButton="0" quotePrefix="0" xfId="0">
      <alignment horizontal="center" vertical="center"/>
    </xf>
    <xf numFmtId="0" fontId="7" fillId="0" borderId="7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top" wrapText="1"/>
    </xf>
    <xf numFmtId="0" fontId="7" fillId="0" borderId="7" applyAlignment="1" pivotButton="0" quotePrefix="0" xfId="0">
      <alignment horizontal="center" vertical="center" wrapText="1" shrinkToFit="1"/>
    </xf>
    <xf numFmtId="0" fontId="20" fillId="0" borderId="7" applyAlignment="1" pivotButton="0" quotePrefix="0" xfId="0">
      <alignment horizontal="left" vertical="center" wrapText="1" indent="1"/>
    </xf>
    <xf numFmtId="0" fontId="20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20" fillId="0" borderId="7" applyAlignment="1" pivotButton="0" quotePrefix="0" xfId="0">
      <alignment horizontal="left" vertical="center" wrapText="1" shrinkToFit="1" indent="1"/>
    </xf>
    <xf numFmtId="0" fontId="18" fillId="4" borderId="7" applyAlignment="1" pivotButton="0" quotePrefix="0" xfId="0">
      <alignment horizontal="left" vertical="center" wrapText="1"/>
    </xf>
    <xf numFmtId="0" fontId="18" fillId="4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27" fillId="0" borderId="0" applyAlignment="1" pivotButton="0" quotePrefix="0" xfId="0">
      <alignment horizontal="right"/>
    </xf>
    <xf numFmtId="0" fontId="20" fillId="0" borderId="7" applyAlignment="1" pivotButton="0" quotePrefix="0" xfId="3">
      <alignment horizontal="center" vertical="center"/>
    </xf>
    <xf numFmtId="0" fontId="0" fillId="0" borderId="0" pivotButton="0" quotePrefix="0" xfId="0"/>
    <xf numFmtId="0" fontId="18" fillId="4" borderId="7" applyAlignment="1" pivotButton="0" quotePrefix="0" xfId="3">
      <alignment horizontal="right" vertical="center" indent="1"/>
    </xf>
    <xf numFmtId="0" fontId="16" fillId="7" borderId="7" applyAlignment="1" pivotButton="0" quotePrefix="0" xfId="3">
      <alignment horizontal="center" vertical="center"/>
    </xf>
    <xf numFmtId="0" fontId="17" fillId="0" borderId="7" applyAlignment="1" pivotButton="0" quotePrefix="0" xfId="3">
      <alignment horizontal="center" vertical="center" wrapText="1"/>
    </xf>
    <xf numFmtId="0" fontId="0" fillId="0" borderId="22" pivotButton="0" quotePrefix="0" xfId="0"/>
    <xf numFmtId="0" fontId="0" fillId="0" borderId="14" pivotButton="0" quotePrefix="0" xfId="0"/>
    <xf numFmtId="0" fontId="5" fillId="10" borderId="3" applyAlignment="1" pivotButton="0" quotePrefix="0" xfId="3">
      <alignment horizontal="center" vertical="center"/>
    </xf>
    <xf numFmtId="0" fontId="0" fillId="10" borderId="0" pivotButton="0" quotePrefix="0" xfId="0"/>
    <xf numFmtId="0" fontId="0" fillId="10" borderId="3" pivotButton="0" quotePrefix="0" xfId="0"/>
    <xf numFmtId="0" fontId="0" fillId="10" borderId="4" pivotButton="0" quotePrefix="0" xfId="0"/>
    <xf numFmtId="0" fontId="4" fillId="11" borderId="14" applyAlignment="1" pivotButton="0" quotePrefix="0" xfId="3">
      <alignment horizontal="left" vertical="center" indent="1"/>
    </xf>
    <xf numFmtId="0" fontId="0" fillId="10" borderId="16" pivotButton="0" quotePrefix="0" xfId="0"/>
    <xf numFmtId="0" fontId="8" fillId="11" borderId="7" applyAlignment="1" pivotButton="0" quotePrefix="0" xfId="3">
      <alignment horizontal="center" vertical="center"/>
    </xf>
    <xf numFmtId="0" fontId="0" fillId="10" borderId="17" pivotButton="0" quotePrefix="0" xfId="0"/>
    <xf numFmtId="0" fontId="0" fillId="10" borderId="8" pivotButton="0" quotePrefix="0" xfId="0"/>
    <xf numFmtId="0" fontId="15" fillId="12" borderId="18" applyAlignment="1" pivotButton="0" quotePrefix="0" xfId="3">
      <alignment horizontal="center" vertical="center" wrapText="1"/>
    </xf>
    <xf numFmtId="0" fontId="0" fillId="12" borderId="12" pivotButton="0" quotePrefix="0" xfId="0"/>
    <xf numFmtId="0" fontId="0" fillId="12" borderId="13" pivotButton="0" quotePrefix="0" xfId="0"/>
    <xf numFmtId="0" fontId="10" fillId="15" borderId="7" applyAlignment="1" pivotButton="0" quotePrefix="0" xfId="3">
      <alignment horizontal="left" vertical="center"/>
    </xf>
    <xf numFmtId="0" fontId="10" fillId="15" borderId="7" applyAlignment="1" pivotButton="0" quotePrefix="0" xfId="3">
      <alignment horizontal="left" vertical="center" wrapText="1"/>
    </xf>
    <xf numFmtId="0" fontId="0" fillId="16" borderId="8" pivotButton="0" quotePrefix="0" xfId="0"/>
    <xf numFmtId="0" fontId="33" fillId="15" borderId="7" applyAlignment="1" pivotButton="0" quotePrefix="0" xfId="3">
      <alignment horizontal="left" vertical="center" wrapText="1"/>
    </xf>
    <xf numFmtId="0" fontId="34" fillId="16" borderId="8" pivotButton="0" quotePrefix="0" xfId="0"/>
    <xf numFmtId="0" fontId="33" fillId="6" borderId="7" applyAlignment="1" pivotButton="0" quotePrefix="0" xfId="3">
      <alignment horizontal="left" vertical="center" wrapText="1"/>
    </xf>
    <xf numFmtId="0" fontId="33" fillId="6" borderId="7" applyAlignment="1" pivotButton="0" quotePrefix="0" xfId="3">
      <alignment horizontal="left" vertical="center" wrapText="1"/>
    </xf>
    <xf numFmtId="0" fontId="34" fillId="0" borderId="8" pivotButton="0" quotePrefix="0" xfId="0"/>
    <xf numFmtId="0" fontId="18" fillId="15" borderId="7" applyAlignment="1" pivotButton="0" quotePrefix="0" xfId="3">
      <alignment horizontal="center" vertical="center" wrapText="1"/>
    </xf>
    <xf numFmtId="0" fontId="18" fillId="15" borderId="7" applyAlignment="1" pivotButton="0" quotePrefix="0" xfId="3">
      <alignment horizontal="center" vertical="center" wrapText="1"/>
    </xf>
    <xf numFmtId="0" fontId="7" fillId="3" borderId="7" applyAlignment="1" pivotButton="0" quotePrefix="0" xfId="3">
      <alignment horizontal="left" vertical="top" wrapText="1"/>
    </xf>
    <xf numFmtId="0" fontId="0" fillId="3" borderId="17" pivotButton="0" quotePrefix="0" xfId="0"/>
    <xf numFmtId="0" fontId="0" fillId="3" borderId="8" pivotButton="0" quotePrefix="0" xfId="0"/>
    <xf numFmtId="0" fontId="7" fillId="3" borderId="7" applyAlignment="1" pivotButton="0" quotePrefix="0" xfId="3">
      <alignment horizontal="center" vertical="center" wrapText="1"/>
    </xf>
    <xf numFmtId="0" fontId="35" fillId="17" borderId="7" applyAlignment="1" pivotButton="0" quotePrefix="0" xfId="3">
      <alignment horizontal="left" vertical="center" indent="1"/>
    </xf>
    <xf numFmtId="0" fontId="34" fillId="16" borderId="17" pivotButton="0" quotePrefix="0" xfId="0"/>
    <xf numFmtId="0" fontId="17" fillId="3" borderId="7" applyAlignment="1" pivotButton="0" quotePrefix="0" xfId="3">
      <alignment horizontal="center" vertical="center" wrapText="1"/>
    </xf>
    <xf numFmtId="0" fontId="33" fillId="17" borderId="7" applyAlignment="1" pivotButton="0" quotePrefix="0" xfId="3">
      <alignment horizontal="left" vertical="center" indent="1"/>
    </xf>
    <xf numFmtId="0" fontId="36" fillId="16" borderId="17" pivotButton="0" quotePrefix="0" xfId="0"/>
    <xf numFmtId="0" fontId="36" fillId="16" borderId="8" pivotButton="0" quotePrefix="0" xfId="0"/>
    <xf numFmtId="0" fontId="10" fillId="15" borderId="7" applyAlignment="1" pivotButton="0" quotePrefix="0" xfId="3">
      <alignment horizontal="center" vertical="center" wrapText="1"/>
    </xf>
    <xf numFmtId="0" fontId="10" fillId="15" borderId="7" applyAlignment="1" pivotButton="0" quotePrefix="0" xfId="3">
      <alignment horizontal="center" vertical="center" wrapText="1"/>
    </xf>
    <xf numFmtId="0" fontId="28" fillId="16" borderId="17" pivotButton="0" quotePrefix="0" xfId="0"/>
    <xf numFmtId="0" fontId="28" fillId="16" borderId="8" pivotButton="0" quotePrefix="0" xfId="0"/>
    <xf numFmtId="0" fontId="10" fillId="4" borderId="7" applyAlignment="1" pivotButton="0" quotePrefix="0" xfId="3">
      <alignment horizontal="left" vertical="center" wrapText="1"/>
    </xf>
    <xf numFmtId="0" fontId="28" fillId="0" borderId="8" pivotButton="0" quotePrefix="0" xfId="0"/>
    <xf numFmtId="0" fontId="28" fillId="0" borderId="17" pivotButton="0" quotePrefix="0" xfId="0"/>
    <xf numFmtId="0" fontId="37" fillId="0" borderId="7" applyAlignment="1" pivotButton="0" quotePrefix="0" xfId="3">
      <alignment horizontal="center" vertical="center" wrapText="1"/>
    </xf>
    <xf numFmtId="0" fontId="26" fillId="0" borderId="17" pivotButton="0" quotePrefix="0" xfId="0"/>
    <xf numFmtId="0" fontId="26" fillId="0" borderId="8" pivotButton="0" quotePrefix="0" xfId="0"/>
    <xf numFmtId="2" fontId="6" fillId="10" borderId="7" applyAlignment="1" pivotButton="0" quotePrefix="0" xfId="3">
      <alignment horizontal="center" vertical="center"/>
    </xf>
    <xf numFmtId="1" fontId="6" fillId="10" borderId="7" applyAlignment="1" pivotButton="0" quotePrefix="0" xfId="3">
      <alignment horizontal="center" vertical="center"/>
    </xf>
    <xf numFmtId="0" fontId="6" fillId="10" borderId="7" applyAlignment="1" pivotButton="0" quotePrefix="0" xfId="3">
      <alignment horizontal="center" vertical="center"/>
    </xf>
    <xf numFmtId="0" fontId="6" fillId="10" borderId="7" applyAlignment="1" pivotButton="0" quotePrefix="0" xfId="3">
      <alignment horizontal="center" vertical="center"/>
    </xf>
    <xf numFmtId="9" fontId="6" fillId="10" borderId="7" applyAlignment="1" pivotButton="0" quotePrefix="0" xfId="3">
      <alignment horizontal="center" vertical="center"/>
    </xf>
    <xf numFmtId="9" fontId="6" fillId="10" borderId="7" applyAlignment="1" pivotButton="0" quotePrefix="0" xfId="3">
      <alignment horizontal="center" vertical="center"/>
    </xf>
    <xf numFmtId="0" fontId="17" fillId="18" borderId="7" applyAlignment="1" pivotButton="0" quotePrefix="0" xfId="3">
      <alignment horizontal="center" vertical="center" wrapText="1"/>
    </xf>
    <xf numFmtId="0" fontId="0" fillId="18" borderId="17" pivotButton="0" quotePrefix="0" xfId="0"/>
    <xf numFmtId="0" fontId="0" fillId="18" borderId="8" pivotButton="0" quotePrefix="0" xfId="0"/>
    <xf numFmtId="0" fontId="38" fillId="15" borderId="7" applyAlignment="1" pivotButton="0" quotePrefix="0" xfId="3">
      <alignment horizontal="center" vertical="center" wrapText="1"/>
    </xf>
    <xf numFmtId="0" fontId="8" fillId="11" borderId="17" applyAlignment="1" pivotButton="0" quotePrefix="0" xfId="3">
      <alignment horizontal="center" vertical="center"/>
    </xf>
    <xf numFmtId="0" fontId="7" fillId="0" borderId="17" applyAlignment="1" pivotButton="0" quotePrefix="0" xfId="3">
      <alignment horizontal="left" vertical="center" wrapText="1"/>
    </xf>
    <xf numFmtId="0" fontId="8" fillId="11" borderId="9" applyAlignment="1" pivotButton="0" quotePrefix="0" xfId="3">
      <alignment horizontal="center" vertical="center"/>
    </xf>
    <xf numFmtId="0" fontId="8" fillId="11" borderId="8" applyAlignment="1" pivotButton="0" quotePrefix="0" xfId="3">
      <alignment horizontal="center" vertical="center"/>
    </xf>
    <xf numFmtId="0" fontId="9" fillId="3" borderId="0" applyAlignment="1" pivotButton="0" quotePrefix="0" xfId="3">
      <alignment horizontal="center" vertical="center"/>
    </xf>
    <xf numFmtId="0" fontId="11" fillId="3" borderId="0" applyAlignment="1" pivotButton="0" quotePrefix="0" xfId="3">
      <alignment horizontal="center" vertical="center"/>
    </xf>
    <xf numFmtId="0" fontId="8" fillId="8" borderId="0" applyAlignment="1" pivotButton="0" quotePrefix="0" xfId="3">
      <alignment vertical="center"/>
    </xf>
    <xf numFmtId="0" fontId="8" fillId="8" borderId="6" applyAlignment="1" pivotButton="0" quotePrefix="0" xfId="3">
      <alignment vertical="center"/>
    </xf>
    <xf numFmtId="0" fontId="10" fillId="19" borderId="0" applyAlignment="1" pivotButton="0" quotePrefix="0" xfId="3">
      <alignment horizontal="left" vertical="center"/>
    </xf>
    <xf numFmtId="0" fontId="10" fillId="19" borderId="6" applyAlignment="1" pivotButton="0" quotePrefix="0" xfId="3">
      <alignment horizontal="left" vertical="center"/>
    </xf>
    <xf numFmtId="0" fontId="10" fillId="19" borderId="9" applyAlignment="1" pivotButton="0" quotePrefix="0" xfId="3">
      <alignment horizontal="left" vertical="center" wrapText="1"/>
    </xf>
    <xf numFmtId="0" fontId="10" fillId="19" borderId="17" applyAlignment="1" pivotButton="0" quotePrefix="0" xfId="3">
      <alignment horizontal="left" vertical="center" wrapText="1"/>
    </xf>
    <xf numFmtId="0" fontId="10" fillId="19" borderId="8" applyAlignment="1" pivotButton="0" quotePrefix="0" xfId="3">
      <alignment horizontal="left" vertical="center" wrapText="1"/>
    </xf>
    <xf numFmtId="0" fontId="20" fillId="0" borderId="9" applyAlignment="1" pivotButton="0" quotePrefix="0" xfId="3">
      <alignment horizontal="left" vertical="center" wrapText="1" indent="1"/>
    </xf>
    <xf numFmtId="0" fontId="20" fillId="0" borderId="8" applyAlignment="1" pivotButton="0" quotePrefix="0" xfId="3">
      <alignment horizontal="left" vertical="center" wrapText="1" indent="1"/>
    </xf>
    <xf numFmtId="0" fontId="5" fillId="10" borderId="3" applyAlignment="1" pivotButton="0" quotePrefix="0" xfId="0">
      <alignment horizontal="center" vertical="center"/>
    </xf>
    <xf numFmtId="0" fontId="8" fillId="11" borderId="7" applyAlignment="1" pivotButton="0" quotePrefix="0" xfId="0">
      <alignment horizontal="center" vertical="center"/>
    </xf>
    <xf numFmtId="0" fontId="0" fillId="0" borderId="9" pivotButton="0" quotePrefix="0" xfId="0"/>
    <xf numFmtId="0" fontId="20" fillId="0" borderId="17" applyAlignment="1" pivotButton="0" quotePrefix="0" xfId="3">
      <alignment horizontal="left" vertical="center" wrapText="1" indent="1"/>
    </xf>
    <xf numFmtId="0" fontId="0" fillId="0" borderId="9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8" fillId="19" borderId="9" applyAlignment="1" pivotButton="0" quotePrefix="0" xfId="3">
      <alignment horizontal="left" vertical="center" wrapText="1"/>
    </xf>
    <xf numFmtId="0" fontId="18" fillId="19" borderId="17" applyAlignment="1" pivotButton="0" quotePrefix="0" xfId="3">
      <alignment horizontal="left" vertical="center" wrapText="1"/>
    </xf>
    <xf numFmtId="0" fontId="18" fillId="19" borderId="8" applyAlignment="1" pivotButton="0" quotePrefix="0" xfId="3">
      <alignment horizontal="left" vertical="center" wrapText="1"/>
    </xf>
    <xf numFmtId="0" fontId="25" fillId="11" borderId="14" applyAlignment="1" pivotButton="0" quotePrefix="0" xfId="0">
      <alignment horizontal="center" vertical="center" indent="1"/>
    </xf>
    <xf numFmtId="0" fontId="4" fillId="11" borderId="14" applyAlignment="1" pivotButton="0" quotePrefix="0" xfId="0">
      <alignment horizontal="left" vertical="center" indent="1"/>
    </xf>
    <xf numFmtId="0" fontId="17" fillId="3" borderId="7" applyAlignment="1" pivotButton="0" quotePrefix="0" xfId="0">
      <alignment horizontal="center" vertical="center" wrapText="1"/>
    </xf>
    <xf numFmtId="0" fontId="5" fillId="10" borderId="2" applyAlignment="1" pivotButton="0" quotePrefix="0" xfId="3">
      <alignment horizontal="center" vertical="center"/>
    </xf>
    <xf numFmtId="0" fontId="5" fillId="10" borderId="0" applyAlignment="1" pivotButton="0" quotePrefix="0" xfId="3">
      <alignment horizontal="center" vertical="center"/>
    </xf>
    <xf numFmtId="0" fontId="5" fillId="10" borderId="4" applyAlignment="1" pivotButton="0" quotePrefix="0" xfId="3">
      <alignment horizontal="center" vertical="center"/>
    </xf>
    <xf numFmtId="0" fontId="4" fillId="11" borderId="7" applyAlignment="1" pivotButton="0" quotePrefix="0" xfId="3">
      <alignment horizontal="left" vertical="center" indent="1"/>
    </xf>
    <xf numFmtId="0" fontId="2" fillId="11" borderId="7" applyAlignment="1" pivotButton="0" quotePrefix="0" xfId="3">
      <alignment horizontal="left" vertical="center" indent="1"/>
    </xf>
    <xf numFmtId="0" fontId="6" fillId="10" borderId="7" applyAlignment="1" pivotButton="0" quotePrefix="0" xfId="3">
      <alignment horizontal="center" vertical="center" wrapText="1"/>
    </xf>
    <xf numFmtId="0" fontId="17" fillId="16" borderId="7" applyAlignment="1" pivotButton="0" quotePrefix="0" xfId="3">
      <alignment horizontal="center" vertical="center" wrapText="1"/>
    </xf>
    <xf numFmtId="0" fontId="15" fillId="12" borderId="13" applyAlignment="1" pivotButton="0" quotePrefix="0" xfId="3">
      <alignment horizontal="center" vertical="center" wrapText="1"/>
    </xf>
    <xf numFmtId="0" fontId="5" fillId="10" borderId="0" applyAlignment="1" pivotButton="0" quotePrefix="0" xfId="3">
      <alignment horizontal="center" vertical="center"/>
    </xf>
    <xf numFmtId="0" fontId="5" fillId="3" borderId="0" applyAlignment="1" pivotButton="0" quotePrefix="0" xfId="3">
      <alignment vertical="center"/>
    </xf>
    <xf numFmtId="0" fontId="0" fillId="3" borderId="0" pivotButton="0" quotePrefix="0" xfId="0"/>
    <xf numFmtId="0" fontId="9" fillId="3" borderId="1" applyAlignment="1" pivotButton="0" quotePrefix="0" xfId="3">
      <alignment vertical="center"/>
    </xf>
    <xf numFmtId="0" fontId="11" fillId="3" borderId="1" applyAlignment="1" pivotButton="0" quotePrefix="0" xfId="3">
      <alignment vertical="center"/>
    </xf>
    <xf numFmtId="0" fontId="5" fillId="2" borderId="0" applyAlignment="1" pivotButton="0" quotePrefix="0" xfId="3">
      <alignment horizontal="center" vertical="center"/>
    </xf>
    <xf numFmtId="0" fontId="10" fillId="4" borderId="7" applyAlignment="1" pivotButton="0" quotePrefix="0" xfId="3">
      <alignment horizontal="left" vertical="center" indent="1"/>
    </xf>
    <xf numFmtId="0" fontId="4" fillId="11" borderId="22" applyAlignment="1" pivotButton="0" quotePrefix="0" xfId="3">
      <alignment horizontal="left" vertical="center" indent="1"/>
    </xf>
    <xf numFmtId="0" fontId="0" fillId="10" borderId="0" pivotButton="0" quotePrefix="0" xfId="0"/>
    <xf numFmtId="0" fontId="0" fillId="10" borderId="6" pivotButton="0" quotePrefix="0" xfId="0"/>
    <xf numFmtId="0" fontId="20" fillId="0" borderId="14" applyAlignment="1" pivotButton="0" quotePrefix="0" xfId="3">
      <alignment horizontal="left" vertical="center" wrapText="1" indent="1"/>
    </xf>
    <xf numFmtId="0" fontId="35" fillId="14" borderId="24" applyAlignment="1" pivotButton="0" quotePrefix="0" xfId="3">
      <alignment horizontal="left" vertical="center" indent="1"/>
    </xf>
    <xf numFmtId="0" fontId="34" fillId="12" borderId="25" pivotButton="0" quotePrefix="0" xfId="0"/>
    <xf numFmtId="0" fontId="34" fillId="12" borderId="26" pivotButton="0" quotePrefix="0" xfId="0"/>
    <xf numFmtId="0" fontId="20" fillId="0" borderId="11" applyAlignment="1" pivotButton="0" quotePrefix="0" xfId="3">
      <alignment horizontal="left" vertical="center" wrapText="1" indent="1"/>
    </xf>
    <xf numFmtId="0" fontId="18" fillId="4" borderId="14" applyAlignment="1" pivotButton="0" quotePrefix="0" xfId="3">
      <alignment horizontal="left" vertical="center" wrapText="1"/>
    </xf>
    <xf numFmtId="0" fontId="7" fillId="0" borderId="14" applyAlignment="1" pivotButton="0" quotePrefix="0" xfId="3">
      <alignment horizontal="left" vertical="center" wrapText="1"/>
    </xf>
    <xf numFmtId="0" fontId="18" fillId="13" borderId="24" applyAlignment="1" pivotButton="0" quotePrefix="0" xfId="3">
      <alignment horizontal="center" vertical="center"/>
    </xf>
    <xf numFmtId="0" fontId="0" fillId="12" borderId="25" pivotButton="0" quotePrefix="0" xfId="0"/>
    <xf numFmtId="0" fontId="0" fillId="12" borderId="27" pivotButton="0" quotePrefix="0" xfId="0"/>
    <xf numFmtId="0" fontId="18" fillId="13" borderId="28" applyAlignment="1" pivotButton="0" quotePrefix="0" xfId="3">
      <alignment horizontal="center" vertical="center"/>
    </xf>
    <xf numFmtId="0" fontId="0" fillId="12" borderId="26" pivotButton="0" quotePrefix="0" xfId="0"/>
    <xf numFmtId="0" fontId="15" fillId="12" borderId="29" applyAlignment="1" pivotButton="0" quotePrefix="0" xfId="3">
      <alignment horizontal="center" vertical="center" wrapText="1"/>
    </xf>
    <xf numFmtId="0" fontId="15" fillId="12" borderId="25" applyAlignment="1" pivotButton="0" quotePrefix="0" xfId="3">
      <alignment horizontal="center" vertical="center" wrapText="1"/>
    </xf>
    <xf numFmtId="0" fontId="15" fillId="12" borderId="26" applyAlignment="1" pivotButton="0" quotePrefix="0" xfId="3">
      <alignment horizontal="center" vertical="center" wrapText="1"/>
    </xf>
    <xf numFmtId="0" fontId="10" fillId="4" borderId="11" applyAlignment="1" pivotButton="0" quotePrefix="0" xfId="3">
      <alignment horizontal="left" vertical="center" wrapText="1"/>
    </xf>
    <xf numFmtId="0" fontId="19" fillId="0" borderId="11" applyAlignment="1" pivotButton="0" quotePrefix="0" xfId="3">
      <alignment horizontal="left" vertical="top" wrapText="1"/>
    </xf>
    <xf numFmtId="0" fontId="35" fillId="14" borderId="31" applyAlignment="1" pivotButton="0" quotePrefix="0" xfId="3">
      <alignment horizontal="left" vertical="center" indent="1"/>
    </xf>
    <xf numFmtId="0" fontId="35" fillId="14" borderId="32" applyAlignment="1" pivotButton="0" quotePrefix="0" xfId="3">
      <alignment horizontal="left" vertical="center" indent="1"/>
    </xf>
    <xf numFmtId="0" fontId="35" fillId="14" borderId="33" applyAlignment="1" pivotButton="0" quotePrefix="0" xfId="3">
      <alignment horizontal="left" vertical="center" indent="1"/>
    </xf>
    <xf numFmtId="0" fontId="2" fillId="11" borderId="11" applyAlignment="1" pivotButton="0" quotePrefix="0" xfId="3">
      <alignment horizontal="left" vertical="center" indent="1"/>
    </xf>
    <xf numFmtId="0" fontId="20" fillId="0" borderId="14" applyAlignment="1" pivotButton="0" quotePrefix="0" xfId="3">
      <alignment horizontal="center" vertical="center"/>
    </xf>
    <xf numFmtId="0" fontId="20" fillId="0" borderId="14" applyAlignment="1" pivotButton="0" quotePrefix="0" xfId="3">
      <alignment horizontal="left" vertical="center" shrinkToFit="1" indent="1"/>
    </xf>
    <xf numFmtId="0" fontId="4" fillId="11" borderId="11" applyAlignment="1" pivotButton="0" quotePrefix="0" xfId="3">
      <alignment horizontal="left" vertical="center" indent="1"/>
    </xf>
    <xf numFmtId="0" fontId="10" fillId="4" borderId="11" applyAlignment="1" pivotButton="0" quotePrefix="0" xfId="3">
      <alignment horizontal="left" vertical="center"/>
    </xf>
    <xf numFmtId="0" fontId="15" fillId="12" borderId="34" applyAlignment="1" pivotButton="0" quotePrefix="0" xfId="3">
      <alignment horizontal="center" vertical="center" wrapText="1"/>
    </xf>
    <xf numFmtId="0" fontId="0" fillId="12" borderId="35" pivotButton="0" quotePrefix="0" xfId="0"/>
    <xf numFmtId="0" fontId="0" fillId="12" borderId="36" pivotButton="0" quotePrefix="0" xfId="0"/>
    <xf numFmtId="0" fontId="18" fillId="13" borderId="23" applyAlignment="1" pivotButton="0" quotePrefix="0" xfId="3">
      <alignment horizontal="center" vertical="center" wrapText="1"/>
    </xf>
    <xf numFmtId="0" fontId="18" fillId="13" borderId="23" applyAlignment="1" pivotButton="0" quotePrefix="0" xfId="3">
      <alignment horizontal="center" vertical="center" wrapText="1"/>
    </xf>
    <xf numFmtId="0" fontId="0" fillId="12" borderId="23" pivotButton="0" quotePrefix="0" xfId="0"/>
    <xf numFmtId="0" fontId="38" fillId="13" borderId="23" applyAlignment="1" pivotButton="0" quotePrefix="0" xfId="3">
      <alignment horizontal="center" vertical="center"/>
    </xf>
    <xf numFmtId="0" fontId="34" fillId="12" borderId="23" pivotButton="0" quotePrefix="0" xfId="0"/>
    <xf numFmtId="0" fontId="18" fillId="13" borderId="23" applyAlignment="1" pivotButton="0" quotePrefix="0" xfId="3">
      <alignment horizontal="center" vertical="center"/>
    </xf>
    <xf numFmtId="0" fontId="10" fillId="4" borderId="11" applyAlignment="1" pivotButton="0" quotePrefix="0" xfId="0">
      <alignment horizontal="left" vertical="center"/>
    </xf>
    <xf numFmtId="0" fontId="7" fillId="0" borderId="11" applyAlignment="1" pivotButton="0" quotePrefix="0" xfId="0">
      <alignment horizontal="center" vertical="center"/>
    </xf>
    <xf numFmtId="0" fontId="29" fillId="9" borderId="14" applyAlignment="1" pivotButton="0" quotePrefix="0" xfId="0">
      <alignment horizontal="center" vertical="center"/>
    </xf>
    <xf numFmtId="0" fontId="15" fillId="12" borderId="37" applyAlignment="1" pivotButton="0" quotePrefix="0" xfId="0">
      <alignment horizontal="center" vertical="center" wrapText="1"/>
    </xf>
    <xf numFmtId="0" fontId="4" fillId="11" borderId="22" applyAlignment="1" pivotButton="0" quotePrefix="0" xfId="0">
      <alignment horizontal="left" vertical="center" indent="1"/>
    </xf>
    <xf numFmtId="0" fontId="7" fillId="0" borderId="14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 wrapText="1" shrinkToFit="1"/>
    </xf>
    <xf numFmtId="0" fontId="28" fillId="0" borderId="16" applyAlignment="1" pivotButton="0" quotePrefix="0" xfId="0">
      <alignment horizontal="center"/>
    </xf>
    <xf numFmtId="0" fontId="38" fillId="13" borderId="23" applyAlignment="1" pivotButton="0" quotePrefix="0" xfId="0">
      <alignment horizontal="center" vertical="center" wrapText="1"/>
    </xf>
    <xf numFmtId="0" fontId="38" fillId="13" borderId="23" applyAlignment="1" pivotButton="0" quotePrefix="0" xfId="0">
      <alignment horizontal="center" vertical="center" wrapText="1"/>
    </xf>
    <xf numFmtId="0" fontId="38" fillId="12" borderId="23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left" vertical="center" wrapText="1" indent="1"/>
    </xf>
    <xf numFmtId="0" fontId="20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left" vertical="center" wrapText="1" shrinkToFit="1" indent="1"/>
    </xf>
    <xf numFmtId="0" fontId="20" fillId="0" borderId="11" applyAlignment="1" pivotButton="0" quotePrefix="0" xfId="0">
      <alignment horizontal="left" vertical="center" wrapText="1" shrinkToFit="1" indent="1"/>
    </xf>
    <xf numFmtId="0" fontId="20" fillId="0" borderId="11" applyAlignment="1" pivotButton="0" quotePrefix="0" xfId="0">
      <alignment horizontal="center" vertical="center"/>
    </xf>
    <xf numFmtId="0" fontId="20" fillId="0" borderId="11" applyAlignment="1" pivotButton="0" quotePrefix="0" xfId="0">
      <alignment horizontal="center" vertical="center"/>
    </xf>
    <xf numFmtId="0" fontId="10" fillId="6" borderId="11" applyAlignment="1" pivotButton="0" quotePrefix="0" xfId="0">
      <alignment horizontal="left" vertical="center" wrapText="1"/>
    </xf>
    <xf numFmtId="0" fontId="7" fillId="0" borderId="11" applyAlignment="1" pivotButton="0" quotePrefix="0" xfId="0">
      <alignment horizontal="left" vertical="top" wrapText="1"/>
    </xf>
    <xf numFmtId="0" fontId="18" fillId="4" borderId="14" applyAlignment="1" pivotButton="0" quotePrefix="0" xfId="0">
      <alignment horizontal="left" vertical="center" wrapText="1"/>
    </xf>
    <xf numFmtId="0" fontId="7" fillId="0" borderId="14" applyAlignment="1" pivotButton="0" quotePrefix="0" xfId="0">
      <alignment horizontal="left" vertical="center" wrapText="1"/>
    </xf>
    <xf numFmtId="0" fontId="38" fillId="13" borderId="23" applyAlignment="1" pivotButton="0" quotePrefix="0" xfId="0">
      <alignment horizontal="center" vertical="center"/>
    </xf>
    <xf numFmtId="0" fontId="15" fillId="12" borderId="37" applyAlignment="1" pivotButton="0" quotePrefix="0" xfId="3">
      <alignment horizontal="center" vertical="center" wrapText="1"/>
    </xf>
    <xf numFmtId="0" fontId="18" fillId="4" borderId="14" applyAlignment="1" pivotButton="0" quotePrefix="0" xfId="3">
      <alignment horizontal="center" vertical="center" wrapText="1"/>
    </xf>
    <xf numFmtId="0" fontId="18" fillId="4" borderId="3" applyAlignment="1" pivotButton="0" quotePrefix="0" xfId="3">
      <alignment horizontal="center" vertical="center" wrapText="1"/>
    </xf>
    <xf numFmtId="0" fontId="18" fillId="4" borderId="16" applyAlignment="1" pivotButton="0" quotePrefix="0" xfId="3">
      <alignment horizontal="center" vertical="center" wrapText="1"/>
    </xf>
    <xf numFmtId="0" fontId="20" fillId="0" borderId="3" applyAlignment="1" pivotButton="0" quotePrefix="0" xfId="3">
      <alignment horizontal="left" vertical="center" wrapText="1" indent="1"/>
    </xf>
    <xf numFmtId="0" fontId="20" fillId="0" borderId="4" applyAlignment="1" pivotButton="0" quotePrefix="0" xfId="3">
      <alignment horizontal="left" vertical="center" wrapText="1" indent="1"/>
    </xf>
    <xf numFmtId="0" fontId="20" fillId="0" borderId="16" applyAlignment="1" pivotButton="0" quotePrefix="0" xfId="3">
      <alignment horizontal="left" vertical="center" wrapText="1" indent="1"/>
    </xf>
    <xf numFmtId="0" fontId="34" fillId="12" borderId="35" pivotButton="0" quotePrefix="0" xfId="0"/>
    <xf numFmtId="0" fontId="34" fillId="12" borderId="36" pivotButton="0" quotePrefix="0" xfId="0"/>
    <xf numFmtId="0" fontId="18" fillId="4" borderId="14" applyAlignment="1" pivotButton="0" quotePrefix="0" xfId="3">
      <alignment horizontal="center" vertical="center" wrapText="1"/>
    </xf>
    <xf numFmtId="0" fontId="18" fillId="4" borderId="4" applyAlignment="1" pivotButton="0" quotePrefix="0" xfId="3">
      <alignment horizontal="center" vertical="center" wrapText="1"/>
    </xf>
    <xf numFmtId="0" fontId="17" fillId="12" borderId="31" applyAlignment="1" pivotButton="0" quotePrefix="0" xfId="3">
      <alignment horizontal="left" vertical="center" wrapText="1"/>
    </xf>
    <xf numFmtId="0" fontId="32" fillId="12" borderId="35" pivotButton="0" quotePrefix="0" xfId="0"/>
    <xf numFmtId="0" fontId="32" fillId="12" borderId="36" pivotButton="0" quotePrefix="0" xfId="0"/>
    <xf numFmtId="0" fontId="7" fillId="0" borderId="14" applyAlignment="1" pivotButton="0" quotePrefix="0" xfId="3">
      <alignment horizontal="left" vertical="center" wrapText="1"/>
    </xf>
    <xf numFmtId="0" fontId="18" fillId="4" borderId="14" applyAlignment="1" pivotButton="0" quotePrefix="0" xfId="3">
      <alignment horizontal="left" vertical="center" wrapText="1"/>
    </xf>
    <xf numFmtId="0" fontId="18" fillId="19" borderId="3" applyAlignment="1" pivotButton="0" quotePrefix="0" xfId="3">
      <alignment horizontal="left" vertical="center" wrapText="1"/>
    </xf>
    <xf numFmtId="0" fontId="18" fillId="19" borderId="4" applyAlignment="1" pivotButton="0" quotePrefix="0" xfId="3">
      <alignment horizontal="left" vertical="center" wrapText="1"/>
    </xf>
    <xf numFmtId="0" fontId="18" fillId="19" borderId="16" applyAlignment="1" pivotButton="0" quotePrefix="0" xfId="3">
      <alignment horizontal="left" vertical="center" wrapText="1"/>
    </xf>
    <xf numFmtId="0" fontId="20" fillId="0" borderId="14" applyAlignment="1" pivotButton="0" quotePrefix="0" xfId="3">
      <alignment horizontal="center" vertical="center"/>
    </xf>
    <xf numFmtId="0" fontId="33" fillId="17" borderId="14" applyAlignment="1" pivotButton="0" quotePrefix="0" xfId="3">
      <alignment horizontal="left" vertical="center" indent="1"/>
    </xf>
    <xf numFmtId="0" fontId="36" fillId="16" borderId="4" pivotButton="0" quotePrefix="0" xfId="0"/>
    <xf numFmtId="0" fontId="36" fillId="16" borderId="16" pivotButton="0" quotePrefix="0" xfId="0"/>
    <xf numFmtId="0" fontId="38" fillId="4" borderId="11" applyAlignment="1" pivotButton="0" quotePrefix="0" xfId="3">
      <alignment horizontal="right" vertical="center" indent="1"/>
    </xf>
    <xf numFmtId="0" fontId="34" fillId="0" borderId="5" pivotButton="0" quotePrefix="0" xfId="0"/>
    <xf numFmtId="0" fontId="34" fillId="0" borderId="10" pivotButton="0" quotePrefix="0" xfId="0"/>
    <xf numFmtId="0" fontId="6" fillId="10" borderId="11" applyAlignment="1" pivotButton="0" quotePrefix="0" xfId="3">
      <alignment horizontal="center" vertical="center"/>
    </xf>
    <xf numFmtId="14" fontId="20" fillId="0" borderId="14" applyAlignment="1" pivotButton="0" quotePrefix="0" xfId="3">
      <alignment horizontal="center" vertical="center"/>
    </xf>
    <xf numFmtId="0" fontId="20" fillId="0" borderId="14" applyAlignment="1" pivotButton="0" quotePrefix="0" xfId="3">
      <alignment horizontal="left" vertical="center" shrinkToFit="1" indent="1"/>
    </xf>
    <xf numFmtId="9" fontId="7" fillId="0" borderId="8" applyAlignment="1" pivotButton="0" quotePrefix="0" xfId="3">
      <alignment horizontal="center" vertical="center" wrapText="1"/>
    </xf>
    <xf numFmtId="0" fontId="18" fillId="4" borderId="11" applyAlignment="1" pivotButton="0" quotePrefix="0" xfId="3">
      <alignment horizontal="center" vertical="center" wrapText="1"/>
    </xf>
    <xf numFmtId="0" fontId="10" fillId="6" borderId="14" applyAlignment="1" pivotButton="0" quotePrefix="0" xfId="3">
      <alignment horizontal="left" vertical="center" wrapText="1"/>
    </xf>
    <xf numFmtId="0" fontId="7" fillId="0" borderId="14" applyAlignment="1" pivotButton="0" quotePrefix="0" xfId="3">
      <alignment horizontal="center" vertical="center" wrapText="1"/>
    </xf>
    <xf numFmtId="0" fontId="33" fillId="12" borderId="23" applyAlignment="1" pivotButton="0" quotePrefix="0" xfId="3">
      <alignment horizontal="center" vertical="center"/>
    </xf>
    <xf numFmtId="9" fontId="33" fillId="12" borderId="23" applyAlignment="1" pivotButton="0" quotePrefix="0" xfId="3">
      <alignment horizontal="center" vertical="center"/>
    </xf>
    <xf numFmtId="9" fontId="7" fillId="0" borderId="17" applyAlignment="1" pivotButton="0" quotePrefix="0" xfId="3">
      <alignment horizontal="center" vertical="center" wrapText="1"/>
    </xf>
    <xf numFmtId="9" fontId="7" fillId="0" borderId="8" applyAlignment="1" pivotButton="0" quotePrefix="0" xfId="3">
      <alignment horizontal="center" vertical="center" wrapText="1"/>
    </xf>
    <xf numFmtId="0" fontId="18" fillId="4" borderId="11" applyAlignment="1" pivotButton="0" quotePrefix="0" xfId="3">
      <alignment horizontal="center" vertical="center" wrapText="1"/>
    </xf>
    <xf numFmtId="9" fontId="33" fillId="12" borderId="30" applyAlignment="1" pivotButton="0" quotePrefix="0" xfId="3">
      <alignment horizontal="center" vertical="center"/>
    </xf>
    <xf numFmtId="0" fontId="33" fillId="16" borderId="11" applyAlignment="1" pivotButton="0" quotePrefix="0" xfId="3">
      <alignment horizontal="center" vertical="center"/>
    </xf>
    <xf numFmtId="0" fontId="34" fillId="16" borderId="10" pivotButton="0" quotePrefix="0" xfId="0"/>
    <xf numFmtId="0" fontId="33" fillId="16" borderId="11" applyAlignment="1" pivotButton="0" quotePrefix="0" xfId="3">
      <alignment horizontal="center" vertical="center"/>
    </xf>
    <xf numFmtId="9" fontId="33" fillId="16" borderId="11" applyAlignment="1" pivotButton="0" quotePrefix="0" xfId="3">
      <alignment horizontal="center" vertical="center"/>
    </xf>
    <xf numFmtId="9" fontId="33" fillId="16" borderId="11" applyAlignment="1" pivotButton="0" quotePrefix="0" xfId="3">
      <alignment horizontal="center" vertical="center"/>
    </xf>
    <xf numFmtId="0" fontId="20" fillId="0" borderId="11" applyAlignment="1" pivotButton="0" quotePrefix="0" xfId="3">
      <alignment horizontal="left" vertical="center" indent="1"/>
    </xf>
    <xf numFmtId="2" fontId="30" fillId="6" borderId="11" applyAlignment="1" pivotButton="0" quotePrefix="0" xfId="3">
      <alignment horizontal="center" vertical="center" wrapText="1"/>
    </xf>
    <xf numFmtId="0" fontId="20" fillId="0" borderId="11" applyAlignment="1" pivotButton="0" quotePrefix="0" xfId="3">
      <alignment horizontal="center" vertical="center"/>
    </xf>
    <xf numFmtId="0" fontId="10" fillId="6" borderId="9" applyAlignment="1" pivotButton="0" quotePrefix="0" xfId="3">
      <alignment horizontal="center" vertical="center" wrapText="1"/>
    </xf>
    <xf numFmtId="0" fontId="10" fillId="6" borderId="11" applyAlignment="1" pivotButton="0" quotePrefix="0" xfId="3">
      <alignment horizontal="left" vertical="center" wrapText="1"/>
    </xf>
    <xf numFmtId="0" fontId="7" fillId="0" borderId="11" applyAlignment="1" pivotButton="0" quotePrefix="0" xfId="3">
      <alignment horizontal="left" vertical="top" wrapText="1"/>
    </xf>
    <xf numFmtId="0" fontId="20" fillId="0" borderId="11" applyAlignment="1" pivotButton="0" quotePrefix="0" xfId="3">
      <alignment horizontal="center" vertical="center"/>
    </xf>
    <xf numFmtId="0" fontId="20" fillId="0" borderId="11" applyAlignment="1" pivotButton="0" quotePrefix="0" xfId="3">
      <alignment horizontal="left" vertical="center" shrinkToFit="1" indent="1"/>
    </xf>
    <xf numFmtId="0" fontId="10" fillId="15" borderId="11" applyAlignment="1" pivotButton="0" quotePrefix="0" xfId="3">
      <alignment horizontal="left" vertical="center"/>
    </xf>
    <xf numFmtId="0" fontId="10" fillId="13" borderId="23" applyAlignment="1" pivotButton="0" quotePrefix="0" xfId="3">
      <alignment horizontal="center" vertical="center" wrapText="1"/>
    </xf>
    <xf numFmtId="0" fontId="10" fillId="13" borderId="23" applyAlignment="1" pivotButton="0" quotePrefix="0" xfId="3">
      <alignment horizontal="center" vertical="center" wrapText="1"/>
    </xf>
    <xf numFmtId="0" fontId="28" fillId="12" borderId="23" pivotButton="0" quotePrefix="0" xfId="0"/>
    <xf numFmtId="0" fontId="10" fillId="4" borderId="14" applyAlignment="1" pivotButton="0" quotePrefix="0" xfId="3">
      <alignment horizontal="left" vertical="center" wrapText="1"/>
    </xf>
    <xf numFmtId="0" fontId="28" fillId="0" borderId="16" pivotButton="0" quotePrefix="0" xfId="0"/>
    <xf numFmtId="0" fontId="13" fillId="0" borderId="7" applyAlignment="1" pivotButton="0" quotePrefix="0" xfId="3">
      <alignment horizontal="center" vertical="center"/>
    </xf>
    <xf numFmtId="0" fontId="15" fillId="12" borderId="23" applyAlignment="1" pivotButton="0" quotePrefix="0" xfId="3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35" pivotButton="0" quotePrefix="0" xfId="0"/>
    <xf numFmtId="0" fontId="0" fillId="0" borderId="42" pivotButton="0" quotePrefix="0" xfId="0"/>
    <xf numFmtId="0" fontId="0" fillId="0" borderId="44" pivotButton="0" quotePrefix="0" xfId="0"/>
    <xf numFmtId="0" fontId="0" fillId="0" borderId="46" pivotButton="0" quotePrefix="0" xfId="0"/>
    <xf numFmtId="0" fontId="10" fillId="19" borderId="7" applyAlignment="1" pivotButton="0" quotePrefix="0" xfId="3">
      <alignment horizontal="left" vertical="center" wrapText="1"/>
    </xf>
    <xf numFmtId="0" fontId="18" fillId="19" borderId="14" applyAlignment="1" pivotButton="0" quotePrefix="0" xfId="3">
      <alignment horizontal="left" vertical="center" wrapText="1"/>
    </xf>
    <xf numFmtId="0" fontId="18" fillId="19" borderId="7" applyAlignment="1" pivotButton="0" quotePrefix="0" xfId="3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27" pivotButton="0" quotePrefix="0" xfId="0"/>
    <xf numFmtId="0" fontId="10" fillId="6" borderId="7" applyAlignment="1" pivotButton="0" quotePrefix="0" xfId="3">
      <alignment horizontal="center" vertical="center" wrapText="1"/>
    </xf>
    <xf numFmtId="0" fontId="5" fillId="20" borderId="3" applyAlignment="1" pivotButton="0" quotePrefix="0" xfId="3">
      <alignment horizontal="center" vertical="center"/>
    </xf>
    <xf numFmtId="0" fontId="8" fillId="20" borderId="7" applyAlignment="1" pivotButton="0" quotePrefix="0" xfId="3">
      <alignment horizontal="center" vertical="center"/>
    </xf>
    <xf numFmtId="0" fontId="10" fillId="21" borderId="7" applyAlignment="1" pivotButton="0" quotePrefix="0" xfId="3">
      <alignment horizontal="left" vertical="center"/>
    </xf>
    <xf numFmtId="0" fontId="15" fillId="22" borderId="23" applyAlignment="1" pivotButton="0" quotePrefix="0" xfId="3">
      <alignment horizontal="center" vertical="center" wrapText="1"/>
    </xf>
    <xf numFmtId="0" fontId="4" fillId="20" borderId="14" applyAlignment="1" pivotButton="0" quotePrefix="0" xfId="3">
      <alignment horizontal="left" vertical="center" indent="1"/>
    </xf>
    <xf numFmtId="0" fontId="10" fillId="21" borderId="7" applyAlignment="1" pivotButton="0" quotePrefix="0" xfId="3">
      <alignment horizontal="left" vertical="center" wrapText="1"/>
    </xf>
    <xf numFmtId="165" fontId="7" fillId="0" borderId="7" applyAlignment="1" pivotButton="0" quotePrefix="0" xfId="3">
      <alignment horizontal="center" vertical="center" wrapText="1"/>
    </xf>
    <xf numFmtId="0" fontId="18" fillId="22" borderId="23" applyAlignment="1" pivotButton="0" quotePrefix="0" xfId="3">
      <alignment horizontal="center" vertical="center" wrapText="1"/>
    </xf>
    <xf numFmtId="165" fontId="20" fillId="0" borderId="14" applyAlignment="1" pivotButton="0" quotePrefix="0" xfId="3">
      <alignment horizontal="center" vertical="center"/>
    </xf>
    <xf numFmtId="0" fontId="21" fillId="0" borderId="7" applyAlignment="1" pivotButton="0" quotePrefix="0" xfId="3">
      <alignment horizontal="left" vertical="center" wrapText="1" indent="1"/>
    </xf>
    <xf numFmtId="0" fontId="18" fillId="22" borderId="23" applyAlignment="1" pivotButton="0" quotePrefix="0" xfId="3">
      <alignment horizontal="center" vertical="center"/>
    </xf>
    <xf numFmtId="0" fontId="18" fillId="21" borderId="14" applyAlignment="1" pivotButton="0" quotePrefix="0" xfId="3">
      <alignment horizontal="left" vertical="center" wrapText="1"/>
    </xf>
    <xf numFmtId="4" fontId="20" fillId="0" borderId="14" applyAlignment="1" pivotButton="0" quotePrefix="0" xfId="3">
      <alignment horizontal="center" vertical="center"/>
    </xf>
    <xf numFmtId="166" fontId="20" fillId="0" borderId="14" applyAlignment="1" pivotButton="0" quotePrefix="0" xfId="3">
      <alignment horizontal="center" vertical="center"/>
    </xf>
    <xf numFmtId="167" fontId="20" fillId="0" borderId="14" applyAlignment="1" pivotButton="0" quotePrefix="0" xfId="3">
      <alignment horizontal="center" vertical="center"/>
    </xf>
    <xf numFmtId="168" fontId="20" fillId="0" borderId="14" applyAlignment="1" pivotButton="0" quotePrefix="0" xfId="3">
      <alignment horizontal="center" vertical="center"/>
    </xf>
    <xf numFmtId="0" fontId="10" fillId="21" borderId="7" applyAlignment="1" pivotButton="0" quotePrefix="0" xfId="3">
      <alignment horizontal="left" vertical="center" indent="1"/>
    </xf>
    <xf numFmtId="168" fontId="6" fillId="20" borderId="7" applyAlignment="1" pivotButton="0" quotePrefix="0" xfId="3">
      <alignment horizontal="center" vertical="center"/>
    </xf>
    <xf numFmtId="0" fontId="6" fillId="20" borderId="7" applyAlignment="1" pivotButton="0" quotePrefix="0" xfId="3">
      <alignment horizontal="center" vertical="center"/>
    </xf>
    <xf numFmtId="4" fontId="39" fillId="0" borderId="14" applyAlignment="1" pivotButton="0" quotePrefix="0" xfId="3">
      <alignment horizontal="center" vertical="center"/>
    </xf>
    <xf numFmtId="167" fontId="7" fillId="0" borderId="7" applyAlignment="1" pivotButton="0" quotePrefix="0" xfId="3">
      <alignment horizontal="center" vertical="center" wrapText="1"/>
    </xf>
    <xf numFmtId="169" fontId="20" fillId="0" borderId="14" applyAlignment="1" pivotButton="0" quotePrefix="0" xfId="3">
      <alignment horizontal="center" vertical="center"/>
    </xf>
    <xf numFmtId="0" fontId="39" fillId="0" borderId="14" applyAlignment="1" pivotButton="0" quotePrefix="0" xfId="3">
      <alignment horizontal="center" vertical="center"/>
    </xf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dxfs count="14"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595959"/>
          <bgColor rgb="FF595959"/>
        </patternFill>
      </fill>
    </dxf>
    <dxf>
      <font>
        <b val="1"/>
        <color rgb="FFFFFFFF"/>
      </font>
      <fill>
        <patternFill patternType="solid">
          <fgColor rgb="FF7F4F24"/>
          <bgColor rgb="FF7F4F24"/>
        </patternFill>
      </fill>
    </dxf>
    <dxf>
      <font>
        <b val="1"/>
        <color rgb="FFFFFFFF"/>
      </font>
      <fill>
        <patternFill patternType="solid">
          <fgColor rgb="FF7030A0"/>
          <bgColor rgb="FF7030A0"/>
        </patternFill>
      </fill>
    </dxf>
    <dxf>
      <font>
        <b val="1"/>
        <color rgb="FF000000"/>
      </font>
      <fill>
        <patternFill patternType="solid">
          <fgColor rgb="FFF57C00"/>
          <bgColor rgb="FFF57C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FFFF"/>
          <bgColor rgb="FFFFFFFF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0070C0"/>
          <bgColor rgb="FF0070C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00000000"/>
      </font>
      <fill>
        <patternFill patternType="solid">
          <fgColor rgb="0000A651"/>
          <bgColor rgb="0000A651"/>
        </patternFill>
      </fill>
    </dxf>
    <dxf>
      <font>
        <b val="1"/>
        <color rgb="00FFFFFF"/>
      </font>
      <fill>
        <patternFill patternType="solid">
          <fgColor rgb="00C00000"/>
          <bgColor rgb="00C0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1381125</xdr:colOff>
      <xdr:row>5</xdr:row>
      <xdr:rowOff>131445</xdr:rowOff>
    </xdr:to>
    <xdr:pic>
      <xdr:nvPicPr>
        <xdr:cNvPr id="1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prstGeom xmlns:a="http://schemas.openxmlformats.org/drawingml/2006/main" prst="rect"/>
        <a:ln xmlns:a="http://schemas.openxmlformats.org/drawingml/2006/main">
          <a:prstDash val="solid"/>
        </a:ln>
      </xdr:spPr>
    </xdr:pic>
    <xdr:clientData/>
  </xdr:twoCellAnchor>
</xdr:wsDr>
</file>

<file path=xl/externalLinks/_rels/externalLink1.xml.rels><Relationships xmlns="http://schemas.openxmlformats.org/package/2006/relationships"><Relationship Type="http://schemas.openxmlformats.org/officeDocument/2006/relationships/externalLinkPath" Target="/Users/hugof/Downloads/FORMATOS%20SG%20-%20SST/PERMISOS_diseno_v3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ermisos de Trabajo"/>
      <sheetName val="Requisitos por permiso"/>
    </sheetNames>
    <sheetDataSet>
      <sheetData sheetId="0"/>
      <sheetData sheetId="1">
        <row r="4">
          <cell r="A4" t="str">
            <v>TRABAJO EN CALIENTE</v>
          </cell>
          <cell r="B4" t="str">
            <v>TRABAJO EN FRÍO</v>
          </cell>
          <cell r="C4" t="str">
            <v>TRABAJO EN ESPACIOS CONFINADOS</v>
          </cell>
          <cell r="D4" t="str">
            <v>TRABAJOS ELÉCTRICOS</v>
          </cell>
          <cell r="E4" t="str">
            <v>TRABAJO EN ALTURAS</v>
          </cell>
          <cell r="F4" t="str">
            <v>EXCAVACIONES</v>
          </cell>
          <cell r="G4" t="str">
            <v>TRABAJO CON RADIACIÓN</v>
          </cell>
          <cell r="H4" t="str">
            <v>SUSTANCIAS PELIGROSAS O QUÍMICAS</v>
          </cell>
          <cell r="I4" t="str">
            <v>TRABAJO EN CONDICIONES EXTREMAS</v>
          </cell>
        </row>
        <row r="5">
          <cell r="A5" t="str">
            <v>Área despejada de combustibles e inflamables (o protegidos con mantas ignífugas)</v>
          </cell>
          <cell r="B5" t="str">
            <v>Alcance del trabajo definido y confirmado: no genera chispas ni calor</v>
          </cell>
          <cell r="C5" t="str">
            <v>Espacio identificado, señalizado y con acceso controlado</v>
          </cell>
          <cell r="D5" t="str">
            <v>Personal competente y autorizado para el trabajo eléctrico (RETIE)</v>
          </cell>
          <cell r="E5" t="str">
            <v>Personal con certificación vigente en trabajo seguro en alturas y aptitud médica</v>
          </cell>
          <cell r="F5" t="str">
            <v>Servicios enterrados localizados y señalizados (gas, energía, agua y datos)</v>
          </cell>
          <cell r="G5" t="str">
            <v>Personal autorizado con licencia o autorización vigente para manejo de fuentes radiactivas</v>
          </cell>
          <cell r="H5" t="str">
            <v>Hojas de datos de seguridad (SDS) disponibles y leídas por el personal</v>
          </cell>
          <cell r="I5" t="str">
            <v>Condiciones evaluadas (temperatura, radiación UV, lluvia, viento, tormenta eléctrica y visibilidad)</v>
          </cell>
        </row>
        <row r="6">
          <cell r="A6" t="str">
            <v>Extintor adecuado, cargado y a la mano</v>
          </cell>
          <cell r="B6" t="str">
            <v>Herramientas y equipos antichispa o que no generan fuentes de ignición</v>
          </cell>
          <cell r="C6" t="str">
            <v>Personal autorizado con capacitación y certificación en espacios confinados</v>
          </cell>
          <cell r="D6" t="str">
            <v>Procedimiento de bloqueo y etiquetado (LOTO) aplicado</v>
          </cell>
          <cell r="E6" t="str">
            <v>Coordinador de trabajo en alturas presente</v>
          </cell>
          <cell r="F6" t="str">
            <v>Tipo de suelo evaluado y sistema de contención definido (talud o entibado)</v>
          </cell>
          <cell r="G6" t="str">
            <v>Oficial de protección radiológica designado y presente</v>
          </cell>
          <cell r="H6" t="str">
            <v>Sustancias rotuladas con el sistema globalmente armonizado (SGA)</v>
          </cell>
          <cell r="I6" t="str">
            <v>Criterios para suspender el trabajo definidos y comunicados</v>
          </cell>
        </row>
        <row r="7">
          <cell r="A7" t="str">
            <v>Vigía de fuego designado (permanece 30 minutos después de terminar)</v>
          </cell>
          <cell r="B7" t="str">
            <v>Equipos eléctricos y neumáticos aptos para la clasificación del área</v>
          </cell>
          <cell r="C7" t="str">
            <v>Energías y fluidos aislados, bloqueados y etiquetados (tuberías, equipos, electricidad)</v>
          </cell>
          <cell r="D7" t="str">
            <v>Circuito abierto y desenergizado en el punto de corte</v>
          </cell>
          <cell r="E7" t="str">
            <v>Procedimiento de trabajo en alturas y ATS socializados</v>
          </cell>
          <cell r="F7" t="str">
            <v>Taludes o entibados construidos según el diseño</v>
          </cell>
          <cell r="G7" t="str">
            <v>Dosímetros personales asignados y en uso</v>
          </cell>
          <cell r="H7" t="str">
            <v>Cantidad limitada a la necesaria y en recipientes adecuados</v>
          </cell>
          <cell r="I7" t="str">
            <v>Hidratación disponible y pausas programadas</v>
          </cell>
        </row>
        <row r="8">
          <cell r="A8" t="str">
            <v>Mantas o pantallas ignífugas contra chispas y escoria</v>
          </cell>
          <cell r="B8" t="str">
            <v>Medición de atmósfera inflamable (LEL) realizada en el sitio</v>
          </cell>
          <cell r="C8" t="str">
            <v>Medición de gases previa y continua (oxígeno, explosividad, CO y H₂S)</v>
          </cell>
          <cell r="D8" t="str">
            <v>Ausencia de tensión verificada con detector adecuado</v>
          </cell>
          <cell r="E8" t="str">
            <v>Sistema de acceso seguro (andamio certificado, escalera o plataforma inspeccionada)</v>
          </cell>
          <cell r="F8" t="str">
            <v>Material excavado y equipos retirados del borde (distancia segura)</v>
          </cell>
          <cell r="G8" t="str">
            <v>Fuente radiactiva identificada, con su certificado y registro de inventario</v>
          </cell>
          <cell r="H8" t="str">
            <v>Compatibilidad entre sustancias verificada</v>
          </cell>
          <cell r="I8" t="str">
            <v>Sombra, refugio o zona de descanso disponible</v>
          </cell>
        </row>
        <row r="9">
          <cell r="A9" t="str">
            <v>Equipos de soldadura u oxicorte inspeccionados (cables, mangueras, válvulas y antirretorno)</v>
          </cell>
          <cell r="B9" t="str">
            <v>Equipo o línea despresurizada, drenada y purgada (si aplica)</v>
          </cell>
          <cell r="C9" t="str">
            <v>Ventilación natural o forzada en funcionamiento</v>
          </cell>
          <cell r="D9" t="str">
            <v>Puesta a tierra temporal instalada</v>
          </cell>
          <cell r="E9" t="str">
            <v>Puntos de anclaje identificados y con la resistencia requerida</v>
          </cell>
          <cell r="F9" t="str">
            <v>Zona delimitada, con barandas o cerramiento y señalización visible</v>
          </cell>
          <cell r="G9" t="str">
            <v>Área controlada delimitada y señalizada, con barreras y distancia segura calculada</v>
          </cell>
          <cell r="H9" t="str">
            <v>Ventilación adecuada en el área de trabajo</v>
          </cell>
          <cell r="I9" t="str">
            <v>Ropa adecuada al clima y protección solar</v>
          </cell>
        </row>
        <row r="10">
          <cell r="A10" t="str">
            <v>Cilindros asegurados en posición vertical, con capuchón y lejos de la fuente de calor</v>
          </cell>
          <cell r="B10" t="str">
            <v>Energías aisladas, bloqueadas y etiquetadas (LOTO)</v>
          </cell>
          <cell r="C10" t="str">
            <v>Vigía permanente en el exterior con registro de ingreso y salida</v>
          </cell>
          <cell r="D10" t="str">
            <v>Zona de trabajo delimitada y señalizada</v>
          </cell>
          <cell r="E10" t="str">
            <v>Arnés, eslingas, absorbedor de impacto y línea de vida inspeccionados</v>
          </cell>
          <cell r="F10" t="str">
            <v>Accesos y salidas seguros (escaleras o rampas) cerca del personal</v>
          </cell>
          <cell r="G10" t="str">
            <v>Monitor de radiación calibrado y operativo</v>
          </cell>
          <cell r="H10" t="str">
            <v>EPP específico (respirador, guantes, gafas, delantal) según la SDS</v>
          </cell>
          <cell r="I10" t="str">
            <v>Aclimatación del personal nuevo o que regresa</v>
          </cell>
        </row>
        <row r="11">
          <cell r="A11" t="str">
            <v>Ventilación o extracción de humos y gases</v>
          </cell>
          <cell r="B11" t="str">
            <v>Superficies calientes y fuentes de ignición cercanas controladas</v>
          </cell>
          <cell r="C11" t="str">
            <v>Comunicación continua entre el vigía y las personas en el interior</v>
          </cell>
          <cell r="D11" t="str">
            <v>Distancias de seguridad respetadas frente a partes energizadas</v>
          </cell>
          <cell r="E11" t="str">
            <v>Barandas, cerramientos o redes de protección instalados</v>
          </cell>
          <cell r="F11" t="str">
            <v>Control de agua, drenaje o bombeo implementado</v>
          </cell>
          <cell r="G11" t="str">
            <v>Personal ajeno evacuado o avisado del horario de la tarea</v>
          </cell>
          <cell r="H11" t="str">
            <v>Duchas y lavaojos de emergencia disponibles y cercanos</v>
          </cell>
          <cell r="I11" t="str">
            <v>Monitoreo de síntomas (golpe de calor, hipotermia y fatiga)</v>
          </cell>
        </row>
        <row r="12">
          <cell r="A12" t="str">
            <v>Aberturas, ductos y alcantarillas cercanas selladas o protegidas</v>
          </cell>
          <cell r="B12" t="str">
            <v>Extintor adecuado, cargado y a la mano</v>
          </cell>
          <cell r="C12" t="str">
            <v>Plan de rescate, equipo de rescate (trípode, malacate) y respiración disponibles</v>
          </cell>
          <cell r="D12" t="str">
            <v>EPP dieléctrico en buen estado (casco, guantes, calzado y careta)</v>
          </cell>
          <cell r="E12" t="str">
            <v>Área inferior demarcada y señalizada contra caída de objetos</v>
          </cell>
          <cell r="F12" t="str">
            <v>Inspección previa por persona competente (cada turno o después de lluvia)</v>
          </cell>
          <cell r="G12" t="str">
            <v>Transporte y almacenamiento seguros de la fuente</v>
          </cell>
          <cell r="H12" t="str">
            <v>Kit de derrames y material absorbente disponible</v>
          </cell>
          <cell r="I12" t="str">
            <v>Iluminación suficiente si el trabajo es nocturno</v>
          </cell>
        </row>
        <row r="13">
          <cell r="A13" t="str">
            <v>Medición de atmósfera inflamable realizada si hay riesgo de gases o vapores</v>
          </cell>
          <cell r="B13" t="str">
            <v>EPP adecuado (guantes, gafas, ropa antiestática)</v>
          </cell>
          <cell r="C13" t="str">
            <v>Iluminación y equipos aptos para el ambiente (a prueba de explosión si aplica)</v>
          </cell>
          <cell r="D13" t="str">
            <v>Herramientas y equipos aislados, inspeccionados y con protección diferencial</v>
          </cell>
          <cell r="E13" t="str">
            <v>Plan de rescate y equipo de rescate disponibles; personal entrenado</v>
          </cell>
          <cell r="F13" t="str">
            <v>Atmósfera verificada si hay sospecha de gases (excavaciones profundas)</v>
          </cell>
          <cell r="G13" t="str">
            <v>Control de tiempo de exposición, distancia y blindaje</v>
          </cell>
          <cell r="H13" t="str">
            <v>Fuentes de ignición controladas o eliminadas</v>
          </cell>
          <cell r="I13" t="str">
            <v>Trabajo en parejas o con vigía</v>
          </cell>
        </row>
        <row r="14">
          <cell r="A14" t="str">
            <v>EPP específicos (careta, guantes, peto, polainas) y ropa sin material inflamable</v>
          </cell>
          <cell r="B14" t="str">
            <v>Área delimitada y señalizada</v>
          </cell>
          <cell r="C14" t="str">
            <v>Limpieza, drenaje o inertización del espacio realizada</v>
          </cell>
          <cell r="D14" t="str">
            <v>Condiciones climáticas evaluadas (lluvia, tormenta eléctrica)</v>
          </cell>
          <cell r="E14" t="str">
            <v>Herramientas aseguradas contra caídas</v>
          </cell>
          <cell r="F14" t="str">
            <v>Control de tránsito y de vibraciones cerca de la excavación</v>
          </cell>
          <cell r="G14" t="str">
            <v>Registro de dosis y bitácora de operación al día</v>
          </cell>
          <cell r="H14" t="str">
            <v>Personal capacitado en manejo de sustancias químicas y en el plan de emergencia</v>
          </cell>
          <cell r="I14" t="str">
            <v>Primeros auxilios y medio de comunicación disponibles</v>
          </cell>
        </row>
        <row r="15">
          <cell r="A15" t="str">
            <v>Revisión del área 30 minutos después de terminar el trabajo</v>
          </cell>
          <cell r="B15" t="str">
            <v>Procedimiento de trabajo y ATS conocidos por todo el personal</v>
          </cell>
          <cell r="C15" t="str">
            <v>EPP y ropa adecuados al riesgo</v>
          </cell>
          <cell r="D15" t="str">
            <v>Coordinación con el operador de red o responsable del sistema eléctrico</v>
          </cell>
          <cell r="E15" t="str">
            <v>Condiciones climáticas evaluadas (lluvia, viento fuerte, tormenta eléctrica)</v>
          </cell>
          <cell r="F15" t="str">
            <v>Plan de rescate y equipo básico de emergencia disponibles</v>
          </cell>
          <cell r="G15" t="str">
            <v>Aptitud médica del personal expuesto</v>
          </cell>
          <cell r="H15" t="str">
            <v>Disposición de residuos peligrosos definida</v>
          </cell>
          <cell r="I15" t="str">
            <v>Plan de evacuación o suspensión ante tormenta eléctrica</v>
          </cell>
        </row>
        <row r="16">
          <cell r="A16"/>
          <cell r="B16" t="str">
            <v>Plan de emergencia y medio de comunicación disponibles</v>
          </cell>
          <cell r="C16" t="str">
            <v>Tiempo máximo de permanencia definido</v>
          </cell>
          <cell r="D16"/>
          <cell r="E16" t="str">
            <v>Comunicación entre quien trabaja y el coordinador o vigía</v>
          </cell>
          <cell r="F16" t="str">
            <v>EPP completos y vigía cuando se requiera</v>
          </cell>
          <cell r="G16" t="str">
            <v>Plan de emergencia radiológica y contactos disponibles</v>
          </cell>
          <cell r="H16"/>
          <cell r="I16"/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pageSetUpPr fitToPage="1"/>
  </sheetPr>
  <dimension ref="A1:L54"/>
  <sheetViews>
    <sheetView showGridLines="0" tabSelected="1" zoomScale="79" zoomScaleNormal="79" workbookViewId="0">
      <selection activeCell="A1" sqref="A1"/>
    </sheetView>
  </sheetViews>
  <sheetFormatPr baseColWidth="8" defaultRowHeight="15"/>
  <cols>
    <col width="6" customWidth="1" style="127" min="1" max="1"/>
    <col width="12" customWidth="1" style="127" min="2" max="2"/>
    <col width="22" customWidth="1" style="127" min="3" max="3"/>
    <col width="25" customWidth="1" style="127" min="4" max="4"/>
    <col width="20" customWidth="1" style="127" min="5" max="5"/>
    <col width="9" customWidth="1" style="127" min="6" max="6"/>
    <col width="8" customWidth="1" style="127" min="7" max="7"/>
    <col width="16" customWidth="1" style="127" min="8" max="8"/>
    <col width="17" customWidth="1" style="127" min="9" max="9"/>
    <col width="21" customWidth="1" style="127" min="10" max="10"/>
    <col width="16" customWidth="1" style="127" min="11" max="11"/>
    <col width="15" customWidth="1" style="127" min="12" max="12"/>
  </cols>
  <sheetData>
    <row r="1" ht="40.05" customHeight="1" s="127">
      <c r="D1" s="360" t="inlineStr">
        <is>
          <t>REGISTRO DE RESIDUOS</t>
        </is>
      </c>
    </row>
    <row r="2" ht="14.4" customHeight="1" s="127">
      <c r="D2" s="96" t="n"/>
      <c r="E2" s="98" t="n"/>
      <c r="F2" s="98" t="n"/>
      <c r="G2" s="98" t="n"/>
      <c r="H2" s="98" t="n"/>
      <c r="I2" s="98" t="n"/>
      <c r="J2" s="98" t="n"/>
      <c r="K2" s="98" t="n"/>
      <c r="L2" s="98" t="n"/>
    </row>
    <row r="3" ht="4.95" customHeight="1" s="127">
      <c r="D3" s="60" t="n"/>
      <c r="E3" s="104" t="n"/>
      <c r="F3" s="104" t="n"/>
      <c r="G3" s="104" t="n"/>
      <c r="H3" s="104" t="n"/>
      <c r="I3" s="104" t="n"/>
      <c r="J3" s="104" t="n"/>
      <c r="K3" s="104" t="n"/>
      <c r="L3" s="104" t="n"/>
    </row>
    <row r="4" ht="15" customHeight="1" s="127">
      <c r="J4" s="361" t="inlineStr">
        <is>
          <t>CONTROL DOCUMENTAL</t>
        </is>
      </c>
      <c r="K4" s="93" t="n"/>
      <c r="L4" s="89" t="n"/>
    </row>
    <row r="5" ht="15" customHeight="1" s="127">
      <c r="D5" s="99" t="inlineStr">
        <is>
          <t>REFORMAS Y REMODELACIONES</t>
        </is>
      </c>
      <c r="I5" s="92" t="n"/>
      <c r="J5" s="362" t="inlineStr">
        <is>
          <t>Código</t>
        </is>
      </c>
      <c r="K5" s="64" t="inlineStr">
        <is>
          <t>RYR-AM-002</t>
        </is>
      </c>
      <c r="L5" s="89" t="n"/>
    </row>
    <row r="6" ht="15" customHeight="1" s="127">
      <c r="D6" s="90" t="inlineStr">
        <is>
          <t>DISEÑAMOS, RENOVAMOS Y CONSTRUIMOS ESPACIOS QUE INSPIRAN.</t>
        </is>
      </c>
      <c r="I6" s="92" t="n"/>
      <c r="J6" s="362" t="inlineStr">
        <is>
          <t>Versión</t>
        </is>
      </c>
      <c r="K6" s="64" t="n">
        <v>1</v>
      </c>
      <c r="L6" s="89" t="n"/>
    </row>
    <row r="7" ht="15" customHeight="1" s="127">
      <c r="D7" s="190" t="n"/>
      <c r="E7" s="190" t="n"/>
      <c r="F7" s="190" t="n"/>
      <c r="G7" s="190" t="n"/>
      <c r="H7" s="190" t="n"/>
      <c r="I7" s="67" t="n"/>
      <c r="J7" s="362" t="inlineStr">
        <is>
          <t>Fecha de Emisión</t>
        </is>
      </c>
      <c r="K7" s="64" t="inlineStr">
        <is>
          <t>08/10/2026</t>
        </is>
      </c>
      <c r="L7" s="89" t="n"/>
    </row>
    <row r="8" ht="15" customHeight="1" s="127">
      <c r="D8" s="190" t="n"/>
      <c r="E8" s="190" t="n"/>
      <c r="F8" s="190" t="n"/>
      <c r="G8" s="190" t="n"/>
      <c r="H8" s="190" t="n"/>
      <c r="I8" s="67" t="n"/>
      <c r="J8" s="362" t="inlineStr">
        <is>
          <t>Página</t>
        </is>
      </c>
      <c r="K8" s="64" t="inlineStr">
        <is>
          <t>1 de 2</t>
        </is>
      </c>
      <c r="L8" s="89" t="n"/>
    </row>
    <row r="9" ht="15" customHeight="1" s="127">
      <c r="A9" s="363" t="inlineStr">
        <is>
          <t>Generación, almacenamiento y destino de los residuos de la obra · Res. 0472 de 2017 (RCD) · Decreto 1076 de 2015 (RESPEL)</t>
        </is>
      </c>
      <c r="B9" s="347" t="n"/>
      <c r="C9" s="347" t="n"/>
      <c r="D9" s="347" t="n"/>
      <c r="E9" s="347" t="n"/>
      <c r="F9" s="347" t="n"/>
      <c r="G9" s="347" t="n"/>
      <c r="H9" s="347" t="n"/>
      <c r="I9" s="347" t="n"/>
      <c r="J9" s="347" t="n"/>
      <c r="K9" s="347" t="n"/>
      <c r="L9" s="348" t="n"/>
    </row>
    <row r="10" ht="16.5" customHeight="1" s="127">
      <c r="A10" s="364" t="inlineStr">
        <is>
          <t>1. DATOS GENERALES</t>
        </is>
      </c>
      <c r="B10" s="98" t="n"/>
      <c r="C10" s="98" t="n"/>
      <c r="D10" s="98" t="n"/>
      <c r="E10" s="98" t="n"/>
      <c r="F10" s="98" t="n"/>
      <c r="G10" s="98" t="n"/>
      <c r="H10" s="98" t="n"/>
      <c r="I10" s="98" t="n"/>
      <c r="J10" s="98" t="n"/>
      <c r="K10" s="98" t="n"/>
      <c r="L10" s="97" t="n"/>
    </row>
    <row r="11" ht="21" customHeight="1" s="127">
      <c r="A11" s="365" t="inlineStr">
        <is>
          <t>Proyecto / Obra</t>
        </is>
      </c>
      <c r="B11" s="93" t="n"/>
      <c r="C11" s="89" t="n"/>
      <c r="D11" s="68" t="n"/>
      <c r="E11" s="93" t="n"/>
      <c r="F11" s="93" t="n"/>
      <c r="G11" s="93" t="n"/>
      <c r="H11" s="89" t="n"/>
      <c r="I11" s="365" t="inlineStr">
        <is>
          <t>Periodo</t>
        </is>
      </c>
      <c r="J11" s="69" t="n"/>
      <c r="K11" s="365" t="inlineStr">
        <is>
          <t>Hoja N°</t>
        </is>
      </c>
      <c r="L11" s="69" t="n"/>
    </row>
    <row r="12" ht="21" customHeight="1" s="127">
      <c r="A12" s="365" t="inlineStr">
        <is>
          <t>Contratista / Empresa</t>
        </is>
      </c>
      <c r="B12" s="93" t="n"/>
      <c r="C12" s="89" t="n"/>
      <c r="D12" s="68" t="n"/>
      <c r="E12" s="93" t="n"/>
      <c r="F12" s="93" t="n"/>
      <c r="G12" s="93" t="n"/>
      <c r="H12" s="89" t="n"/>
      <c r="I12" s="365" t="inlineStr">
        <is>
          <t>Desde</t>
        </is>
      </c>
      <c r="J12" s="366" t="n"/>
      <c r="K12" s="365" t="inlineStr">
        <is>
          <t>Hasta</t>
        </is>
      </c>
      <c r="L12" s="366" t="n"/>
    </row>
    <row r="13" ht="16.5" customHeight="1" s="127">
      <c r="A13" s="364" t="inlineStr">
        <is>
          <t>2. REGISTRO DE GENERACIÓN Y DESTINO</t>
        </is>
      </c>
      <c r="B13" s="98" t="n"/>
      <c r="C13" s="98" t="n"/>
      <c r="D13" s="98" t="n"/>
      <c r="E13" s="98" t="n"/>
      <c r="F13" s="98" t="n"/>
      <c r="G13" s="98" t="n"/>
      <c r="H13" s="98" t="n"/>
      <c r="I13" s="98" t="n"/>
      <c r="J13" s="98" t="n"/>
      <c r="K13" s="98" t="n"/>
      <c r="L13" s="97" t="n"/>
    </row>
    <row r="14" ht="30" customHeight="1" s="127">
      <c r="A14" s="367" t="inlineStr">
        <is>
          <t>No.</t>
        </is>
      </c>
      <c r="B14" s="367" t="inlineStr">
        <is>
          <t>Fecha</t>
        </is>
      </c>
      <c r="C14" s="367" t="inlineStr">
        <is>
          <t>Tipo de residuo</t>
        </is>
      </c>
      <c r="D14" s="367" t="inlineStr">
        <is>
          <t>Descripción del residuo</t>
        </is>
      </c>
      <c r="E14" s="367" t="inlineStr">
        <is>
          <t>Actividad u origen</t>
        </is>
      </c>
      <c r="F14" s="367" t="inlineStr">
        <is>
          <t>Cantidad</t>
        </is>
      </c>
      <c r="G14" s="367" t="inlineStr">
        <is>
          <t>Unidad</t>
        </is>
      </c>
      <c r="H14" s="367" t="inlineStr">
        <is>
          <t>Almacenamiento</t>
        </is>
      </c>
      <c r="I14" s="367" t="inlineStr">
        <is>
          <t>Destino</t>
        </is>
      </c>
      <c r="J14" s="367" t="inlineStr">
        <is>
          <t>Gestor o receptor</t>
        </is>
      </c>
      <c r="K14" s="367" t="inlineStr">
        <is>
          <t>N° manifiesto o certificado</t>
        </is>
      </c>
      <c r="L14" s="367" t="inlineStr">
        <is>
          <t>Responsable</t>
        </is>
      </c>
    </row>
    <row r="15" ht="20" customHeight="1" s="127">
      <c r="A15" s="306" t="n">
        <v>1</v>
      </c>
      <c r="B15" s="368" t="n"/>
      <c r="C15" s="230" t="n"/>
      <c r="D15" s="230" t="n"/>
      <c r="E15" s="230" t="n"/>
      <c r="F15" s="372" t="n"/>
      <c r="G15" s="306" t="n"/>
      <c r="H15" s="230" t="n"/>
      <c r="I15" s="230" t="n"/>
      <c r="J15" s="230" t="n"/>
      <c r="K15" s="230" t="n"/>
      <c r="L15" s="230" t="n"/>
    </row>
    <row r="16" ht="20" customHeight="1" s="127">
      <c r="A16" s="306" t="n">
        <v>2</v>
      </c>
      <c r="B16" s="368" t="n"/>
      <c r="C16" s="230" t="n"/>
      <c r="D16" s="230" t="n"/>
      <c r="E16" s="230" t="n"/>
      <c r="F16" s="372" t="n"/>
      <c r="G16" s="306" t="n"/>
      <c r="H16" s="230" t="n"/>
      <c r="I16" s="230" t="n"/>
      <c r="J16" s="230" t="n"/>
      <c r="K16" s="230" t="n"/>
      <c r="L16" s="230" t="n"/>
    </row>
    <row r="17" ht="20" customHeight="1" s="127">
      <c r="A17" s="306" t="n">
        <v>3</v>
      </c>
      <c r="B17" s="368" t="n"/>
      <c r="C17" s="230" t="n"/>
      <c r="D17" s="230" t="n"/>
      <c r="E17" s="230" t="n"/>
      <c r="F17" s="372" t="n"/>
      <c r="G17" s="306" t="n"/>
      <c r="H17" s="230" t="n"/>
      <c r="I17" s="230" t="n"/>
      <c r="J17" s="230" t="n"/>
      <c r="K17" s="230" t="n"/>
      <c r="L17" s="230" t="n"/>
    </row>
    <row r="18" ht="20" customHeight="1" s="127">
      <c r="A18" s="306" t="n">
        <v>4</v>
      </c>
      <c r="B18" s="368" t="n"/>
      <c r="C18" s="230" t="n"/>
      <c r="D18" s="230" t="n"/>
      <c r="E18" s="230" t="n"/>
      <c r="F18" s="372" t="n"/>
      <c r="G18" s="306" t="n"/>
      <c r="H18" s="230" t="n"/>
      <c r="I18" s="230" t="n"/>
      <c r="J18" s="230" t="n"/>
      <c r="K18" s="230" t="n"/>
      <c r="L18" s="230" t="n"/>
    </row>
    <row r="19" ht="20" customHeight="1" s="127">
      <c r="A19" s="306" t="n">
        <v>5</v>
      </c>
      <c r="B19" s="368" t="n"/>
      <c r="C19" s="230" t="n"/>
      <c r="D19" s="230" t="n"/>
      <c r="E19" s="230" t="n"/>
      <c r="F19" s="372" t="n"/>
      <c r="G19" s="306" t="n"/>
      <c r="H19" s="230" t="n"/>
      <c r="I19" s="230" t="n"/>
      <c r="J19" s="230" t="n"/>
      <c r="K19" s="230" t="n"/>
      <c r="L19" s="230" t="n"/>
    </row>
    <row r="20" ht="20" customHeight="1" s="127">
      <c r="A20" s="306" t="n">
        <v>6</v>
      </c>
      <c r="B20" s="368" t="n"/>
      <c r="C20" s="230" t="n"/>
      <c r="D20" s="230" t="n"/>
      <c r="E20" s="230" t="n"/>
      <c r="F20" s="372" t="n"/>
      <c r="G20" s="306" t="n"/>
      <c r="H20" s="230" t="n"/>
      <c r="I20" s="230" t="n"/>
      <c r="J20" s="230" t="n"/>
      <c r="K20" s="230" t="n"/>
      <c r="L20" s="230" t="n"/>
    </row>
    <row r="21" ht="20" customHeight="1" s="127">
      <c r="A21" s="306" t="n">
        <v>7</v>
      </c>
      <c r="B21" s="368" t="n"/>
      <c r="C21" s="230" t="n"/>
      <c r="D21" s="230" t="n"/>
      <c r="E21" s="230" t="n"/>
      <c r="F21" s="372" t="n"/>
      <c r="G21" s="306" t="n"/>
      <c r="H21" s="230" t="n"/>
      <c r="I21" s="230" t="n"/>
      <c r="J21" s="230" t="n"/>
      <c r="K21" s="230" t="n"/>
      <c r="L21" s="230" t="n"/>
    </row>
    <row r="22" ht="20" customHeight="1" s="127">
      <c r="A22" s="306" t="n">
        <v>8</v>
      </c>
      <c r="B22" s="368" t="n"/>
      <c r="C22" s="230" t="n"/>
      <c r="D22" s="230" t="n"/>
      <c r="E22" s="230" t="n"/>
      <c r="F22" s="372" t="n"/>
      <c r="G22" s="306" t="n"/>
      <c r="H22" s="230" t="n"/>
      <c r="I22" s="230" t="n"/>
      <c r="J22" s="230" t="n"/>
      <c r="K22" s="230" t="n"/>
      <c r="L22" s="230" t="n"/>
    </row>
    <row r="23" ht="20" customHeight="1" s="127">
      <c r="A23" s="306" t="n">
        <v>9</v>
      </c>
      <c r="B23" s="368" t="n"/>
      <c r="C23" s="230" t="n"/>
      <c r="D23" s="230" t="n"/>
      <c r="E23" s="230" t="n"/>
      <c r="F23" s="372" t="n"/>
      <c r="G23" s="306" t="n"/>
      <c r="H23" s="230" t="n"/>
      <c r="I23" s="230" t="n"/>
      <c r="J23" s="230" t="n"/>
      <c r="K23" s="230" t="n"/>
      <c r="L23" s="230" t="n"/>
    </row>
    <row r="24" ht="20" customHeight="1" s="127">
      <c r="A24" s="306" t="n">
        <v>10</v>
      </c>
      <c r="B24" s="368" t="n"/>
      <c r="C24" s="230" t="n"/>
      <c r="D24" s="230" t="n"/>
      <c r="E24" s="230" t="n"/>
      <c r="F24" s="372" t="n"/>
      <c r="G24" s="306" t="n"/>
      <c r="H24" s="230" t="n"/>
      <c r="I24" s="230" t="n"/>
      <c r="J24" s="230" t="n"/>
      <c r="K24" s="230" t="n"/>
      <c r="L24" s="230" t="n"/>
    </row>
    <row r="25" ht="20" customHeight="1" s="127">
      <c r="A25" s="306" t="n">
        <v>11</v>
      </c>
      <c r="B25" s="368" t="n"/>
      <c r="C25" s="230" t="n"/>
      <c r="D25" s="230" t="n"/>
      <c r="E25" s="230" t="n"/>
      <c r="F25" s="372" t="n"/>
      <c r="G25" s="306" t="n"/>
      <c r="H25" s="230" t="n"/>
      <c r="I25" s="230" t="n"/>
      <c r="J25" s="230" t="n"/>
      <c r="K25" s="230" t="n"/>
      <c r="L25" s="230" t="n"/>
    </row>
    <row r="26" ht="20" customHeight="1" s="127">
      <c r="A26" s="306" t="n">
        <v>12</v>
      </c>
      <c r="B26" s="368" t="n"/>
      <c r="C26" s="230" t="n"/>
      <c r="D26" s="230" t="n"/>
      <c r="E26" s="230" t="n"/>
      <c r="F26" s="372" t="n"/>
      <c r="G26" s="306" t="n"/>
      <c r="H26" s="230" t="n"/>
      <c r="I26" s="230" t="n"/>
      <c r="J26" s="230" t="n"/>
      <c r="K26" s="230" t="n"/>
      <c r="L26" s="230" t="n"/>
    </row>
    <row r="27" ht="20" customHeight="1" s="127">
      <c r="A27" s="306" t="n">
        <v>13</v>
      </c>
      <c r="B27" s="368" t="n"/>
      <c r="C27" s="230" t="n"/>
      <c r="D27" s="230" t="n"/>
      <c r="E27" s="230" t="n"/>
      <c r="F27" s="372" t="n"/>
      <c r="G27" s="306" t="n"/>
      <c r="H27" s="230" t="n"/>
      <c r="I27" s="230" t="n"/>
      <c r="J27" s="230" t="n"/>
      <c r="K27" s="230" t="n"/>
      <c r="L27" s="230" t="n"/>
    </row>
    <row r="28" ht="20" customHeight="1" s="127">
      <c r="A28" s="306" t="n">
        <v>14</v>
      </c>
      <c r="B28" s="368" t="n"/>
      <c r="C28" s="230" t="n"/>
      <c r="D28" s="230" t="n"/>
      <c r="E28" s="230" t="n"/>
      <c r="F28" s="372" t="n"/>
      <c r="G28" s="306" t="n"/>
      <c r="H28" s="230" t="n"/>
      <c r="I28" s="230" t="n"/>
      <c r="J28" s="230" t="n"/>
      <c r="K28" s="230" t="n"/>
      <c r="L28" s="230" t="n"/>
    </row>
    <row r="29" ht="20" customHeight="1" s="127">
      <c r="A29" s="306" t="n">
        <v>15</v>
      </c>
      <c r="B29" s="368" t="n"/>
      <c r="C29" s="230" t="n"/>
      <c r="D29" s="230" t="n"/>
      <c r="E29" s="230" t="n"/>
      <c r="F29" s="372" t="n"/>
      <c r="G29" s="306" t="n"/>
      <c r="H29" s="230" t="n"/>
      <c r="I29" s="230" t="n"/>
      <c r="J29" s="230" t="n"/>
      <c r="K29" s="230" t="n"/>
      <c r="L29" s="230" t="n"/>
    </row>
    <row r="30" ht="20" customHeight="1" s="127">
      <c r="A30" s="306" t="n">
        <v>16</v>
      </c>
      <c r="B30" s="368" t="n"/>
      <c r="C30" s="230" t="n"/>
      <c r="D30" s="230" t="n"/>
      <c r="E30" s="230" t="n"/>
      <c r="F30" s="372" t="n"/>
      <c r="G30" s="306" t="n"/>
      <c r="H30" s="230" t="n"/>
      <c r="I30" s="230" t="n"/>
      <c r="J30" s="230" t="n"/>
      <c r="K30" s="230" t="n"/>
      <c r="L30" s="230" t="n"/>
    </row>
    <row r="31" ht="20" customHeight="1" s="127">
      <c r="A31" s="306" t="n">
        <v>17</v>
      </c>
      <c r="B31" s="368" t="n"/>
      <c r="C31" s="230" t="n"/>
      <c r="D31" s="230" t="n"/>
      <c r="E31" s="230" t="n"/>
      <c r="F31" s="372" t="n"/>
      <c r="G31" s="306" t="n"/>
      <c r="H31" s="230" t="n"/>
      <c r="I31" s="230" t="n"/>
      <c r="J31" s="230" t="n"/>
      <c r="K31" s="230" t="n"/>
      <c r="L31" s="230" t="n"/>
    </row>
    <row r="32" ht="20" customHeight="1" s="127">
      <c r="A32" s="306" t="n">
        <v>18</v>
      </c>
      <c r="B32" s="368" t="n"/>
      <c r="C32" s="230" t="n"/>
      <c r="D32" s="230" t="n"/>
      <c r="E32" s="230" t="n"/>
      <c r="F32" s="372" t="n"/>
      <c r="G32" s="306" t="n"/>
      <c r="H32" s="230" t="n"/>
      <c r="I32" s="230" t="n"/>
      <c r="J32" s="230" t="n"/>
      <c r="K32" s="230" t="n"/>
      <c r="L32" s="230" t="n"/>
    </row>
    <row r="33" ht="20" customHeight="1" s="127">
      <c r="A33" s="306" t="n">
        <v>19</v>
      </c>
      <c r="B33" s="368" t="n"/>
      <c r="C33" s="230" t="n"/>
      <c r="D33" s="230" t="n"/>
      <c r="E33" s="230" t="n"/>
      <c r="F33" s="372" t="n"/>
      <c r="G33" s="306" t="n"/>
      <c r="H33" s="230" t="n"/>
      <c r="I33" s="230" t="n"/>
      <c r="J33" s="230" t="n"/>
      <c r="K33" s="230" t="n"/>
      <c r="L33" s="230" t="n"/>
    </row>
    <row r="34" ht="20" customHeight="1" s="127">
      <c r="A34" s="306" t="n">
        <v>20</v>
      </c>
      <c r="B34" s="368" t="n"/>
      <c r="C34" s="230" t="n"/>
      <c r="D34" s="230" t="n"/>
      <c r="E34" s="230" t="n"/>
      <c r="F34" s="372" t="n"/>
      <c r="G34" s="306" t="n"/>
      <c r="H34" s="230" t="n"/>
      <c r="I34" s="230" t="n"/>
      <c r="J34" s="230" t="n"/>
      <c r="K34" s="230" t="n"/>
      <c r="L34" s="230" t="n"/>
    </row>
    <row r="35" ht="20" customHeight="1" s="127">
      <c r="A35" s="306" t="n">
        <v>21</v>
      </c>
      <c r="B35" s="368" t="n"/>
      <c r="C35" s="230" t="n"/>
      <c r="D35" s="230" t="n"/>
      <c r="E35" s="230" t="n"/>
      <c r="F35" s="372" t="n"/>
      <c r="G35" s="306" t="n"/>
      <c r="H35" s="230" t="n"/>
      <c r="I35" s="230" t="n"/>
      <c r="J35" s="230" t="n"/>
      <c r="K35" s="230" t="n"/>
      <c r="L35" s="230" t="n"/>
    </row>
    <row r="36" ht="20" customHeight="1" s="127">
      <c r="A36" s="306" t="n">
        <v>22</v>
      </c>
      <c r="B36" s="368" t="n"/>
      <c r="C36" s="230" t="n"/>
      <c r="D36" s="230" t="n"/>
      <c r="E36" s="230" t="n"/>
      <c r="F36" s="372" t="n"/>
      <c r="G36" s="306" t="n"/>
      <c r="H36" s="230" t="n"/>
      <c r="I36" s="230" t="n"/>
      <c r="J36" s="230" t="n"/>
      <c r="K36" s="230" t="n"/>
      <c r="L36" s="230" t="n"/>
    </row>
    <row r="37" ht="20" customHeight="1" s="127">
      <c r="A37" s="306" t="n">
        <v>23</v>
      </c>
      <c r="B37" s="368" t="n"/>
      <c r="C37" s="230" t="n"/>
      <c r="D37" s="230" t="n"/>
      <c r="E37" s="230" t="n"/>
      <c r="F37" s="372" t="n"/>
      <c r="G37" s="306" t="n"/>
      <c r="H37" s="230" t="n"/>
      <c r="I37" s="230" t="n"/>
      <c r="J37" s="230" t="n"/>
      <c r="K37" s="230" t="n"/>
      <c r="L37" s="230" t="n"/>
    </row>
    <row r="38" ht="20" customHeight="1" s="127">
      <c r="A38" s="306" t="n">
        <v>24</v>
      </c>
      <c r="B38" s="368" t="n"/>
      <c r="C38" s="230" t="n"/>
      <c r="D38" s="230" t="n"/>
      <c r="E38" s="230" t="n"/>
      <c r="F38" s="372" t="n"/>
      <c r="G38" s="306" t="n"/>
      <c r="H38" s="230" t="n"/>
      <c r="I38" s="230" t="n"/>
      <c r="J38" s="230" t="n"/>
      <c r="K38" s="230" t="n"/>
      <c r="L38" s="230" t="n"/>
    </row>
    <row r="39" ht="20" customHeight="1" s="127">
      <c r="A39" s="306" t="n">
        <v>25</v>
      </c>
      <c r="B39" s="368" t="n"/>
      <c r="C39" s="230" t="n"/>
      <c r="D39" s="230" t="n"/>
      <c r="E39" s="230" t="n"/>
      <c r="F39" s="372" t="n"/>
      <c r="G39" s="306" t="n"/>
      <c r="H39" s="230" t="n"/>
      <c r="I39" s="230" t="n"/>
      <c r="J39" s="230" t="n"/>
      <c r="K39" s="230" t="n"/>
      <c r="L39" s="230" t="n"/>
    </row>
    <row r="40" ht="16.5" customHeight="1" s="127">
      <c r="A40" s="364" t="inlineStr">
        <is>
          <t>3. RESUMEN DEL PERIODO</t>
        </is>
      </c>
      <c r="B40" s="98" t="n"/>
      <c r="C40" s="98" t="n"/>
      <c r="D40" s="98" t="n"/>
      <c r="E40" s="98" t="n"/>
      <c r="F40" s="98" t="n"/>
      <c r="G40" s="98" t="n"/>
      <c r="H40" s="98" t="n"/>
      <c r="I40" s="98" t="n"/>
      <c r="J40" s="98" t="n"/>
      <c r="K40" s="98" t="n"/>
      <c r="L40" s="97" t="n"/>
    </row>
    <row r="41" ht="19" customHeight="1" s="127">
      <c r="A41" s="367" t="inlineStr">
        <is>
          <t>Tipo de residuo</t>
        </is>
      </c>
      <c r="B41" s="347" t="n"/>
      <c r="C41" s="348" t="n"/>
      <c r="D41" s="367" t="inlineStr">
        <is>
          <t>Total en m³</t>
        </is>
      </c>
      <c r="E41" s="367" t="inlineStr">
        <is>
          <t>Total en kg</t>
        </is>
      </c>
      <c r="F41" s="367" t="inlineStr">
        <is>
          <t>Total en t</t>
        </is>
      </c>
      <c r="G41" s="348" t="n"/>
      <c r="H41" s="367" t="inlineStr">
        <is>
          <t>Total en gal</t>
        </is>
      </c>
      <c r="I41" s="367" t="inlineStr">
        <is>
          <t>Total en und</t>
        </is>
      </c>
      <c r="J41" s="367" t="inlineStr">
        <is>
          <t>Observaciones</t>
        </is>
      </c>
      <c r="K41" s="347" t="n"/>
      <c r="L41" s="348" t="n"/>
    </row>
    <row r="42" ht="20" customHeight="1" s="127">
      <c r="A42" s="230" t="inlineStr">
        <is>
          <t>RCD (escombros)</t>
        </is>
      </c>
      <c r="B42" s="98" t="n"/>
      <c r="C42" s="97" t="n"/>
      <c r="D42" s="373">
        <f>SUMIFS($F$15:$F$39,$C$15:$C$39,$A42,$G$15:$G$39,"m³")</f>
        <v/>
      </c>
      <c r="E42" s="373">
        <f>SUMIFS($F$15:$F$39,$C$15:$C$39,$A42,$G$15:$G$39,"kg")</f>
        <v/>
      </c>
      <c r="F42" s="373">
        <f>SUMIFS($F$15:$F$39,$C$15:$C$39,$A42,$G$15:$G$39,"t")</f>
        <v/>
      </c>
      <c r="G42" s="97" t="n"/>
      <c r="H42" s="373">
        <f>SUMIFS($F$15:$F$39,$C$15:$C$39,$A42,$G$15:$G$39,"gal")</f>
        <v/>
      </c>
      <c r="I42" s="373">
        <f>SUMIFS($F$15:$F$39,$C$15:$C$39,$A42,$G$15:$G$39,"und")</f>
        <v/>
      </c>
      <c r="J42" s="230" t="n"/>
      <c r="K42" s="98" t="n"/>
      <c r="L42" s="97" t="n"/>
    </row>
    <row r="43" ht="20" customHeight="1" s="127">
      <c r="A43" s="230" t="inlineStr">
        <is>
          <t>Aprovechable</t>
        </is>
      </c>
      <c r="B43" s="98" t="n"/>
      <c r="C43" s="97" t="n"/>
      <c r="D43" s="373">
        <f>SUMIFS($F$15:$F$39,$C$15:$C$39,$A43,$G$15:$G$39,"m³")</f>
        <v/>
      </c>
      <c r="E43" s="373">
        <f>SUMIFS($F$15:$F$39,$C$15:$C$39,$A43,$G$15:$G$39,"kg")</f>
        <v/>
      </c>
      <c r="F43" s="373">
        <f>SUMIFS($F$15:$F$39,$C$15:$C$39,$A43,$G$15:$G$39,"t")</f>
        <v/>
      </c>
      <c r="G43" s="97" t="n"/>
      <c r="H43" s="373">
        <f>SUMIFS($F$15:$F$39,$C$15:$C$39,$A43,$G$15:$G$39,"gal")</f>
        <v/>
      </c>
      <c r="I43" s="373">
        <f>SUMIFS($F$15:$F$39,$C$15:$C$39,$A43,$G$15:$G$39,"und")</f>
        <v/>
      </c>
      <c r="J43" s="230" t="n"/>
      <c r="K43" s="98" t="n"/>
      <c r="L43" s="97" t="n"/>
    </row>
    <row r="44" ht="20" customHeight="1" s="127">
      <c r="A44" s="230" t="inlineStr">
        <is>
          <t>Ordinario</t>
        </is>
      </c>
      <c r="B44" s="98" t="n"/>
      <c r="C44" s="97" t="n"/>
      <c r="D44" s="373">
        <f>SUMIFS($F$15:$F$39,$C$15:$C$39,$A44,$G$15:$G$39,"m³")</f>
        <v/>
      </c>
      <c r="E44" s="373">
        <f>SUMIFS($F$15:$F$39,$C$15:$C$39,$A44,$G$15:$G$39,"kg")</f>
        <v/>
      </c>
      <c r="F44" s="373">
        <f>SUMIFS($F$15:$F$39,$C$15:$C$39,$A44,$G$15:$G$39,"t")</f>
        <v/>
      </c>
      <c r="G44" s="97" t="n"/>
      <c r="H44" s="373">
        <f>SUMIFS($F$15:$F$39,$C$15:$C$39,$A44,$G$15:$G$39,"gal")</f>
        <v/>
      </c>
      <c r="I44" s="373">
        <f>SUMIFS($F$15:$F$39,$C$15:$C$39,$A44,$G$15:$G$39,"und")</f>
        <v/>
      </c>
      <c r="J44" s="230" t="n"/>
      <c r="K44" s="98" t="n"/>
      <c r="L44" s="97" t="n"/>
    </row>
    <row r="45" ht="20" customHeight="1" s="127">
      <c r="A45" s="230" t="inlineStr">
        <is>
          <t>Orgánico / vegetal</t>
        </is>
      </c>
      <c r="B45" s="98" t="n"/>
      <c r="C45" s="97" t="n"/>
      <c r="D45" s="373">
        <f>SUMIFS($F$15:$F$39,$C$15:$C$39,$A45,$G$15:$G$39,"m³")</f>
        <v/>
      </c>
      <c r="E45" s="373">
        <f>SUMIFS($F$15:$F$39,$C$15:$C$39,$A45,$G$15:$G$39,"kg")</f>
        <v/>
      </c>
      <c r="F45" s="373">
        <f>SUMIFS($F$15:$F$39,$C$15:$C$39,$A45,$G$15:$G$39,"t")</f>
        <v/>
      </c>
      <c r="G45" s="97" t="n"/>
      <c r="H45" s="373">
        <f>SUMIFS($F$15:$F$39,$C$15:$C$39,$A45,$G$15:$G$39,"gal")</f>
        <v/>
      </c>
      <c r="I45" s="373">
        <f>SUMIFS($F$15:$F$39,$C$15:$C$39,$A45,$G$15:$G$39,"und")</f>
        <v/>
      </c>
      <c r="J45" s="230" t="n"/>
      <c r="K45" s="98" t="n"/>
      <c r="L45" s="97" t="n"/>
    </row>
    <row r="46" ht="20" customHeight="1" s="127">
      <c r="A46" s="230" t="inlineStr">
        <is>
          <t>Peligroso (RESPEL)</t>
        </is>
      </c>
      <c r="B46" s="98" t="n"/>
      <c r="C46" s="97" t="n"/>
      <c r="D46" s="373">
        <f>SUMIFS($F$15:$F$39,$C$15:$C$39,$A46,$G$15:$G$39,"m³")</f>
        <v/>
      </c>
      <c r="E46" s="373">
        <f>SUMIFS($F$15:$F$39,$C$15:$C$39,$A46,$G$15:$G$39,"kg")</f>
        <v/>
      </c>
      <c r="F46" s="373">
        <f>SUMIFS($F$15:$F$39,$C$15:$C$39,$A46,$G$15:$G$39,"t")</f>
        <v/>
      </c>
      <c r="G46" s="97" t="n"/>
      <c r="H46" s="373">
        <f>SUMIFS($F$15:$F$39,$C$15:$C$39,$A46,$G$15:$G$39,"gal")</f>
        <v/>
      </c>
      <c r="I46" s="373">
        <f>SUMIFS($F$15:$F$39,$C$15:$C$39,$A46,$G$15:$G$39,"und")</f>
        <v/>
      </c>
      <c r="J46" s="230" t="n"/>
      <c r="K46" s="98" t="n"/>
      <c r="L46" s="97" t="n"/>
    </row>
    <row r="47" ht="20" customHeight="1" s="127">
      <c r="A47" s="230" t="inlineStr">
        <is>
          <t>Especial / aceites usados</t>
        </is>
      </c>
      <c r="B47" s="98" t="n"/>
      <c r="C47" s="97" t="n"/>
      <c r="D47" s="373">
        <f>SUMIFS($F$15:$F$39,$C$15:$C$39,$A47,$G$15:$G$39,"m³")</f>
        <v/>
      </c>
      <c r="E47" s="373">
        <f>SUMIFS($F$15:$F$39,$C$15:$C$39,$A47,$G$15:$G$39,"kg")</f>
        <v/>
      </c>
      <c r="F47" s="373">
        <f>SUMIFS($F$15:$F$39,$C$15:$C$39,$A47,$G$15:$G$39,"t")</f>
        <v/>
      </c>
      <c r="G47" s="97" t="n"/>
      <c r="H47" s="373">
        <f>SUMIFS($F$15:$F$39,$C$15:$C$39,$A47,$G$15:$G$39,"gal")</f>
        <v/>
      </c>
      <c r="I47" s="373">
        <f>SUMIFS($F$15:$F$39,$C$15:$C$39,$A47,$G$15:$G$39,"und")</f>
        <v/>
      </c>
      <c r="J47" s="230" t="n"/>
      <c r="K47" s="98" t="n"/>
      <c r="L47" s="97" t="n"/>
    </row>
    <row r="48" ht="16" customHeight="1" s="127">
      <c r="A48" s="369" t="inlineStr">
        <is>
          <t>El resumen se calcula solo con lo anotado arriba: la cantidad se suma según el tipo de residuo y la unidad elegida.</t>
        </is>
      </c>
      <c r="B48" s="93" t="n"/>
      <c r="C48" s="93" t="n"/>
      <c r="D48" s="93" t="n"/>
      <c r="E48" s="93" t="n"/>
      <c r="F48" s="93" t="n"/>
      <c r="G48" s="93" t="n"/>
      <c r="H48" s="93" t="n"/>
      <c r="I48" s="93" t="n"/>
      <c r="J48" s="93" t="n"/>
      <c r="K48" s="93" t="n"/>
      <c r="L48" s="89" t="n"/>
    </row>
    <row r="49" ht="16.5" customHeight="1" s="127">
      <c r="A49" s="364" t="inlineStr">
        <is>
          <t>4. FIRMAS</t>
        </is>
      </c>
      <c r="B49" s="98" t="n"/>
      <c r="C49" s="98" t="n"/>
      <c r="D49" s="98" t="n"/>
      <c r="E49" s="98" t="n"/>
      <c r="F49" s="98" t="n"/>
      <c r="G49" s="98" t="n"/>
      <c r="H49" s="98" t="n"/>
      <c r="I49" s="98" t="n"/>
      <c r="J49" s="98" t="n"/>
      <c r="K49" s="98" t="n"/>
      <c r="L49" s="97" t="n"/>
    </row>
    <row r="50" ht="18" customHeight="1" s="127">
      <c r="A50" s="370" t="inlineStr">
        <is>
          <t>REGISTRÓ — RESPONSABLE AMBIENTAL</t>
        </is>
      </c>
      <c r="B50" s="347" t="n"/>
      <c r="C50" s="347" t="n"/>
      <c r="D50" s="347" t="n"/>
      <c r="E50" s="348" t="n"/>
      <c r="F50" s="370" t="inlineStr">
        <is>
          <t>REVISÓ — RESIDENTE DE OBRA</t>
        </is>
      </c>
      <c r="G50" s="347" t="n"/>
      <c r="H50" s="347" t="n"/>
      <c r="I50" s="348" t="n"/>
      <c r="J50" s="370" t="inlineStr">
        <is>
          <t>Vo.Bo. — INTERVENTORÍA</t>
        </is>
      </c>
      <c r="K50" s="347" t="n"/>
      <c r="L50" s="348" t="n"/>
    </row>
    <row r="51" ht="42" customHeight="1" s="127">
      <c r="A51" s="371" t="inlineStr">
        <is>
          <t>Firma:</t>
        </is>
      </c>
      <c r="B51" s="97" t="n"/>
      <c r="C51" s="301" t="n"/>
      <c r="D51" s="98" t="n"/>
      <c r="E51" s="97" t="n"/>
      <c r="F51" s="371" t="inlineStr">
        <is>
          <t>Firma:</t>
        </is>
      </c>
      <c r="G51" s="97" t="n"/>
      <c r="H51" s="301" t="n"/>
      <c r="I51" s="97" t="n"/>
      <c r="J51" s="371" t="inlineStr">
        <is>
          <t>Firma:</t>
        </is>
      </c>
      <c r="K51" s="301" t="n"/>
      <c r="L51" s="97" t="n"/>
    </row>
    <row r="52" ht="21" customHeight="1" s="127">
      <c r="A52" s="371" t="inlineStr">
        <is>
          <t>Nombre:</t>
        </is>
      </c>
      <c r="B52" s="97" t="n"/>
      <c r="C52" s="301" t="n"/>
      <c r="D52" s="98" t="n"/>
      <c r="E52" s="97" t="n"/>
      <c r="F52" s="371" t="inlineStr">
        <is>
          <t>Nombre:</t>
        </is>
      </c>
      <c r="G52" s="97" t="n"/>
      <c r="H52" s="301" t="n"/>
      <c r="I52" s="97" t="n"/>
      <c r="J52" s="371" t="inlineStr">
        <is>
          <t>Nombre:</t>
        </is>
      </c>
      <c r="K52" s="301" t="n"/>
      <c r="L52" s="97" t="n"/>
    </row>
    <row r="53" ht="21" customHeight="1" s="127">
      <c r="A53" s="371" t="inlineStr">
        <is>
          <t>Cargo:</t>
        </is>
      </c>
      <c r="B53" s="97" t="n"/>
      <c r="C53" s="301" t="n"/>
      <c r="D53" s="98" t="n"/>
      <c r="E53" s="97" t="n"/>
      <c r="F53" s="371" t="inlineStr">
        <is>
          <t>Cargo:</t>
        </is>
      </c>
      <c r="G53" s="97" t="n"/>
      <c r="H53" s="301" t="n"/>
      <c r="I53" s="97" t="n"/>
      <c r="J53" s="371" t="inlineStr">
        <is>
          <t>Cargo:</t>
        </is>
      </c>
      <c r="K53" s="301" t="n"/>
      <c r="L53" s="97" t="n"/>
    </row>
    <row r="54">
      <c r="A54" s="25" t="inlineStr">
        <is>
          <t>REV. 08/10/2026</t>
        </is>
      </c>
      <c r="G54" s="105">
        <f>K5</f>
        <v/>
      </c>
    </row>
  </sheetData>
  <mergeCells count="59">
    <mergeCell ref="H53:I53"/>
    <mergeCell ref="A41:C41"/>
    <mergeCell ref="A46:C46"/>
    <mergeCell ref="A51:B51"/>
    <mergeCell ref="J45:L45"/>
    <mergeCell ref="K5:L5"/>
    <mergeCell ref="J4:L4"/>
    <mergeCell ref="A12:C12"/>
    <mergeCell ref="C51:E51"/>
    <mergeCell ref="A42:C42"/>
    <mergeCell ref="J41:L41"/>
    <mergeCell ref="K51:L51"/>
    <mergeCell ref="D1:L2"/>
    <mergeCell ref="A47:C47"/>
    <mergeCell ref="C52:E52"/>
    <mergeCell ref="F53:G53"/>
    <mergeCell ref="F51:G51"/>
    <mergeCell ref="D11:H11"/>
    <mergeCell ref="H51:I51"/>
    <mergeCell ref="F45:G45"/>
    <mergeCell ref="D3:L3"/>
    <mergeCell ref="F42:G42"/>
    <mergeCell ref="J47:L47"/>
    <mergeCell ref="J43:L43"/>
    <mergeCell ref="J50:L50"/>
    <mergeCell ref="F41:G41"/>
    <mergeCell ref="A43:C43"/>
    <mergeCell ref="H52:I52"/>
    <mergeCell ref="G54:L54"/>
    <mergeCell ref="J46:L46"/>
    <mergeCell ref="A50:E50"/>
    <mergeCell ref="K52:L52"/>
    <mergeCell ref="A10:L10"/>
    <mergeCell ref="A44:C44"/>
    <mergeCell ref="F47:G47"/>
    <mergeCell ref="J42:L42"/>
    <mergeCell ref="K8:L8"/>
    <mergeCell ref="C53:E53"/>
    <mergeCell ref="D5:I5"/>
    <mergeCell ref="A13:L13"/>
    <mergeCell ref="F46:G46"/>
    <mergeCell ref="A40:L40"/>
    <mergeCell ref="A9:L9"/>
    <mergeCell ref="J44:L44"/>
    <mergeCell ref="A53:B53"/>
    <mergeCell ref="F52:G52"/>
    <mergeCell ref="A48:L48"/>
    <mergeCell ref="F43:G43"/>
    <mergeCell ref="D12:H12"/>
    <mergeCell ref="K7:L7"/>
    <mergeCell ref="F50:I50"/>
    <mergeCell ref="A11:C11"/>
    <mergeCell ref="A52:B52"/>
    <mergeCell ref="K53:L53"/>
    <mergeCell ref="A45:C45"/>
    <mergeCell ref="A49:L49"/>
    <mergeCell ref="D6:I6"/>
    <mergeCell ref="K6:L6"/>
    <mergeCell ref="F44:G44"/>
  </mergeCells>
  <pageMargins left="0.4" right="0.4" top="0.4" bottom="0.7" header="0.5" footer="0.5"/>
  <pageSetup orientation="landscape" fitToHeight="0" fitToWidth="1" horizontalDpi="300" verticalDpi="300"/>
  <headerFooter>
    <oddHeader/>
    <oddFooter>&amp;C&amp;8 Página &amp;P de &amp;N</oddFooter>
    <evenHeader/>
    <evenFooter/>
    <firstHeader/>
    <firstFooter/>
  </headerFooter>
  <rowBreaks count="1" manualBreakCount="1">
    <brk id="39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2026-10-08T16:23:02Z</dcterms:modified>
  <cp:lastModifiedBy>Hugo Fernando Hurtado Ruiz</cp:lastModifiedBy>
</cp:coreProperties>
</file>